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hidePivotFieldList="1" defaultThemeVersion="124226"/>
  <bookViews>
    <workbookView xWindow="240" yWindow="330" windowWidth="20115" windowHeight="7185" activeTab="1"/>
  </bookViews>
  <sheets>
    <sheet name="Sheet2" sheetId="2" r:id="rId1"/>
    <sheet name="Review_Tracking" sheetId="1" r:id="rId2"/>
    <sheet name="Data" sheetId="5" r:id="rId3"/>
    <sheet name="Sheet3" sheetId="3" r:id="rId4"/>
    <sheet name="Sheet4" sheetId="4" r:id="rId5"/>
  </sheets>
  <calcPr calcId="144525"/>
  <pivotCaches>
    <pivotCache cacheId="0" r:id="rId6"/>
  </pivotCaches>
</workbook>
</file>

<file path=xl/calcChain.xml><?xml version="1.0" encoding="utf-8"?>
<calcChain xmlns="http://schemas.openxmlformats.org/spreadsheetml/2006/main">
  <c r="F13" i="4" l="1"/>
  <c r="E13" i="4"/>
  <c r="D13" i="4"/>
  <c r="C13" i="4"/>
  <c r="B13" i="4"/>
  <c r="A13" i="4"/>
  <c r="A9428" i="5" l="1"/>
  <c r="A9427" i="5"/>
  <c r="A9426" i="5"/>
  <c r="A9425" i="5"/>
  <c r="A9424" i="5"/>
  <c r="A9423" i="5"/>
  <c r="A9422" i="5"/>
  <c r="A9421" i="5"/>
  <c r="A9420" i="5"/>
  <c r="A9419" i="5"/>
  <c r="A9418" i="5"/>
  <c r="A9417" i="5"/>
  <c r="A9416" i="5"/>
  <c r="A9415" i="5"/>
  <c r="A9414" i="5"/>
  <c r="A9413" i="5"/>
  <c r="A9412" i="5"/>
  <c r="A9411" i="5"/>
  <c r="A9410" i="5"/>
  <c r="A9409" i="5"/>
  <c r="A9408" i="5"/>
  <c r="A9407" i="5"/>
  <c r="A9406" i="5"/>
  <c r="A9405" i="5"/>
  <c r="A9404" i="5"/>
  <c r="A9403" i="5"/>
  <c r="A9402" i="5"/>
  <c r="A9401" i="5"/>
  <c r="A9400" i="5"/>
  <c r="A9399" i="5"/>
  <c r="A9398" i="5"/>
  <c r="A9397" i="5"/>
  <c r="A9396" i="5"/>
  <c r="A9395" i="5"/>
  <c r="A9394" i="5"/>
  <c r="A9393" i="5"/>
  <c r="A9392" i="5"/>
  <c r="A9391" i="5"/>
  <c r="A9390" i="5"/>
  <c r="A9389" i="5"/>
  <c r="A9388" i="5"/>
  <c r="A9387" i="5"/>
  <c r="A9386" i="5"/>
  <c r="A9385" i="5"/>
  <c r="A9384" i="5"/>
  <c r="A9383" i="5"/>
  <c r="A9382" i="5"/>
  <c r="A9381" i="5"/>
  <c r="A9380" i="5"/>
  <c r="A9379" i="5"/>
  <c r="A9378" i="5"/>
  <c r="A9377" i="5"/>
  <c r="A9376" i="5"/>
  <c r="A9375" i="5"/>
  <c r="A9374" i="5"/>
  <c r="A9373" i="5"/>
  <c r="A9372" i="5"/>
  <c r="A9371" i="5"/>
  <c r="A9370" i="5"/>
  <c r="A9369" i="5"/>
  <c r="A9368" i="5"/>
  <c r="A9367" i="5"/>
  <c r="A9366" i="5"/>
  <c r="A9365" i="5"/>
  <c r="A9364" i="5"/>
  <c r="A9363" i="5"/>
  <c r="A9362" i="5"/>
  <c r="A9361" i="5"/>
  <c r="A9360" i="5"/>
  <c r="A9359" i="5"/>
  <c r="A9358" i="5"/>
  <c r="A9357" i="5"/>
  <c r="A9356" i="5"/>
  <c r="A9355" i="5"/>
  <c r="A9354" i="5"/>
  <c r="A9353" i="5"/>
  <c r="A9352" i="5"/>
  <c r="A9351" i="5"/>
  <c r="A9350" i="5"/>
  <c r="A9349" i="5"/>
  <c r="A9348" i="5"/>
  <c r="A9347" i="5"/>
  <c r="A9346" i="5"/>
  <c r="A9345" i="5"/>
  <c r="A9344" i="5"/>
  <c r="A9343" i="5"/>
  <c r="A9342" i="5"/>
  <c r="A9341" i="5"/>
  <c r="A9340" i="5"/>
  <c r="A9339" i="5"/>
  <c r="A9338" i="5"/>
  <c r="A9337" i="5"/>
  <c r="A9336" i="5"/>
  <c r="A9335" i="5"/>
  <c r="A9334" i="5"/>
  <c r="A9333" i="5"/>
  <c r="A9332" i="5"/>
  <c r="A9331" i="5"/>
  <c r="A9330" i="5"/>
  <c r="A9329" i="5"/>
  <c r="A9328" i="5"/>
  <c r="A9327" i="5"/>
  <c r="A9326" i="5"/>
  <c r="A9325" i="5"/>
  <c r="A9324" i="5"/>
  <c r="A9323" i="5"/>
  <c r="A9322" i="5"/>
  <c r="A9321" i="5"/>
  <c r="A9320" i="5"/>
  <c r="A9319" i="5"/>
  <c r="A9318" i="5"/>
  <c r="A9317" i="5"/>
  <c r="A9316" i="5"/>
  <c r="A9315" i="5"/>
  <c r="A9314" i="5"/>
  <c r="A9313" i="5"/>
  <c r="A9312" i="5"/>
  <c r="A9311" i="5"/>
  <c r="A9310" i="5"/>
  <c r="A9309" i="5"/>
  <c r="A9308" i="5"/>
  <c r="A9307" i="5"/>
  <c r="A9306" i="5"/>
  <c r="A9305" i="5"/>
  <c r="A9304" i="5"/>
  <c r="A9303" i="5"/>
  <c r="A9302" i="5"/>
  <c r="A9301" i="5"/>
  <c r="A9300" i="5"/>
  <c r="A9299" i="5"/>
  <c r="A9298" i="5"/>
  <c r="A9297" i="5"/>
  <c r="A9296" i="5"/>
  <c r="A9295" i="5"/>
  <c r="A9294" i="5"/>
  <c r="A9293" i="5"/>
  <c r="A9292" i="5"/>
  <c r="A9291" i="5"/>
  <c r="A9290" i="5"/>
  <c r="A9289" i="5"/>
  <c r="A9288" i="5"/>
  <c r="A9287" i="5"/>
  <c r="A9286" i="5"/>
  <c r="A9285" i="5"/>
  <c r="A9284" i="5"/>
  <c r="A9283" i="5"/>
  <c r="A9282" i="5"/>
  <c r="A9281" i="5"/>
  <c r="A9280" i="5"/>
  <c r="A9279" i="5"/>
  <c r="A9278" i="5"/>
  <c r="A9277" i="5"/>
  <c r="A9276" i="5"/>
  <c r="A9275" i="5"/>
  <c r="A9274" i="5"/>
  <c r="A9273" i="5"/>
  <c r="A9272" i="5"/>
  <c r="A9271" i="5"/>
  <c r="A9270" i="5"/>
  <c r="A9269" i="5"/>
  <c r="A9268" i="5"/>
  <c r="A9267" i="5"/>
  <c r="A9266" i="5"/>
  <c r="A9265" i="5"/>
  <c r="A9264" i="5"/>
  <c r="A9263" i="5"/>
  <c r="A9262" i="5"/>
  <c r="A9261" i="5"/>
  <c r="A9260" i="5"/>
  <c r="A9259" i="5"/>
  <c r="A9258" i="5"/>
  <c r="A9257" i="5"/>
  <c r="A9256" i="5"/>
  <c r="A9255" i="5"/>
  <c r="A9254" i="5"/>
  <c r="A9253" i="5"/>
  <c r="A9252" i="5"/>
  <c r="A9251" i="5"/>
  <c r="A9250" i="5"/>
  <c r="A9249" i="5"/>
  <c r="A9248" i="5"/>
  <c r="A9247" i="5"/>
  <c r="A9246" i="5"/>
  <c r="A9245" i="5"/>
  <c r="A9244" i="5"/>
  <c r="A9243" i="5"/>
  <c r="A9242" i="5"/>
  <c r="A9241" i="5"/>
  <c r="A9240" i="5"/>
  <c r="A9239" i="5"/>
  <c r="A9238" i="5"/>
  <c r="A9237" i="5"/>
  <c r="A9236" i="5"/>
  <c r="A9235" i="5"/>
  <c r="A9234" i="5"/>
  <c r="A9233" i="5"/>
  <c r="A9232" i="5"/>
  <c r="A9231" i="5"/>
  <c r="A9230" i="5"/>
  <c r="A9229" i="5"/>
  <c r="A9228" i="5"/>
  <c r="A9227" i="5"/>
  <c r="A9226" i="5"/>
  <c r="A9225" i="5"/>
  <c r="A9224" i="5"/>
  <c r="A9223" i="5"/>
  <c r="A9222" i="5"/>
  <c r="A9221" i="5"/>
  <c r="A9220" i="5"/>
  <c r="A9219" i="5"/>
  <c r="A9218" i="5"/>
  <c r="A9217" i="5"/>
  <c r="A9216" i="5"/>
  <c r="A9215" i="5"/>
  <c r="A9214" i="5"/>
  <c r="A9213" i="5"/>
  <c r="A9212" i="5"/>
  <c r="A9211" i="5"/>
  <c r="A9210" i="5"/>
  <c r="A9209" i="5"/>
  <c r="A9208" i="5"/>
  <c r="A9207" i="5"/>
  <c r="A9206" i="5"/>
  <c r="A9205" i="5"/>
  <c r="A9204" i="5"/>
  <c r="A9203" i="5"/>
  <c r="A9202" i="5"/>
  <c r="A9201" i="5"/>
  <c r="A9200" i="5"/>
  <c r="A9199" i="5"/>
  <c r="A9198" i="5"/>
  <c r="A9197" i="5"/>
  <c r="A9196" i="5"/>
  <c r="A9195" i="5"/>
  <c r="A9194" i="5"/>
  <c r="A9193" i="5"/>
  <c r="A9192" i="5"/>
  <c r="A9191" i="5"/>
  <c r="A9190" i="5"/>
  <c r="A9189" i="5"/>
  <c r="A9188" i="5"/>
  <c r="A9187" i="5"/>
  <c r="A9186" i="5"/>
  <c r="A9185" i="5"/>
  <c r="A9184" i="5"/>
  <c r="A9183" i="5"/>
  <c r="A9182" i="5"/>
  <c r="A9181" i="5"/>
  <c r="A9180" i="5"/>
  <c r="A9179" i="5"/>
  <c r="A9178" i="5"/>
  <c r="A9177" i="5"/>
  <c r="A9176" i="5"/>
  <c r="A9175" i="5"/>
  <c r="A9174" i="5"/>
  <c r="A9173" i="5"/>
  <c r="A9172" i="5"/>
  <c r="A9171" i="5"/>
  <c r="A9170" i="5"/>
  <c r="A9169" i="5"/>
  <c r="A9168" i="5"/>
  <c r="A9167" i="5"/>
  <c r="A9166" i="5"/>
  <c r="A9165" i="5"/>
  <c r="A9164" i="5"/>
  <c r="A9163" i="5"/>
  <c r="A9162" i="5"/>
  <c r="A9161" i="5"/>
  <c r="A9160" i="5"/>
  <c r="A9159" i="5"/>
  <c r="A9158" i="5"/>
  <c r="A9157" i="5"/>
  <c r="A9156" i="5"/>
  <c r="A9155" i="5"/>
  <c r="A9154" i="5"/>
  <c r="A9153" i="5"/>
  <c r="A9152" i="5"/>
  <c r="A9151" i="5"/>
  <c r="A9150" i="5"/>
  <c r="A9149" i="5"/>
  <c r="A9148" i="5"/>
  <c r="A9147" i="5"/>
  <c r="A9146" i="5"/>
  <c r="A9145" i="5"/>
  <c r="A9144" i="5"/>
  <c r="A9143" i="5"/>
  <c r="A9142" i="5"/>
  <c r="A9141" i="5"/>
  <c r="A9140" i="5"/>
  <c r="A9139" i="5"/>
  <c r="A9138" i="5"/>
  <c r="A9137" i="5"/>
  <c r="A9136" i="5"/>
  <c r="A9135" i="5"/>
  <c r="A9134" i="5"/>
  <c r="A9133" i="5"/>
  <c r="A9132" i="5"/>
  <c r="A9131" i="5"/>
  <c r="A9130" i="5"/>
  <c r="A9129" i="5"/>
  <c r="A9128" i="5"/>
  <c r="A9127" i="5"/>
  <c r="A9126" i="5"/>
  <c r="A9125" i="5"/>
  <c r="A9124" i="5"/>
  <c r="A9123" i="5"/>
  <c r="A9122" i="5"/>
  <c r="A9121" i="5"/>
  <c r="A9120" i="5"/>
  <c r="A9119" i="5"/>
  <c r="A9118" i="5"/>
  <c r="A9117" i="5"/>
  <c r="A9116" i="5"/>
  <c r="A9115" i="5"/>
  <c r="A9114" i="5"/>
  <c r="A9113" i="5"/>
  <c r="A9112" i="5"/>
  <c r="A9111" i="5"/>
  <c r="A9110" i="5"/>
  <c r="A9109" i="5"/>
  <c r="A9108" i="5"/>
  <c r="A9107" i="5"/>
  <c r="A9106" i="5"/>
  <c r="A9105" i="5"/>
  <c r="A9104" i="5"/>
  <c r="A9103" i="5"/>
  <c r="A9102" i="5"/>
  <c r="A9101" i="5"/>
  <c r="A9100" i="5"/>
  <c r="A9099" i="5"/>
  <c r="A9098" i="5"/>
  <c r="A9097" i="5"/>
  <c r="A9096" i="5"/>
  <c r="A9095" i="5"/>
  <c r="A9094" i="5"/>
  <c r="A9093" i="5"/>
  <c r="A9092" i="5"/>
  <c r="A9091" i="5"/>
  <c r="A9090" i="5"/>
  <c r="A9089" i="5"/>
  <c r="A9088" i="5"/>
  <c r="A9087" i="5"/>
  <c r="A9086" i="5"/>
  <c r="A9085" i="5"/>
  <c r="A9084" i="5"/>
  <c r="A9083" i="5"/>
  <c r="A9082" i="5"/>
  <c r="A9081" i="5"/>
  <c r="A9080" i="5"/>
  <c r="A9079" i="5"/>
  <c r="A9078" i="5"/>
  <c r="A9077" i="5"/>
  <c r="A9076" i="5"/>
  <c r="A9075" i="5"/>
  <c r="A9074" i="5"/>
  <c r="A9073" i="5"/>
  <c r="A9072" i="5"/>
  <c r="A9071" i="5"/>
  <c r="A9070" i="5"/>
  <c r="A9069" i="5"/>
  <c r="A9068" i="5"/>
  <c r="A9067" i="5"/>
  <c r="A9066" i="5"/>
  <c r="A9065" i="5"/>
  <c r="A9064" i="5"/>
  <c r="A9063" i="5"/>
  <c r="A9062" i="5"/>
  <c r="A9061" i="5"/>
  <c r="A9060" i="5"/>
  <c r="A9059" i="5"/>
  <c r="A9058" i="5"/>
  <c r="A9057" i="5"/>
  <c r="A9056" i="5"/>
  <c r="A9055" i="5"/>
  <c r="A9054" i="5"/>
  <c r="A9053" i="5"/>
  <c r="A9052" i="5"/>
  <c r="A9051" i="5"/>
  <c r="A9050" i="5"/>
  <c r="A9049" i="5"/>
  <c r="A9048" i="5"/>
  <c r="A9047" i="5"/>
  <c r="A9046" i="5"/>
  <c r="A9045" i="5"/>
  <c r="A9044" i="5"/>
  <c r="A9043" i="5"/>
  <c r="A9042" i="5"/>
  <c r="A9041" i="5"/>
  <c r="A9040" i="5"/>
  <c r="A9039" i="5"/>
  <c r="A9038" i="5"/>
  <c r="A9037" i="5"/>
  <c r="A9036" i="5"/>
  <c r="A9035" i="5"/>
  <c r="A9034" i="5"/>
  <c r="A9033" i="5"/>
  <c r="A9032" i="5"/>
  <c r="A9031" i="5"/>
  <c r="A9030" i="5"/>
  <c r="A9029" i="5"/>
  <c r="A9028" i="5"/>
  <c r="A9027" i="5"/>
  <c r="A9026" i="5"/>
  <c r="A9025" i="5"/>
  <c r="A9024" i="5"/>
  <c r="A9023" i="5"/>
  <c r="A9022" i="5"/>
  <c r="A9021" i="5"/>
  <c r="A9020" i="5"/>
  <c r="A9019" i="5"/>
  <c r="A9018" i="5"/>
  <c r="A9017" i="5"/>
  <c r="A9016" i="5"/>
  <c r="A9015" i="5"/>
  <c r="A9014" i="5"/>
  <c r="A9013" i="5"/>
  <c r="A9012" i="5"/>
  <c r="A9011" i="5"/>
  <c r="A9010" i="5"/>
  <c r="A9009" i="5"/>
  <c r="A9008" i="5"/>
  <c r="A9007" i="5"/>
  <c r="A9006" i="5"/>
  <c r="A9005" i="5"/>
  <c r="A9004" i="5"/>
  <c r="A9003" i="5"/>
  <c r="A9002" i="5"/>
  <c r="A9001" i="5"/>
  <c r="A9000" i="5"/>
  <c r="A8999" i="5"/>
  <c r="A8998" i="5"/>
  <c r="A8997" i="5"/>
  <c r="A8996" i="5"/>
  <c r="A8995" i="5"/>
  <c r="A8994" i="5"/>
  <c r="A8993" i="5"/>
  <c r="A8992" i="5"/>
  <c r="A8991" i="5"/>
  <c r="A8990" i="5"/>
  <c r="A8989" i="5"/>
  <c r="A8988" i="5"/>
  <c r="A8987" i="5"/>
  <c r="A8986" i="5"/>
  <c r="A8985" i="5"/>
  <c r="A8984" i="5"/>
  <c r="A8983" i="5"/>
  <c r="A8982" i="5"/>
  <c r="A8981" i="5"/>
  <c r="A8980" i="5"/>
  <c r="A8979" i="5"/>
  <c r="A8978" i="5"/>
  <c r="A8977" i="5"/>
  <c r="A8976" i="5"/>
  <c r="A8975" i="5"/>
  <c r="A8974" i="5"/>
  <c r="A8973" i="5"/>
  <c r="A8972" i="5"/>
  <c r="A8971" i="5"/>
  <c r="A8970" i="5"/>
  <c r="A8969" i="5"/>
  <c r="A8968" i="5"/>
  <c r="A8967" i="5"/>
  <c r="A8966" i="5"/>
  <c r="A8965" i="5"/>
  <c r="A8964" i="5"/>
  <c r="A8963" i="5"/>
  <c r="A8962" i="5"/>
  <c r="A8961" i="5"/>
  <c r="A8960" i="5"/>
  <c r="A8959" i="5"/>
  <c r="A8958" i="5"/>
  <c r="A8957" i="5"/>
  <c r="A8956" i="5"/>
  <c r="A8955" i="5"/>
  <c r="A8954" i="5"/>
  <c r="A8953" i="5"/>
  <c r="A8952" i="5"/>
  <c r="A8951" i="5"/>
  <c r="A8950" i="5"/>
  <c r="A8949" i="5"/>
  <c r="A8948" i="5"/>
  <c r="A8947" i="5"/>
  <c r="A8946" i="5"/>
  <c r="A8945" i="5"/>
  <c r="A8944" i="5"/>
  <c r="A8943" i="5"/>
  <c r="A8942" i="5"/>
  <c r="A8941" i="5"/>
  <c r="A8940" i="5"/>
  <c r="A8939" i="5"/>
  <c r="A8938" i="5"/>
  <c r="A8937" i="5"/>
  <c r="A8936" i="5"/>
  <c r="A8935" i="5"/>
  <c r="A8934" i="5"/>
  <c r="A8933" i="5"/>
  <c r="A8932" i="5"/>
  <c r="A8931" i="5"/>
  <c r="A8930" i="5"/>
  <c r="A8929" i="5"/>
  <c r="A8928" i="5"/>
  <c r="A8927" i="5"/>
  <c r="A8926" i="5"/>
  <c r="A8925" i="5"/>
  <c r="A8924" i="5"/>
  <c r="A8923" i="5"/>
  <c r="A8922" i="5"/>
  <c r="A8921" i="5"/>
  <c r="A8920" i="5"/>
  <c r="A8919" i="5"/>
  <c r="A8918" i="5"/>
  <c r="A8917" i="5"/>
  <c r="A8916" i="5"/>
  <c r="A8915" i="5"/>
  <c r="A8914" i="5"/>
  <c r="A8913" i="5"/>
  <c r="A8912" i="5"/>
  <c r="A8911" i="5"/>
  <c r="A8910" i="5"/>
  <c r="A8909" i="5"/>
  <c r="A8908" i="5"/>
  <c r="A8907" i="5"/>
  <c r="A8906" i="5"/>
  <c r="A8905" i="5"/>
  <c r="A8904" i="5"/>
  <c r="A8903" i="5"/>
  <c r="A8902" i="5"/>
  <c r="A8901" i="5"/>
  <c r="A8900" i="5"/>
  <c r="A8899" i="5"/>
  <c r="A8898" i="5"/>
  <c r="A8897" i="5"/>
  <c r="A8896" i="5"/>
  <c r="A8895" i="5"/>
  <c r="A8894" i="5"/>
  <c r="A8893" i="5"/>
  <c r="A8892" i="5"/>
  <c r="A8891" i="5"/>
  <c r="A8890" i="5"/>
  <c r="A8889" i="5"/>
  <c r="A8888" i="5"/>
  <c r="A8887" i="5"/>
  <c r="A8886" i="5"/>
  <c r="A8885" i="5"/>
  <c r="A8884" i="5"/>
  <c r="A8883" i="5"/>
  <c r="A8882" i="5"/>
  <c r="A8881" i="5"/>
  <c r="A8880" i="5"/>
  <c r="A8879" i="5"/>
  <c r="A8878" i="5"/>
  <c r="A8877" i="5"/>
  <c r="A8876" i="5"/>
  <c r="A8875" i="5"/>
  <c r="A8874" i="5"/>
  <c r="A8873" i="5"/>
  <c r="A8872" i="5"/>
  <c r="A8871" i="5"/>
  <c r="A8870" i="5"/>
  <c r="A8869" i="5"/>
  <c r="A8868" i="5"/>
  <c r="A8867" i="5"/>
  <c r="A8866" i="5"/>
  <c r="A8865" i="5"/>
  <c r="A8864" i="5"/>
  <c r="A8863" i="5"/>
  <c r="A8862" i="5"/>
  <c r="A8861" i="5"/>
  <c r="A8860" i="5"/>
  <c r="A8859" i="5"/>
  <c r="A8858" i="5"/>
  <c r="A8857" i="5"/>
  <c r="A8856" i="5"/>
  <c r="A8855" i="5"/>
  <c r="A8854" i="5"/>
  <c r="A8853" i="5"/>
  <c r="A8852" i="5"/>
  <c r="A8851" i="5"/>
  <c r="A8850" i="5"/>
  <c r="A8849" i="5"/>
  <c r="A8848" i="5"/>
  <c r="A8847" i="5"/>
  <c r="A8846" i="5"/>
  <c r="A8845" i="5"/>
  <c r="A8844" i="5"/>
  <c r="A8843" i="5"/>
  <c r="A8842" i="5"/>
  <c r="A8841" i="5"/>
  <c r="A8840" i="5"/>
  <c r="A8839" i="5"/>
  <c r="A8838" i="5"/>
  <c r="A8837" i="5"/>
  <c r="A8836" i="5"/>
  <c r="A8835" i="5"/>
  <c r="A8834" i="5"/>
  <c r="A8833" i="5"/>
  <c r="A8832" i="5"/>
  <c r="A8831" i="5"/>
  <c r="A8830" i="5"/>
  <c r="A8829" i="5"/>
  <c r="A8828" i="5"/>
  <c r="A8827" i="5"/>
  <c r="A8826" i="5"/>
  <c r="A8825" i="5"/>
  <c r="A8824" i="5"/>
  <c r="A8823" i="5"/>
  <c r="A8822" i="5"/>
  <c r="A8821" i="5"/>
  <c r="A8820" i="5"/>
  <c r="A8819" i="5"/>
  <c r="A8818" i="5"/>
  <c r="A8817" i="5"/>
  <c r="A8816" i="5"/>
  <c r="A8815" i="5"/>
  <c r="A8814" i="5"/>
  <c r="A8813" i="5"/>
  <c r="A8812" i="5"/>
  <c r="A8811" i="5"/>
  <c r="A8810" i="5"/>
  <c r="A8809" i="5"/>
  <c r="A8808" i="5"/>
  <c r="A8807" i="5"/>
  <c r="A8806" i="5"/>
  <c r="A8805" i="5"/>
  <c r="A8804" i="5"/>
  <c r="A8803" i="5"/>
  <c r="A8802" i="5"/>
  <c r="A8801" i="5"/>
  <c r="A8800" i="5"/>
  <c r="A8799" i="5"/>
  <c r="A8798" i="5"/>
  <c r="A8797" i="5"/>
  <c r="A8796" i="5"/>
  <c r="A8795" i="5"/>
  <c r="A8794" i="5"/>
  <c r="A8793" i="5"/>
  <c r="A8792" i="5"/>
  <c r="A8791" i="5"/>
  <c r="A8790" i="5"/>
  <c r="A8789" i="5"/>
  <c r="A8788" i="5"/>
  <c r="A8787" i="5"/>
  <c r="A8786" i="5"/>
  <c r="A8785" i="5"/>
  <c r="A8784" i="5"/>
  <c r="A8783" i="5"/>
  <c r="A8782" i="5"/>
  <c r="A8781" i="5"/>
  <c r="A8780" i="5"/>
  <c r="A8779" i="5"/>
  <c r="A8778" i="5"/>
  <c r="A8777" i="5"/>
  <c r="A8776" i="5"/>
  <c r="A8775" i="5"/>
  <c r="A8774" i="5"/>
  <c r="A8773" i="5"/>
  <c r="A8772" i="5"/>
  <c r="A8771" i="5"/>
  <c r="A8770" i="5"/>
  <c r="A8769" i="5"/>
  <c r="A8768" i="5"/>
  <c r="A8767" i="5"/>
  <c r="A8766" i="5"/>
  <c r="A8765" i="5"/>
  <c r="A8764" i="5"/>
  <c r="A8763" i="5"/>
  <c r="A8762" i="5"/>
  <c r="A8761" i="5"/>
  <c r="A8760" i="5"/>
  <c r="A8759" i="5"/>
  <c r="A8758" i="5"/>
  <c r="A8757" i="5"/>
  <c r="A8756" i="5"/>
  <c r="A8755" i="5"/>
  <c r="A8754" i="5"/>
  <c r="A8753" i="5"/>
  <c r="A8752" i="5"/>
  <c r="A8751" i="5"/>
  <c r="A8750" i="5"/>
  <c r="A8749" i="5"/>
  <c r="A8748" i="5"/>
  <c r="A8747" i="5"/>
  <c r="A8746" i="5"/>
  <c r="A8745" i="5"/>
  <c r="A8744" i="5"/>
  <c r="A8743" i="5"/>
  <c r="A8742" i="5"/>
  <c r="A8741" i="5"/>
  <c r="A8740" i="5"/>
  <c r="A8739" i="5"/>
  <c r="A8738" i="5"/>
  <c r="A8737" i="5"/>
  <c r="A8736" i="5"/>
  <c r="A8735" i="5"/>
  <c r="A8734" i="5"/>
  <c r="A8733" i="5"/>
  <c r="A8732" i="5"/>
  <c r="A8731" i="5"/>
  <c r="A8730" i="5"/>
  <c r="A8729" i="5"/>
  <c r="A8728" i="5"/>
  <c r="A8727" i="5"/>
  <c r="A8726" i="5"/>
  <c r="A8725" i="5"/>
  <c r="A8724" i="5"/>
  <c r="A8723" i="5"/>
  <c r="A8722" i="5"/>
  <c r="A8721" i="5"/>
  <c r="A8720" i="5"/>
  <c r="A8719" i="5"/>
  <c r="A8718" i="5"/>
  <c r="A8717" i="5"/>
  <c r="A8716" i="5"/>
  <c r="A8715" i="5"/>
  <c r="A8714" i="5"/>
  <c r="A8713" i="5"/>
  <c r="A8712" i="5"/>
  <c r="A8711" i="5"/>
  <c r="A8710" i="5"/>
  <c r="A8709" i="5"/>
  <c r="A8708" i="5"/>
  <c r="A8707" i="5"/>
  <c r="A8706" i="5"/>
  <c r="A8705" i="5"/>
  <c r="A8704" i="5"/>
  <c r="A8703" i="5"/>
  <c r="A8702" i="5"/>
  <c r="A8701" i="5"/>
  <c r="A8700" i="5"/>
  <c r="A8699" i="5"/>
  <c r="A8698" i="5"/>
  <c r="A8697" i="5"/>
  <c r="A8696" i="5"/>
  <c r="A8695" i="5"/>
  <c r="A8694" i="5"/>
  <c r="A8693" i="5"/>
  <c r="A8692" i="5"/>
  <c r="A8691" i="5"/>
  <c r="A8690" i="5"/>
  <c r="A8689" i="5"/>
  <c r="A8688" i="5"/>
  <c r="A8687" i="5"/>
  <c r="A8686" i="5"/>
  <c r="A8685" i="5"/>
  <c r="A8684" i="5"/>
  <c r="A8683" i="5"/>
  <c r="A8682" i="5"/>
  <c r="A8681" i="5"/>
  <c r="A8680" i="5"/>
  <c r="A8679" i="5"/>
  <c r="A8678" i="5"/>
  <c r="A8677" i="5"/>
  <c r="A8676" i="5"/>
  <c r="A8675" i="5"/>
  <c r="A8674" i="5"/>
  <c r="A8673" i="5"/>
  <c r="A8672" i="5"/>
  <c r="A8671" i="5"/>
  <c r="A8670" i="5"/>
  <c r="A8669" i="5"/>
  <c r="A8668" i="5"/>
  <c r="A8667" i="5"/>
  <c r="A8666" i="5"/>
  <c r="A8665" i="5"/>
  <c r="A8664" i="5"/>
  <c r="A8663" i="5"/>
  <c r="A8662" i="5"/>
  <c r="A8661" i="5"/>
  <c r="A8660" i="5"/>
  <c r="A8659" i="5"/>
  <c r="A8658" i="5"/>
  <c r="A8657" i="5"/>
  <c r="A8656" i="5"/>
  <c r="A8655" i="5"/>
  <c r="A8654" i="5"/>
  <c r="A8653" i="5"/>
  <c r="A8652" i="5"/>
  <c r="A8651" i="5"/>
  <c r="A8650" i="5"/>
  <c r="A8649" i="5"/>
  <c r="A8648" i="5"/>
  <c r="A8647" i="5"/>
  <c r="A8646" i="5"/>
  <c r="A8645" i="5"/>
  <c r="A8644" i="5"/>
  <c r="A8643" i="5"/>
  <c r="A8642" i="5"/>
  <c r="A8641" i="5"/>
  <c r="A8640" i="5"/>
  <c r="A8639" i="5"/>
  <c r="A8638" i="5"/>
  <c r="A8637" i="5"/>
  <c r="A8636" i="5"/>
  <c r="A8635" i="5"/>
  <c r="A8634" i="5"/>
  <c r="A8633" i="5"/>
  <c r="A8632" i="5"/>
  <c r="A8631" i="5"/>
  <c r="A8630" i="5"/>
  <c r="A8629" i="5"/>
  <c r="A8628" i="5"/>
  <c r="A8627" i="5"/>
  <c r="A8626" i="5"/>
  <c r="A8625" i="5"/>
  <c r="A8624" i="5"/>
  <c r="A8623" i="5"/>
  <c r="A8622" i="5"/>
  <c r="A8621" i="5"/>
  <c r="A8620" i="5"/>
  <c r="A8619" i="5"/>
  <c r="A8618" i="5"/>
  <c r="A8617" i="5"/>
  <c r="A8616" i="5"/>
  <c r="A8615" i="5"/>
  <c r="A8614" i="5"/>
  <c r="A8613" i="5"/>
  <c r="A8612" i="5"/>
  <c r="A8611" i="5"/>
  <c r="A8610" i="5"/>
  <c r="A8609" i="5"/>
  <c r="A8608" i="5"/>
  <c r="A8607" i="5"/>
  <c r="A8606" i="5"/>
  <c r="A8605" i="5"/>
  <c r="A8604" i="5"/>
  <c r="A8603" i="5"/>
  <c r="A8602" i="5"/>
  <c r="A8601" i="5"/>
  <c r="A8600" i="5"/>
  <c r="A8599" i="5"/>
  <c r="A8598" i="5"/>
  <c r="A8597" i="5"/>
  <c r="A8596" i="5"/>
  <c r="A8595" i="5"/>
  <c r="A8594" i="5"/>
  <c r="A8593" i="5"/>
  <c r="A8592" i="5"/>
  <c r="A8591" i="5"/>
  <c r="A8590" i="5"/>
  <c r="A8589" i="5"/>
  <c r="A8588" i="5"/>
  <c r="A8587" i="5"/>
  <c r="A8586" i="5"/>
  <c r="A8585" i="5"/>
  <c r="A8584" i="5"/>
  <c r="A8583" i="5"/>
  <c r="A8582" i="5"/>
  <c r="A8581" i="5"/>
  <c r="A8580" i="5"/>
  <c r="A8579" i="5"/>
  <c r="A8578" i="5"/>
  <c r="A8577" i="5"/>
  <c r="A8576" i="5"/>
  <c r="A8575" i="5"/>
  <c r="A8574" i="5"/>
  <c r="A8573" i="5"/>
  <c r="A8572" i="5"/>
  <c r="A8571" i="5"/>
  <c r="A8570" i="5"/>
  <c r="A8569" i="5"/>
  <c r="A8568" i="5"/>
  <c r="A8567" i="5"/>
  <c r="A8566" i="5"/>
  <c r="A8565" i="5"/>
  <c r="A8564" i="5"/>
  <c r="A8563" i="5"/>
  <c r="A8562" i="5"/>
  <c r="A8561" i="5"/>
  <c r="A8560" i="5"/>
  <c r="A8559" i="5"/>
  <c r="A8558" i="5"/>
  <c r="A8557" i="5"/>
  <c r="A8556" i="5"/>
  <c r="A8555" i="5"/>
  <c r="A8554" i="5"/>
  <c r="A8553" i="5"/>
  <c r="A8552" i="5"/>
  <c r="A8551" i="5"/>
  <c r="A8550" i="5"/>
  <c r="A8549" i="5"/>
  <c r="A8548" i="5"/>
  <c r="A8547" i="5"/>
  <c r="A8546" i="5"/>
  <c r="A8545" i="5"/>
  <c r="A8544" i="5"/>
  <c r="A8543" i="5"/>
  <c r="A8542" i="5"/>
  <c r="A8541" i="5"/>
  <c r="A8540" i="5"/>
  <c r="A8539" i="5"/>
  <c r="A8538" i="5"/>
  <c r="A8537" i="5"/>
  <c r="A8536" i="5"/>
  <c r="A8535" i="5"/>
  <c r="A8534" i="5"/>
  <c r="A8533" i="5"/>
  <c r="A8532" i="5"/>
  <c r="A8531" i="5"/>
  <c r="A8530" i="5"/>
  <c r="A8529" i="5"/>
  <c r="A8528" i="5"/>
  <c r="A8527" i="5"/>
  <c r="A8526" i="5"/>
  <c r="A8525" i="5"/>
  <c r="A8524" i="5"/>
  <c r="A8523" i="5"/>
  <c r="A8522" i="5"/>
  <c r="A8521" i="5"/>
  <c r="A8520" i="5"/>
  <c r="A8519" i="5"/>
  <c r="A8518" i="5"/>
  <c r="A8517" i="5"/>
  <c r="A8516" i="5"/>
  <c r="A8515" i="5"/>
  <c r="A8514" i="5"/>
  <c r="A8513" i="5"/>
  <c r="A8512" i="5"/>
  <c r="A8511" i="5"/>
  <c r="A8510" i="5"/>
  <c r="A8509" i="5"/>
  <c r="A8508" i="5"/>
  <c r="A8507" i="5"/>
  <c r="A8506" i="5"/>
  <c r="A8505" i="5"/>
  <c r="A8504" i="5"/>
  <c r="A8503" i="5"/>
  <c r="A8502" i="5"/>
  <c r="A8501" i="5"/>
  <c r="A8500" i="5"/>
  <c r="A8499" i="5"/>
  <c r="A8498" i="5"/>
  <c r="A8497" i="5"/>
  <c r="A8496" i="5"/>
  <c r="A8495" i="5"/>
  <c r="A8494" i="5"/>
  <c r="A8493" i="5"/>
  <c r="A8492" i="5"/>
  <c r="A8491" i="5"/>
  <c r="A8490" i="5"/>
  <c r="A8489" i="5"/>
  <c r="A8488" i="5"/>
  <c r="A8487" i="5"/>
  <c r="A8486" i="5"/>
  <c r="A8485" i="5"/>
  <c r="A8484" i="5"/>
  <c r="A8483" i="5"/>
  <c r="A8482" i="5"/>
  <c r="A8481" i="5"/>
  <c r="A8480" i="5"/>
  <c r="A8479" i="5"/>
  <c r="A8478" i="5"/>
  <c r="A8477" i="5"/>
  <c r="A8476" i="5"/>
  <c r="A8475" i="5"/>
  <c r="A8474" i="5"/>
  <c r="A8473" i="5"/>
  <c r="A8472" i="5"/>
  <c r="A8471" i="5"/>
  <c r="A8470" i="5"/>
  <c r="A8469" i="5"/>
  <c r="A8468" i="5"/>
  <c r="A8467" i="5"/>
  <c r="A8466" i="5"/>
  <c r="A8465" i="5"/>
  <c r="A8464" i="5"/>
  <c r="A8463" i="5"/>
  <c r="A8462" i="5"/>
  <c r="A8461" i="5"/>
  <c r="A8460" i="5"/>
  <c r="A8459" i="5"/>
  <c r="A8458" i="5"/>
  <c r="A8457" i="5"/>
  <c r="A8456" i="5"/>
  <c r="A8455" i="5"/>
  <c r="A8454" i="5"/>
  <c r="A8453" i="5"/>
  <c r="A8452" i="5"/>
  <c r="A8451" i="5"/>
  <c r="A8450" i="5"/>
  <c r="A8449" i="5"/>
  <c r="A8448" i="5"/>
  <c r="A8447" i="5"/>
  <c r="A8446" i="5"/>
  <c r="A8445" i="5"/>
  <c r="A8444" i="5"/>
  <c r="A8443" i="5"/>
  <c r="A8442" i="5"/>
  <c r="A8441" i="5"/>
  <c r="A8440" i="5"/>
  <c r="A8439" i="5"/>
  <c r="A8438" i="5"/>
  <c r="A8437" i="5"/>
  <c r="A8436" i="5"/>
  <c r="A8435" i="5"/>
  <c r="A8434" i="5"/>
  <c r="A8433" i="5"/>
  <c r="A8432" i="5"/>
  <c r="A8431" i="5"/>
  <c r="A8430" i="5"/>
  <c r="A8429" i="5"/>
  <c r="A8428" i="5"/>
  <c r="A8427" i="5"/>
  <c r="A8426" i="5"/>
  <c r="A8425" i="5"/>
  <c r="A8424" i="5"/>
  <c r="A8423" i="5"/>
  <c r="A8422" i="5"/>
  <c r="A8421" i="5"/>
  <c r="A8420" i="5"/>
  <c r="A8419" i="5"/>
  <c r="A8418" i="5"/>
  <c r="A8417" i="5"/>
  <c r="A8416" i="5"/>
  <c r="A8415" i="5"/>
  <c r="A8414" i="5"/>
  <c r="A8413" i="5"/>
  <c r="A8412" i="5"/>
  <c r="A8411" i="5"/>
  <c r="A8410" i="5"/>
  <c r="A8409" i="5"/>
  <c r="A8408" i="5"/>
  <c r="A8407" i="5"/>
  <c r="A8406" i="5"/>
  <c r="A8405" i="5"/>
  <c r="A8404" i="5"/>
  <c r="A8403" i="5"/>
  <c r="A8402" i="5"/>
  <c r="A8401" i="5"/>
  <c r="A8400" i="5"/>
  <c r="A8399" i="5"/>
  <c r="A8398" i="5"/>
  <c r="A8397" i="5"/>
  <c r="A8396" i="5"/>
  <c r="A8395" i="5"/>
  <c r="A8394" i="5"/>
  <c r="A8393" i="5"/>
  <c r="A8392" i="5"/>
  <c r="A8391" i="5"/>
  <c r="A8390" i="5"/>
  <c r="A8389" i="5"/>
  <c r="A8388" i="5"/>
  <c r="A8387" i="5"/>
  <c r="A8386" i="5"/>
  <c r="A8385" i="5"/>
  <c r="A8384" i="5"/>
  <c r="A8383" i="5"/>
  <c r="A8382" i="5"/>
  <c r="A8381" i="5"/>
  <c r="A8380" i="5"/>
  <c r="A8379" i="5"/>
  <c r="A8378" i="5"/>
  <c r="A8377" i="5"/>
  <c r="A8376" i="5"/>
  <c r="A8375" i="5"/>
  <c r="A8374" i="5"/>
  <c r="A8373" i="5"/>
  <c r="A8372" i="5"/>
  <c r="A8371" i="5"/>
  <c r="A8370" i="5"/>
  <c r="A8369" i="5"/>
  <c r="A8368" i="5"/>
  <c r="A8367" i="5"/>
  <c r="A8366" i="5"/>
  <c r="A8365" i="5"/>
  <c r="A8364" i="5"/>
  <c r="A8363" i="5"/>
  <c r="A8362" i="5"/>
  <c r="A8361" i="5"/>
  <c r="A8360" i="5"/>
  <c r="A8359" i="5"/>
  <c r="A8358" i="5"/>
  <c r="A8357" i="5"/>
  <c r="A8356" i="5"/>
  <c r="A8355" i="5"/>
  <c r="A8354" i="5"/>
  <c r="A8353" i="5"/>
  <c r="A8352" i="5"/>
  <c r="A8351" i="5"/>
  <c r="A8350" i="5"/>
  <c r="A8349" i="5"/>
  <c r="A8348" i="5"/>
  <c r="A8347" i="5"/>
  <c r="A8346" i="5"/>
  <c r="A8345" i="5"/>
  <c r="A8344" i="5"/>
  <c r="A8343" i="5"/>
  <c r="A8342" i="5"/>
  <c r="A8341" i="5"/>
  <c r="A8340" i="5"/>
  <c r="A8339" i="5"/>
  <c r="A8338" i="5"/>
  <c r="A8337" i="5"/>
  <c r="A8336" i="5"/>
  <c r="A8335" i="5"/>
  <c r="A8334" i="5"/>
  <c r="A8333" i="5"/>
  <c r="A8332" i="5"/>
  <c r="A8331" i="5"/>
  <c r="A8330" i="5"/>
  <c r="A8329" i="5"/>
  <c r="A8328" i="5"/>
  <c r="A8327" i="5"/>
  <c r="A8326" i="5"/>
  <c r="A8325" i="5"/>
  <c r="A8324" i="5"/>
  <c r="A8323" i="5"/>
  <c r="A8322" i="5"/>
  <c r="A8321" i="5"/>
  <c r="A8320" i="5"/>
  <c r="A8319" i="5"/>
  <c r="A8318" i="5"/>
  <c r="A8317" i="5"/>
  <c r="A8316" i="5"/>
  <c r="A8315" i="5"/>
  <c r="A8314" i="5"/>
  <c r="A8313" i="5"/>
  <c r="A8312" i="5"/>
  <c r="A8311" i="5"/>
  <c r="A8310" i="5"/>
  <c r="A8309" i="5"/>
  <c r="A8308" i="5"/>
  <c r="A8307" i="5"/>
  <c r="A8306" i="5"/>
  <c r="A8305" i="5"/>
  <c r="A8304" i="5"/>
  <c r="A8303" i="5"/>
  <c r="A8302" i="5"/>
  <c r="A8301" i="5"/>
  <c r="A8300" i="5"/>
  <c r="A8299" i="5"/>
  <c r="A8298" i="5"/>
  <c r="A8297" i="5"/>
  <c r="A8296" i="5"/>
  <c r="A8295" i="5"/>
  <c r="A8294" i="5"/>
  <c r="A8293" i="5"/>
  <c r="A8292" i="5"/>
  <c r="A8291" i="5"/>
  <c r="A8290" i="5"/>
  <c r="A8289" i="5"/>
  <c r="A8288" i="5"/>
  <c r="A8287" i="5"/>
  <c r="A8286" i="5"/>
  <c r="A8285" i="5"/>
  <c r="A8284" i="5"/>
  <c r="A8283" i="5"/>
  <c r="A8282" i="5"/>
  <c r="A8281" i="5"/>
  <c r="A8280" i="5"/>
  <c r="A8279" i="5"/>
  <c r="A8278" i="5"/>
  <c r="A8277" i="5"/>
  <c r="A8276" i="5"/>
  <c r="A8275" i="5"/>
  <c r="A8274" i="5"/>
  <c r="A8273" i="5"/>
  <c r="A8272" i="5"/>
  <c r="A8271" i="5"/>
  <c r="A8270" i="5"/>
  <c r="A8269" i="5"/>
  <c r="A8268" i="5"/>
  <c r="A8267" i="5"/>
  <c r="A8266" i="5"/>
  <c r="A8265" i="5"/>
  <c r="A8264" i="5"/>
  <c r="A8263" i="5"/>
  <c r="A8262" i="5"/>
  <c r="A8261" i="5"/>
  <c r="A8260" i="5"/>
  <c r="A8259" i="5"/>
  <c r="A8258" i="5"/>
  <c r="A8257" i="5"/>
  <c r="A8256" i="5"/>
  <c r="A8255" i="5"/>
  <c r="A8254" i="5"/>
  <c r="A8253" i="5"/>
  <c r="A8252" i="5"/>
  <c r="A8251" i="5"/>
  <c r="A8250" i="5"/>
  <c r="A8249" i="5"/>
  <c r="A8248" i="5"/>
  <c r="A8247" i="5"/>
  <c r="A8246" i="5"/>
  <c r="A8245" i="5"/>
  <c r="A8244" i="5"/>
  <c r="A8243" i="5"/>
  <c r="A8242" i="5"/>
  <c r="A8241" i="5"/>
  <c r="A8240" i="5"/>
  <c r="A8239" i="5"/>
  <c r="A8238" i="5"/>
  <c r="A8237" i="5"/>
  <c r="A8236" i="5"/>
  <c r="A8235" i="5"/>
  <c r="A8234" i="5"/>
  <c r="A8233" i="5"/>
  <c r="A8232" i="5"/>
  <c r="A8231" i="5"/>
  <c r="A8230" i="5"/>
  <c r="A8229" i="5"/>
  <c r="A8228" i="5"/>
  <c r="A8227" i="5"/>
  <c r="A8226" i="5"/>
  <c r="A8225" i="5"/>
  <c r="A8224" i="5"/>
  <c r="A8223" i="5"/>
  <c r="A8222" i="5"/>
  <c r="A8221" i="5"/>
  <c r="A8220" i="5"/>
  <c r="A8219" i="5"/>
  <c r="A8218" i="5"/>
  <c r="A8217" i="5"/>
  <c r="A8216" i="5"/>
  <c r="A8215" i="5"/>
  <c r="A8214" i="5"/>
  <c r="A8213" i="5"/>
  <c r="A8212" i="5"/>
  <c r="A8211" i="5"/>
  <c r="A8210" i="5"/>
  <c r="A8209" i="5"/>
  <c r="A8208" i="5"/>
  <c r="A8207" i="5"/>
  <c r="A8206" i="5"/>
  <c r="A8205" i="5"/>
  <c r="A8204" i="5"/>
  <c r="A8203" i="5"/>
  <c r="A8202" i="5"/>
  <c r="A8201" i="5"/>
  <c r="A8200" i="5"/>
  <c r="A8199" i="5"/>
  <c r="A8198" i="5"/>
  <c r="A8197" i="5"/>
  <c r="A8196" i="5"/>
  <c r="A8195" i="5"/>
  <c r="A8194" i="5"/>
  <c r="A8193" i="5"/>
  <c r="A8192" i="5"/>
  <c r="A8191" i="5"/>
  <c r="A8190" i="5"/>
  <c r="A8189" i="5"/>
  <c r="A8188" i="5"/>
  <c r="A8187" i="5"/>
  <c r="A8186" i="5"/>
  <c r="A8185" i="5"/>
  <c r="A8184" i="5"/>
  <c r="A8183" i="5"/>
  <c r="A8182" i="5"/>
  <c r="A8181" i="5"/>
  <c r="A8180" i="5"/>
  <c r="A8179" i="5"/>
  <c r="A8178" i="5"/>
  <c r="A8177" i="5"/>
  <c r="A8176" i="5"/>
  <c r="A8175" i="5"/>
  <c r="A8174" i="5"/>
  <c r="A8173" i="5"/>
  <c r="A8172" i="5"/>
  <c r="A8171" i="5"/>
  <c r="A8170" i="5"/>
  <c r="A8169" i="5"/>
  <c r="A8168" i="5"/>
  <c r="A8167" i="5"/>
  <c r="A8166" i="5"/>
  <c r="A8165" i="5"/>
  <c r="A8164" i="5"/>
  <c r="A8163" i="5"/>
  <c r="A8162" i="5"/>
  <c r="A8161" i="5"/>
  <c r="A8160" i="5"/>
  <c r="A8159" i="5"/>
  <c r="A8158" i="5"/>
  <c r="A8157" i="5"/>
  <c r="A8156" i="5"/>
  <c r="A8155" i="5"/>
  <c r="A8154" i="5"/>
  <c r="A8153" i="5"/>
  <c r="A8152" i="5"/>
  <c r="A8151" i="5"/>
  <c r="A8150" i="5"/>
  <c r="A8149" i="5"/>
  <c r="A8148" i="5"/>
  <c r="A8147" i="5"/>
  <c r="A8146" i="5"/>
  <c r="A8145" i="5"/>
  <c r="A8144" i="5"/>
  <c r="A8143" i="5"/>
  <c r="A8142" i="5"/>
  <c r="A8141" i="5"/>
  <c r="A8140" i="5"/>
  <c r="A8139" i="5"/>
  <c r="A8138" i="5"/>
  <c r="A8137" i="5"/>
  <c r="A8136" i="5"/>
  <c r="A8135" i="5"/>
  <c r="A8134" i="5"/>
  <c r="A8133" i="5"/>
  <c r="A8132" i="5"/>
  <c r="A8131" i="5"/>
  <c r="A8130" i="5"/>
  <c r="A8129" i="5"/>
  <c r="A8128" i="5"/>
  <c r="A8127" i="5"/>
  <c r="A8126" i="5"/>
  <c r="A8125" i="5"/>
  <c r="A8124" i="5"/>
  <c r="A8123" i="5"/>
  <c r="A8122" i="5"/>
  <c r="A8121" i="5"/>
  <c r="A8120" i="5"/>
  <c r="A8119" i="5"/>
  <c r="A8118" i="5"/>
  <c r="A8117" i="5"/>
  <c r="A8116" i="5"/>
  <c r="A8115" i="5"/>
  <c r="A8114" i="5"/>
  <c r="A8113" i="5"/>
  <c r="A8112" i="5"/>
  <c r="A8111" i="5"/>
  <c r="A8110" i="5"/>
  <c r="A8109" i="5"/>
  <c r="A8108" i="5"/>
  <c r="A8107" i="5"/>
  <c r="A8106" i="5"/>
  <c r="A8105" i="5"/>
  <c r="A8104" i="5"/>
  <c r="A8103" i="5"/>
  <c r="A8102" i="5"/>
  <c r="A8101" i="5"/>
  <c r="A8100" i="5"/>
  <c r="A8099" i="5"/>
  <c r="A8098" i="5"/>
  <c r="A8097" i="5"/>
  <c r="A8096" i="5"/>
  <c r="A8095" i="5"/>
  <c r="A8094" i="5"/>
  <c r="A8093" i="5"/>
  <c r="A8092" i="5"/>
  <c r="A8091" i="5"/>
  <c r="A8090" i="5"/>
  <c r="A8089" i="5"/>
  <c r="A8088" i="5"/>
  <c r="A8087" i="5"/>
  <c r="A8086" i="5"/>
  <c r="A8085" i="5"/>
  <c r="A8084" i="5"/>
  <c r="A8083" i="5"/>
  <c r="A8082" i="5"/>
  <c r="A8081" i="5"/>
  <c r="A8080" i="5"/>
  <c r="A8079" i="5"/>
  <c r="A8078" i="5"/>
  <c r="A8077" i="5"/>
  <c r="A8076" i="5"/>
  <c r="A8075" i="5"/>
  <c r="A8074" i="5"/>
  <c r="A8073" i="5"/>
  <c r="A8072" i="5"/>
  <c r="A8071" i="5"/>
  <c r="A8070" i="5"/>
  <c r="A8069" i="5"/>
  <c r="A8068" i="5"/>
  <c r="A8067" i="5"/>
  <c r="A8066" i="5"/>
  <c r="A8065" i="5"/>
  <c r="A8064" i="5"/>
  <c r="A8063" i="5"/>
  <c r="A8062" i="5"/>
  <c r="A8061" i="5"/>
  <c r="A8060" i="5"/>
  <c r="A8059" i="5"/>
  <c r="A8058" i="5"/>
  <c r="A8057" i="5"/>
  <c r="A8056" i="5"/>
  <c r="A8055" i="5"/>
  <c r="A8054" i="5"/>
  <c r="A8053" i="5"/>
  <c r="A8052" i="5"/>
  <c r="A8051" i="5"/>
  <c r="A8050" i="5"/>
  <c r="A8049" i="5"/>
  <c r="A8048" i="5"/>
  <c r="A8047" i="5"/>
  <c r="A8046" i="5"/>
  <c r="A8045" i="5"/>
  <c r="A8044" i="5"/>
  <c r="A8043" i="5"/>
  <c r="A8042" i="5"/>
  <c r="A8041" i="5"/>
  <c r="A8040" i="5"/>
  <c r="A8039" i="5"/>
  <c r="A8038" i="5"/>
  <c r="A8037" i="5"/>
  <c r="A8036" i="5"/>
  <c r="A8035" i="5"/>
  <c r="A8034" i="5"/>
  <c r="A8033" i="5"/>
  <c r="A8032" i="5"/>
  <c r="A8031" i="5"/>
  <c r="A8030" i="5"/>
  <c r="A8029" i="5"/>
  <c r="A8028" i="5"/>
  <c r="A8027" i="5"/>
  <c r="A8026" i="5"/>
  <c r="A8025" i="5"/>
  <c r="A8024" i="5"/>
  <c r="A8023" i="5"/>
  <c r="A8022" i="5"/>
  <c r="A8021" i="5"/>
  <c r="A8020" i="5"/>
  <c r="A8019" i="5"/>
  <c r="A8018" i="5"/>
  <c r="A8017" i="5"/>
  <c r="A8016" i="5"/>
  <c r="A8015" i="5"/>
  <c r="A8014" i="5"/>
  <c r="A8013" i="5"/>
  <c r="A8012" i="5"/>
  <c r="A8011" i="5"/>
  <c r="A8010" i="5"/>
  <c r="A8009" i="5"/>
  <c r="A8008" i="5"/>
  <c r="A8007" i="5"/>
  <c r="A8006" i="5"/>
  <c r="A8005" i="5"/>
  <c r="A8004" i="5"/>
  <c r="A8003" i="5"/>
  <c r="A8002" i="5"/>
  <c r="A8001" i="5"/>
  <c r="A8000" i="5"/>
  <c r="A7999" i="5"/>
  <c r="A7998" i="5"/>
  <c r="A7997" i="5"/>
  <c r="A7996" i="5"/>
  <c r="A7995" i="5"/>
  <c r="A7994" i="5"/>
  <c r="A7993" i="5"/>
  <c r="A7992" i="5"/>
  <c r="A7991" i="5"/>
  <c r="A7990" i="5"/>
  <c r="A7989" i="5"/>
  <c r="A7988" i="5"/>
  <c r="A7987" i="5"/>
  <c r="A7986" i="5"/>
  <c r="A7985" i="5"/>
  <c r="A7984" i="5"/>
  <c r="A7983" i="5"/>
  <c r="A7982" i="5"/>
  <c r="A7981" i="5"/>
  <c r="A7980" i="5"/>
  <c r="A7979" i="5"/>
  <c r="A7978" i="5"/>
  <c r="A7977" i="5"/>
  <c r="A7976" i="5"/>
  <c r="A7975" i="5"/>
  <c r="A7974" i="5"/>
  <c r="A7973" i="5"/>
  <c r="A7972" i="5"/>
  <c r="A7971" i="5"/>
  <c r="A7970" i="5"/>
  <c r="A7969" i="5"/>
  <c r="A7968" i="5"/>
  <c r="A7967" i="5"/>
  <c r="A7966" i="5"/>
  <c r="A7965" i="5"/>
  <c r="A7964" i="5"/>
  <c r="A7963" i="5"/>
  <c r="A7962" i="5"/>
  <c r="A7961" i="5"/>
  <c r="A7960" i="5"/>
  <c r="A7959" i="5"/>
  <c r="A7958" i="5"/>
  <c r="A7957" i="5"/>
  <c r="A7956" i="5"/>
  <c r="A7955" i="5"/>
  <c r="A7954" i="5"/>
  <c r="A7953" i="5"/>
  <c r="A7952" i="5"/>
  <c r="A7951" i="5"/>
  <c r="A7950" i="5"/>
  <c r="A7949" i="5"/>
  <c r="A7948" i="5"/>
  <c r="A7947" i="5"/>
  <c r="A7946" i="5"/>
  <c r="A7945" i="5"/>
  <c r="A7944" i="5"/>
  <c r="A7943" i="5"/>
  <c r="A7942" i="5"/>
  <c r="A7941" i="5"/>
  <c r="A7940" i="5"/>
  <c r="A7939" i="5"/>
  <c r="A7938" i="5"/>
  <c r="A7937" i="5"/>
  <c r="A7936" i="5"/>
  <c r="A7935" i="5"/>
  <c r="A7934" i="5"/>
  <c r="A7933" i="5"/>
  <c r="A7932" i="5"/>
  <c r="A7931" i="5"/>
  <c r="A7930" i="5"/>
  <c r="A7929" i="5"/>
  <c r="A7928" i="5"/>
  <c r="A7927" i="5"/>
  <c r="A7926" i="5"/>
  <c r="A7925" i="5"/>
  <c r="A7924" i="5"/>
  <c r="A7923" i="5"/>
  <c r="A7922" i="5"/>
  <c r="A7921" i="5"/>
  <c r="A7920" i="5"/>
  <c r="A7919" i="5"/>
  <c r="A7918" i="5"/>
  <c r="A7917" i="5"/>
  <c r="A7916" i="5"/>
  <c r="A7915" i="5"/>
  <c r="A7914" i="5"/>
  <c r="A7913" i="5"/>
  <c r="A7912" i="5"/>
  <c r="A7911" i="5"/>
  <c r="A7910" i="5"/>
  <c r="A7909" i="5"/>
  <c r="A7908" i="5"/>
  <c r="A7907" i="5"/>
  <c r="A7906" i="5"/>
  <c r="A7905" i="5"/>
  <c r="A7904" i="5"/>
  <c r="A7903" i="5"/>
  <c r="A7902" i="5"/>
  <c r="A7901" i="5"/>
  <c r="A7900" i="5"/>
  <c r="A7899" i="5"/>
  <c r="A7898" i="5"/>
  <c r="A7897" i="5"/>
  <c r="A7896" i="5"/>
  <c r="A7895" i="5"/>
  <c r="A7894" i="5"/>
  <c r="A7893" i="5"/>
  <c r="A7892" i="5"/>
  <c r="A7891" i="5"/>
  <c r="A7890" i="5"/>
  <c r="A7889" i="5"/>
  <c r="A7888" i="5"/>
  <c r="A7887" i="5"/>
  <c r="A7886" i="5"/>
  <c r="A7885" i="5"/>
  <c r="A7884" i="5"/>
  <c r="A7883" i="5"/>
  <c r="A7882" i="5"/>
  <c r="A7881" i="5"/>
  <c r="A7880" i="5"/>
  <c r="A7879" i="5"/>
  <c r="A7878" i="5"/>
  <c r="A7877" i="5"/>
  <c r="A7876" i="5"/>
  <c r="A7875" i="5"/>
  <c r="A7874" i="5"/>
  <c r="A7873" i="5"/>
  <c r="A7872" i="5"/>
  <c r="A7871" i="5"/>
  <c r="A7870" i="5"/>
  <c r="A7869" i="5"/>
  <c r="A7868" i="5"/>
  <c r="A7867" i="5"/>
  <c r="A7866" i="5"/>
  <c r="A7865" i="5"/>
  <c r="A7864" i="5"/>
  <c r="A7863" i="5"/>
  <c r="A7862" i="5"/>
  <c r="A7861" i="5"/>
  <c r="A7860" i="5"/>
  <c r="A7859" i="5"/>
  <c r="A7858" i="5"/>
  <c r="A7857" i="5"/>
  <c r="A7856" i="5"/>
  <c r="A7855" i="5"/>
  <c r="A7854" i="5"/>
  <c r="A7853" i="5"/>
  <c r="A7852" i="5"/>
  <c r="A7851" i="5"/>
  <c r="A7850" i="5"/>
  <c r="A7849" i="5"/>
  <c r="A7848" i="5"/>
  <c r="A7847" i="5"/>
  <c r="A7846" i="5"/>
  <c r="A7845" i="5"/>
  <c r="A7844" i="5"/>
  <c r="A7843" i="5"/>
  <c r="A7842" i="5"/>
  <c r="A7841" i="5"/>
  <c r="A7840" i="5"/>
  <c r="A7839" i="5"/>
  <c r="A7838" i="5"/>
  <c r="A7837" i="5"/>
  <c r="A7836" i="5"/>
  <c r="A7835" i="5"/>
  <c r="A7834" i="5"/>
  <c r="A7833" i="5"/>
  <c r="A7832" i="5"/>
  <c r="A7831" i="5"/>
  <c r="A7830" i="5"/>
  <c r="A7829" i="5"/>
  <c r="A7828" i="5"/>
  <c r="A7827" i="5"/>
  <c r="A7826" i="5"/>
  <c r="A7825" i="5"/>
  <c r="A7824" i="5"/>
  <c r="A7823" i="5"/>
  <c r="A7822" i="5"/>
  <c r="A7821" i="5"/>
  <c r="A7820" i="5"/>
  <c r="A7819" i="5"/>
  <c r="A7818" i="5"/>
  <c r="A7817" i="5"/>
  <c r="A7816" i="5"/>
  <c r="A7815" i="5"/>
  <c r="A7814" i="5"/>
  <c r="A7813" i="5"/>
  <c r="A7812" i="5"/>
  <c r="A7811" i="5"/>
  <c r="A7810" i="5"/>
  <c r="A7809" i="5"/>
  <c r="A7808" i="5"/>
  <c r="A7807" i="5"/>
  <c r="A7806" i="5"/>
  <c r="A7805" i="5"/>
  <c r="A7804" i="5"/>
  <c r="A7803" i="5"/>
  <c r="A7802" i="5"/>
  <c r="A7801" i="5"/>
  <c r="A7800" i="5"/>
  <c r="A7799" i="5"/>
  <c r="A7798" i="5"/>
  <c r="A7797" i="5"/>
  <c r="A7796" i="5"/>
  <c r="A7795" i="5"/>
  <c r="A7794" i="5"/>
  <c r="A7793" i="5"/>
  <c r="A7792" i="5"/>
  <c r="A7791" i="5"/>
  <c r="A7790" i="5"/>
  <c r="A7789" i="5"/>
  <c r="A7788" i="5"/>
  <c r="A7787" i="5"/>
  <c r="A7786" i="5"/>
  <c r="A7785" i="5"/>
  <c r="A7784" i="5"/>
  <c r="A7783" i="5"/>
  <c r="A7782" i="5"/>
  <c r="A7781" i="5"/>
  <c r="A7780" i="5"/>
  <c r="A7779" i="5"/>
  <c r="A7778" i="5"/>
  <c r="A7777" i="5"/>
  <c r="A7776" i="5"/>
  <c r="A7775" i="5"/>
  <c r="A7774" i="5"/>
  <c r="A7773" i="5"/>
  <c r="A7772" i="5"/>
  <c r="A7771" i="5"/>
  <c r="A7770" i="5"/>
  <c r="A7769" i="5"/>
  <c r="A7768" i="5"/>
  <c r="A7767" i="5"/>
  <c r="A7766" i="5"/>
  <c r="A7765" i="5"/>
  <c r="A7764" i="5"/>
  <c r="A7763" i="5"/>
  <c r="A7762" i="5"/>
  <c r="A7761" i="5"/>
  <c r="A7760" i="5"/>
  <c r="A7759" i="5"/>
  <c r="A7758" i="5"/>
  <c r="A7757" i="5"/>
  <c r="A7756" i="5"/>
  <c r="A7755" i="5"/>
  <c r="A7754" i="5"/>
  <c r="A7753" i="5"/>
  <c r="A7752" i="5"/>
  <c r="A7751" i="5"/>
  <c r="A7750" i="5"/>
  <c r="A7749" i="5"/>
  <c r="A7748" i="5"/>
  <c r="A7747" i="5"/>
  <c r="A7746" i="5"/>
  <c r="A7745" i="5"/>
  <c r="A7744" i="5"/>
  <c r="A7743" i="5"/>
  <c r="A7742" i="5"/>
  <c r="A7741" i="5"/>
  <c r="A7740" i="5"/>
  <c r="A7739" i="5"/>
  <c r="A7738" i="5"/>
  <c r="A7737" i="5"/>
  <c r="A7736" i="5"/>
  <c r="A7735" i="5"/>
  <c r="A7734" i="5"/>
  <c r="A7733" i="5"/>
  <c r="A7732" i="5"/>
  <c r="A7731" i="5"/>
  <c r="A7730" i="5"/>
  <c r="A7729" i="5"/>
  <c r="A7728" i="5"/>
  <c r="A7727" i="5"/>
  <c r="A7726" i="5"/>
  <c r="A7725" i="5"/>
  <c r="A7724" i="5"/>
  <c r="A7723" i="5"/>
  <c r="A7722" i="5"/>
  <c r="A7721" i="5"/>
  <c r="A7720" i="5"/>
  <c r="A7719" i="5"/>
  <c r="A7718" i="5"/>
  <c r="A7717" i="5"/>
  <c r="A7716" i="5"/>
  <c r="A7715" i="5"/>
  <c r="A7714" i="5"/>
  <c r="A7713" i="5"/>
  <c r="A7712" i="5"/>
  <c r="A7711" i="5"/>
  <c r="A7710" i="5"/>
  <c r="A7709" i="5"/>
  <c r="A7708" i="5"/>
  <c r="A7707" i="5"/>
  <c r="A7706" i="5"/>
  <c r="A7705" i="5"/>
  <c r="A7704" i="5"/>
  <c r="A7703" i="5"/>
  <c r="A7702" i="5"/>
  <c r="A7701" i="5"/>
  <c r="A7700" i="5"/>
  <c r="A7699" i="5"/>
  <c r="A7698" i="5"/>
  <c r="A7697" i="5"/>
  <c r="A7696" i="5"/>
  <c r="A7695" i="5"/>
  <c r="A7694" i="5"/>
  <c r="A7693" i="5"/>
  <c r="A7692" i="5"/>
  <c r="A7691" i="5"/>
  <c r="A7690" i="5"/>
  <c r="A7689" i="5"/>
  <c r="A7688" i="5"/>
  <c r="A7687" i="5"/>
  <c r="A7686" i="5"/>
  <c r="A7685" i="5"/>
  <c r="A7684" i="5"/>
  <c r="A7683" i="5"/>
  <c r="A7682" i="5"/>
  <c r="A7681" i="5"/>
  <c r="A7680" i="5"/>
  <c r="A7679" i="5"/>
  <c r="A7678" i="5"/>
  <c r="A7677" i="5"/>
  <c r="A7676" i="5"/>
  <c r="A7675" i="5"/>
  <c r="A7674" i="5"/>
  <c r="A7673" i="5"/>
  <c r="A7672" i="5"/>
  <c r="A7671" i="5"/>
  <c r="A7670" i="5"/>
  <c r="A7669" i="5"/>
  <c r="A7668" i="5"/>
  <c r="A7667" i="5"/>
  <c r="A7666" i="5"/>
  <c r="A7665" i="5"/>
  <c r="A7664" i="5"/>
  <c r="A7663" i="5"/>
  <c r="A7662" i="5"/>
  <c r="A7661" i="5"/>
  <c r="A7660" i="5"/>
  <c r="A7659" i="5"/>
  <c r="A7658" i="5"/>
  <c r="A7657" i="5"/>
  <c r="A7656" i="5"/>
  <c r="A7655" i="5"/>
  <c r="A7654" i="5"/>
  <c r="A7653" i="5"/>
  <c r="A7652" i="5"/>
  <c r="A7651" i="5"/>
  <c r="A7650" i="5"/>
  <c r="A7649" i="5"/>
  <c r="A7648" i="5"/>
  <c r="A7647" i="5"/>
  <c r="A7646" i="5"/>
  <c r="A7645" i="5"/>
  <c r="A7644" i="5"/>
  <c r="A7643" i="5"/>
  <c r="A7642" i="5"/>
  <c r="A7641" i="5"/>
  <c r="A7640" i="5"/>
  <c r="A7639" i="5"/>
  <c r="A7638" i="5"/>
  <c r="A7637" i="5"/>
  <c r="A7636" i="5"/>
  <c r="A7635" i="5"/>
  <c r="A7634" i="5"/>
  <c r="A7633" i="5"/>
  <c r="A7632" i="5"/>
  <c r="A7631" i="5"/>
  <c r="A7630" i="5"/>
  <c r="A7629" i="5"/>
  <c r="A7628" i="5"/>
  <c r="A7627" i="5"/>
  <c r="A7626" i="5"/>
  <c r="A7625" i="5"/>
  <c r="A7624" i="5"/>
  <c r="A7623" i="5"/>
  <c r="A7622" i="5"/>
  <c r="A7621" i="5"/>
  <c r="A7620" i="5"/>
  <c r="A7619" i="5"/>
  <c r="A7618" i="5"/>
  <c r="A7617" i="5"/>
  <c r="A7616" i="5"/>
  <c r="A7615" i="5"/>
  <c r="A7614" i="5"/>
  <c r="A7613" i="5"/>
  <c r="A7612" i="5"/>
  <c r="A7611" i="5"/>
  <c r="A7610" i="5"/>
  <c r="A7609" i="5"/>
  <c r="A7608" i="5"/>
  <c r="A7607" i="5"/>
  <c r="A7606" i="5"/>
  <c r="A7605" i="5"/>
  <c r="A7604" i="5"/>
  <c r="A7603" i="5"/>
  <c r="A7602" i="5"/>
  <c r="A7601" i="5"/>
  <c r="A7600" i="5"/>
  <c r="A7599" i="5"/>
  <c r="A7598" i="5"/>
  <c r="A7597" i="5"/>
  <c r="A7596" i="5"/>
  <c r="A7595" i="5"/>
  <c r="A7594" i="5"/>
  <c r="A7593" i="5"/>
  <c r="A7592" i="5"/>
  <c r="A7591" i="5"/>
  <c r="A7590" i="5"/>
  <c r="A7589" i="5"/>
  <c r="A7588" i="5"/>
  <c r="A7587" i="5"/>
  <c r="A7586" i="5"/>
  <c r="A7585" i="5"/>
  <c r="A7584" i="5"/>
  <c r="A7583" i="5"/>
  <c r="A7582" i="5"/>
  <c r="A7581" i="5"/>
  <c r="A7580" i="5"/>
  <c r="A7579" i="5"/>
  <c r="A7578" i="5"/>
  <c r="A7577" i="5"/>
  <c r="A7576" i="5"/>
  <c r="A7575" i="5"/>
  <c r="A7574" i="5"/>
  <c r="A7573" i="5"/>
  <c r="A7572" i="5"/>
  <c r="A7571" i="5"/>
  <c r="A7570" i="5"/>
  <c r="A7569" i="5"/>
  <c r="A7568" i="5"/>
  <c r="A7567" i="5"/>
  <c r="A7566" i="5"/>
  <c r="A7565" i="5"/>
  <c r="A7564" i="5"/>
  <c r="A7563" i="5"/>
  <c r="A7562" i="5"/>
  <c r="A7561" i="5"/>
  <c r="A7560" i="5"/>
  <c r="A7559" i="5"/>
  <c r="A7558" i="5"/>
  <c r="A7557" i="5"/>
  <c r="A7556" i="5"/>
  <c r="A7555" i="5"/>
  <c r="A7554" i="5"/>
  <c r="A7553" i="5"/>
  <c r="A7552" i="5"/>
  <c r="A7551" i="5"/>
  <c r="A7550" i="5"/>
  <c r="A7549" i="5"/>
  <c r="A7548" i="5"/>
  <c r="A7547" i="5"/>
  <c r="A7546" i="5"/>
  <c r="A7545" i="5"/>
  <c r="A7544" i="5"/>
  <c r="A7543" i="5"/>
  <c r="A7542" i="5"/>
  <c r="A7541" i="5"/>
  <c r="A7540" i="5"/>
  <c r="A7539" i="5"/>
  <c r="A7538" i="5"/>
  <c r="A7537" i="5"/>
  <c r="A7536" i="5"/>
  <c r="A7535" i="5"/>
  <c r="A7534" i="5"/>
  <c r="A7533" i="5"/>
  <c r="A7532" i="5"/>
  <c r="A7531" i="5"/>
  <c r="A7530" i="5"/>
  <c r="A7529" i="5"/>
  <c r="A7528" i="5"/>
  <c r="A7527" i="5"/>
  <c r="A7526" i="5"/>
  <c r="A7525" i="5"/>
  <c r="A7524" i="5"/>
  <c r="A7523" i="5"/>
  <c r="A7522" i="5"/>
  <c r="A7521" i="5"/>
  <c r="A7520" i="5"/>
  <c r="A7519" i="5"/>
  <c r="A7518" i="5"/>
  <c r="A7517" i="5"/>
  <c r="A7516" i="5"/>
  <c r="A7515" i="5"/>
  <c r="A7514" i="5"/>
  <c r="A7513" i="5"/>
  <c r="A7512" i="5"/>
  <c r="A7511" i="5"/>
  <c r="A7510" i="5"/>
  <c r="A7509" i="5"/>
  <c r="A7508" i="5"/>
  <c r="A7507" i="5"/>
  <c r="A7506" i="5"/>
  <c r="A7505" i="5"/>
  <c r="A7504" i="5"/>
  <c r="A7503" i="5"/>
  <c r="A7502" i="5"/>
  <c r="A7501" i="5"/>
  <c r="A7500" i="5"/>
  <c r="A7499" i="5"/>
  <c r="A7498" i="5"/>
  <c r="A7497" i="5"/>
  <c r="A7496" i="5"/>
  <c r="A7495" i="5"/>
  <c r="A7494" i="5"/>
  <c r="A7493" i="5"/>
  <c r="A7492" i="5"/>
  <c r="A7491" i="5"/>
  <c r="A7490" i="5"/>
  <c r="A7489" i="5"/>
  <c r="A7488" i="5"/>
  <c r="A7487" i="5"/>
  <c r="A7486" i="5"/>
  <c r="A7485" i="5"/>
  <c r="A7484" i="5"/>
  <c r="A7483" i="5"/>
  <c r="A7482" i="5"/>
  <c r="A7481" i="5"/>
  <c r="A7480" i="5"/>
  <c r="A7479" i="5"/>
  <c r="A7478" i="5"/>
  <c r="A7477" i="5"/>
  <c r="A7476" i="5"/>
  <c r="A7475" i="5"/>
  <c r="A7474" i="5"/>
  <c r="A7473" i="5"/>
  <c r="A7472" i="5"/>
  <c r="A7471" i="5"/>
  <c r="A7470" i="5"/>
  <c r="A7469" i="5"/>
  <c r="A7468" i="5"/>
  <c r="A7467" i="5"/>
  <c r="A7466" i="5"/>
  <c r="A7465" i="5"/>
  <c r="A7464" i="5"/>
  <c r="A7463" i="5"/>
  <c r="A7462" i="5"/>
  <c r="A7461" i="5"/>
  <c r="A7460" i="5"/>
  <c r="A7459" i="5"/>
  <c r="A7458" i="5"/>
  <c r="A7457" i="5"/>
  <c r="A7456" i="5"/>
  <c r="A7455" i="5"/>
  <c r="A7454" i="5"/>
  <c r="A7453" i="5"/>
  <c r="A7452" i="5"/>
  <c r="A7451" i="5"/>
  <c r="A7450" i="5"/>
  <c r="A7449" i="5"/>
  <c r="A7448" i="5"/>
  <c r="A7447" i="5"/>
  <c r="A7446" i="5"/>
  <c r="A7445" i="5"/>
  <c r="A7444" i="5"/>
  <c r="A7443" i="5"/>
  <c r="A7442" i="5"/>
  <c r="A7441" i="5"/>
  <c r="A7440" i="5"/>
  <c r="A7439" i="5"/>
  <c r="A7438" i="5"/>
  <c r="A7437" i="5"/>
  <c r="A7436" i="5"/>
  <c r="A7435" i="5"/>
  <c r="A7434" i="5"/>
  <c r="A7433" i="5"/>
  <c r="A7432" i="5"/>
  <c r="A7431" i="5"/>
  <c r="A7430" i="5"/>
  <c r="A7429" i="5"/>
  <c r="A7428" i="5"/>
  <c r="A7427" i="5"/>
  <c r="A7426" i="5"/>
  <c r="A7425" i="5"/>
  <c r="A7424" i="5"/>
  <c r="A7423" i="5"/>
  <c r="A7422" i="5"/>
  <c r="A7421" i="5"/>
  <c r="A7420" i="5"/>
  <c r="A7419" i="5"/>
  <c r="A7418" i="5"/>
  <c r="A7417" i="5"/>
  <c r="A7416" i="5"/>
  <c r="A7415" i="5"/>
  <c r="A7414" i="5"/>
  <c r="A7413" i="5"/>
  <c r="A7412" i="5"/>
  <c r="A7411" i="5"/>
  <c r="A7410" i="5"/>
  <c r="A7409" i="5"/>
  <c r="A7408" i="5"/>
  <c r="A7407" i="5"/>
  <c r="A7406" i="5"/>
  <c r="A7405" i="5"/>
  <c r="A7404" i="5"/>
  <c r="A7403" i="5"/>
  <c r="A7402" i="5"/>
  <c r="A7401" i="5"/>
  <c r="A7400" i="5"/>
  <c r="A7399" i="5"/>
  <c r="A7398" i="5"/>
  <c r="A7397" i="5"/>
  <c r="A7396" i="5"/>
  <c r="A7395" i="5"/>
  <c r="A7394" i="5"/>
  <c r="A7393" i="5"/>
  <c r="A7392" i="5"/>
  <c r="A7391" i="5"/>
  <c r="A7390" i="5"/>
  <c r="A7389" i="5"/>
  <c r="A7388" i="5"/>
  <c r="A7387" i="5"/>
  <c r="A7386" i="5"/>
  <c r="A7385" i="5"/>
  <c r="A7384" i="5"/>
  <c r="A7383" i="5"/>
  <c r="A7382" i="5"/>
  <c r="A7381" i="5"/>
  <c r="A7380" i="5"/>
  <c r="A7379" i="5"/>
  <c r="A7378" i="5"/>
  <c r="A7377" i="5"/>
  <c r="A7376" i="5"/>
  <c r="A7375" i="5"/>
  <c r="A7374" i="5"/>
  <c r="A7373" i="5"/>
  <c r="A7372" i="5"/>
  <c r="A7371" i="5"/>
  <c r="A7370" i="5"/>
  <c r="A7369" i="5"/>
  <c r="A7368" i="5"/>
  <c r="A7367" i="5"/>
  <c r="A7366" i="5"/>
  <c r="A7365" i="5"/>
  <c r="A7364" i="5"/>
  <c r="A7363" i="5"/>
  <c r="A7362" i="5"/>
  <c r="A7361" i="5"/>
  <c r="A7360" i="5"/>
  <c r="A7359" i="5"/>
  <c r="A7358" i="5"/>
  <c r="A7357" i="5"/>
  <c r="A7356" i="5"/>
  <c r="A7355" i="5"/>
  <c r="A7354" i="5"/>
  <c r="A7353" i="5"/>
  <c r="A7352" i="5"/>
  <c r="A7351" i="5"/>
  <c r="A7350" i="5"/>
  <c r="A7349" i="5"/>
  <c r="A7348" i="5"/>
  <c r="A7347" i="5"/>
  <c r="A7346" i="5"/>
  <c r="A7345" i="5"/>
  <c r="A7344" i="5"/>
  <c r="A7343" i="5"/>
  <c r="A7342" i="5"/>
  <c r="A7341" i="5"/>
  <c r="A7340" i="5"/>
  <c r="A7339" i="5"/>
  <c r="A7338" i="5"/>
  <c r="A7337" i="5"/>
  <c r="A7336" i="5"/>
  <c r="A7335" i="5"/>
  <c r="A7334" i="5"/>
  <c r="A7333" i="5"/>
  <c r="A7332" i="5"/>
  <c r="A7331" i="5"/>
  <c r="A7330" i="5"/>
  <c r="A7329" i="5"/>
  <c r="A7328" i="5"/>
  <c r="A7327" i="5"/>
  <c r="A7326" i="5"/>
  <c r="A7325" i="5"/>
  <c r="A7324" i="5"/>
  <c r="A7323" i="5"/>
  <c r="A7322" i="5"/>
  <c r="A7321" i="5"/>
  <c r="A7320" i="5"/>
  <c r="A7319" i="5"/>
  <c r="A7318" i="5"/>
  <c r="A7317" i="5"/>
  <c r="A7316" i="5"/>
  <c r="A7315" i="5"/>
  <c r="A7314" i="5"/>
  <c r="A7313" i="5"/>
  <c r="A7312" i="5"/>
  <c r="A7311" i="5"/>
  <c r="A7310" i="5"/>
  <c r="A7309" i="5"/>
  <c r="A7308" i="5"/>
  <c r="A7307" i="5"/>
  <c r="A7306" i="5"/>
  <c r="A7305" i="5"/>
  <c r="A7304" i="5"/>
  <c r="A7303" i="5"/>
  <c r="A7302" i="5"/>
  <c r="A7301" i="5"/>
  <c r="A7300" i="5"/>
  <c r="A7299" i="5"/>
  <c r="A7298" i="5"/>
  <c r="A7297" i="5"/>
  <c r="A7296" i="5"/>
  <c r="A7295" i="5"/>
  <c r="A7294" i="5"/>
  <c r="A7293" i="5"/>
  <c r="A7292" i="5"/>
  <c r="A7291" i="5"/>
  <c r="A7290" i="5"/>
  <c r="A7289" i="5"/>
  <c r="A7288" i="5"/>
  <c r="A7287" i="5"/>
  <c r="A7286" i="5"/>
  <c r="A7285" i="5"/>
  <c r="A7284" i="5"/>
  <c r="A7283" i="5"/>
  <c r="A7282" i="5"/>
  <c r="A7281" i="5"/>
  <c r="A7280" i="5"/>
  <c r="A7279" i="5"/>
  <c r="A7278" i="5"/>
  <c r="A7277" i="5"/>
  <c r="A7276" i="5"/>
  <c r="A7275" i="5"/>
  <c r="A7274" i="5"/>
  <c r="A7273" i="5"/>
  <c r="A7272" i="5"/>
  <c r="A7271" i="5"/>
  <c r="A7270" i="5"/>
  <c r="A7269" i="5"/>
  <c r="A7268" i="5"/>
  <c r="A7267" i="5"/>
  <c r="A7266" i="5"/>
  <c r="A7265" i="5"/>
  <c r="A7264" i="5"/>
  <c r="A7263" i="5"/>
  <c r="A7262" i="5"/>
  <c r="A7261" i="5"/>
  <c r="A7260" i="5"/>
  <c r="A7259" i="5"/>
  <c r="A7258" i="5"/>
  <c r="A7257" i="5"/>
  <c r="A7256" i="5"/>
  <c r="A7255" i="5"/>
  <c r="A7254" i="5"/>
  <c r="A7253" i="5"/>
  <c r="A7252" i="5"/>
  <c r="A7251" i="5"/>
  <c r="A7250" i="5"/>
  <c r="A7249" i="5"/>
  <c r="A7248" i="5"/>
  <c r="A7247" i="5"/>
  <c r="A7246" i="5"/>
  <c r="A7245" i="5"/>
  <c r="A7244" i="5"/>
  <c r="A7243" i="5"/>
  <c r="A7242" i="5"/>
  <c r="A7241" i="5"/>
  <c r="A7240" i="5"/>
  <c r="A7239" i="5"/>
  <c r="A7238" i="5"/>
  <c r="A7237" i="5"/>
  <c r="A7236" i="5"/>
  <c r="A7235" i="5"/>
  <c r="A7234" i="5"/>
  <c r="A7233" i="5"/>
  <c r="A7232" i="5"/>
  <c r="A7231" i="5"/>
  <c r="A7230" i="5"/>
  <c r="A7229" i="5"/>
  <c r="A7228" i="5"/>
  <c r="A7227" i="5"/>
  <c r="A7226" i="5"/>
  <c r="A7225" i="5"/>
  <c r="A7224" i="5"/>
  <c r="A7223" i="5"/>
  <c r="A7222" i="5"/>
  <c r="A7221" i="5"/>
  <c r="A7220" i="5"/>
  <c r="A7219" i="5"/>
  <c r="A7218" i="5"/>
  <c r="A7217" i="5"/>
  <c r="A7216" i="5"/>
  <c r="A7215" i="5"/>
  <c r="A7214" i="5"/>
  <c r="A7213" i="5"/>
  <c r="A7212" i="5"/>
  <c r="A7211" i="5"/>
  <c r="A7210" i="5"/>
  <c r="A7209" i="5"/>
  <c r="A7208" i="5"/>
  <c r="A7207" i="5"/>
  <c r="A7206" i="5"/>
  <c r="A7205" i="5"/>
  <c r="A7204" i="5"/>
  <c r="A7203" i="5"/>
  <c r="A7202" i="5"/>
  <c r="A7201" i="5"/>
  <c r="A7200" i="5"/>
  <c r="A7199" i="5"/>
  <c r="A7198" i="5"/>
  <c r="A7197" i="5"/>
  <c r="A7196" i="5"/>
  <c r="A7195" i="5"/>
  <c r="A7194" i="5"/>
  <c r="A7193" i="5"/>
  <c r="A7192" i="5"/>
  <c r="A7191" i="5"/>
  <c r="A7190" i="5"/>
  <c r="A7189" i="5"/>
  <c r="A7188" i="5"/>
  <c r="A7187" i="5"/>
  <c r="A7186" i="5"/>
  <c r="A7185" i="5"/>
  <c r="A7184" i="5"/>
  <c r="A7183" i="5"/>
  <c r="A7182" i="5"/>
  <c r="A7181" i="5"/>
  <c r="A7180" i="5"/>
  <c r="A7179" i="5"/>
  <c r="A7178" i="5"/>
  <c r="A7177" i="5"/>
  <c r="A7176" i="5"/>
  <c r="A7175" i="5"/>
  <c r="A7174" i="5"/>
  <c r="A7173" i="5"/>
  <c r="A7172" i="5"/>
  <c r="A7171" i="5"/>
  <c r="A7170" i="5"/>
  <c r="A7169" i="5"/>
  <c r="A7168" i="5"/>
  <c r="A7167" i="5"/>
  <c r="A7166" i="5"/>
  <c r="A7165" i="5"/>
  <c r="A7164" i="5"/>
  <c r="A7163" i="5"/>
  <c r="A7162" i="5"/>
  <c r="A7161" i="5"/>
  <c r="A7160" i="5"/>
  <c r="A7159" i="5"/>
  <c r="A7158" i="5"/>
  <c r="A7157" i="5"/>
  <c r="A7156" i="5"/>
  <c r="A7155" i="5"/>
  <c r="A7154" i="5"/>
  <c r="A7153" i="5"/>
  <c r="A7152" i="5"/>
  <c r="A7151" i="5"/>
  <c r="A7150" i="5"/>
  <c r="A7149" i="5"/>
  <c r="A7148" i="5"/>
  <c r="A7147" i="5"/>
  <c r="A7146" i="5"/>
  <c r="A7145" i="5"/>
  <c r="A7144" i="5"/>
  <c r="A7143" i="5"/>
  <c r="A7142" i="5"/>
  <c r="A7141" i="5"/>
  <c r="A7140" i="5"/>
  <c r="A7139" i="5"/>
  <c r="A7138" i="5"/>
  <c r="A7137" i="5"/>
  <c r="A7136" i="5"/>
  <c r="A7135" i="5"/>
  <c r="A7134" i="5"/>
  <c r="A7133" i="5"/>
  <c r="A7132" i="5"/>
  <c r="A7131" i="5"/>
  <c r="A7130" i="5"/>
  <c r="A7129" i="5"/>
  <c r="A7128" i="5"/>
  <c r="A7127" i="5"/>
  <c r="A7126" i="5"/>
  <c r="A7125" i="5"/>
  <c r="A7124" i="5"/>
  <c r="A7123" i="5"/>
  <c r="A7122" i="5"/>
  <c r="A7121" i="5"/>
  <c r="A7120" i="5"/>
  <c r="A7119" i="5"/>
  <c r="A7118" i="5"/>
  <c r="A7117" i="5"/>
  <c r="A7116" i="5"/>
  <c r="A7115" i="5"/>
  <c r="A7114" i="5"/>
  <c r="A7113" i="5"/>
  <c r="A7112" i="5"/>
  <c r="A7111" i="5"/>
  <c r="A7110" i="5"/>
  <c r="A7109" i="5"/>
  <c r="A7108" i="5"/>
  <c r="A7107" i="5"/>
  <c r="A7106" i="5"/>
  <c r="A7105" i="5"/>
  <c r="A7104" i="5"/>
  <c r="A7103" i="5"/>
  <c r="A7102" i="5"/>
  <c r="A7101" i="5"/>
  <c r="A7100" i="5"/>
  <c r="A7099" i="5"/>
  <c r="A7098" i="5"/>
  <c r="A7097" i="5"/>
  <c r="A7096" i="5"/>
  <c r="A7095" i="5"/>
  <c r="A7094" i="5"/>
  <c r="A7093" i="5"/>
  <c r="A7092" i="5"/>
  <c r="A7091" i="5"/>
  <c r="A7090" i="5"/>
  <c r="A7089" i="5"/>
  <c r="A7088" i="5"/>
  <c r="A7087" i="5"/>
  <c r="A7086" i="5"/>
  <c r="A7085" i="5"/>
  <c r="A7084" i="5"/>
  <c r="A7083" i="5"/>
  <c r="A7082" i="5"/>
  <c r="A7081" i="5"/>
  <c r="A7080" i="5"/>
  <c r="A7079" i="5"/>
  <c r="A7078" i="5"/>
  <c r="A7077" i="5"/>
  <c r="A7076" i="5"/>
  <c r="A7075" i="5"/>
  <c r="A7074" i="5"/>
  <c r="A7073" i="5"/>
  <c r="A7072" i="5"/>
  <c r="A7071" i="5"/>
  <c r="A7070" i="5"/>
  <c r="A7069" i="5"/>
  <c r="A7068" i="5"/>
  <c r="A7067" i="5"/>
  <c r="A7066" i="5"/>
  <c r="A7065" i="5"/>
  <c r="A7064" i="5"/>
  <c r="A7063" i="5"/>
  <c r="A7062" i="5"/>
  <c r="A7061" i="5"/>
  <c r="A7060" i="5"/>
  <c r="A7059" i="5"/>
  <c r="A7058" i="5"/>
  <c r="A7057" i="5"/>
  <c r="A7056" i="5"/>
  <c r="A7055" i="5"/>
  <c r="A7054" i="5"/>
  <c r="A7053" i="5"/>
  <c r="A7052" i="5"/>
  <c r="A7051" i="5"/>
  <c r="A7050" i="5"/>
  <c r="A7049" i="5"/>
  <c r="A7048" i="5"/>
  <c r="A7047" i="5"/>
  <c r="A7046" i="5"/>
  <c r="A7045" i="5"/>
  <c r="A7044" i="5"/>
  <c r="A7043" i="5"/>
  <c r="A7042" i="5"/>
  <c r="A7041" i="5"/>
  <c r="A7040" i="5"/>
  <c r="A7039" i="5"/>
  <c r="A7038" i="5"/>
  <c r="A7037" i="5"/>
  <c r="A7036" i="5"/>
  <c r="A7035" i="5"/>
  <c r="A7034" i="5"/>
  <c r="A7033" i="5"/>
  <c r="A7032" i="5"/>
  <c r="A7031" i="5"/>
  <c r="A7030" i="5"/>
  <c r="A7029" i="5"/>
  <c r="A7028" i="5"/>
  <c r="A7027" i="5"/>
  <c r="A7026" i="5"/>
  <c r="A7025" i="5"/>
  <c r="A7024" i="5"/>
  <c r="A7023" i="5"/>
  <c r="A7022" i="5"/>
  <c r="A7021" i="5"/>
  <c r="A7020" i="5"/>
  <c r="A7019" i="5"/>
  <c r="A7018" i="5"/>
  <c r="A7017" i="5"/>
  <c r="A7016" i="5"/>
  <c r="A7015" i="5"/>
  <c r="A7014" i="5"/>
  <c r="A7013" i="5"/>
  <c r="A7012" i="5"/>
  <c r="A7011" i="5"/>
  <c r="A7010" i="5"/>
  <c r="A7009" i="5"/>
  <c r="A7008" i="5"/>
  <c r="A7007" i="5"/>
  <c r="A7006" i="5"/>
  <c r="A7005" i="5"/>
  <c r="A7004" i="5"/>
  <c r="A7003" i="5"/>
  <c r="A7002" i="5"/>
  <c r="A7001" i="5"/>
  <c r="A7000" i="5"/>
  <c r="A6999" i="5"/>
  <c r="A6998" i="5"/>
  <c r="A6997" i="5"/>
  <c r="A6996" i="5"/>
  <c r="A6995" i="5"/>
  <c r="A6994" i="5"/>
  <c r="A6993" i="5"/>
  <c r="A6992" i="5"/>
  <c r="A6991" i="5"/>
  <c r="A6990" i="5"/>
  <c r="A6989" i="5"/>
  <c r="A6988" i="5"/>
  <c r="A6987" i="5"/>
  <c r="A6986" i="5"/>
  <c r="A6985" i="5"/>
  <c r="A6984" i="5"/>
  <c r="A6983" i="5"/>
  <c r="A6982" i="5"/>
  <c r="A6981" i="5"/>
  <c r="A6980" i="5"/>
  <c r="A6979" i="5"/>
  <c r="A6978" i="5"/>
  <c r="A6977" i="5"/>
  <c r="A6976" i="5"/>
  <c r="A6975" i="5"/>
  <c r="A6974" i="5"/>
  <c r="A6973" i="5"/>
  <c r="A6972" i="5"/>
  <c r="A6971" i="5"/>
  <c r="A6970" i="5"/>
  <c r="A6969" i="5"/>
  <c r="A6968" i="5"/>
  <c r="A6967" i="5"/>
  <c r="A6966" i="5"/>
  <c r="A6965" i="5"/>
  <c r="A6964" i="5"/>
  <c r="A6963" i="5"/>
  <c r="A6962" i="5"/>
  <c r="A6961" i="5"/>
  <c r="A6960" i="5"/>
  <c r="A6959" i="5"/>
  <c r="A6958" i="5"/>
  <c r="A6957" i="5"/>
  <c r="A6956" i="5"/>
  <c r="A6955" i="5"/>
  <c r="A6954" i="5"/>
  <c r="A6953" i="5"/>
  <c r="A6952" i="5"/>
  <c r="A6951" i="5"/>
  <c r="A6950" i="5"/>
  <c r="A6949" i="5"/>
  <c r="A6948" i="5"/>
  <c r="A6947" i="5"/>
  <c r="A6946" i="5"/>
  <c r="A6945" i="5"/>
  <c r="A6944" i="5"/>
  <c r="A6943" i="5"/>
  <c r="A6942" i="5"/>
  <c r="A6941" i="5"/>
  <c r="A6940" i="5"/>
  <c r="A6939" i="5"/>
  <c r="A6938" i="5"/>
  <c r="A6937" i="5"/>
  <c r="A6936" i="5"/>
  <c r="A6935" i="5"/>
  <c r="A6934" i="5"/>
  <c r="A6933" i="5"/>
  <c r="A6932" i="5"/>
  <c r="A6931" i="5"/>
  <c r="A6930" i="5"/>
  <c r="A6929" i="5"/>
  <c r="A6928" i="5"/>
  <c r="A6927" i="5"/>
  <c r="A6926" i="5"/>
  <c r="A6925" i="5"/>
  <c r="A6924" i="5"/>
  <c r="A6923" i="5"/>
  <c r="A6922" i="5"/>
  <c r="A6921" i="5"/>
  <c r="A6920" i="5"/>
  <c r="A6919" i="5"/>
  <c r="A6918" i="5"/>
  <c r="A6917" i="5"/>
  <c r="A6916" i="5"/>
  <c r="A6915" i="5"/>
  <c r="A6914" i="5"/>
  <c r="A6913" i="5"/>
  <c r="A6912" i="5"/>
  <c r="A6911" i="5"/>
  <c r="A6910" i="5"/>
  <c r="A6909" i="5"/>
  <c r="A6908" i="5"/>
  <c r="A6907" i="5"/>
  <c r="A6906" i="5"/>
  <c r="A6905" i="5"/>
  <c r="A6904" i="5"/>
  <c r="A6903" i="5"/>
  <c r="A6902" i="5"/>
  <c r="A6901" i="5"/>
  <c r="A6900" i="5"/>
  <c r="A6899" i="5"/>
  <c r="A6898" i="5"/>
  <c r="A6897" i="5"/>
  <c r="A6896" i="5"/>
  <c r="A6895" i="5"/>
  <c r="A6894" i="5"/>
  <c r="A6893" i="5"/>
  <c r="A6892" i="5"/>
  <c r="A6891" i="5"/>
  <c r="A6890" i="5"/>
  <c r="A6889" i="5"/>
  <c r="A6888" i="5"/>
  <c r="A6887" i="5"/>
  <c r="A6886" i="5"/>
  <c r="A6885" i="5"/>
  <c r="A6884" i="5"/>
  <c r="A6883" i="5"/>
  <c r="A6882" i="5"/>
  <c r="A6881" i="5"/>
  <c r="A6880" i="5"/>
  <c r="A6879" i="5"/>
  <c r="A6878" i="5"/>
  <c r="A6877" i="5"/>
  <c r="A6876" i="5"/>
  <c r="A6875" i="5"/>
  <c r="A6874" i="5"/>
  <c r="A6873" i="5"/>
  <c r="A6872" i="5"/>
  <c r="A6871" i="5"/>
  <c r="A6870" i="5"/>
  <c r="A6869" i="5"/>
  <c r="A6868" i="5"/>
  <c r="A6867" i="5"/>
  <c r="A6866" i="5"/>
  <c r="A6865" i="5"/>
  <c r="A6864" i="5"/>
  <c r="A6863" i="5"/>
  <c r="A6862" i="5"/>
  <c r="A6861" i="5"/>
  <c r="A6860" i="5"/>
  <c r="A6859" i="5"/>
  <c r="A6858" i="5"/>
  <c r="A6857" i="5"/>
  <c r="A6856" i="5"/>
  <c r="A6855" i="5"/>
  <c r="A6854" i="5"/>
  <c r="A6853" i="5"/>
  <c r="A6852" i="5"/>
  <c r="A6851" i="5"/>
  <c r="A6850" i="5"/>
  <c r="A6849" i="5"/>
  <c r="A6848" i="5"/>
  <c r="A6847" i="5"/>
  <c r="A6846" i="5"/>
  <c r="A6845" i="5"/>
  <c r="A6844" i="5"/>
  <c r="A6843" i="5"/>
  <c r="A6842" i="5"/>
  <c r="A6841" i="5"/>
  <c r="A6840" i="5"/>
  <c r="A6839" i="5"/>
  <c r="A6838" i="5"/>
  <c r="A6837" i="5"/>
  <c r="A6836" i="5"/>
  <c r="A6835" i="5"/>
  <c r="A6834" i="5"/>
  <c r="A6833" i="5"/>
  <c r="A6832" i="5"/>
  <c r="A6831" i="5"/>
  <c r="A6830" i="5"/>
  <c r="A6829" i="5"/>
  <c r="A6828" i="5"/>
  <c r="A6827" i="5"/>
  <c r="A6826" i="5"/>
  <c r="A6825" i="5"/>
  <c r="A6824" i="5"/>
  <c r="A6823" i="5"/>
  <c r="A6822" i="5"/>
  <c r="A6821" i="5"/>
  <c r="A6820" i="5"/>
  <c r="A6819" i="5"/>
  <c r="A6818" i="5"/>
  <c r="A6817" i="5"/>
  <c r="A6816" i="5"/>
  <c r="A6815" i="5"/>
  <c r="A6814" i="5"/>
  <c r="A6813" i="5"/>
  <c r="A6812" i="5"/>
  <c r="A6811" i="5"/>
  <c r="A6810" i="5"/>
  <c r="A6809" i="5"/>
  <c r="A6808" i="5"/>
  <c r="A6807" i="5"/>
  <c r="A6806" i="5"/>
  <c r="A6805" i="5"/>
  <c r="A6804" i="5"/>
  <c r="A6803" i="5"/>
  <c r="A6802" i="5"/>
  <c r="A6801" i="5"/>
  <c r="A6800" i="5"/>
  <c r="A6799" i="5"/>
  <c r="A6798" i="5"/>
  <c r="A6797" i="5"/>
  <c r="A6796" i="5"/>
  <c r="A6795" i="5"/>
  <c r="A6794" i="5"/>
  <c r="A6793" i="5"/>
  <c r="A6792" i="5"/>
  <c r="A6791" i="5"/>
  <c r="A6790" i="5"/>
  <c r="A6789" i="5"/>
  <c r="A6788" i="5"/>
  <c r="A6787" i="5"/>
  <c r="A6786" i="5"/>
  <c r="A6785" i="5"/>
  <c r="A6784" i="5"/>
  <c r="A6783" i="5"/>
  <c r="A6782" i="5"/>
  <c r="A6781" i="5"/>
  <c r="A6780" i="5"/>
  <c r="A6779" i="5"/>
  <c r="A6778" i="5"/>
  <c r="A6777" i="5"/>
  <c r="A6776" i="5"/>
  <c r="A6775" i="5"/>
  <c r="A6774" i="5"/>
  <c r="A6773" i="5"/>
  <c r="A6772" i="5"/>
  <c r="A6771" i="5"/>
  <c r="A6770" i="5"/>
  <c r="A6769" i="5"/>
  <c r="A6768" i="5"/>
  <c r="A6767" i="5"/>
  <c r="A6766" i="5"/>
  <c r="A6765" i="5"/>
  <c r="A6764" i="5"/>
  <c r="A6763" i="5"/>
  <c r="A6762" i="5"/>
  <c r="A6761" i="5"/>
  <c r="A6760" i="5"/>
  <c r="A6759" i="5"/>
  <c r="A6758" i="5"/>
  <c r="A6757" i="5"/>
  <c r="A6756" i="5"/>
  <c r="A6755" i="5"/>
  <c r="A6754" i="5"/>
  <c r="A6753" i="5"/>
  <c r="A6752" i="5"/>
  <c r="A6751" i="5"/>
  <c r="A6750" i="5"/>
  <c r="A6749" i="5"/>
  <c r="A6748" i="5"/>
  <c r="A6747" i="5"/>
  <c r="A6746" i="5"/>
  <c r="A6745" i="5"/>
  <c r="A6744" i="5"/>
  <c r="A6743" i="5"/>
  <c r="A6742" i="5"/>
  <c r="A6741" i="5"/>
  <c r="A6740" i="5"/>
  <c r="A6739" i="5"/>
  <c r="A6738" i="5"/>
  <c r="A6737" i="5"/>
  <c r="A6736" i="5"/>
  <c r="A6735" i="5"/>
  <c r="A6734" i="5"/>
  <c r="A6733" i="5"/>
  <c r="A6732" i="5"/>
  <c r="A6731" i="5"/>
  <c r="A6730" i="5"/>
  <c r="A6729" i="5"/>
  <c r="A6728" i="5"/>
  <c r="A6727" i="5"/>
  <c r="A6726" i="5"/>
  <c r="A6725" i="5"/>
  <c r="A6724" i="5"/>
  <c r="A6723" i="5"/>
  <c r="A6722" i="5"/>
  <c r="A6721" i="5"/>
  <c r="A6720" i="5"/>
  <c r="A6719" i="5"/>
  <c r="A6718" i="5"/>
  <c r="A6717" i="5"/>
  <c r="A6716" i="5"/>
  <c r="A6715" i="5"/>
  <c r="A6714" i="5"/>
  <c r="A6713" i="5"/>
  <c r="A6712" i="5"/>
  <c r="A6711" i="5"/>
  <c r="A6710" i="5"/>
  <c r="A6709" i="5"/>
  <c r="A6708" i="5"/>
  <c r="A6707" i="5"/>
  <c r="A6706" i="5"/>
  <c r="A6705" i="5"/>
  <c r="A6704" i="5"/>
  <c r="A6703" i="5"/>
  <c r="A6702" i="5"/>
  <c r="A6701" i="5"/>
  <c r="A6700" i="5"/>
  <c r="A6699" i="5"/>
  <c r="A6698" i="5"/>
  <c r="A6697" i="5"/>
  <c r="A6696" i="5"/>
  <c r="A6695" i="5"/>
  <c r="A6694" i="5"/>
  <c r="A6693" i="5"/>
  <c r="A6692" i="5"/>
  <c r="A6691" i="5"/>
  <c r="A6690" i="5"/>
  <c r="A6689" i="5"/>
  <c r="A6688" i="5"/>
  <c r="A6687" i="5"/>
  <c r="A6686" i="5"/>
  <c r="A6685" i="5"/>
  <c r="A6684" i="5"/>
  <c r="A6683" i="5"/>
  <c r="A6682" i="5"/>
  <c r="A6681" i="5"/>
  <c r="A6680" i="5"/>
  <c r="A6679" i="5"/>
  <c r="A6678" i="5"/>
  <c r="A6677" i="5"/>
  <c r="A6676" i="5"/>
  <c r="A6675" i="5"/>
  <c r="A6674" i="5"/>
  <c r="A6673" i="5"/>
  <c r="A6672" i="5"/>
  <c r="A6671" i="5"/>
  <c r="A6670" i="5"/>
  <c r="A6669" i="5"/>
  <c r="A6668" i="5"/>
  <c r="A6667" i="5"/>
  <c r="A6666" i="5"/>
  <c r="A6665" i="5"/>
  <c r="A6664" i="5"/>
  <c r="A6663" i="5"/>
  <c r="A6662" i="5"/>
  <c r="A6661" i="5"/>
  <c r="A6660" i="5"/>
  <c r="A6659" i="5"/>
  <c r="A6658" i="5"/>
  <c r="A6657" i="5"/>
  <c r="A6656" i="5"/>
  <c r="A6655" i="5"/>
  <c r="A6654" i="5"/>
  <c r="A6653" i="5"/>
  <c r="A6652" i="5"/>
  <c r="A6651" i="5"/>
  <c r="A6650" i="5"/>
  <c r="A6649" i="5"/>
  <c r="A6648" i="5"/>
  <c r="A6647" i="5"/>
  <c r="A6646" i="5"/>
  <c r="A6645" i="5"/>
  <c r="A6644" i="5"/>
  <c r="A6643" i="5"/>
  <c r="A6642" i="5"/>
  <c r="A6641" i="5"/>
  <c r="A6640" i="5"/>
  <c r="A6639" i="5"/>
  <c r="A6638" i="5"/>
  <c r="A6637" i="5"/>
  <c r="A6636" i="5"/>
  <c r="A6635" i="5"/>
  <c r="A6634" i="5"/>
  <c r="A6633" i="5"/>
  <c r="A6632" i="5"/>
  <c r="A6631" i="5"/>
  <c r="A6630" i="5"/>
  <c r="A6629" i="5"/>
  <c r="A6628" i="5"/>
  <c r="A6627" i="5"/>
  <c r="A6626" i="5"/>
  <c r="A6625" i="5"/>
  <c r="A6624" i="5"/>
  <c r="A6623" i="5"/>
  <c r="A6622" i="5"/>
  <c r="A6621" i="5"/>
  <c r="A6620" i="5"/>
  <c r="A6619" i="5"/>
  <c r="A6618" i="5"/>
  <c r="A6617" i="5"/>
  <c r="A6616" i="5"/>
  <c r="A6615" i="5"/>
  <c r="A6614" i="5"/>
  <c r="A6613" i="5"/>
  <c r="A6612" i="5"/>
  <c r="A6611" i="5"/>
  <c r="A6610" i="5"/>
  <c r="A6609" i="5"/>
  <c r="A6608" i="5"/>
  <c r="A6607" i="5"/>
  <c r="A6606" i="5"/>
  <c r="A6605" i="5"/>
  <c r="A6604" i="5"/>
  <c r="A6603" i="5"/>
  <c r="A6602" i="5"/>
  <c r="A6601" i="5"/>
  <c r="A6600" i="5"/>
  <c r="A6599" i="5"/>
  <c r="A6598" i="5"/>
  <c r="A6597" i="5"/>
  <c r="A6596" i="5"/>
  <c r="A6595" i="5"/>
  <c r="A6594" i="5"/>
  <c r="A6593" i="5"/>
  <c r="A6592" i="5"/>
  <c r="A6591" i="5"/>
  <c r="A6590" i="5"/>
  <c r="A6589" i="5"/>
  <c r="A6588" i="5"/>
  <c r="A6587" i="5"/>
  <c r="A6586" i="5"/>
  <c r="A6585" i="5"/>
  <c r="A6584" i="5"/>
  <c r="A6583" i="5"/>
  <c r="A6582" i="5"/>
  <c r="A6581" i="5"/>
  <c r="A6580" i="5"/>
  <c r="A6579" i="5"/>
  <c r="A6578" i="5"/>
  <c r="A6577" i="5"/>
  <c r="A6576" i="5"/>
  <c r="A6575" i="5"/>
  <c r="A6574" i="5"/>
  <c r="A6573" i="5"/>
  <c r="A6572" i="5"/>
  <c r="A6571" i="5"/>
  <c r="A6570" i="5"/>
  <c r="A6569" i="5"/>
  <c r="A6568" i="5"/>
  <c r="A6567" i="5"/>
  <c r="A6566" i="5"/>
  <c r="A6565" i="5"/>
  <c r="A6564" i="5"/>
  <c r="A6563" i="5"/>
  <c r="A6562" i="5"/>
  <c r="A6561" i="5"/>
  <c r="A6560" i="5"/>
  <c r="A6559" i="5"/>
  <c r="A6558" i="5"/>
  <c r="A6557" i="5"/>
  <c r="A6556" i="5"/>
  <c r="A6555" i="5"/>
  <c r="A6554" i="5"/>
  <c r="A6553" i="5"/>
  <c r="A6552" i="5"/>
  <c r="A6551" i="5"/>
  <c r="A6550" i="5"/>
  <c r="A6549" i="5"/>
  <c r="A6548" i="5"/>
  <c r="A6547" i="5"/>
  <c r="A6546" i="5"/>
  <c r="A6545" i="5"/>
  <c r="A6544" i="5"/>
  <c r="A6543" i="5"/>
  <c r="A6542" i="5"/>
  <c r="A6541" i="5"/>
  <c r="A6540" i="5"/>
  <c r="A6539" i="5"/>
  <c r="A6538" i="5"/>
  <c r="A6537" i="5"/>
  <c r="A6536" i="5"/>
  <c r="A6535" i="5"/>
  <c r="A6534" i="5"/>
  <c r="A6533" i="5"/>
  <c r="A6532" i="5"/>
  <c r="A6531" i="5"/>
  <c r="A6530" i="5"/>
  <c r="A6529" i="5"/>
  <c r="A6528" i="5"/>
  <c r="A6527" i="5"/>
  <c r="A6526" i="5"/>
  <c r="A6525" i="5"/>
  <c r="A6524" i="5"/>
  <c r="A6523" i="5"/>
  <c r="A6522" i="5"/>
  <c r="A6521" i="5"/>
  <c r="A6520" i="5"/>
  <c r="A6519" i="5"/>
  <c r="A6518" i="5"/>
  <c r="A6517" i="5"/>
  <c r="A6516" i="5"/>
  <c r="A6515" i="5"/>
  <c r="A6514" i="5"/>
  <c r="A6513" i="5"/>
  <c r="A6512" i="5"/>
  <c r="A6511" i="5"/>
  <c r="A6510" i="5"/>
  <c r="A6509" i="5"/>
  <c r="A6508" i="5"/>
  <c r="A6507" i="5"/>
  <c r="A6506" i="5"/>
  <c r="A6505" i="5"/>
  <c r="A6504" i="5"/>
  <c r="A6503" i="5"/>
  <c r="A6502" i="5"/>
  <c r="A6501" i="5"/>
  <c r="A6500" i="5"/>
  <c r="A6499" i="5"/>
  <c r="A6498" i="5"/>
  <c r="A6497" i="5"/>
  <c r="A6496" i="5"/>
  <c r="A6495" i="5"/>
  <c r="A6494" i="5"/>
  <c r="A6493" i="5"/>
  <c r="A6492" i="5"/>
  <c r="A6491" i="5"/>
  <c r="A6490" i="5"/>
  <c r="A6489" i="5"/>
  <c r="A6488" i="5"/>
  <c r="A6487" i="5"/>
  <c r="A6486" i="5"/>
  <c r="A6485" i="5"/>
  <c r="A6484" i="5"/>
  <c r="A6483" i="5"/>
  <c r="A6482" i="5"/>
  <c r="A6481" i="5"/>
  <c r="A6480" i="5"/>
  <c r="A6479" i="5"/>
  <c r="A6478" i="5"/>
  <c r="A6477" i="5"/>
  <c r="A6476" i="5"/>
  <c r="A6475" i="5"/>
  <c r="A6474" i="5"/>
  <c r="A6473" i="5"/>
  <c r="A6472" i="5"/>
  <c r="A6471" i="5"/>
  <c r="A6470" i="5"/>
  <c r="A6469" i="5"/>
  <c r="A6468" i="5"/>
  <c r="A6467" i="5"/>
  <c r="A6466" i="5"/>
  <c r="A6465" i="5"/>
  <c r="A6464" i="5"/>
  <c r="A6463" i="5"/>
  <c r="A6462" i="5"/>
  <c r="A6461" i="5"/>
  <c r="A6460" i="5"/>
  <c r="A6459" i="5"/>
  <c r="A6458" i="5"/>
  <c r="A6457" i="5"/>
  <c r="A6456" i="5"/>
  <c r="A6455" i="5"/>
  <c r="A6454" i="5"/>
  <c r="A6453" i="5"/>
  <c r="A6452" i="5"/>
  <c r="A6451" i="5"/>
  <c r="A6450" i="5"/>
  <c r="A6449" i="5"/>
  <c r="A6448" i="5"/>
  <c r="A6447" i="5"/>
  <c r="A6446" i="5"/>
  <c r="A6445" i="5"/>
  <c r="A6444" i="5"/>
  <c r="A6443" i="5"/>
  <c r="A6442" i="5"/>
  <c r="A6441" i="5"/>
  <c r="A6440" i="5"/>
  <c r="A6439" i="5"/>
  <c r="A6438" i="5"/>
  <c r="A6437" i="5"/>
  <c r="A6436" i="5"/>
  <c r="A6435" i="5"/>
  <c r="A6434" i="5"/>
  <c r="A6433" i="5"/>
  <c r="A6432" i="5"/>
  <c r="A6431" i="5"/>
  <c r="A6430" i="5"/>
  <c r="A6429" i="5"/>
  <c r="A6428" i="5"/>
  <c r="A6427" i="5"/>
  <c r="A6426" i="5"/>
  <c r="A6425" i="5"/>
  <c r="A6424" i="5"/>
  <c r="A6423" i="5"/>
  <c r="A6422" i="5"/>
  <c r="A6421" i="5"/>
  <c r="A6420" i="5"/>
  <c r="A6419" i="5"/>
  <c r="A6418" i="5"/>
  <c r="A6417" i="5"/>
  <c r="A6416" i="5"/>
  <c r="A6415" i="5"/>
  <c r="A6414" i="5"/>
  <c r="A6413" i="5"/>
  <c r="A6412" i="5"/>
  <c r="A6411" i="5"/>
  <c r="A6410" i="5"/>
  <c r="A6409" i="5"/>
  <c r="A6408" i="5"/>
  <c r="A6407" i="5"/>
  <c r="A6406" i="5"/>
  <c r="A6405" i="5"/>
  <c r="A6404" i="5"/>
  <c r="A6403" i="5"/>
  <c r="A6402" i="5"/>
  <c r="A6401" i="5"/>
  <c r="A6400" i="5"/>
  <c r="A6399" i="5"/>
  <c r="A6398" i="5"/>
  <c r="A6397" i="5"/>
  <c r="A6396" i="5"/>
  <c r="A6395" i="5"/>
  <c r="A6394" i="5"/>
  <c r="A6393" i="5"/>
  <c r="A6392" i="5"/>
  <c r="A6391" i="5"/>
  <c r="A6390" i="5"/>
  <c r="A6389" i="5"/>
  <c r="A6388" i="5"/>
  <c r="A6387" i="5"/>
  <c r="A6386" i="5"/>
  <c r="A6385" i="5"/>
  <c r="A6384" i="5"/>
  <c r="A6383" i="5"/>
  <c r="A6382" i="5"/>
  <c r="A6381" i="5"/>
  <c r="A6380" i="5"/>
  <c r="A6379" i="5"/>
  <c r="A6378" i="5"/>
  <c r="A6377" i="5"/>
  <c r="A6376" i="5"/>
  <c r="A6375" i="5"/>
  <c r="A6374" i="5"/>
  <c r="A6373" i="5"/>
  <c r="A6372" i="5"/>
  <c r="A6371" i="5"/>
  <c r="A6370" i="5"/>
  <c r="A6369" i="5"/>
  <c r="A6368" i="5"/>
  <c r="A6367" i="5"/>
  <c r="A6366" i="5"/>
  <c r="A6365" i="5"/>
  <c r="A6364" i="5"/>
  <c r="A6363" i="5"/>
  <c r="A6362" i="5"/>
  <c r="A6361" i="5"/>
  <c r="A6360" i="5"/>
  <c r="A6359" i="5"/>
  <c r="A6358" i="5"/>
  <c r="A6357" i="5"/>
  <c r="A6356" i="5"/>
  <c r="A6355" i="5"/>
  <c r="A6354" i="5"/>
  <c r="A6353" i="5"/>
  <c r="A6352" i="5"/>
  <c r="A6351" i="5"/>
  <c r="A6350" i="5"/>
  <c r="A6349" i="5"/>
  <c r="A6348" i="5"/>
  <c r="A6347" i="5"/>
  <c r="A6346" i="5"/>
  <c r="A6345" i="5"/>
  <c r="A6344" i="5"/>
  <c r="A6343" i="5"/>
  <c r="A6342" i="5"/>
  <c r="A6341" i="5"/>
  <c r="A6340" i="5"/>
  <c r="A6339" i="5"/>
  <c r="A6338" i="5"/>
  <c r="A6337" i="5"/>
  <c r="A6336" i="5"/>
  <c r="A6335" i="5"/>
  <c r="A6334" i="5"/>
  <c r="A6333" i="5"/>
  <c r="A6332" i="5"/>
  <c r="A6331" i="5"/>
  <c r="A6330" i="5"/>
  <c r="A6329" i="5"/>
  <c r="A6328" i="5"/>
  <c r="A6327" i="5"/>
  <c r="A6326" i="5"/>
  <c r="A6325" i="5"/>
  <c r="A6324" i="5"/>
  <c r="A6323" i="5"/>
  <c r="A6322" i="5"/>
  <c r="A6321" i="5"/>
  <c r="A6320" i="5"/>
  <c r="A6319" i="5"/>
  <c r="A6318" i="5"/>
  <c r="A6317" i="5"/>
  <c r="A6316" i="5"/>
  <c r="A6315" i="5"/>
  <c r="A6314" i="5"/>
  <c r="A6313" i="5"/>
  <c r="A6312" i="5"/>
  <c r="A6311" i="5"/>
  <c r="A6310" i="5"/>
  <c r="A6309" i="5"/>
  <c r="A6308" i="5"/>
  <c r="A6307" i="5"/>
  <c r="A6306" i="5"/>
  <c r="A6305" i="5"/>
  <c r="A6304" i="5"/>
  <c r="A6303" i="5"/>
  <c r="A6302" i="5"/>
  <c r="A6301" i="5"/>
  <c r="A6300" i="5"/>
  <c r="A6299" i="5"/>
  <c r="A6298" i="5"/>
  <c r="A6297" i="5"/>
  <c r="A6296" i="5"/>
  <c r="A6295" i="5"/>
  <c r="A6294" i="5"/>
  <c r="A6293" i="5"/>
  <c r="A6292" i="5"/>
  <c r="A6291" i="5"/>
  <c r="A6290" i="5"/>
  <c r="A6289" i="5"/>
  <c r="A6288" i="5"/>
  <c r="A6287" i="5"/>
  <c r="A6286" i="5"/>
  <c r="A6285" i="5"/>
  <c r="A6284" i="5"/>
  <c r="A6283" i="5"/>
  <c r="A6282" i="5"/>
  <c r="A6281" i="5"/>
  <c r="A6280" i="5"/>
  <c r="A6279" i="5"/>
  <c r="A6278" i="5"/>
  <c r="A6277" i="5"/>
  <c r="A6276" i="5"/>
  <c r="A6275" i="5"/>
  <c r="A6274" i="5"/>
  <c r="A6273" i="5"/>
  <c r="A6272" i="5"/>
  <c r="A6271" i="5"/>
  <c r="A6270" i="5"/>
  <c r="A6269" i="5"/>
  <c r="A6268" i="5"/>
  <c r="A6267" i="5"/>
  <c r="A6266" i="5"/>
  <c r="A6265" i="5"/>
  <c r="A6264" i="5"/>
  <c r="A6263" i="5"/>
  <c r="A6262" i="5"/>
  <c r="A6261" i="5"/>
  <c r="A6260" i="5"/>
  <c r="A6259" i="5"/>
  <c r="A6258" i="5"/>
  <c r="A6257" i="5"/>
  <c r="A6256" i="5"/>
  <c r="A6255" i="5"/>
  <c r="A6254" i="5"/>
  <c r="A6253" i="5"/>
  <c r="A6252" i="5"/>
  <c r="A6251" i="5"/>
  <c r="A6250" i="5"/>
  <c r="A6249" i="5"/>
  <c r="A6248" i="5"/>
  <c r="A6247" i="5"/>
  <c r="A6246" i="5"/>
  <c r="A6245" i="5"/>
  <c r="A6244" i="5"/>
  <c r="A6243" i="5"/>
  <c r="A6242" i="5"/>
  <c r="A6241" i="5"/>
  <c r="A6240" i="5"/>
  <c r="A6239" i="5"/>
  <c r="A6238" i="5"/>
  <c r="A6237" i="5"/>
  <c r="A6236" i="5"/>
  <c r="A6235" i="5"/>
  <c r="A6234" i="5"/>
  <c r="A6233" i="5"/>
  <c r="A6232" i="5"/>
  <c r="A6231" i="5"/>
  <c r="A6230" i="5"/>
  <c r="A6229" i="5"/>
  <c r="A6228" i="5"/>
  <c r="A6227" i="5"/>
  <c r="A6226" i="5"/>
  <c r="A6225" i="5"/>
  <c r="A6224" i="5"/>
  <c r="A6223" i="5"/>
  <c r="A6222" i="5"/>
  <c r="A6221" i="5"/>
  <c r="A6220" i="5"/>
  <c r="A6219" i="5"/>
  <c r="A6218" i="5"/>
  <c r="A6217" i="5"/>
  <c r="A6216" i="5"/>
  <c r="A6215" i="5"/>
  <c r="A6214" i="5"/>
  <c r="A6213" i="5"/>
  <c r="A6212" i="5"/>
  <c r="A6211" i="5"/>
  <c r="A6210" i="5"/>
  <c r="A6209" i="5"/>
  <c r="A6208" i="5"/>
  <c r="A6207" i="5"/>
  <c r="A6206" i="5"/>
  <c r="A6205" i="5"/>
  <c r="A6204" i="5"/>
  <c r="A6203" i="5"/>
  <c r="A6202" i="5"/>
  <c r="A6201" i="5"/>
  <c r="A6200" i="5"/>
  <c r="A6199" i="5"/>
  <c r="A6198" i="5"/>
  <c r="A6197" i="5"/>
  <c r="A6196" i="5"/>
  <c r="A6195" i="5"/>
  <c r="A6194" i="5"/>
  <c r="A6193" i="5"/>
  <c r="A6192" i="5"/>
  <c r="A6191" i="5"/>
  <c r="A6190" i="5"/>
  <c r="A6189" i="5"/>
  <c r="A6188" i="5"/>
  <c r="A6187" i="5"/>
  <c r="A6186" i="5"/>
  <c r="A6185" i="5"/>
  <c r="A6184" i="5"/>
  <c r="A6183" i="5"/>
  <c r="A6182" i="5"/>
  <c r="A6181" i="5"/>
  <c r="A6180" i="5"/>
  <c r="A6179" i="5"/>
  <c r="A6178" i="5"/>
  <c r="A6177" i="5"/>
  <c r="A6176" i="5"/>
  <c r="A6175" i="5"/>
  <c r="A6174" i="5"/>
  <c r="A6173" i="5"/>
  <c r="A6172" i="5"/>
  <c r="A6171" i="5"/>
  <c r="A6170" i="5"/>
  <c r="A6169" i="5"/>
  <c r="A6168" i="5"/>
  <c r="A6167" i="5"/>
  <c r="A6166" i="5"/>
  <c r="A6165" i="5"/>
  <c r="A6164" i="5"/>
  <c r="A6163" i="5"/>
  <c r="A6162" i="5"/>
  <c r="A6161" i="5"/>
  <c r="A6160" i="5"/>
  <c r="A6159" i="5"/>
  <c r="A6158" i="5"/>
  <c r="A6157" i="5"/>
  <c r="A6156" i="5"/>
  <c r="A6155" i="5"/>
  <c r="A6154" i="5"/>
  <c r="A6153" i="5"/>
  <c r="A6152" i="5"/>
  <c r="A6151" i="5"/>
  <c r="A6150" i="5"/>
  <c r="A6149" i="5"/>
  <c r="A6148" i="5"/>
  <c r="A6147" i="5"/>
  <c r="A6146" i="5"/>
  <c r="A6145" i="5"/>
  <c r="A6144" i="5"/>
  <c r="A6143" i="5"/>
  <c r="A6142" i="5"/>
  <c r="A6141" i="5"/>
  <c r="A6140" i="5"/>
  <c r="A6139" i="5"/>
  <c r="A6138" i="5"/>
  <c r="A6137" i="5"/>
  <c r="A6136" i="5"/>
  <c r="A6135" i="5"/>
  <c r="A6134" i="5"/>
  <c r="A6133" i="5"/>
  <c r="A6132" i="5"/>
  <c r="A6131" i="5"/>
  <c r="A6130" i="5"/>
  <c r="A6129" i="5"/>
  <c r="A6128" i="5"/>
  <c r="A6127" i="5"/>
  <c r="A6126" i="5"/>
  <c r="A6125" i="5"/>
  <c r="A6124" i="5"/>
  <c r="A6123" i="5"/>
  <c r="A6122" i="5"/>
  <c r="A6121" i="5"/>
  <c r="A6120" i="5"/>
  <c r="A6119" i="5"/>
  <c r="A6118" i="5"/>
  <c r="A6117" i="5"/>
  <c r="A6116" i="5"/>
  <c r="A6115" i="5"/>
  <c r="A6114" i="5"/>
  <c r="A6113" i="5"/>
  <c r="A6112" i="5"/>
  <c r="A6111" i="5"/>
  <c r="A6110" i="5"/>
  <c r="A6109" i="5"/>
  <c r="A6108" i="5"/>
  <c r="A6107" i="5"/>
  <c r="A6106" i="5"/>
  <c r="A6105" i="5"/>
  <c r="A6104" i="5"/>
  <c r="A6103" i="5"/>
  <c r="A6102" i="5"/>
  <c r="A6101" i="5"/>
  <c r="A6100" i="5"/>
  <c r="A6099" i="5"/>
  <c r="A6098" i="5"/>
  <c r="A6097" i="5"/>
  <c r="A6096" i="5"/>
  <c r="A6095" i="5"/>
  <c r="A6094" i="5"/>
  <c r="A6093" i="5"/>
  <c r="A6092" i="5"/>
  <c r="A6091" i="5"/>
  <c r="A6090" i="5"/>
  <c r="A6089" i="5"/>
  <c r="A6088" i="5"/>
  <c r="A6087" i="5"/>
  <c r="A6086" i="5"/>
  <c r="A6085" i="5"/>
  <c r="A6084" i="5"/>
  <c r="A6083" i="5"/>
  <c r="A6082" i="5"/>
  <c r="A6081" i="5"/>
  <c r="A6080" i="5"/>
  <c r="A6079" i="5"/>
  <c r="A6078" i="5"/>
  <c r="A6077" i="5"/>
  <c r="A6076" i="5"/>
  <c r="A6075" i="5"/>
  <c r="A6074" i="5"/>
  <c r="A6073" i="5"/>
  <c r="A6072" i="5"/>
  <c r="A6071" i="5"/>
  <c r="A6070" i="5"/>
  <c r="A6069" i="5"/>
  <c r="A6068" i="5"/>
  <c r="A6067" i="5"/>
  <c r="A6066" i="5"/>
  <c r="A6065" i="5"/>
  <c r="A6064" i="5"/>
  <c r="A6063" i="5"/>
  <c r="A6062" i="5"/>
  <c r="A6061" i="5"/>
  <c r="A6060" i="5"/>
  <c r="A6059" i="5"/>
  <c r="A6058" i="5"/>
  <c r="A6057" i="5"/>
  <c r="A6056" i="5"/>
  <c r="A6055" i="5"/>
  <c r="A6054" i="5"/>
  <c r="A6053" i="5"/>
  <c r="A6052" i="5"/>
  <c r="A6051" i="5"/>
  <c r="A6050" i="5"/>
  <c r="A6049" i="5"/>
  <c r="A6048" i="5"/>
  <c r="A6047" i="5"/>
  <c r="A6046" i="5"/>
  <c r="A6045" i="5"/>
  <c r="A6044" i="5"/>
  <c r="A6043" i="5"/>
  <c r="A6042" i="5"/>
  <c r="A6041" i="5"/>
  <c r="A6040" i="5"/>
  <c r="A6039" i="5"/>
  <c r="A6038" i="5"/>
  <c r="A6037" i="5"/>
  <c r="A6036" i="5"/>
  <c r="A6035" i="5"/>
  <c r="A6034" i="5"/>
  <c r="A6033" i="5"/>
  <c r="A6032" i="5"/>
  <c r="A6031" i="5"/>
  <c r="A6030" i="5"/>
  <c r="A6029" i="5"/>
  <c r="A6028" i="5"/>
  <c r="A6027" i="5"/>
  <c r="A6026" i="5"/>
  <c r="A6025" i="5"/>
  <c r="A6024" i="5"/>
  <c r="A6023" i="5"/>
  <c r="A6022" i="5"/>
  <c r="A6021" i="5"/>
  <c r="A6020" i="5"/>
  <c r="A6019" i="5"/>
  <c r="A6018" i="5"/>
  <c r="A6017" i="5"/>
  <c r="A6016" i="5"/>
  <c r="A6015" i="5"/>
  <c r="A6014" i="5"/>
  <c r="A6013" i="5"/>
  <c r="A6012" i="5"/>
  <c r="A6011" i="5"/>
  <c r="A6010" i="5"/>
  <c r="A6009" i="5"/>
  <c r="A6008" i="5"/>
  <c r="A6007" i="5"/>
  <c r="A6006" i="5"/>
  <c r="A6005" i="5"/>
  <c r="A6004" i="5"/>
  <c r="A6003" i="5"/>
  <c r="A6002" i="5"/>
  <c r="A6001" i="5"/>
  <c r="A6000" i="5"/>
  <c r="A5999" i="5"/>
  <c r="A5998" i="5"/>
  <c r="A5997" i="5"/>
  <c r="A5996" i="5"/>
  <c r="A5995" i="5"/>
  <c r="A5994" i="5"/>
  <c r="A5993" i="5"/>
  <c r="A5992" i="5"/>
  <c r="A5991" i="5"/>
  <c r="A5990" i="5"/>
  <c r="A5989" i="5"/>
  <c r="A5988" i="5"/>
  <c r="A5987" i="5"/>
  <c r="A5986" i="5"/>
  <c r="A5985" i="5"/>
  <c r="A5984" i="5"/>
  <c r="A5983" i="5"/>
  <c r="A5982" i="5"/>
  <c r="A5981" i="5"/>
  <c r="A5980" i="5"/>
  <c r="A5979" i="5"/>
  <c r="A5978" i="5"/>
  <c r="A5977" i="5"/>
  <c r="A5976" i="5"/>
  <c r="A5975" i="5"/>
  <c r="A5974" i="5"/>
  <c r="A5973" i="5"/>
  <c r="A5972" i="5"/>
  <c r="A5971" i="5"/>
  <c r="A5970" i="5"/>
  <c r="A5969" i="5"/>
  <c r="A5968" i="5"/>
  <c r="A5967" i="5"/>
  <c r="A5966" i="5"/>
  <c r="A5965" i="5"/>
  <c r="A5964" i="5"/>
  <c r="A5963" i="5"/>
  <c r="A5962" i="5"/>
  <c r="A5961" i="5"/>
  <c r="A5960" i="5"/>
  <c r="A5959" i="5"/>
  <c r="A5958" i="5"/>
  <c r="A5957" i="5"/>
  <c r="A5956" i="5"/>
  <c r="A5955" i="5"/>
  <c r="A5954" i="5"/>
  <c r="A5953" i="5"/>
  <c r="A5952" i="5"/>
  <c r="A5951" i="5"/>
  <c r="A5950" i="5"/>
  <c r="A5949" i="5"/>
  <c r="A5948" i="5"/>
  <c r="A5947" i="5"/>
  <c r="A5946" i="5"/>
  <c r="A5945" i="5"/>
  <c r="A5944" i="5"/>
  <c r="A5943" i="5"/>
  <c r="A5942" i="5"/>
  <c r="A5941" i="5"/>
  <c r="A5940" i="5"/>
  <c r="A5939" i="5"/>
  <c r="A5938" i="5"/>
  <c r="A5937" i="5"/>
  <c r="A5936" i="5"/>
  <c r="A5935" i="5"/>
  <c r="A5934" i="5"/>
  <c r="A5933" i="5"/>
  <c r="A5932" i="5"/>
  <c r="A5931" i="5"/>
  <c r="A5930" i="5"/>
  <c r="A5929" i="5"/>
  <c r="A5928" i="5"/>
  <c r="A5927" i="5"/>
  <c r="A5926" i="5"/>
  <c r="A5925" i="5"/>
  <c r="A5924" i="5"/>
  <c r="A5923" i="5"/>
  <c r="A5922" i="5"/>
  <c r="A5921" i="5"/>
  <c r="A5920" i="5"/>
  <c r="A5919" i="5"/>
  <c r="A5918" i="5"/>
  <c r="A5917" i="5"/>
  <c r="A5916" i="5"/>
  <c r="A5915" i="5"/>
  <c r="A5914" i="5"/>
  <c r="A5913" i="5"/>
  <c r="A5912" i="5"/>
  <c r="A5911" i="5"/>
  <c r="A5910" i="5"/>
  <c r="A5909" i="5"/>
  <c r="A5908" i="5"/>
  <c r="A5907" i="5"/>
  <c r="A5906" i="5"/>
  <c r="A5905" i="5"/>
  <c r="A5904" i="5"/>
  <c r="A5903" i="5"/>
  <c r="A5902" i="5"/>
  <c r="A5901" i="5"/>
  <c r="A5900" i="5"/>
  <c r="A5899" i="5"/>
  <c r="A5898" i="5"/>
  <c r="A5897" i="5"/>
  <c r="A5896" i="5"/>
  <c r="A5895" i="5"/>
  <c r="A5894" i="5"/>
  <c r="A5893" i="5"/>
  <c r="A5892" i="5"/>
  <c r="A5891" i="5"/>
  <c r="A5890" i="5"/>
  <c r="A5889" i="5"/>
  <c r="A5888" i="5"/>
  <c r="A5887" i="5"/>
  <c r="A5886" i="5"/>
  <c r="A5885" i="5"/>
  <c r="A5884" i="5"/>
  <c r="A5883" i="5"/>
  <c r="A5882" i="5"/>
  <c r="A5881" i="5"/>
  <c r="A5880" i="5"/>
  <c r="A5879" i="5"/>
  <c r="A5878" i="5"/>
  <c r="A5877" i="5"/>
  <c r="A5876" i="5"/>
  <c r="A5875" i="5"/>
  <c r="A5874" i="5"/>
  <c r="A5873" i="5"/>
  <c r="A5872" i="5"/>
  <c r="A5871" i="5"/>
  <c r="A5870" i="5"/>
  <c r="A5869" i="5"/>
  <c r="A5868" i="5"/>
  <c r="A5867" i="5"/>
  <c r="A5866" i="5"/>
  <c r="A5865" i="5"/>
  <c r="A5864" i="5"/>
  <c r="A5863" i="5"/>
  <c r="A5862" i="5"/>
  <c r="A5861" i="5"/>
  <c r="A5860" i="5"/>
  <c r="A5859" i="5"/>
  <c r="A5858" i="5"/>
  <c r="A5857" i="5"/>
  <c r="A5856" i="5"/>
  <c r="A5855" i="5"/>
  <c r="A5854" i="5"/>
  <c r="A5853" i="5"/>
  <c r="A5852" i="5"/>
  <c r="A5851" i="5"/>
  <c r="A5850" i="5"/>
  <c r="A5849" i="5"/>
  <c r="A5848" i="5"/>
  <c r="A5847" i="5"/>
  <c r="A5846" i="5"/>
  <c r="A5845" i="5"/>
  <c r="A5844" i="5"/>
  <c r="A5843" i="5"/>
  <c r="A5842" i="5"/>
  <c r="A5841" i="5"/>
  <c r="A5840" i="5"/>
  <c r="A5839" i="5"/>
  <c r="A5838" i="5"/>
  <c r="A5837" i="5"/>
  <c r="A5836" i="5"/>
  <c r="A5835" i="5"/>
  <c r="A5834" i="5"/>
  <c r="A5833" i="5"/>
  <c r="A5832" i="5"/>
  <c r="A5831" i="5"/>
  <c r="A5830" i="5"/>
  <c r="A5829" i="5"/>
  <c r="A5828" i="5"/>
  <c r="A5827" i="5"/>
  <c r="A5826" i="5"/>
  <c r="A5825" i="5"/>
  <c r="A5824" i="5"/>
  <c r="A5823" i="5"/>
  <c r="A5822" i="5"/>
  <c r="A5821" i="5"/>
  <c r="A5820" i="5"/>
  <c r="A5819" i="5"/>
  <c r="A5818" i="5"/>
  <c r="A5817" i="5"/>
  <c r="A5816" i="5"/>
  <c r="A5815" i="5"/>
  <c r="A5814" i="5"/>
  <c r="A5813" i="5"/>
  <c r="A5812" i="5"/>
  <c r="A5811" i="5"/>
  <c r="A5810" i="5"/>
  <c r="A5809" i="5"/>
  <c r="A5808" i="5"/>
  <c r="A5807" i="5"/>
  <c r="A5806" i="5"/>
  <c r="A5805" i="5"/>
  <c r="A5804" i="5"/>
  <c r="A5803" i="5"/>
  <c r="A5802" i="5"/>
  <c r="A5801" i="5"/>
  <c r="A5800" i="5"/>
  <c r="A5799" i="5"/>
  <c r="A5798" i="5"/>
  <c r="A5797" i="5"/>
  <c r="A5796" i="5"/>
  <c r="A5795" i="5"/>
  <c r="A5794" i="5"/>
  <c r="A5793" i="5"/>
  <c r="A5792" i="5"/>
  <c r="A5791" i="5"/>
  <c r="A5790" i="5"/>
  <c r="A5789" i="5"/>
  <c r="A5788" i="5"/>
  <c r="A5787" i="5"/>
  <c r="A5786" i="5"/>
  <c r="A5785" i="5"/>
  <c r="A5784" i="5"/>
  <c r="A5783" i="5"/>
  <c r="A5782" i="5"/>
  <c r="A5781" i="5"/>
  <c r="A5780" i="5"/>
  <c r="A5779" i="5"/>
  <c r="A5778" i="5"/>
  <c r="A5777" i="5"/>
  <c r="A5776" i="5"/>
  <c r="A5775" i="5"/>
  <c r="A5774" i="5"/>
  <c r="A5773" i="5"/>
  <c r="A5772" i="5"/>
  <c r="A5771" i="5"/>
  <c r="A5770" i="5"/>
  <c r="A5769" i="5"/>
  <c r="A5768" i="5"/>
  <c r="A5767" i="5"/>
  <c r="A5766" i="5"/>
  <c r="A5765" i="5"/>
  <c r="A5764" i="5"/>
  <c r="A5763" i="5"/>
  <c r="A5762" i="5"/>
  <c r="A5761" i="5"/>
  <c r="A5760" i="5"/>
  <c r="A5759" i="5"/>
  <c r="A5758" i="5"/>
  <c r="A5757" i="5"/>
  <c r="A5756" i="5"/>
  <c r="A5755" i="5"/>
  <c r="A5754" i="5"/>
  <c r="A5753" i="5"/>
  <c r="A5752" i="5"/>
  <c r="A5751" i="5"/>
  <c r="A5750" i="5"/>
  <c r="A5749" i="5"/>
  <c r="A5748" i="5"/>
  <c r="A5747" i="5"/>
  <c r="A5746" i="5"/>
  <c r="A5745" i="5"/>
  <c r="A5744" i="5"/>
  <c r="A5743" i="5"/>
  <c r="A5742" i="5"/>
  <c r="A5741" i="5"/>
  <c r="A5740" i="5"/>
  <c r="A5739" i="5"/>
  <c r="A5738" i="5"/>
  <c r="A5737" i="5"/>
  <c r="A5736" i="5"/>
  <c r="A5735" i="5"/>
  <c r="A5734" i="5"/>
  <c r="A5733" i="5"/>
  <c r="A5732" i="5"/>
  <c r="A5731" i="5"/>
  <c r="A5730" i="5"/>
  <c r="A5729" i="5"/>
  <c r="A5728" i="5"/>
  <c r="A5727" i="5"/>
  <c r="A5726" i="5"/>
  <c r="A5725" i="5"/>
  <c r="A5724" i="5"/>
  <c r="A5723" i="5"/>
  <c r="A5722" i="5"/>
  <c r="A5721" i="5"/>
  <c r="A5720" i="5"/>
  <c r="A5719" i="5"/>
  <c r="A5718" i="5"/>
  <c r="A5717" i="5"/>
  <c r="A5716" i="5"/>
  <c r="A5715" i="5"/>
  <c r="A5714" i="5"/>
  <c r="A5713" i="5"/>
  <c r="A5712" i="5"/>
  <c r="A5711" i="5"/>
  <c r="A5710" i="5"/>
  <c r="A5709" i="5"/>
  <c r="A5708" i="5"/>
  <c r="A5707" i="5"/>
  <c r="A5706" i="5"/>
  <c r="A5705" i="5"/>
  <c r="A5704" i="5"/>
  <c r="A5703" i="5"/>
  <c r="A5702" i="5"/>
  <c r="A5701" i="5"/>
  <c r="A5700" i="5"/>
  <c r="A5699" i="5"/>
  <c r="A5698" i="5"/>
  <c r="A5697" i="5"/>
  <c r="A5696" i="5"/>
  <c r="A5695" i="5"/>
  <c r="A5694" i="5"/>
  <c r="A5693" i="5"/>
  <c r="A5692" i="5"/>
  <c r="A5691" i="5"/>
  <c r="A5690" i="5"/>
  <c r="A5689" i="5"/>
  <c r="A5688" i="5"/>
  <c r="A5687" i="5"/>
  <c r="A5686" i="5"/>
  <c r="A5685" i="5"/>
  <c r="A5684" i="5"/>
  <c r="A5683" i="5"/>
  <c r="A5682" i="5"/>
  <c r="A5681" i="5"/>
  <c r="A5680" i="5"/>
  <c r="A5679" i="5"/>
  <c r="A5678" i="5"/>
  <c r="A5677" i="5"/>
  <c r="A5676" i="5"/>
  <c r="A5675" i="5"/>
  <c r="A5674" i="5"/>
  <c r="A5673" i="5"/>
  <c r="A5672" i="5"/>
  <c r="A5671" i="5"/>
  <c r="A5670" i="5"/>
  <c r="A5669" i="5"/>
  <c r="A5668" i="5"/>
  <c r="A5667" i="5"/>
  <c r="A5666" i="5"/>
  <c r="A5665" i="5"/>
  <c r="A5664" i="5"/>
  <c r="A5663" i="5"/>
  <c r="A5662" i="5"/>
  <c r="A5661" i="5"/>
  <c r="A5660" i="5"/>
  <c r="A5659" i="5"/>
  <c r="A5658" i="5"/>
  <c r="A5657" i="5"/>
  <c r="A5656" i="5"/>
  <c r="A5655" i="5"/>
  <c r="A5654" i="5"/>
  <c r="A5653" i="5"/>
  <c r="A5652" i="5"/>
  <c r="A5651" i="5"/>
  <c r="A5650" i="5"/>
  <c r="A5649" i="5"/>
  <c r="A5648" i="5"/>
  <c r="A5647" i="5"/>
  <c r="A5646" i="5"/>
  <c r="A5645" i="5"/>
  <c r="A5644" i="5"/>
  <c r="A5643" i="5"/>
  <c r="A5642" i="5"/>
  <c r="A5641" i="5"/>
  <c r="A5640" i="5"/>
  <c r="A5639" i="5"/>
  <c r="A5638" i="5"/>
  <c r="A5637" i="5"/>
  <c r="A5636" i="5"/>
  <c r="A5635" i="5"/>
  <c r="A5634" i="5"/>
  <c r="A5633" i="5"/>
  <c r="A5632" i="5"/>
  <c r="A5631" i="5"/>
  <c r="A5630" i="5"/>
  <c r="A5629" i="5"/>
  <c r="A5628" i="5"/>
  <c r="A5627" i="5"/>
  <c r="A5626" i="5"/>
  <c r="A5625" i="5"/>
  <c r="A5624" i="5"/>
  <c r="A5623" i="5"/>
  <c r="A5622" i="5"/>
  <c r="A5621" i="5"/>
  <c r="A5620" i="5"/>
  <c r="A5619" i="5"/>
  <c r="A5618" i="5"/>
  <c r="A5617" i="5"/>
  <c r="A5616" i="5"/>
  <c r="A5615" i="5"/>
  <c r="A5614" i="5"/>
  <c r="A5613" i="5"/>
  <c r="A5612" i="5"/>
  <c r="A5611" i="5"/>
  <c r="A5610" i="5"/>
  <c r="A5609" i="5"/>
  <c r="A5608" i="5"/>
  <c r="A5607" i="5"/>
  <c r="A5606" i="5"/>
  <c r="A5605" i="5"/>
  <c r="A5604" i="5"/>
  <c r="A5603" i="5"/>
  <c r="A5602" i="5"/>
  <c r="A5601" i="5"/>
  <c r="A5600" i="5"/>
  <c r="A5599" i="5"/>
  <c r="A5598" i="5"/>
  <c r="A5597" i="5"/>
  <c r="A5596" i="5"/>
  <c r="A5595" i="5"/>
  <c r="A5594" i="5"/>
  <c r="A5593" i="5"/>
  <c r="A5592" i="5"/>
  <c r="A5591" i="5"/>
  <c r="A5590" i="5"/>
  <c r="A5589" i="5"/>
  <c r="A5588" i="5"/>
  <c r="A5587" i="5"/>
  <c r="A5586" i="5"/>
  <c r="A5585" i="5"/>
  <c r="A5584" i="5"/>
  <c r="A5583" i="5"/>
  <c r="A5582" i="5"/>
  <c r="A5581" i="5"/>
  <c r="A5580" i="5"/>
  <c r="A5579" i="5"/>
  <c r="A5578" i="5"/>
  <c r="A5577" i="5"/>
  <c r="A5576" i="5"/>
  <c r="A5575" i="5"/>
  <c r="A5574" i="5"/>
  <c r="A5573" i="5"/>
  <c r="A5572" i="5"/>
  <c r="A5571" i="5"/>
  <c r="A5570" i="5"/>
  <c r="A5569" i="5"/>
  <c r="A5568" i="5"/>
  <c r="A5567" i="5"/>
  <c r="A5566" i="5"/>
  <c r="A5565" i="5"/>
  <c r="A5564" i="5"/>
  <c r="A5563" i="5"/>
  <c r="A5562" i="5"/>
  <c r="A5561" i="5"/>
  <c r="A5560" i="5"/>
  <c r="A5559" i="5"/>
  <c r="A5558" i="5"/>
  <c r="A5557" i="5"/>
  <c r="A5556" i="5"/>
  <c r="A5555" i="5"/>
  <c r="A5554" i="5"/>
  <c r="A5553" i="5"/>
  <c r="A5552" i="5"/>
  <c r="A5551" i="5"/>
  <c r="A5550" i="5"/>
  <c r="A5549" i="5"/>
  <c r="A5548" i="5"/>
  <c r="A5547" i="5"/>
  <c r="A5546" i="5"/>
  <c r="A5545" i="5"/>
  <c r="A5544" i="5"/>
  <c r="A5543" i="5"/>
  <c r="A5542" i="5"/>
  <c r="A5541" i="5"/>
  <c r="A5540" i="5"/>
  <c r="A5539" i="5"/>
  <c r="A5538" i="5"/>
  <c r="A5537" i="5"/>
  <c r="A5536" i="5"/>
  <c r="A5535" i="5"/>
  <c r="A5534" i="5"/>
  <c r="A5533" i="5"/>
  <c r="A5532" i="5"/>
  <c r="A5531" i="5"/>
  <c r="A5530" i="5"/>
  <c r="A5529" i="5"/>
  <c r="A5528" i="5"/>
  <c r="A5527" i="5"/>
  <c r="A5526" i="5"/>
  <c r="A5525" i="5"/>
  <c r="A5524" i="5"/>
  <c r="A5523" i="5"/>
  <c r="A5522" i="5"/>
  <c r="A5521" i="5"/>
  <c r="A5520" i="5"/>
  <c r="A5519" i="5"/>
  <c r="A5518" i="5"/>
  <c r="A5517" i="5"/>
  <c r="A5516" i="5"/>
  <c r="A5515" i="5"/>
  <c r="A5514" i="5"/>
  <c r="A5513" i="5"/>
  <c r="A5512" i="5"/>
  <c r="A5511" i="5"/>
  <c r="A5510" i="5"/>
  <c r="A5509" i="5"/>
  <c r="A5508" i="5"/>
  <c r="A5507" i="5"/>
  <c r="A5506" i="5"/>
  <c r="A5505" i="5"/>
  <c r="A5504" i="5"/>
  <c r="A5503" i="5"/>
  <c r="A5502" i="5"/>
  <c r="A5501" i="5"/>
  <c r="A5500" i="5"/>
  <c r="A5499" i="5"/>
  <c r="A5498" i="5"/>
  <c r="A5497" i="5"/>
  <c r="A5496" i="5"/>
  <c r="A5495" i="5"/>
  <c r="A5494" i="5"/>
  <c r="A5493" i="5"/>
  <c r="A5492" i="5"/>
  <c r="A5491" i="5"/>
  <c r="A5490" i="5"/>
  <c r="A5489" i="5"/>
  <c r="A5488" i="5"/>
  <c r="A5487" i="5"/>
  <c r="A5486" i="5"/>
  <c r="A5485" i="5"/>
  <c r="A5484" i="5"/>
  <c r="A5483" i="5"/>
  <c r="A5482" i="5"/>
  <c r="A5481" i="5"/>
  <c r="A5480" i="5"/>
  <c r="A5479" i="5"/>
  <c r="A5478" i="5"/>
  <c r="A5477" i="5"/>
  <c r="A5476" i="5"/>
  <c r="A5475" i="5"/>
  <c r="A5474" i="5"/>
  <c r="A5473" i="5"/>
  <c r="A5472" i="5"/>
  <c r="A5471" i="5"/>
  <c r="A5470" i="5"/>
  <c r="A5469" i="5"/>
  <c r="A5468" i="5"/>
  <c r="A5467" i="5"/>
  <c r="A5466" i="5"/>
  <c r="A5465" i="5"/>
  <c r="A5464" i="5"/>
  <c r="A5463" i="5"/>
  <c r="A5462" i="5"/>
  <c r="A5461" i="5"/>
  <c r="A5460" i="5"/>
  <c r="A5459" i="5"/>
  <c r="A5458" i="5"/>
  <c r="A5457" i="5"/>
  <c r="A5456" i="5"/>
  <c r="A5455" i="5"/>
  <c r="A5454" i="5"/>
  <c r="A5453" i="5"/>
  <c r="A5452" i="5"/>
  <c r="A5451" i="5"/>
  <c r="A5450" i="5"/>
  <c r="A5449" i="5"/>
  <c r="A5448" i="5"/>
  <c r="A5447" i="5"/>
  <c r="A5446" i="5"/>
  <c r="A5445" i="5"/>
  <c r="A5444" i="5"/>
  <c r="A5443" i="5"/>
  <c r="A5442" i="5"/>
  <c r="A5441" i="5"/>
  <c r="A5440" i="5"/>
  <c r="A5439" i="5"/>
  <c r="A5438" i="5"/>
  <c r="A5437" i="5"/>
  <c r="A5436" i="5"/>
  <c r="A5435" i="5"/>
  <c r="A5434" i="5"/>
  <c r="A5433" i="5"/>
  <c r="A5432" i="5"/>
  <c r="A5431" i="5"/>
  <c r="A5430" i="5"/>
  <c r="A5429" i="5"/>
  <c r="A5428" i="5"/>
  <c r="A5427" i="5"/>
  <c r="A5426" i="5"/>
  <c r="A5425" i="5"/>
  <c r="A5424" i="5"/>
  <c r="A5423" i="5"/>
  <c r="A5422" i="5"/>
  <c r="A5421" i="5"/>
  <c r="A5420" i="5"/>
  <c r="A5419" i="5"/>
  <c r="A5418" i="5"/>
  <c r="A5417" i="5"/>
  <c r="A5416" i="5"/>
  <c r="A5415" i="5"/>
  <c r="A5414" i="5"/>
  <c r="A5413" i="5"/>
  <c r="A5412" i="5"/>
  <c r="A5411" i="5"/>
  <c r="A5410" i="5"/>
  <c r="A5409" i="5"/>
  <c r="A5408" i="5"/>
  <c r="A5407" i="5"/>
  <c r="A5406" i="5"/>
  <c r="A5405" i="5"/>
  <c r="A5404" i="5"/>
  <c r="A5403" i="5"/>
  <c r="A5402" i="5"/>
  <c r="A5401" i="5"/>
  <c r="A5400" i="5"/>
  <c r="A5399" i="5"/>
  <c r="A5398" i="5"/>
  <c r="A5397" i="5"/>
  <c r="A5396" i="5"/>
  <c r="A5395" i="5"/>
  <c r="A5394" i="5"/>
  <c r="A5393" i="5"/>
  <c r="A5392" i="5"/>
  <c r="A5391" i="5"/>
  <c r="A5390" i="5"/>
  <c r="A5389" i="5"/>
  <c r="A5388" i="5"/>
  <c r="A5387" i="5"/>
  <c r="A5386" i="5"/>
  <c r="A5385" i="5"/>
  <c r="A5384" i="5"/>
  <c r="A5383" i="5"/>
  <c r="A5382" i="5"/>
  <c r="A5381" i="5"/>
  <c r="A5380" i="5"/>
  <c r="A5379" i="5"/>
  <c r="A5378" i="5"/>
  <c r="A5377" i="5"/>
  <c r="A5376" i="5"/>
  <c r="A5375" i="5"/>
  <c r="A5374" i="5"/>
  <c r="A5373" i="5"/>
  <c r="A5372" i="5"/>
  <c r="A5371" i="5"/>
  <c r="A5370" i="5"/>
  <c r="A5369" i="5"/>
  <c r="A5368" i="5"/>
  <c r="A5367" i="5"/>
  <c r="A5366" i="5"/>
  <c r="A5365" i="5"/>
  <c r="A5364" i="5"/>
  <c r="A5363" i="5"/>
  <c r="A5362" i="5"/>
  <c r="A5361" i="5"/>
  <c r="A5360" i="5"/>
  <c r="A5359" i="5"/>
  <c r="A5358" i="5"/>
  <c r="A5357" i="5"/>
  <c r="A5356" i="5"/>
  <c r="A5355" i="5"/>
  <c r="A5354" i="5"/>
  <c r="A5353" i="5"/>
  <c r="A5352" i="5"/>
  <c r="A5351" i="5"/>
  <c r="A5350" i="5"/>
  <c r="A5349" i="5"/>
  <c r="A5348" i="5"/>
  <c r="A5347" i="5"/>
  <c r="A5346" i="5"/>
  <c r="A5345" i="5"/>
  <c r="A5344" i="5"/>
  <c r="A5343" i="5"/>
  <c r="A5342" i="5"/>
  <c r="A5341" i="5"/>
  <c r="A5340" i="5"/>
  <c r="A5339" i="5"/>
  <c r="A5338" i="5"/>
  <c r="A5337" i="5"/>
  <c r="A5336" i="5"/>
  <c r="A5335" i="5"/>
  <c r="A5334" i="5"/>
  <c r="A5333" i="5"/>
  <c r="A5332" i="5"/>
  <c r="A5331" i="5"/>
  <c r="A5330" i="5"/>
  <c r="A5329" i="5"/>
  <c r="A5328" i="5"/>
  <c r="A5327" i="5"/>
  <c r="A5326" i="5"/>
  <c r="A5325" i="5"/>
  <c r="A5324" i="5"/>
  <c r="A5323" i="5"/>
  <c r="A5322" i="5"/>
  <c r="A5321" i="5"/>
  <c r="A5320" i="5"/>
  <c r="A5319" i="5"/>
  <c r="A5318" i="5"/>
  <c r="A5317" i="5"/>
  <c r="A5316" i="5"/>
  <c r="A5315" i="5"/>
  <c r="A5314" i="5"/>
  <c r="A5313" i="5"/>
  <c r="A5312" i="5"/>
  <c r="A5311" i="5"/>
  <c r="A5310" i="5"/>
  <c r="A5309" i="5"/>
  <c r="A5308" i="5"/>
  <c r="A5307" i="5"/>
  <c r="A5306" i="5"/>
  <c r="A5305" i="5"/>
  <c r="A5304" i="5"/>
  <c r="A5303" i="5"/>
  <c r="A5302" i="5"/>
  <c r="A5301" i="5"/>
  <c r="A5300" i="5"/>
  <c r="A5299" i="5"/>
  <c r="A5298" i="5"/>
  <c r="A5297" i="5"/>
  <c r="A5296" i="5"/>
  <c r="A5295" i="5"/>
  <c r="A5294" i="5"/>
  <c r="A5293" i="5"/>
  <c r="A5292" i="5"/>
  <c r="A5291" i="5"/>
  <c r="A5290" i="5"/>
  <c r="A5289" i="5"/>
  <c r="A5288" i="5"/>
  <c r="A5287" i="5"/>
  <c r="A5286" i="5"/>
  <c r="A5285" i="5"/>
  <c r="A5284" i="5"/>
  <c r="A5283" i="5"/>
  <c r="A5282" i="5"/>
  <c r="A5281" i="5"/>
  <c r="A5280" i="5"/>
  <c r="A5279" i="5"/>
  <c r="A5278" i="5"/>
  <c r="A5277" i="5"/>
  <c r="A5276" i="5"/>
  <c r="A5275" i="5"/>
  <c r="A5274" i="5"/>
  <c r="A5273" i="5"/>
  <c r="A5272" i="5"/>
  <c r="A5271" i="5"/>
  <c r="A5270" i="5"/>
  <c r="A5269" i="5"/>
  <c r="A5268" i="5"/>
  <c r="A5267" i="5"/>
  <c r="A5266" i="5"/>
  <c r="A5265" i="5"/>
  <c r="A5264" i="5"/>
  <c r="A5263" i="5"/>
  <c r="A5262" i="5"/>
  <c r="A5261" i="5"/>
  <c r="A5260" i="5"/>
  <c r="A5259" i="5"/>
  <c r="A5258" i="5"/>
  <c r="A5257" i="5"/>
  <c r="A5256" i="5"/>
  <c r="A5255" i="5"/>
  <c r="A5254" i="5"/>
  <c r="A5253" i="5"/>
  <c r="A5252" i="5"/>
  <c r="A5251" i="5"/>
  <c r="A5250" i="5"/>
  <c r="A5249" i="5"/>
  <c r="A5248" i="5"/>
  <c r="A5247" i="5"/>
  <c r="A5246" i="5"/>
  <c r="A5245" i="5"/>
  <c r="A5244" i="5"/>
  <c r="A5243" i="5"/>
  <c r="A5242" i="5"/>
  <c r="A5241" i="5"/>
  <c r="A5240" i="5"/>
  <c r="A5239" i="5"/>
  <c r="A5238" i="5"/>
  <c r="A5237" i="5"/>
  <c r="A5236" i="5"/>
  <c r="A5235" i="5"/>
  <c r="A5234" i="5"/>
  <c r="A5233" i="5"/>
  <c r="A5232" i="5"/>
  <c r="A5231" i="5"/>
  <c r="A5230" i="5"/>
  <c r="A5229" i="5"/>
  <c r="A5228" i="5"/>
  <c r="A5227" i="5"/>
  <c r="A5226" i="5"/>
  <c r="A5225" i="5"/>
  <c r="A5224" i="5"/>
  <c r="A5223" i="5"/>
  <c r="A5222" i="5"/>
  <c r="A5221" i="5"/>
  <c r="A5220" i="5"/>
  <c r="A5219" i="5"/>
  <c r="A5218" i="5"/>
  <c r="A5217" i="5"/>
  <c r="A5216" i="5"/>
  <c r="A5215" i="5"/>
  <c r="A5214" i="5"/>
  <c r="A5213" i="5"/>
  <c r="A5212" i="5"/>
  <c r="A5211" i="5"/>
  <c r="A5210" i="5"/>
  <c r="A5209" i="5"/>
  <c r="A5208" i="5"/>
  <c r="A5207" i="5"/>
  <c r="A5206" i="5"/>
  <c r="A5205" i="5"/>
  <c r="A5204" i="5"/>
  <c r="A5203" i="5"/>
  <c r="A5202" i="5"/>
  <c r="A5201" i="5"/>
  <c r="A5200" i="5"/>
  <c r="A5199" i="5"/>
  <c r="A5198" i="5"/>
  <c r="A5197" i="5"/>
  <c r="A5196" i="5"/>
  <c r="A5195" i="5"/>
  <c r="A5194" i="5"/>
  <c r="A5193" i="5"/>
  <c r="A5192" i="5"/>
  <c r="A5191" i="5"/>
  <c r="A5190" i="5"/>
  <c r="A5189" i="5"/>
  <c r="A5188" i="5"/>
  <c r="A5187" i="5"/>
  <c r="A5186" i="5"/>
  <c r="A5185" i="5"/>
  <c r="A5184" i="5"/>
  <c r="A5183" i="5"/>
  <c r="A5182" i="5"/>
  <c r="A5181" i="5"/>
  <c r="A5180" i="5"/>
  <c r="A5179" i="5"/>
  <c r="A5178" i="5"/>
  <c r="A5177" i="5"/>
  <c r="A5176" i="5"/>
  <c r="A5175" i="5"/>
  <c r="A5174" i="5"/>
  <c r="A5173" i="5"/>
  <c r="A5172" i="5"/>
  <c r="A5171" i="5"/>
  <c r="A5170" i="5"/>
  <c r="A5169" i="5"/>
  <c r="A5168" i="5"/>
  <c r="A5167" i="5"/>
  <c r="A5166" i="5"/>
  <c r="A5165" i="5"/>
  <c r="A5164" i="5"/>
  <c r="A5163" i="5"/>
  <c r="A5162" i="5"/>
  <c r="A5161" i="5"/>
  <c r="A5160" i="5"/>
  <c r="A5159" i="5"/>
  <c r="A5158" i="5"/>
  <c r="A5157" i="5"/>
  <c r="A5156" i="5"/>
  <c r="A5155" i="5"/>
  <c r="A5154" i="5"/>
  <c r="A5153" i="5"/>
  <c r="A5152" i="5"/>
  <c r="A5151" i="5"/>
  <c r="A5150" i="5"/>
  <c r="A5149" i="5"/>
  <c r="A5148" i="5"/>
  <c r="A5147" i="5"/>
  <c r="A5146" i="5"/>
  <c r="A5145" i="5"/>
  <c r="A5144" i="5"/>
  <c r="A5143" i="5"/>
  <c r="A5142" i="5"/>
  <c r="A5141" i="5"/>
  <c r="A5140" i="5"/>
  <c r="A5139" i="5"/>
  <c r="A5138" i="5"/>
  <c r="A5137" i="5"/>
  <c r="A5136" i="5"/>
  <c r="A5135" i="5"/>
  <c r="A5134" i="5"/>
  <c r="A5133" i="5"/>
  <c r="A5132" i="5"/>
  <c r="A5131" i="5"/>
  <c r="A5130" i="5"/>
  <c r="A5129" i="5"/>
  <c r="A5128" i="5"/>
  <c r="A5127" i="5"/>
  <c r="A5126" i="5"/>
  <c r="A5125" i="5"/>
  <c r="A5124" i="5"/>
  <c r="A5123" i="5"/>
  <c r="A5122" i="5"/>
  <c r="A5121" i="5"/>
  <c r="A5120" i="5"/>
  <c r="A5119" i="5"/>
  <c r="A5118" i="5"/>
  <c r="A5117" i="5"/>
  <c r="A5116" i="5"/>
  <c r="A5115" i="5"/>
  <c r="A5114" i="5"/>
  <c r="A5113" i="5"/>
  <c r="A5112" i="5"/>
  <c r="A5111" i="5"/>
  <c r="A5110" i="5"/>
  <c r="A5109" i="5"/>
  <c r="A5108" i="5"/>
  <c r="A5107" i="5"/>
  <c r="A5106" i="5"/>
  <c r="A5105" i="5"/>
  <c r="A5104" i="5"/>
  <c r="A5103" i="5"/>
  <c r="A5102" i="5"/>
  <c r="A5101" i="5"/>
  <c r="A5100" i="5"/>
  <c r="A5099" i="5"/>
  <c r="A5098" i="5"/>
  <c r="A5097" i="5"/>
  <c r="A5096" i="5"/>
  <c r="A5095" i="5"/>
  <c r="A5094" i="5"/>
  <c r="A5093" i="5"/>
  <c r="A5092" i="5"/>
  <c r="A5091" i="5"/>
  <c r="A5090" i="5"/>
  <c r="A5089" i="5"/>
  <c r="A5088" i="5"/>
  <c r="A5087" i="5"/>
  <c r="A5086" i="5"/>
  <c r="A5085" i="5"/>
  <c r="A5084" i="5"/>
  <c r="A5083" i="5"/>
  <c r="A5082" i="5"/>
  <c r="A5081" i="5"/>
  <c r="A5080" i="5"/>
  <c r="A5079" i="5"/>
  <c r="A5078" i="5"/>
  <c r="A5077" i="5"/>
  <c r="A5076" i="5"/>
  <c r="A5075" i="5"/>
  <c r="A5074" i="5"/>
  <c r="A5073" i="5"/>
  <c r="A5072" i="5"/>
  <c r="A5071" i="5"/>
  <c r="A5070" i="5"/>
  <c r="A5069" i="5"/>
  <c r="A5068" i="5"/>
  <c r="A5067" i="5"/>
  <c r="A5066" i="5"/>
  <c r="A5065" i="5"/>
  <c r="A5064" i="5"/>
  <c r="A5063" i="5"/>
  <c r="A5062" i="5"/>
  <c r="A5061" i="5"/>
  <c r="A5060" i="5"/>
  <c r="A5059" i="5"/>
  <c r="A5058" i="5"/>
  <c r="A5057" i="5"/>
  <c r="A5056" i="5"/>
  <c r="A5055" i="5"/>
  <c r="A5054" i="5"/>
  <c r="A5053" i="5"/>
  <c r="A5052" i="5"/>
  <c r="A5051" i="5"/>
  <c r="A5050" i="5"/>
  <c r="A5049" i="5"/>
  <c r="A5048" i="5"/>
  <c r="A5047" i="5"/>
  <c r="A5046" i="5"/>
  <c r="A5045" i="5"/>
  <c r="A5044" i="5"/>
  <c r="A5043" i="5"/>
  <c r="A5042" i="5"/>
  <c r="A5041" i="5"/>
  <c r="A5040" i="5"/>
  <c r="A5039" i="5"/>
  <c r="A5038" i="5"/>
  <c r="A5037" i="5"/>
  <c r="A5036" i="5"/>
  <c r="A5035" i="5"/>
  <c r="A5034" i="5"/>
  <c r="A5033" i="5"/>
  <c r="A5032" i="5"/>
  <c r="A5031" i="5"/>
  <c r="A5030" i="5"/>
  <c r="A5029" i="5"/>
  <c r="A5028" i="5"/>
  <c r="A5027" i="5"/>
  <c r="A5026" i="5"/>
  <c r="A5025" i="5"/>
  <c r="A5024" i="5"/>
  <c r="A5023" i="5"/>
  <c r="A5022" i="5"/>
  <c r="A5021" i="5"/>
  <c r="A5020" i="5"/>
  <c r="A5019" i="5"/>
  <c r="A5018" i="5"/>
  <c r="A5017" i="5"/>
  <c r="A5016" i="5"/>
  <c r="A5015" i="5"/>
  <c r="A5014" i="5"/>
  <c r="A5013" i="5"/>
  <c r="A5012" i="5"/>
  <c r="A5011" i="5"/>
  <c r="A5010" i="5"/>
  <c r="A5009" i="5"/>
  <c r="A5008" i="5"/>
  <c r="A5007" i="5"/>
  <c r="A5006" i="5"/>
  <c r="A5005" i="5"/>
  <c r="A5004" i="5"/>
  <c r="A5003" i="5"/>
  <c r="A5002" i="5"/>
  <c r="A5001" i="5"/>
  <c r="A5000" i="5"/>
  <c r="A4999" i="5"/>
  <c r="A4998" i="5"/>
  <c r="A4997" i="5"/>
  <c r="A4996" i="5"/>
  <c r="A4995" i="5"/>
  <c r="A4994" i="5"/>
  <c r="A4993" i="5"/>
  <c r="A4992" i="5"/>
  <c r="A4991" i="5"/>
  <c r="A4990" i="5"/>
  <c r="A4989" i="5"/>
  <c r="A4988" i="5"/>
  <c r="A4987" i="5"/>
  <c r="A4986" i="5"/>
  <c r="A4985" i="5"/>
  <c r="A4984" i="5"/>
  <c r="A4983" i="5"/>
  <c r="A4982" i="5"/>
  <c r="A4981" i="5"/>
  <c r="A4980" i="5"/>
  <c r="A4979" i="5"/>
  <c r="A4978" i="5"/>
  <c r="A4977" i="5"/>
  <c r="A4976" i="5"/>
  <c r="A4975" i="5"/>
  <c r="A4974" i="5"/>
  <c r="A4973" i="5"/>
  <c r="A4972" i="5"/>
  <c r="A4971" i="5"/>
  <c r="A4970" i="5"/>
  <c r="A4969" i="5"/>
  <c r="A4968" i="5"/>
  <c r="A4967" i="5"/>
  <c r="A4966" i="5"/>
  <c r="A4965" i="5"/>
  <c r="A4964" i="5"/>
  <c r="A4963" i="5"/>
  <c r="A4962" i="5"/>
  <c r="A4961" i="5"/>
  <c r="A4960" i="5"/>
  <c r="A4959" i="5"/>
  <c r="A4958" i="5"/>
  <c r="A4957" i="5"/>
  <c r="A4956" i="5"/>
  <c r="A4955" i="5"/>
  <c r="A4954" i="5"/>
  <c r="A4953" i="5"/>
  <c r="A4952" i="5"/>
  <c r="A4951" i="5"/>
  <c r="A4950" i="5"/>
  <c r="A4949" i="5"/>
  <c r="A4948" i="5"/>
  <c r="A4947" i="5"/>
  <c r="A4946" i="5"/>
  <c r="A4945" i="5"/>
  <c r="A4944" i="5"/>
  <c r="A4943" i="5"/>
  <c r="A4942" i="5"/>
  <c r="A4941" i="5"/>
  <c r="A4940" i="5"/>
  <c r="A4939" i="5"/>
  <c r="A4938" i="5"/>
  <c r="A4937" i="5"/>
  <c r="A4936" i="5"/>
  <c r="A4935" i="5"/>
  <c r="A4934" i="5"/>
  <c r="A4933" i="5"/>
  <c r="A4932" i="5"/>
  <c r="A4931" i="5"/>
  <c r="A4930" i="5"/>
  <c r="A4929" i="5"/>
  <c r="A4928" i="5"/>
  <c r="A4927" i="5"/>
  <c r="A4926" i="5"/>
  <c r="A4925" i="5"/>
  <c r="A4924" i="5"/>
  <c r="A4923" i="5"/>
  <c r="A4922" i="5"/>
  <c r="A4921" i="5"/>
  <c r="A4920" i="5"/>
  <c r="A4919" i="5"/>
  <c r="A4918" i="5"/>
  <c r="A4917" i="5"/>
  <c r="A4916" i="5"/>
  <c r="A4915" i="5"/>
  <c r="A4914" i="5"/>
  <c r="A4913" i="5"/>
  <c r="A4912" i="5"/>
  <c r="A4911" i="5"/>
  <c r="A4910" i="5"/>
  <c r="A4909" i="5"/>
  <c r="A4908" i="5"/>
  <c r="A4907" i="5"/>
  <c r="A4906" i="5"/>
  <c r="A4905" i="5"/>
  <c r="A4904" i="5"/>
  <c r="A4903" i="5"/>
  <c r="A4902" i="5"/>
  <c r="A4901" i="5"/>
  <c r="A4900" i="5"/>
  <c r="A4899" i="5"/>
  <c r="A4898" i="5"/>
  <c r="A4897" i="5"/>
  <c r="A4896" i="5"/>
  <c r="A4895" i="5"/>
  <c r="A4894" i="5"/>
  <c r="A4893" i="5"/>
  <c r="A4892" i="5"/>
  <c r="A4891" i="5"/>
  <c r="A4890" i="5"/>
  <c r="A4889" i="5"/>
  <c r="A4888" i="5"/>
  <c r="A4887" i="5"/>
  <c r="A4886" i="5"/>
  <c r="A4885" i="5"/>
  <c r="A4884" i="5"/>
  <c r="A4883" i="5"/>
  <c r="A4882" i="5"/>
  <c r="A4881" i="5"/>
  <c r="A4880" i="5"/>
  <c r="A4879" i="5"/>
  <c r="A4878" i="5"/>
  <c r="A4877" i="5"/>
  <c r="A4876" i="5"/>
  <c r="A4875" i="5"/>
  <c r="A4874" i="5"/>
  <c r="A4873" i="5"/>
  <c r="A4872" i="5"/>
  <c r="A4871" i="5"/>
  <c r="A4870" i="5"/>
  <c r="A4869" i="5"/>
  <c r="A4868" i="5"/>
  <c r="A4867" i="5"/>
  <c r="A4866" i="5"/>
  <c r="A4865" i="5"/>
  <c r="A4864" i="5"/>
  <c r="A4863" i="5"/>
  <c r="A4862" i="5"/>
  <c r="A4861" i="5"/>
  <c r="A4860" i="5"/>
  <c r="A4859" i="5"/>
  <c r="A4858" i="5"/>
  <c r="A4857" i="5"/>
  <c r="A4856" i="5"/>
  <c r="A4855" i="5"/>
  <c r="A4854" i="5"/>
  <c r="A4853" i="5"/>
  <c r="A4852" i="5"/>
  <c r="A4851" i="5"/>
  <c r="A4850" i="5"/>
  <c r="A4849" i="5"/>
  <c r="A4848" i="5"/>
  <c r="A4847" i="5"/>
  <c r="A4846" i="5"/>
  <c r="A4845" i="5"/>
  <c r="A4844" i="5"/>
  <c r="A4843" i="5"/>
  <c r="A4842" i="5"/>
  <c r="A4841" i="5"/>
  <c r="A4840" i="5"/>
  <c r="A4839" i="5"/>
  <c r="A4838" i="5"/>
  <c r="A4837" i="5"/>
  <c r="A4836" i="5"/>
  <c r="A4835" i="5"/>
  <c r="A4834" i="5"/>
  <c r="A4833" i="5"/>
  <c r="A4832" i="5"/>
  <c r="A4831" i="5"/>
  <c r="A4830" i="5"/>
  <c r="A4829" i="5"/>
  <c r="A4828" i="5"/>
  <c r="A4827" i="5"/>
  <c r="A4826" i="5"/>
  <c r="A4825" i="5"/>
  <c r="A4824" i="5"/>
  <c r="A4823" i="5"/>
  <c r="A4822" i="5"/>
  <c r="A4821" i="5"/>
  <c r="A4820" i="5"/>
  <c r="A4819" i="5"/>
  <c r="A4818" i="5"/>
  <c r="A4817" i="5"/>
  <c r="A4816" i="5"/>
  <c r="A4815" i="5"/>
  <c r="A4814" i="5"/>
  <c r="A4813" i="5"/>
  <c r="A4812" i="5"/>
  <c r="A4811" i="5"/>
  <c r="A4810" i="5"/>
  <c r="A4809" i="5"/>
  <c r="A4808" i="5"/>
  <c r="A4807" i="5"/>
  <c r="A4806" i="5"/>
  <c r="A4805" i="5"/>
  <c r="A4804" i="5"/>
  <c r="A4803" i="5"/>
  <c r="A4802" i="5"/>
  <c r="A4801" i="5"/>
  <c r="A4800" i="5"/>
  <c r="A4799" i="5"/>
  <c r="A4798" i="5"/>
  <c r="A4797" i="5"/>
  <c r="A4796" i="5"/>
  <c r="A4795" i="5"/>
  <c r="A4794" i="5"/>
  <c r="A4793" i="5"/>
  <c r="A4792" i="5"/>
  <c r="A4791" i="5"/>
  <c r="A4790" i="5"/>
  <c r="A4789" i="5"/>
  <c r="A4788" i="5"/>
  <c r="A4787" i="5"/>
  <c r="A4786" i="5"/>
  <c r="A4785" i="5"/>
  <c r="A4784" i="5"/>
  <c r="A4783" i="5"/>
  <c r="A4782" i="5"/>
  <c r="A4781" i="5"/>
  <c r="A4780" i="5"/>
  <c r="A4779" i="5"/>
  <c r="A4778" i="5"/>
  <c r="A4777" i="5"/>
  <c r="A4776" i="5"/>
  <c r="A4775" i="5"/>
  <c r="A4774" i="5"/>
  <c r="A4773" i="5"/>
  <c r="A4772" i="5"/>
  <c r="A4771" i="5"/>
  <c r="A4770" i="5"/>
  <c r="A4769" i="5"/>
  <c r="A4768" i="5"/>
  <c r="A4767" i="5"/>
  <c r="A4766" i="5"/>
  <c r="A4765" i="5"/>
  <c r="A4764" i="5"/>
  <c r="A4763" i="5"/>
  <c r="A4762" i="5"/>
  <c r="A4761" i="5"/>
  <c r="A4760" i="5"/>
  <c r="A4759" i="5"/>
  <c r="A4758" i="5"/>
  <c r="A4757" i="5"/>
  <c r="A4756" i="5"/>
  <c r="A4755" i="5"/>
  <c r="A4754" i="5"/>
  <c r="A4753" i="5"/>
  <c r="A4752" i="5"/>
  <c r="A4751" i="5"/>
  <c r="A4750" i="5"/>
  <c r="A4749" i="5"/>
  <c r="A4748" i="5"/>
  <c r="A4747" i="5"/>
  <c r="A4746" i="5"/>
  <c r="A4745" i="5"/>
  <c r="A4744" i="5"/>
  <c r="A4743" i="5"/>
  <c r="A4742" i="5"/>
  <c r="A4741" i="5"/>
  <c r="A4740" i="5"/>
  <c r="A4739" i="5"/>
  <c r="A4738" i="5"/>
  <c r="A4737" i="5"/>
  <c r="A4736" i="5"/>
  <c r="A4735" i="5"/>
  <c r="A4734" i="5"/>
  <c r="A4733" i="5"/>
  <c r="A4732" i="5"/>
  <c r="A4731" i="5"/>
  <c r="A4730" i="5"/>
  <c r="A4729" i="5"/>
  <c r="A4728" i="5"/>
  <c r="A4727" i="5"/>
  <c r="A4726" i="5"/>
  <c r="A4725" i="5"/>
  <c r="A4724" i="5"/>
  <c r="A4723" i="5"/>
  <c r="A4722" i="5"/>
  <c r="A4721" i="5"/>
  <c r="A4720" i="5"/>
  <c r="A4719" i="5"/>
  <c r="A4718" i="5"/>
  <c r="A4717" i="5"/>
  <c r="A4716" i="5"/>
  <c r="A4715" i="5"/>
  <c r="A4714" i="5"/>
  <c r="A4713" i="5"/>
  <c r="A4712" i="5"/>
  <c r="A4711" i="5"/>
  <c r="A4710" i="5"/>
  <c r="A4709" i="5"/>
  <c r="A4708" i="5"/>
  <c r="A4707" i="5"/>
  <c r="A4706" i="5"/>
  <c r="A4705" i="5"/>
  <c r="A4704" i="5"/>
  <c r="A4703" i="5"/>
  <c r="A4702" i="5"/>
  <c r="A4701" i="5"/>
  <c r="A4700" i="5"/>
  <c r="A4699" i="5"/>
  <c r="A4698" i="5"/>
  <c r="A4697" i="5"/>
  <c r="A4696" i="5"/>
  <c r="A4695" i="5"/>
  <c r="A4694" i="5"/>
  <c r="A4693" i="5"/>
  <c r="A4692" i="5"/>
  <c r="A4691" i="5"/>
  <c r="A4690" i="5"/>
  <c r="A4689" i="5"/>
  <c r="A4688" i="5"/>
  <c r="A4687" i="5"/>
  <c r="A4686" i="5"/>
  <c r="A4685" i="5"/>
  <c r="A4684" i="5"/>
  <c r="A4683" i="5"/>
  <c r="A4682" i="5"/>
  <c r="A4681" i="5"/>
  <c r="A4680" i="5"/>
  <c r="A4679" i="5"/>
  <c r="A4678" i="5"/>
  <c r="A4677" i="5"/>
  <c r="A4676" i="5"/>
  <c r="A4675" i="5"/>
  <c r="A4674" i="5"/>
  <c r="A4673" i="5"/>
  <c r="A4672" i="5"/>
  <c r="A4671" i="5"/>
  <c r="A4670" i="5"/>
  <c r="A4669" i="5"/>
  <c r="A4668" i="5"/>
  <c r="A4667" i="5"/>
  <c r="A4666" i="5"/>
  <c r="A4665" i="5"/>
  <c r="A4664" i="5"/>
  <c r="A4663" i="5"/>
  <c r="A4662" i="5"/>
  <c r="A4661" i="5"/>
  <c r="A4660" i="5"/>
  <c r="A4659" i="5"/>
  <c r="A4658" i="5"/>
  <c r="A4657" i="5"/>
  <c r="A4656" i="5"/>
  <c r="A4655" i="5"/>
  <c r="A4654" i="5"/>
  <c r="A4653" i="5"/>
  <c r="A4652" i="5"/>
  <c r="A4651" i="5"/>
  <c r="A4650" i="5"/>
  <c r="A4649" i="5"/>
  <c r="A4648" i="5"/>
  <c r="A4647" i="5"/>
  <c r="A4646" i="5"/>
  <c r="A4645" i="5"/>
  <c r="A4644" i="5"/>
  <c r="A4643" i="5"/>
  <c r="A4642" i="5"/>
  <c r="A4641" i="5"/>
  <c r="A4640" i="5"/>
  <c r="A4639" i="5"/>
  <c r="A4638" i="5"/>
  <c r="A4637" i="5"/>
  <c r="A4636" i="5"/>
  <c r="A4635" i="5"/>
  <c r="A4634" i="5"/>
  <c r="A4633" i="5"/>
  <c r="A4632" i="5"/>
  <c r="A4631" i="5"/>
  <c r="A4630" i="5"/>
  <c r="A4629" i="5"/>
  <c r="A4628" i="5"/>
  <c r="A4627" i="5"/>
  <c r="A4626" i="5"/>
  <c r="A4625" i="5"/>
  <c r="A4624" i="5"/>
  <c r="A4623" i="5"/>
  <c r="A4622" i="5"/>
  <c r="A4621" i="5"/>
  <c r="A4620" i="5"/>
  <c r="A4619" i="5"/>
  <c r="A4618" i="5"/>
  <c r="A4617" i="5"/>
  <c r="A4616" i="5"/>
  <c r="A4615" i="5"/>
  <c r="A4614" i="5"/>
  <c r="A4613" i="5"/>
  <c r="A4612" i="5"/>
  <c r="A4611" i="5"/>
  <c r="A4610" i="5"/>
  <c r="A4609" i="5"/>
  <c r="A4608" i="5"/>
  <c r="A4607" i="5"/>
  <c r="A4606" i="5"/>
  <c r="A4605" i="5"/>
  <c r="A4604" i="5"/>
  <c r="A4603" i="5"/>
  <c r="A4602" i="5"/>
  <c r="A4601" i="5"/>
  <c r="A4600" i="5"/>
  <c r="A4599" i="5"/>
  <c r="A4598" i="5"/>
  <c r="A4597" i="5"/>
  <c r="A4596" i="5"/>
  <c r="A4595" i="5"/>
  <c r="A4594" i="5"/>
  <c r="A4593" i="5"/>
  <c r="A4592" i="5"/>
  <c r="A4591" i="5"/>
  <c r="A4590" i="5"/>
  <c r="A4589" i="5"/>
  <c r="A4588" i="5"/>
  <c r="A4587" i="5"/>
  <c r="A4586" i="5"/>
  <c r="A4585" i="5"/>
  <c r="A4584" i="5"/>
  <c r="A4583" i="5"/>
  <c r="A4582" i="5"/>
  <c r="A4581" i="5"/>
  <c r="A4580" i="5"/>
  <c r="A4579" i="5"/>
  <c r="A4578" i="5"/>
  <c r="A4577" i="5"/>
  <c r="A4576" i="5"/>
  <c r="A4575" i="5"/>
  <c r="A4574" i="5"/>
  <c r="A4573" i="5"/>
  <c r="A4572" i="5"/>
  <c r="A4571" i="5"/>
  <c r="A4570" i="5"/>
  <c r="A4569" i="5"/>
  <c r="A4568" i="5"/>
  <c r="A4567" i="5"/>
  <c r="A4566" i="5"/>
  <c r="A4565" i="5"/>
  <c r="A4564" i="5"/>
  <c r="A4563" i="5"/>
  <c r="A4562" i="5"/>
  <c r="A4561" i="5"/>
  <c r="A4560" i="5"/>
  <c r="A4559" i="5"/>
  <c r="A4558" i="5"/>
  <c r="A4557" i="5"/>
  <c r="A4556" i="5"/>
  <c r="A4555" i="5"/>
  <c r="A4554" i="5"/>
  <c r="A4553" i="5"/>
  <c r="A4552" i="5"/>
  <c r="A4551" i="5"/>
  <c r="A4550" i="5"/>
  <c r="A4549" i="5"/>
  <c r="A4548" i="5"/>
  <c r="A4547" i="5"/>
  <c r="A4546" i="5"/>
  <c r="A4545" i="5"/>
  <c r="A4544" i="5"/>
  <c r="A4543" i="5"/>
  <c r="A4542" i="5"/>
  <c r="A4541" i="5"/>
  <c r="A4540" i="5"/>
  <c r="A4539" i="5"/>
  <c r="A4538" i="5"/>
  <c r="A4537" i="5"/>
  <c r="A4536" i="5"/>
  <c r="A4535" i="5"/>
  <c r="A4534" i="5"/>
  <c r="A4533" i="5"/>
  <c r="A4532" i="5"/>
  <c r="A4531" i="5"/>
  <c r="A4530" i="5"/>
  <c r="A4529" i="5"/>
  <c r="A4528" i="5"/>
  <c r="A4527" i="5"/>
  <c r="A4526" i="5"/>
  <c r="A4525" i="5"/>
  <c r="A4524" i="5"/>
  <c r="A4523" i="5"/>
  <c r="A4522" i="5"/>
  <c r="A4521" i="5"/>
  <c r="A4520" i="5"/>
  <c r="A4519" i="5"/>
  <c r="A4518" i="5"/>
  <c r="A4517" i="5"/>
  <c r="A4516" i="5"/>
  <c r="A4515" i="5"/>
  <c r="A4514" i="5"/>
  <c r="A4513" i="5"/>
  <c r="A4512" i="5"/>
  <c r="A4511" i="5"/>
  <c r="A4510" i="5"/>
  <c r="A4509" i="5"/>
  <c r="A4508" i="5"/>
  <c r="A4507" i="5"/>
  <c r="A4506" i="5"/>
  <c r="A4505" i="5"/>
  <c r="A4504" i="5"/>
  <c r="A4503" i="5"/>
  <c r="A4502" i="5"/>
  <c r="A4501" i="5"/>
  <c r="A4500" i="5"/>
  <c r="A4499" i="5"/>
  <c r="A4498" i="5"/>
  <c r="A4497" i="5"/>
  <c r="A4496" i="5"/>
  <c r="A4495" i="5"/>
  <c r="A4494" i="5"/>
  <c r="A4493" i="5"/>
  <c r="A4492" i="5"/>
  <c r="A4491" i="5"/>
  <c r="A4490" i="5"/>
  <c r="A4489" i="5"/>
  <c r="A4488" i="5"/>
  <c r="A4487" i="5"/>
  <c r="A4486" i="5"/>
  <c r="A4485" i="5"/>
  <c r="A4484" i="5"/>
  <c r="A4483" i="5"/>
  <c r="A4482" i="5"/>
  <c r="A4481" i="5"/>
  <c r="A4480" i="5"/>
  <c r="A4479" i="5"/>
  <c r="A4478" i="5"/>
  <c r="A4477" i="5"/>
  <c r="A4476" i="5"/>
  <c r="A4475" i="5"/>
  <c r="A4474" i="5"/>
  <c r="A4473" i="5"/>
  <c r="A4472" i="5"/>
  <c r="A4471" i="5"/>
  <c r="A4470" i="5"/>
  <c r="A4469" i="5"/>
  <c r="A4468" i="5"/>
  <c r="A4467" i="5"/>
  <c r="A4466" i="5"/>
  <c r="A4465" i="5"/>
  <c r="A4464" i="5"/>
  <c r="A4463" i="5"/>
  <c r="A4462" i="5"/>
  <c r="A4461" i="5"/>
  <c r="A4460" i="5"/>
  <c r="A4459" i="5"/>
  <c r="A4458" i="5"/>
  <c r="A4457" i="5"/>
  <c r="A4456" i="5"/>
  <c r="A4455" i="5"/>
  <c r="A4454" i="5"/>
  <c r="A4453" i="5"/>
  <c r="A4452" i="5"/>
  <c r="A4451" i="5"/>
  <c r="A4450" i="5"/>
  <c r="A4449" i="5"/>
  <c r="A4448" i="5"/>
  <c r="A4447" i="5"/>
  <c r="A4446" i="5"/>
  <c r="A4445" i="5"/>
  <c r="A4444" i="5"/>
  <c r="A4443" i="5"/>
  <c r="A4442" i="5"/>
  <c r="A4441" i="5"/>
  <c r="A4440" i="5"/>
  <c r="A4439" i="5"/>
  <c r="A4438" i="5"/>
  <c r="A4437" i="5"/>
  <c r="A4436" i="5"/>
  <c r="A4435" i="5"/>
  <c r="A4434" i="5"/>
  <c r="A4433" i="5"/>
  <c r="A4432" i="5"/>
  <c r="A4431" i="5"/>
  <c r="A4430" i="5"/>
  <c r="A4429" i="5"/>
  <c r="A4428" i="5"/>
  <c r="A4427" i="5"/>
  <c r="A4426" i="5"/>
  <c r="A4425" i="5"/>
  <c r="A4424" i="5"/>
  <c r="A4423" i="5"/>
  <c r="A4422" i="5"/>
  <c r="A4421" i="5"/>
  <c r="A4420" i="5"/>
  <c r="A4419" i="5"/>
  <c r="A4418" i="5"/>
  <c r="A4417" i="5"/>
  <c r="A4416" i="5"/>
  <c r="A4415" i="5"/>
  <c r="A4414" i="5"/>
  <c r="A4413" i="5"/>
  <c r="A4412" i="5"/>
  <c r="A4411" i="5"/>
  <c r="A4410" i="5"/>
  <c r="A4409" i="5"/>
  <c r="A4408" i="5"/>
  <c r="A4407" i="5"/>
  <c r="A4406" i="5"/>
  <c r="A4405" i="5"/>
  <c r="A4404" i="5"/>
  <c r="A4403" i="5"/>
  <c r="A4402" i="5"/>
  <c r="A4401" i="5"/>
  <c r="A4400" i="5"/>
  <c r="A4399" i="5"/>
  <c r="A4398" i="5"/>
  <c r="A4397" i="5"/>
  <c r="A4396" i="5"/>
  <c r="A4395" i="5"/>
  <c r="A4394" i="5"/>
  <c r="A4393" i="5"/>
  <c r="A4392" i="5"/>
  <c r="A4391" i="5"/>
  <c r="A4390" i="5"/>
  <c r="A4389" i="5"/>
  <c r="A4388" i="5"/>
  <c r="A4387" i="5"/>
  <c r="A4386" i="5"/>
  <c r="A4385" i="5"/>
  <c r="A4384" i="5"/>
  <c r="A4383" i="5"/>
  <c r="A4382" i="5"/>
  <c r="A4381" i="5"/>
  <c r="A4380" i="5"/>
  <c r="A4379" i="5"/>
  <c r="A4378" i="5"/>
  <c r="A4377" i="5"/>
  <c r="A4376" i="5"/>
  <c r="A4375" i="5"/>
  <c r="A4374" i="5"/>
  <c r="A4373" i="5"/>
  <c r="A4372" i="5"/>
  <c r="A4371" i="5"/>
  <c r="A4370" i="5"/>
  <c r="A4369" i="5"/>
  <c r="A4368" i="5"/>
  <c r="A4367" i="5"/>
  <c r="A4366" i="5"/>
  <c r="A4365" i="5"/>
  <c r="A4364" i="5"/>
  <c r="A4363" i="5"/>
  <c r="A4362" i="5"/>
  <c r="A4361" i="5"/>
  <c r="A4360" i="5"/>
  <c r="A4359" i="5"/>
  <c r="A4358" i="5"/>
  <c r="A4357" i="5"/>
  <c r="A4356" i="5"/>
  <c r="A4355" i="5"/>
  <c r="A4354" i="5"/>
  <c r="A4353" i="5"/>
  <c r="A4352" i="5"/>
  <c r="A4351" i="5"/>
  <c r="A4350" i="5"/>
  <c r="A4349" i="5"/>
  <c r="A4348" i="5"/>
  <c r="A4347" i="5"/>
  <c r="A4346" i="5"/>
  <c r="A4345" i="5"/>
  <c r="A4344" i="5"/>
  <c r="A4343" i="5"/>
  <c r="A4342" i="5"/>
  <c r="A4341" i="5"/>
  <c r="A4340" i="5"/>
  <c r="A4339" i="5"/>
  <c r="A4338" i="5"/>
  <c r="A4337" i="5"/>
  <c r="A4336" i="5"/>
  <c r="A4335" i="5"/>
  <c r="A4334" i="5"/>
  <c r="A4333" i="5"/>
  <c r="A4332" i="5"/>
  <c r="A4331" i="5"/>
  <c r="A4330" i="5"/>
  <c r="A4329" i="5"/>
  <c r="A4328" i="5"/>
  <c r="A4327" i="5"/>
  <c r="A4326" i="5"/>
  <c r="A4325" i="5"/>
  <c r="A4324" i="5"/>
  <c r="A4323" i="5"/>
  <c r="A4322" i="5"/>
  <c r="A4321" i="5"/>
  <c r="A4320" i="5"/>
  <c r="A4319" i="5"/>
  <c r="A4318" i="5"/>
  <c r="A4317" i="5"/>
  <c r="A4316" i="5"/>
  <c r="A4315" i="5"/>
  <c r="A4314" i="5"/>
  <c r="A4313" i="5"/>
  <c r="A4312" i="5"/>
  <c r="A4311" i="5"/>
  <c r="A4310" i="5"/>
  <c r="A4309" i="5"/>
  <c r="A4308" i="5"/>
  <c r="A4307" i="5"/>
  <c r="A4306" i="5"/>
  <c r="A4305" i="5"/>
  <c r="A4304" i="5"/>
  <c r="A4303" i="5"/>
  <c r="A4302" i="5"/>
  <c r="A4301" i="5"/>
  <c r="A4300" i="5"/>
  <c r="A4299" i="5"/>
  <c r="A4298" i="5"/>
  <c r="A4297" i="5"/>
  <c r="A4296" i="5"/>
  <c r="A4295" i="5"/>
  <c r="A4294" i="5"/>
  <c r="A4293" i="5"/>
  <c r="A4292" i="5"/>
  <c r="A4291" i="5"/>
  <c r="A4290" i="5"/>
  <c r="A4289" i="5"/>
  <c r="A4288" i="5"/>
  <c r="A4287" i="5"/>
  <c r="A4286" i="5"/>
  <c r="A4285" i="5"/>
  <c r="A4284" i="5"/>
  <c r="A4283" i="5"/>
  <c r="A4282" i="5"/>
  <c r="A4281" i="5"/>
  <c r="A4280" i="5"/>
  <c r="A4279" i="5"/>
  <c r="A4278" i="5"/>
  <c r="A4277" i="5"/>
  <c r="A4276" i="5"/>
  <c r="A4275" i="5"/>
  <c r="A4274" i="5"/>
  <c r="A4273" i="5"/>
  <c r="A4272" i="5"/>
  <c r="A4271" i="5"/>
  <c r="A4270" i="5"/>
  <c r="A4269" i="5"/>
  <c r="A4268" i="5"/>
  <c r="A4267" i="5"/>
  <c r="A4266" i="5"/>
  <c r="A4265" i="5"/>
  <c r="A4264" i="5"/>
  <c r="A4263" i="5"/>
  <c r="A4262" i="5"/>
  <c r="A4261" i="5"/>
  <c r="A4260" i="5"/>
  <c r="A4259" i="5"/>
  <c r="A4258" i="5"/>
  <c r="A4257" i="5"/>
  <c r="A4256" i="5"/>
  <c r="A4255" i="5"/>
  <c r="A4254" i="5"/>
  <c r="A4253" i="5"/>
  <c r="A4252" i="5"/>
  <c r="A4251" i="5"/>
  <c r="A4250" i="5"/>
  <c r="A4249" i="5"/>
  <c r="A4248" i="5"/>
  <c r="A4247" i="5"/>
  <c r="A4246" i="5"/>
  <c r="A4245" i="5"/>
  <c r="A4244" i="5"/>
  <c r="A4243" i="5"/>
  <c r="A4242" i="5"/>
  <c r="A4241" i="5"/>
  <c r="A4240" i="5"/>
  <c r="A4239" i="5"/>
  <c r="A4238" i="5"/>
  <c r="A4237" i="5"/>
  <c r="A4236" i="5"/>
  <c r="A4235" i="5"/>
  <c r="A4234" i="5"/>
  <c r="A4233" i="5"/>
  <c r="A4232" i="5"/>
  <c r="A4231" i="5"/>
  <c r="A4230" i="5"/>
  <c r="A4229" i="5"/>
  <c r="A4228" i="5"/>
  <c r="A4227" i="5"/>
  <c r="A4226" i="5"/>
  <c r="A4225" i="5"/>
  <c r="A4224" i="5"/>
  <c r="A4223" i="5"/>
  <c r="A4222" i="5"/>
  <c r="A4221" i="5"/>
  <c r="A4220" i="5"/>
  <c r="A4219" i="5"/>
  <c r="A4218" i="5"/>
  <c r="A4217" i="5"/>
  <c r="A4216" i="5"/>
  <c r="A4215" i="5"/>
  <c r="A4214" i="5"/>
  <c r="A4213" i="5"/>
  <c r="A4212" i="5"/>
  <c r="A4211" i="5"/>
  <c r="A4210" i="5"/>
  <c r="A4209" i="5"/>
  <c r="A4208" i="5"/>
  <c r="A4207" i="5"/>
  <c r="A4206" i="5"/>
  <c r="A4205" i="5"/>
  <c r="A4204" i="5"/>
  <c r="A4203" i="5"/>
  <c r="A4202" i="5"/>
  <c r="A4201" i="5"/>
  <c r="A4200" i="5"/>
  <c r="A4199" i="5"/>
  <c r="A4198" i="5"/>
  <c r="A4197" i="5"/>
  <c r="A4196" i="5"/>
  <c r="A4195" i="5"/>
  <c r="A4194" i="5"/>
  <c r="A4193" i="5"/>
  <c r="A4192" i="5"/>
  <c r="A4191" i="5"/>
  <c r="A4190" i="5"/>
  <c r="A4189" i="5"/>
  <c r="A4188" i="5"/>
  <c r="A4187" i="5"/>
  <c r="A4186" i="5"/>
  <c r="A4185" i="5"/>
  <c r="A4184" i="5"/>
  <c r="A4183" i="5"/>
  <c r="A4182" i="5"/>
  <c r="A4181" i="5"/>
  <c r="A4180" i="5"/>
  <c r="A4179" i="5"/>
  <c r="A4178" i="5"/>
  <c r="A4177" i="5"/>
  <c r="A4176" i="5"/>
  <c r="A4175" i="5"/>
  <c r="A4174" i="5"/>
  <c r="A4173" i="5"/>
  <c r="A4172" i="5"/>
  <c r="A4171" i="5"/>
  <c r="A4170" i="5"/>
  <c r="A4169" i="5"/>
  <c r="A4168" i="5"/>
  <c r="A4167" i="5"/>
  <c r="A4166" i="5"/>
  <c r="A4165" i="5"/>
  <c r="A4164" i="5"/>
  <c r="A4163" i="5"/>
  <c r="A4162" i="5"/>
  <c r="A4161" i="5"/>
  <c r="A4160" i="5"/>
  <c r="A4159" i="5"/>
  <c r="A4158" i="5"/>
  <c r="A4157" i="5"/>
  <c r="A4156" i="5"/>
  <c r="A4155" i="5"/>
  <c r="A4154" i="5"/>
  <c r="A4153" i="5"/>
  <c r="A4152" i="5"/>
  <c r="A4151" i="5"/>
  <c r="A4150" i="5"/>
  <c r="A4149" i="5"/>
  <c r="A4148" i="5"/>
  <c r="A4147" i="5"/>
  <c r="A4146" i="5"/>
  <c r="A4145" i="5"/>
  <c r="A4144" i="5"/>
  <c r="A4143" i="5"/>
  <c r="A4142" i="5"/>
  <c r="A4141" i="5"/>
  <c r="A4140" i="5"/>
  <c r="A4139" i="5"/>
  <c r="A4138" i="5"/>
  <c r="A4137" i="5"/>
  <c r="A4136" i="5"/>
  <c r="A4135" i="5"/>
  <c r="A4134" i="5"/>
  <c r="A4133" i="5"/>
  <c r="A4132" i="5"/>
  <c r="A4131" i="5"/>
  <c r="A4130" i="5"/>
  <c r="A4129" i="5"/>
  <c r="A4128" i="5"/>
  <c r="A4127" i="5"/>
  <c r="A4126" i="5"/>
  <c r="A4125" i="5"/>
  <c r="A4124" i="5"/>
  <c r="A4123" i="5"/>
  <c r="A4122" i="5"/>
  <c r="A4121" i="5"/>
  <c r="A4120" i="5"/>
  <c r="A4119" i="5"/>
  <c r="A4118" i="5"/>
  <c r="A4117" i="5"/>
  <c r="A4116" i="5"/>
  <c r="A4115" i="5"/>
  <c r="A4114" i="5"/>
  <c r="A4113" i="5"/>
  <c r="A4112" i="5"/>
  <c r="A4111" i="5"/>
  <c r="A4110" i="5"/>
  <c r="A4109" i="5"/>
  <c r="A4108" i="5"/>
  <c r="A4107" i="5"/>
  <c r="A4106" i="5"/>
  <c r="A4105" i="5"/>
  <c r="A4104" i="5"/>
  <c r="A4103" i="5"/>
  <c r="A4102" i="5"/>
  <c r="A4101" i="5"/>
  <c r="A4100" i="5"/>
  <c r="A4099" i="5"/>
  <c r="A4098" i="5"/>
  <c r="A4097" i="5"/>
  <c r="A4096" i="5"/>
  <c r="A4095" i="5"/>
  <c r="A4094" i="5"/>
  <c r="A4093" i="5"/>
  <c r="A4092" i="5"/>
  <c r="A4091" i="5"/>
  <c r="A4090" i="5"/>
  <c r="A4089" i="5"/>
  <c r="A4088" i="5"/>
  <c r="A4087" i="5"/>
  <c r="A4086" i="5"/>
  <c r="A4085" i="5"/>
  <c r="A4084" i="5"/>
  <c r="A4083" i="5"/>
  <c r="A4082" i="5"/>
  <c r="A4081" i="5"/>
  <c r="A4080" i="5"/>
  <c r="A4079" i="5"/>
  <c r="A4078" i="5"/>
  <c r="A4077" i="5"/>
  <c r="A4076" i="5"/>
  <c r="A4075" i="5"/>
  <c r="A4074" i="5"/>
  <c r="A4073" i="5"/>
  <c r="A4072" i="5"/>
  <c r="A4071" i="5"/>
  <c r="A4070" i="5"/>
  <c r="A4069" i="5"/>
  <c r="A4068" i="5"/>
  <c r="A4067" i="5"/>
  <c r="A4066" i="5"/>
  <c r="A4065" i="5"/>
  <c r="A4064" i="5"/>
  <c r="A4063" i="5"/>
  <c r="A4062" i="5"/>
  <c r="A4061" i="5"/>
  <c r="A4060" i="5"/>
  <c r="A4059" i="5"/>
  <c r="A4058" i="5"/>
  <c r="A4057" i="5"/>
  <c r="A4056" i="5"/>
  <c r="A4055" i="5"/>
  <c r="A4054" i="5"/>
  <c r="A4053" i="5"/>
  <c r="A4052" i="5"/>
  <c r="A4051" i="5"/>
  <c r="A4050" i="5"/>
  <c r="A4049" i="5"/>
  <c r="A4048" i="5"/>
  <c r="A4047" i="5"/>
  <c r="A4046" i="5"/>
  <c r="A4045" i="5"/>
  <c r="A4044" i="5"/>
  <c r="A4043" i="5"/>
  <c r="A4042" i="5"/>
  <c r="A4041" i="5"/>
  <c r="A4040" i="5"/>
  <c r="A4039" i="5"/>
  <c r="A4038" i="5"/>
  <c r="A4037" i="5"/>
  <c r="A4036" i="5"/>
  <c r="A4035" i="5"/>
  <c r="A4034" i="5"/>
  <c r="A4033" i="5"/>
  <c r="A4032" i="5"/>
  <c r="A4031" i="5"/>
  <c r="A4030" i="5"/>
  <c r="A4029" i="5"/>
  <c r="A4028" i="5"/>
  <c r="A4027" i="5"/>
  <c r="A4026" i="5"/>
  <c r="A4025" i="5"/>
  <c r="A4024" i="5"/>
  <c r="A4023" i="5"/>
  <c r="A4022" i="5"/>
  <c r="A4021" i="5"/>
  <c r="A4020" i="5"/>
  <c r="A4019" i="5"/>
  <c r="A4018" i="5"/>
  <c r="A4017" i="5"/>
  <c r="A4016" i="5"/>
  <c r="A4015" i="5"/>
  <c r="A4014" i="5"/>
  <c r="A4013" i="5"/>
  <c r="A4012" i="5"/>
  <c r="A4011" i="5"/>
  <c r="A4010" i="5"/>
  <c r="A4009" i="5"/>
  <c r="A4008" i="5"/>
  <c r="A4007" i="5"/>
  <c r="A4006" i="5"/>
  <c r="A4005" i="5"/>
  <c r="A4004" i="5"/>
  <c r="A4003" i="5"/>
  <c r="A4002" i="5"/>
  <c r="A4001" i="5"/>
  <c r="A4000" i="5"/>
  <c r="A3999" i="5"/>
  <c r="A3998" i="5"/>
  <c r="A3997" i="5"/>
  <c r="A3996" i="5"/>
  <c r="A3995" i="5"/>
  <c r="A3994" i="5"/>
  <c r="A3993" i="5"/>
  <c r="A3992" i="5"/>
  <c r="A3991" i="5"/>
  <c r="A3990" i="5"/>
  <c r="A3989" i="5"/>
  <c r="A3988" i="5"/>
  <c r="A3987" i="5"/>
  <c r="A3986" i="5"/>
  <c r="A3985" i="5"/>
  <c r="A3984" i="5"/>
  <c r="A3983" i="5"/>
  <c r="A3982" i="5"/>
  <c r="A3981" i="5"/>
  <c r="A3980" i="5"/>
  <c r="A3979" i="5"/>
  <c r="A3978" i="5"/>
  <c r="A3977" i="5"/>
  <c r="A3976" i="5"/>
  <c r="A3975" i="5"/>
  <c r="A3974" i="5"/>
  <c r="A3973" i="5"/>
  <c r="A3972" i="5"/>
  <c r="A3971" i="5"/>
  <c r="A3970" i="5"/>
  <c r="A3969" i="5"/>
  <c r="A3968" i="5"/>
  <c r="A3967" i="5"/>
  <c r="A3966" i="5"/>
  <c r="A3965" i="5"/>
  <c r="A3964" i="5"/>
  <c r="A3963" i="5"/>
  <c r="A3962" i="5"/>
  <c r="A3961" i="5"/>
  <c r="A3960" i="5"/>
  <c r="A3959" i="5"/>
  <c r="A3958" i="5"/>
  <c r="A3957" i="5"/>
  <c r="A3956" i="5"/>
  <c r="A3955" i="5"/>
  <c r="A3954" i="5"/>
  <c r="A3953" i="5"/>
  <c r="A3952" i="5"/>
  <c r="A3951" i="5"/>
  <c r="A3950" i="5"/>
  <c r="A3949" i="5"/>
  <c r="A3948" i="5"/>
  <c r="A3947" i="5"/>
  <c r="A3946" i="5"/>
  <c r="A3945" i="5"/>
  <c r="A3944" i="5"/>
  <c r="A3943" i="5"/>
  <c r="A3942" i="5"/>
  <c r="A3941" i="5"/>
  <c r="A3940" i="5"/>
  <c r="A3939" i="5"/>
  <c r="A3938" i="5"/>
  <c r="A3937" i="5"/>
  <c r="A3936" i="5"/>
  <c r="A3935" i="5"/>
  <c r="A3934" i="5"/>
  <c r="A3933" i="5"/>
  <c r="A3932" i="5"/>
  <c r="A3931" i="5"/>
  <c r="A3930" i="5"/>
  <c r="A3929" i="5"/>
  <c r="A3928" i="5"/>
  <c r="A3927" i="5"/>
  <c r="A3926" i="5"/>
  <c r="A3925" i="5"/>
  <c r="A3924" i="5"/>
  <c r="A3923" i="5"/>
  <c r="A3922" i="5"/>
  <c r="A3921" i="5"/>
  <c r="A3920" i="5"/>
  <c r="A3919" i="5"/>
  <c r="A3918" i="5"/>
  <c r="A3917" i="5"/>
  <c r="A3916" i="5"/>
  <c r="A3915" i="5"/>
  <c r="A3914" i="5"/>
  <c r="A3913" i="5"/>
  <c r="A3912" i="5"/>
  <c r="A3911" i="5"/>
  <c r="A3910" i="5"/>
  <c r="A3909" i="5"/>
  <c r="A3908" i="5"/>
  <c r="A3907" i="5"/>
  <c r="A3906" i="5"/>
  <c r="A3905" i="5"/>
  <c r="A3904" i="5"/>
  <c r="A3903" i="5"/>
  <c r="A3902" i="5"/>
  <c r="A3901" i="5"/>
  <c r="A3900" i="5"/>
  <c r="A3899" i="5"/>
  <c r="A3898" i="5"/>
  <c r="A3897" i="5"/>
  <c r="A3896" i="5"/>
  <c r="A3895" i="5"/>
  <c r="A3894" i="5"/>
  <c r="A3893" i="5"/>
  <c r="A3892" i="5"/>
  <c r="A3891" i="5"/>
  <c r="A3890" i="5"/>
  <c r="A3889" i="5"/>
  <c r="A3888" i="5"/>
  <c r="A3887" i="5"/>
  <c r="A3886" i="5"/>
  <c r="A3885" i="5"/>
  <c r="A3884" i="5"/>
  <c r="A3883" i="5"/>
  <c r="A3882" i="5"/>
  <c r="A3881" i="5"/>
  <c r="A3880" i="5"/>
  <c r="A3879" i="5"/>
  <c r="A3878" i="5"/>
  <c r="A3877" i="5"/>
  <c r="A3876" i="5"/>
  <c r="A3875" i="5"/>
  <c r="A3874" i="5"/>
  <c r="A3873" i="5"/>
  <c r="A3872" i="5"/>
  <c r="A3871" i="5"/>
  <c r="A3870" i="5"/>
  <c r="A3869" i="5"/>
  <c r="A3868" i="5"/>
  <c r="A3867" i="5"/>
  <c r="A3866" i="5"/>
  <c r="A3865" i="5"/>
  <c r="A3864" i="5"/>
  <c r="A3863" i="5"/>
  <c r="A3862" i="5"/>
  <c r="A3861" i="5"/>
  <c r="A3860" i="5"/>
  <c r="A3859" i="5"/>
  <c r="A3858" i="5"/>
  <c r="A3857" i="5"/>
  <c r="A3856" i="5"/>
  <c r="A3855" i="5"/>
  <c r="A3854" i="5"/>
  <c r="A3853" i="5"/>
  <c r="A3852" i="5"/>
  <c r="A3851" i="5"/>
  <c r="A3850" i="5"/>
  <c r="A3849" i="5"/>
  <c r="A3848" i="5"/>
  <c r="A3847" i="5"/>
  <c r="A3846" i="5"/>
  <c r="A3845" i="5"/>
  <c r="A3844" i="5"/>
  <c r="A3843" i="5"/>
  <c r="A3842" i="5"/>
  <c r="A3841" i="5"/>
  <c r="A3840" i="5"/>
  <c r="A3839" i="5"/>
  <c r="A3838" i="5"/>
  <c r="A3837" i="5"/>
  <c r="A3836" i="5"/>
  <c r="A3835" i="5"/>
  <c r="A3834" i="5"/>
  <c r="A3833" i="5"/>
  <c r="A3832" i="5"/>
  <c r="A3831" i="5"/>
  <c r="A3830" i="5"/>
  <c r="A3829" i="5"/>
  <c r="A3828" i="5"/>
  <c r="A3827" i="5"/>
  <c r="A3826" i="5"/>
  <c r="A3825" i="5"/>
  <c r="A3824" i="5"/>
  <c r="A3823" i="5"/>
  <c r="A3822" i="5"/>
  <c r="A3821" i="5"/>
  <c r="A3820" i="5"/>
  <c r="A3819" i="5"/>
  <c r="A3818" i="5"/>
  <c r="A3817" i="5"/>
  <c r="A3816" i="5"/>
  <c r="A3815" i="5"/>
  <c r="A3814" i="5"/>
  <c r="A3813" i="5"/>
  <c r="A3812" i="5"/>
  <c r="A3811" i="5"/>
  <c r="A3810" i="5"/>
  <c r="A3809" i="5"/>
  <c r="A3808" i="5"/>
  <c r="A3807" i="5"/>
  <c r="A3806" i="5"/>
  <c r="A3805" i="5"/>
  <c r="A3804" i="5"/>
  <c r="A3803" i="5"/>
  <c r="A3802" i="5"/>
  <c r="A3801" i="5"/>
  <c r="A3800" i="5"/>
  <c r="A3799" i="5"/>
  <c r="A3798" i="5"/>
  <c r="A3797" i="5"/>
  <c r="A3796" i="5"/>
  <c r="A3795" i="5"/>
  <c r="A3794" i="5"/>
  <c r="A3793" i="5"/>
  <c r="A3792" i="5"/>
  <c r="A3791" i="5"/>
  <c r="A3790" i="5"/>
  <c r="A3789" i="5"/>
  <c r="A3788" i="5"/>
  <c r="A3787" i="5"/>
  <c r="A3786" i="5"/>
  <c r="A3785" i="5"/>
  <c r="A3784" i="5"/>
  <c r="A3783" i="5"/>
  <c r="A3782" i="5"/>
  <c r="A3781" i="5"/>
  <c r="A3780" i="5"/>
  <c r="A3779" i="5"/>
  <c r="A3778" i="5"/>
  <c r="A3777" i="5"/>
  <c r="A3776" i="5"/>
  <c r="A3775" i="5"/>
  <c r="A3774" i="5"/>
  <c r="A3773" i="5"/>
  <c r="A3772" i="5"/>
  <c r="A3771" i="5"/>
  <c r="A3770" i="5"/>
  <c r="A3769" i="5"/>
  <c r="A3768" i="5"/>
  <c r="A3767" i="5"/>
  <c r="A3766" i="5"/>
  <c r="A3765" i="5"/>
  <c r="A3764" i="5"/>
  <c r="A3763" i="5"/>
  <c r="A3762" i="5"/>
  <c r="A3761" i="5"/>
  <c r="A3760" i="5"/>
  <c r="A3759" i="5"/>
  <c r="A3758" i="5"/>
  <c r="A3757" i="5"/>
  <c r="A3756" i="5"/>
  <c r="A3755" i="5"/>
  <c r="A3754" i="5"/>
  <c r="A3753" i="5"/>
  <c r="A3752" i="5"/>
  <c r="A3751" i="5"/>
  <c r="A3750" i="5"/>
  <c r="A3749" i="5"/>
  <c r="A3748" i="5"/>
  <c r="A3747" i="5"/>
  <c r="A3746" i="5"/>
  <c r="A3745" i="5"/>
  <c r="A3744" i="5"/>
  <c r="A3743" i="5"/>
  <c r="A3742" i="5"/>
  <c r="A3741" i="5"/>
  <c r="A3740" i="5"/>
  <c r="A3739" i="5"/>
  <c r="A3738" i="5"/>
  <c r="A3737" i="5"/>
  <c r="A3736" i="5"/>
  <c r="A3735" i="5"/>
  <c r="A3734" i="5"/>
  <c r="A3733" i="5"/>
  <c r="A3732" i="5"/>
  <c r="A3731" i="5"/>
  <c r="A3730" i="5"/>
  <c r="A3729" i="5"/>
  <c r="A3728" i="5"/>
  <c r="A3727" i="5"/>
  <c r="A3726" i="5"/>
  <c r="A3725" i="5"/>
  <c r="A3724" i="5"/>
  <c r="A3723" i="5"/>
  <c r="A3722" i="5"/>
  <c r="A3721" i="5"/>
  <c r="A3720" i="5"/>
  <c r="A3719" i="5"/>
  <c r="A3718" i="5"/>
  <c r="A3717" i="5"/>
  <c r="A3716" i="5"/>
  <c r="A3715" i="5"/>
  <c r="A3714" i="5"/>
  <c r="A3713" i="5"/>
  <c r="A3712" i="5"/>
  <c r="A3711" i="5"/>
  <c r="A3710" i="5"/>
  <c r="A3709" i="5"/>
  <c r="A3708" i="5"/>
  <c r="A3707" i="5"/>
  <c r="A3706" i="5"/>
  <c r="A3705" i="5"/>
  <c r="A3704" i="5"/>
  <c r="A3703" i="5"/>
  <c r="A3702" i="5"/>
  <c r="A3701" i="5"/>
  <c r="A3700" i="5"/>
  <c r="A3699" i="5"/>
  <c r="A3698" i="5"/>
  <c r="A3697" i="5"/>
  <c r="A3696" i="5"/>
  <c r="A3695" i="5"/>
  <c r="A3694" i="5"/>
  <c r="A3693" i="5"/>
  <c r="A3692" i="5"/>
  <c r="A3691" i="5"/>
  <c r="A3690" i="5"/>
  <c r="A3689" i="5"/>
  <c r="A3688" i="5"/>
  <c r="A3687" i="5"/>
  <c r="A3686" i="5"/>
  <c r="A3685" i="5"/>
  <c r="A3684" i="5"/>
  <c r="A3683" i="5"/>
  <c r="A3682" i="5"/>
  <c r="A3681" i="5"/>
  <c r="A3680" i="5"/>
  <c r="A3679" i="5"/>
  <c r="A3678" i="5"/>
  <c r="A3677" i="5"/>
  <c r="A3676" i="5"/>
  <c r="A3675" i="5"/>
  <c r="A3674" i="5"/>
  <c r="A3673" i="5"/>
  <c r="A3672" i="5"/>
  <c r="A3671" i="5"/>
  <c r="A3670" i="5"/>
  <c r="A3669" i="5"/>
  <c r="A3668" i="5"/>
  <c r="A3667" i="5"/>
  <c r="A3666" i="5"/>
  <c r="A3665" i="5"/>
  <c r="A3664" i="5"/>
  <c r="A3663" i="5"/>
  <c r="A3662" i="5"/>
  <c r="A3661" i="5"/>
  <c r="A3660" i="5"/>
  <c r="A3659" i="5"/>
  <c r="A3658" i="5"/>
  <c r="A3657" i="5"/>
  <c r="A3656" i="5"/>
  <c r="A3655" i="5"/>
  <c r="A3654" i="5"/>
  <c r="A3653" i="5"/>
  <c r="A3652" i="5"/>
  <c r="A3651" i="5"/>
  <c r="A3650" i="5"/>
  <c r="A3649" i="5"/>
  <c r="A3648" i="5"/>
  <c r="A3647" i="5"/>
  <c r="A3646" i="5"/>
  <c r="A3645" i="5"/>
  <c r="A3644" i="5"/>
  <c r="A3643" i="5"/>
  <c r="A3642" i="5"/>
  <c r="A3641" i="5"/>
  <c r="A3640" i="5"/>
  <c r="A3639" i="5"/>
  <c r="A3638" i="5"/>
  <c r="A3637" i="5"/>
  <c r="A3636" i="5"/>
  <c r="A3635" i="5"/>
  <c r="A3634" i="5"/>
  <c r="A3633" i="5"/>
  <c r="A3632" i="5"/>
  <c r="A3631" i="5"/>
  <c r="A3630" i="5"/>
  <c r="A3629" i="5"/>
  <c r="A3628" i="5"/>
  <c r="A3627" i="5"/>
  <c r="A3626" i="5"/>
  <c r="A3625" i="5"/>
  <c r="A3624" i="5"/>
  <c r="A3623" i="5"/>
  <c r="A3622" i="5"/>
  <c r="A3621" i="5"/>
  <c r="A3620" i="5"/>
  <c r="A3619" i="5"/>
  <c r="A3618" i="5"/>
  <c r="A3617" i="5"/>
  <c r="A3616" i="5"/>
  <c r="A3615" i="5"/>
  <c r="A3614" i="5"/>
  <c r="A3613" i="5"/>
  <c r="A3612" i="5"/>
  <c r="A3611" i="5"/>
  <c r="A3610" i="5"/>
  <c r="A3609" i="5"/>
  <c r="A3608" i="5"/>
  <c r="A3607" i="5"/>
  <c r="A3606" i="5"/>
  <c r="A3605" i="5"/>
  <c r="A3604" i="5"/>
  <c r="A3603" i="5"/>
  <c r="A3602" i="5"/>
  <c r="A3601" i="5"/>
  <c r="A3600" i="5"/>
  <c r="A3599" i="5"/>
  <c r="A3598" i="5"/>
  <c r="A3597" i="5"/>
  <c r="A3596" i="5"/>
  <c r="A3595" i="5"/>
  <c r="A3594" i="5"/>
  <c r="A3593" i="5"/>
  <c r="A3592" i="5"/>
  <c r="A3591" i="5"/>
  <c r="A3590" i="5"/>
  <c r="A3589" i="5"/>
  <c r="A3588" i="5"/>
  <c r="A3587" i="5"/>
  <c r="A3586" i="5"/>
  <c r="A3585" i="5"/>
  <c r="A3584" i="5"/>
  <c r="A3583" i="5"/>
  <c r="A3582" i="5"/>
  <c r="A3581" i="5"/>
  <c r="A3580" i="5"/>
  <c r="A3579" i="5"/>
  <c r="A3578" i="5"/>
  <c r="A3577" i="5"/>
  <c r="A3576" i="5"/>
  <c r="A3575" i="5"/>
  <c r="A3574" i="5"/>
  <c r="A3573" i="5"/>
  <c r="A3572" i="5"/>
  <c r="A3571" i="5"/>
  <c r="A3570" i="5"/>
  <c r="A3569" i="5"/>
  <c r="A3568" i="5"/>
  <c r="A3567" i="5"/>
  <c r="A3566" i="5"/>
  <c r="A3565" i="5"/>
  <c r="A3564" i="5"/>
  <c r="A3563" i="5"/>
  <c r="A3562" i="5"/>
  <c r="A3561" i="5"/>
  <c r="A3560" i="5"/>
  <c r="A3559" i="5"/>
  <c r="A3558" i="5"/>
  <c r="A3557" i="5"/>
  <c r="A3556" i="5"/>
  <c r="A3555" i="5"/>
  <c r="A3554" i="5"/>
  <c r="A3553" i="5"/>
  <c r="A3552" i="5"/>
  <c r="A3551" i="5"/>
  <c r="A3550" i="5"/>
  <c r="A3549" i="5"/>
  <c r="A3548" i="5"/>
  <c r="A3547" i="5"/>
  <c r="A3546" i="5"/>
  <c r="A3545" i="5"/>
  <c r="A3544" i="5"/>
  <c r="A3543" i="5"/>
  <c r="A3542" i="5"/>
  <c r="A3541" i="5"/>
  <c r="A3540" i="5"/>
  <c r="A3539" i="5"/>
  <c r="A3538" i="5"/>
  <c r="A3537" i="5"/>
  <c r="A3536" i="5"/>
  <c r="A3535" i="5"/>
  <c r="A3534" i="5"/>
  <c r="A3533" i="5"/>
  <c r="A3532" i="5"/>
  <c r="A3531" i="5"/>
  <c r="A3530" i="5"/>
  <c r="A3529" i="5"/>
  <c r="A3528" i="5"/>
  <c r="A3527" i="5"/>
  <c r="A3526" i="5"/>
  <c r="A3525" i="5"/>
  <c r="A3524" i="5"/>
  <c r="A3523" i="5"/>
  <c r="A3522" i="5"/>
  <c r="A3521" i="5"/>
  <c r="A3520" i="5"/>
  <c r="A3519" i="5"/>
  <c r="A3518" i="5"/>
  <c r="A3517" i="5"/>
  <c r="A3516" i="5"/>
  <c r="A3515" i="5"/>
  <c r="A3514" i="5"/>
  <c r="A3513" i="5"/>
  <c r="A3512" i="5"/>
  <c r="A3511" i="5"/>
  <c r="A3510" i="5"/>
  <c r="A3509" i="5"/>
  <c r="A3508" i="5"/>
  <c r="A3507" i="5"/>
  <c r="A3506" i="5"/>
  <c r="A3505" i="5"/>
  <c r="A3504" i="5"/>
  <c r="A3503" i="5"/>
  <c r="A3502" i="5"/>
  <c r="A3501" i="5"/>
  <c r="A3500" i="5"/>
  <c r="A3499" i="5"/>
  <c r="A3498" i="5"/>
  <c r="A3497" i="5"/>
  <c r="A3496" i="5"/>
  <c r="A3495" i="5"/>
  <c r="A3494" i="5"/>
  <c r="A3493" i="5"/>
  <c r="A3492" i="5"/>
  <c r="A3491" i="5"/>
  <c r="A3490" i="5"/>
  <c r="A3489" i="5"/>
  <c r="A3488" i="5"/>
  <c r="A3487" i="5"/>
  <c r="A3486" i="5"/>
  <c r="A3485" i="5"/>
  <c r="A3484" i="5"/>
  <c r="A3483" i="5"/>
  <c r="A3482" i="5"/>
  <c r="A3481" i="5"/>
  <c r="A3480" i="5"/>
  <c r="A3479" i="5"/>
  <c r="A3478" i="5"/>
  <c r="A3477" i="5"/>
  <c r="A3476" i="5"/>
  <c r="A3475" i="5"/>
  <c r="A3474" i="5"/>
  <c r="A3473" i="5"/>
  <c r="A3472" i="5"/>
  <c r="A3471" i="5"/>
  <c r="A3470" i="5"/>
  <c r="A3469" i="5"/>
  <c r="A3468" i="5"/>
  <c r="A3467" i="5"/>
  <c r="A3466" i="5"/>
  <c r="A3465" i="5"/>
  <c r="A3464" i="5"/>
  <c r="A3463" i="5"/>
  <c r="A3462" i="5"/>
  <c r="A3461" i="5"/>
  <c r="A3460" i="5"/>
  <c r="A3459" i="5"/>
  <c r="A3458" i="5"/>
  <c r="A3457" i="5"/>
  <c r="A3456" i="5"/>
  <c r="A3455" i="5"/>
  <c r="A3454" i="5"/>
  <c r="A3453" i="5"/>
  <c r="A3452" i="5"/>
  <c r="A3451" i="5"/>
  <c r="A3450" i="5"/>
  <c r="A3449" i="5"/>
  <c r="A3448" i="5"/>
  <c r="A3447" i="5"/>
  <c r="A3446" i="5"/>
  <c r="A3445" i="5"/>
  <c r="A3444" i="5"/>
  <c r="A3443" i="5"/>
  <c r="A3442" i="5"/>
  <c r="A3441" i="5"/>
  <c r="A3440" i="5"/>
  <c r="A3439" i="5"/>
  <c r="A3438" i="5"/>
  <c r="A3437" i="5"/>
  <c r="A3436" i="5"/>
  <c r="A3435" i="5"/>
  <c r="A3434" i="5"/>
  <c r="A3433" i="5"/>
  <c r="A3432" i="5"/>
  <c r="A3431" i="5"/>
  <c r="A3430" i="5"/>
  <c r="A3429" i="5"/>
  <c r="A3428" i="5"/>
  <c r="A3427" i="5"/>
  <c r="A3426" i="5"/>
  <c r="A3425" i="5"/>
  <c r="A3424" i="5"/>
  <c r="A3423" i="5"/>
  <c r="A3422" i="5"/>
  <c r="A3421" i="5"/>
  <c r="A3420" i="5"/>
  <c r="A3419" i="5"/>
  <c r="A3418" i="5"/>
  <c r="A3417" i="5"/>
  <c r="A3416" i="5"/>
  <c r="A3415" i="5"/>
  <c r="A3414" i="5"/>
  <c r="A3413" i="5"/>
  <c r="A3412" i="5"/>
  <c r="A3411" i="5"/>
  <c r="A3410" i="5"/>
  <c r="A3409" i="5"/>
  <c r="A3408" i="5"/>
  <c r="A3407" i="5"/>
  <c r="A3406" i="5"/>
  <c r="A3405" i="5"/>
  <c r="A3404" i="5"/>
  <c r="A3403" i="5"/>
  <c r="A3402" i="5"/>
  <c r="A3401" i="5"/>
  <c r="A3400" i="5"/>
  <c r="A3399" i="5"/>
  <c r="A3398" i="5"/>
  <c r="A3397" i="5"/>
  <c r="A3396" i="5"/>
  <c r="A3395" i="5"/>
  <c r="A3394" i="5"/>
  <c r="A3393" i="5"/>
  <c r="A3392" i="5"/>
  <c r="A3391" i="5"/>
  <c r="A3390" i="5"/>
  <c r="A3389" i="5"/>
  <c r="A3388" i="5"/>
  <c r="A3387" i="5"/>
  <c r="A3386" i="5"/>
  <c r="A3385" i="5"/>
  <c r="A3384" i="5"/>
  <c r="A3383" i="5"/>
  <c r="A3382" i="5"/>
  <c r="A3381" i="5"/>
  <c r="A3380" i="5"/>
  <c r="A3379" i="5"/>
  <c r="A3378" i="5"/>
  <c r="A3377" i="5"/>
  <c r="A3376" i="5"/>
  <c r="A3375" i="5"/>
  <c r="A3374" i="5"/>
  <c r="A3373" i="5"/>
  <c r="A3372" i="5"/>
  <c r="A3371" i="5"/>
  <c r="A3370" i="5"/>
  <c r="A3369" i="5"/>
  <c r="A3368" i="5"/>
  <c r="A3367" i="5"/>
  <c r="A3366" i="5"/>
  <c r="A3365" i="5"/>
  <c r="A3364" i="5"/>
  <c r="A3363" i="5"/>
  <c r="A3362" i="5"/>
  <c r="A3361" i="5"/>
  <c r="A3360" i="5"/>
  <c r="A3359" i="5"/>
  <c r="A3358" i="5"/>
  <c r="A3357" i="5"/>
  <c r="A3356" i="5"/>
  <c r="A3355" i="5"/>
  <c r="A3354" i="5"/>
  <c r="A3353" i="5"/>
  <c r="A3352" i="5"/>
  <c r="A3351" i="5"/>
  <c r="A3350" i="5"/>
  <c r="A3349" i="5"/>
  <c r="A3348" i="5"/>
  <c r="A3347" i="5"/>
  <c r="A3346" i="5"/>
  <c r="A3345" i="5"/>
  <c r="A3344" i="5"/>
  <c r="A3343" i="5"/>
  <c r="A3342" i="5"/>
  <c r="A3341" i="5"/>
  <c r="A3340" i="5"/>
  <c r="A3339" i="5"/>
  <c r="A3338" i="5"/>
  <c r="A3337" i="5"/>
  <c r="A3336" i="5"/>
  <c r="A3335" i="5"/>
  <c r="A3334" i="5"/>
  <c r="A3333" i="5"/>
  <c r="A3332" i="5"/>
  <c r="A3331" i="5"/>
  <c r="A3330" i="5"/>
  <c r="A3329" i="5"/>
  <c r="A3328" i="5"/>
  <c r="A3327" i="5"/>
  <c r="A3326" i="5"/>
  <c r="A3325" i="5"/>
  <c r="A3324" i="5"/>
  <c r="A3323" i="5"/>
  <c r="A3322" i="5"/>
  <c r="A3321" i="5"/>
  <c r="A3320" i="5"/>
  <c r="A3319" i="5"/>
  <c r="A3318" i="5"/>
  <c r="A3317" i="5"/>
  <c r="A3316" i="5"/>
  <c r="A3315" i="5"/>
  <c r="A3314" i="5"/>
  <c r="A3313" i="5"/>
  <c r="A3312" i="5"/>
  <c r="A3311" i="5"/>
  <c r="A3310" i="5"/>
  <c r="A3309" i="5"/>
  <c r="A3308" i="5"/>
  <c r="A3307" i="5"/>
  <c r="A3306" i="5"/>
  <c r="A3305" i="5"/>
  <c r="A3304" i="5"/>
  <c r="A3303" i="5"/>
  <c r="A3302" i="5"/>
  <c r="A3301" i="5"/>
  <c r="A3300" i="5"/>
  <c r="A3299" i="5"/>
  <c r="A3298" i="5"/>
  <c r="A3297" i="5"/>
  <c r="A3296" i="5"/>
  <c r="A3295" i="5"/>
  <c r="A3294" i="5"/>
  <c r="A3293" i="5"/>
  <c r="A3292" i="5"/>
  <c r="A3291" i="5"/>
  <c r="A3290" i="5"/>
  <c r="A3289" i="5"/>
  <c r="A3288" i="5"/>
  <c r="A3287" i="5"/>
  <c r="A3286" i="5"/>
  <c r="A3285" i="5"/>
  <c r="A3284" i="5"/>
  <c r="A3283" i="5"/>
  <c r="A3282" i="5"/>
  <c r="A3281" i="5"/>
  <c r="A3280" i="5"/>
  <c r="A3279" i="5"/>
  <c r="A3278" i="5"/>
  <c r="A3277" i="5"/>
  <c r="A3276" i="5"/>
  <c r="A3275" i="5"/>
  <c r="A3274" i="5"/>
  <c r="A3273" i="5"/>
  <c r="A3272" i="5"/>
  <c r="A3271" i="5"/>
  <c r="A3270" i="5"/>
  <c r="A3269" i="5"/>
  <c r="A3268" i="5"/>
  <c r="A3267" i="5"/>
  <c r="A3266" i="5"/>
  <c r="A3265" i="5"/>
  <c r="A3264" i="5"/>
  <c r="A3263" i="5"/>
  <c r="A3262" i="5"/>
  <c r="A3261" i="5"/>
  <c r="A3260" i="5"/>
  <c r="A3259" i="5"/>
  <c r="A3258" i="5"/>
  <c r="A3257" i="5"/>
  <c r="A3256" i="5"/>
  <c r="A3255" i="5"/>
  <c r="A3254" i="5"/>
  <c r="A3253" i="5"/>
  <c r="A3252" i="5"/>
  <c r="A3251" i="5"/>
  <c r="A3250" i="5"/>
  <c r="A3249" i="5"/>
  <c r="A3248" i="5"/>
  <c r="A3247" i="5"/>
  <c r="A3246" i="5"/>
  <c r="A3245" i="5"/>
  <c r="A3244" i="5"/>
  <c r="A3243" i="5"/>
  <c r="A3242" i="5"/>
  <c r="A3241" i="5"/>
  <c r="A3240" i="5"/>
  <c r="A3239" i="5"/>
  <c r="A3238" i="5"/>
  <c r="A3237" i="5"/>
  <c r="A3236" i="5"/>
  <c r="A3235" i="5"/>
  <c r="A3234" i="5"/>
  <c r="A3233" i="5"/>
  <c r="A3232" i="5"/>
  <c r="A3231" i="5"/>
  <c r="A3230" i="5"/>
  <c r="A3229" i="5"/>
  <c r="A3228" i="5"/>
  <c r="A3227" i="5"/>
  <c r="A3226" i="5"/>
  <c r="A3225" i="5"/>
  <c r="A3224" i="5"/>
  <c r="A3223" i="5"/>
  <c r="A3222" i="5"/>
  <c r="A3221" i="5"/>
  <c r="A3220" i="5"/>
  <c r="A3219" i="5"/>
  <c r="A3218" i="5"/>
  <c r="A3217" i="5"/>
  <c r="A3216" i="5"/>
  <c r="A3215" i="5"/>
  <c r="A3214" i="5"/>
  <c r="A3213" i="5"/>
  <c r="A3212" i="5"/>
  <c r="A3211" i="5"/>
  <c r="A3210" i="5"/>
  <c r="A3209" i="5"/>
  <c r="A3208" i="5"/>
  <c r="A3207" i="5"/>
  <c r="A3206" i="5"/>
  <c r="A3205" i="5"/>
  <c r="A3204" i="5"/>
  <c r="A3203" i="5"/>
  <c r="A3202" i="5"/>
  <c r="A3201" i="5"/>
  <c r="A3200" i="5"/>
  <c r="A3199" i="5"/>
  <c r="A3198" i="5"/>
  <c r="A3197" i="5"/>
  <c r="A3196" i="5"/>
  <c r="A3195" i="5"/>
  <c r="A3194" i="5"/>
  <c r="A3193" i="5"/>
  <c r="A3192" i="5"/>
  <c r="A3191" i="5"/>
  <c r="A3190" i="5"/>
  <c r="A3189" i="5"/>
  <c r="A3188" i="5"/>
  <c r="A3187" i="5"/>
  <c r="A3186" i="5"/>
  <c r="A3185" i="5"/>
  <c r="A3184" i="5"/>
  <c r="A3183" i="5"/>
  <c r="A3182" i="5"/>
  <c r="A3181" i="5"/>
  <c r="A3180" i="5"/>
  <c r="A3179" i="5"/>
  <c r="A3178" i="5"/>
  <c r="A3177" i="5"/>
  <c r="A3176" i="5"/>
  <c r="A3175" i="5"/>
  <c r="A3174" i="5"/>
  <c r="A3173" i="5"/>
  <c r="A3172" i="5"/>
  <c r="A3171" i="5"/>
  <c r="A3170" i="5"/>
  <c r="A3169" i="5"/>
  <c r="A3168" i="5"/>
  <c r="A3167" i="5"/>
  <c r="A3166" i="5"/>
  <c r="A3165" i="5"/>
  <c r="A3164" i="5"/>
  <c r="A3163" i="5"/>
  <c r="A3162" i="5"/>
  <c r="A3161" i="5"/>
  <c r="A3160" i="5"/>
  <c r="A3159" i="5"/>
  <c r="A3158" i="5"/>
  <c r="A3157" i="5"/>
  <c r="A3156" i="5"/>
  <c r="A3155" i="5"/>
  <c r="A3154" i="5"/>
  <c r="A3153" i="5"/>
  <c r="A3152" i="5"/>
  <c r="A3151" i="5"/>
  <c r="A3150" i="5"/>
  <c r="A3149" i="5"/>
  <c r="A3148" i="5"/>
  <c r="A3147" i="5"/>
  <c r="A3146" i="5"/>
  <c r="A3145" i="5"/>
  <c r="A3144" i="5"/>
  <c r="A3143" i="5"/>
  <c r="A3142" i="5"/>
  <c r="A3141" i="5"/>
  <c r="A3140" i="5"/>
  <c r="A3139" i="5"/>
  <c r="A3138" i="5"/>
  <c r="A3137" i="5"/>
  <c r="A3136" i="5"/>
  <c r="A3135" i="5"/>
  <c r="A3134" i="5"/>
  <c r="A3133" i="5"/>
  <c r="A3132" i="5"/>
  <c r="A3131" i="5"/>
  <c r="A3130" i="5"/>
  <c r="A3129" i="5"/>
  <c r="A3128" i="5"/>
  <c r="A3127" i="5"/>
  <c r="A3126" i="5"/>
  <c r="A3125" i="5"/>
  <c r="A3124" i="5"/>
  <c r="A3123" i="5"/>
  <c r="A3122" i="5"/>
  <c r="A3121" i="5"/>
  <c r="A3120" i="5"/>
  <c r="A3119" i="5"/>
  <c r="A3118" i="5"/>
  <c r="A3117" i="5"/>
  <c r="A3116" i="5"/>
  <c r="A3115" i="5"/>
  <c r="A3114" i="5"/>
  <c r="A3113" i="5"/>
  <c r="A3112" i="5"/>
  <c r="A3111" i="5"/>
  <c r="A3110" i="5"/>
  <c r="A3109" i="5"/>
  <c r="A3108" i="5"/>
  <c r="A3107" i="5"/>
  <c r="A3106" i="5"/>
  <c r="A3105" i="5"/>
  <c r="A3104" i="5"/>
  <c r="A3103" i="5"/>
  <c r="A3102" i="5"/>
  <c r="A3101" i="5"/>
  <c r="A3100" i="5"/>
  <c r="A3099" i="5"/>
  <c r="A3098" i="5"/>
  <c r="A3097" i="5"/>
  <c r="A3096" i="5"/>
  <c r="A3095" i="5"/>
  <c r="A3094" i="5"/>
  <c r="A3093" i="5"/>
  <c r="A3092" i="5"/>
  <c r="A3091" i="5"/>
  <c r="A3090" i="5"/>
  <c r="A3089" i="5"/>
  <c r="A3088" i="5"/>
  <c r="A3087" i="5"/>
  <c r="A3086" i="5"/>
  <c r="A3085" i="5"/>
  <c r="A3084" i="5"/>
  <c r="A3083" i="5"/>
  <c r="A3082" i="5"/>
  <c r="A3081" i="5"/>
  <c r="A3080" i="5"/>
  <c r="A3079" i="5"/>
  <c r="A3078" i="5"/>
  <c r="A3077" i="5"/>
  <c r="A3076" i="5"/>
  <c r="A3075" i="5"/>
  <c r="A3074" i="5"/>
  <c r="A3073" i="5"/>
  <c r="A3072" i="5"/>
  <c r="A3071" i="5"/>
  <c r="A3070" i="5"/>
  <c r="A3069" i="5"/>
  <c r="A3068" i="5"/>
  <c r="A3067" i="5"/>
  <c r="A3066" i="5"/>
  <c r="A3065" i="5"/>
  <c r="A3064" i="5"/>
  <c r="A3063" i="5"/>
  <c r="A3062" i="5"/>
  <c r="A3061" i="5"/>
  <c r="A3060" i="5"/>
  <c r="A3059" i="5"/>
  <c r="A3058" i="5"/>
  <c r="A3057" i="5"/>
  <c r="A3056" i="5"/>
  <c r="A3055" i="5"/>
  <c r="A3054" i="5"/>
  <c r="A3053" i="5"/>
  <c r="A3052" i="5"/>
  <c r="A3051" i="5"/>
  <c r="A3050" i="5"/>
  <c r="A3049" i="5"/>
  <c r="A3048" i="5"/>
  <c r="A3047" i="5"/>
  <c r="A3046" i="5"/>
  <c r="A3045" i="5"/>
  <c r="A3044" i="5"/>
  <c r="A3043" i="5"/>
  <c r="A3042" i="5"/>
  <c r="A3041" i="5"/>
  <c r="A3040" i="5"/>
  <c r="A3039" i="5"/>
  <c r="A3038" i="5"/>
  <c r="A3037" i="5"/>
  <c r="A3036" i="5"/>
  <c r="A3035" i="5"/>
  <c r="A3034" i="5"/>
  <c r="A3033" i="5"/>
  <c r="A3032" i="5"/>
  <c r="A3031" i="5"/>
  <c r="A3030" i="5"/>
  <c r="A3029" i="5"/>
  <c r="A3028" i="5"/>
  <c r="A3027" i="5"/>
  <c r="A3026" i="5"/>
  <c r="A3025" i="5"/>
  <c r="A3024" i="5"/>
  <c r="A3023" i="5"/>
  <c r="A3022" i="5"/>
  <c r="A3021" i="5"/>
  <c r="A3020" i="5"/>
  <c r="A3019" i="5"/>
  <c r="A3018" i="5"/>
  <c r="A3017" i="5"/>
  <c r="A3016" i="5"/>
  <c r="A3015" i="5"/>
  <c r="A3014" i="5"/>
  <c r="A3013" i="5"/>
  <c r="A3012" i="5"/>
  <c r="A3011" i="5"/>
  <c r="A3010" i="5"/>
  <c r="A3009" i="5"/>
  <c r="A3008" i="5"/>
  <c r="A3007" i="5"/>
  <c r="A3006" i="5"/>
  <c r="A3005" i="5"/>
  <c r="A3004" i="5"/>
  <c r="A3003" i="5"/>
  <c r="A3002" i="5"/>
  <c r="A3001" i="5"/>
  <c r="A3000" i="5"/>
  <c r="A2999" i="5"/>
  <c r="A2998" i="5"/>
  <c r="A2997" i="5"/>
  <c r="A2996" i="5"/>
  <c r="A2995" i="5"/>
  <c r="A2994" i="5"/>
  <c r="A2993" i="5"/>
  <c r="A2992" i="5"/>
  <c r="A2991" i="5"/>
  <c r="A2990" i="5"/>
  <c r="A2989" i="5"/>
  <c r="A2988" i="5"/>
  <c r="A2987" i="5"/>
  <c r="A2986" i="5"/>
  <c r="A2985" i="5"/>
  <c r="A2984" i="5"/>
  <c r="A2983" i="5"/>
  <c r="A2982" i="5"/>
  <c r="A2981" i="5"/>
  <c r="A2980" i="5"/>
  <c r="A2979" i="5"/>
  <c r="A2978" i="5"/>
  <c r="A2977" i="5"/>
  <c r="A2976" i="5"/>
  <c r="A2975" i="5"/>
  <c r="A2974" i="5"/>
  <c r="A2973" i="5"/>
  <c r="A2972" i="5"/>
  <c r="A2971" i="5"/>
  <c r="A2970" i="5"/>
  <c r="A2969" i="5"/>
  <c r="A2968" i="5"/>
  <c r="A2967" i="5"/>
  <c r="A2966" i="5"/>
  <c r="A2965" i="5"/>
  <c r="A2964" i="5"/>
  <c r="A2963" i="5"/>
  <c r="A2962" i="5"/>
  <c r="A2961" i="5"/>
  <c r="A2960" i="5"/>
  <c r="A2959" i="5"/>
  <c r="A2958" i="5"/>
  <c r="A2957" i="5"/>
  <c r="A2956" i="5"/>
  <c r="A2955" i="5"/>
  <c r="A2954" i="5"/>
  <c r="A2953" i="5"/>
  <c r="A2952" i="5"/>
  <c r="A2951" i="5"/>
  <c r="A2950" i="5"/>
  <c r="A2949" i="5"/>
  <c r="A2948" i="5"/>
  <c r="A2947" i="5"/>
  <c r="A2946" i="5"/>
  <c r="A2945" i="5"/>
  <c r="A2944" i="5"/>
  <c r="A2943" i="5"/>
  <c r="A2942" i="5"/>
  <c r="A2941" i="5"/>
  <c r="A2940" i="5"/>
  <c r="A2939" i="5"/>
  <c r="A2938" i="5"/>
  <c r="A2937" i="5"/>
  <c r="A2936" i="5"/>
  <c r="A2935" i="5"/>
  <c r="A2934" i="5"/>
  <c r="A2933" i="5"/>
  <c r="A2932" i="5"/>
  <c r="A2931" i="5"/>
  <c r="A2930" i="5"/>
  <c r="A2929" i="5"/>
  <c r="A2928" i="5"/>
  <c r="A2927" i="5"/>
  <c r="A2926" i="5"/>
  <c r="A2925" i="5"/>
  <c r="A2924" i="5"/>
  <c r="A2923" i="5"/>
  <c r="A2922" i="5"/>
  <c r="A2921" i="5"/>
  <c r="A2920" i="5"/>
  <c r="A2919" i="5"/>
  <c r="A2918" i="5"/>
  <c r="A2917" i="5"/>
  <c r="A2916" i="5"/>
  <c r="A2915" i="5"/>
  <c r="A2914" i="5"/>
  <c r="A2913" i="5"/>
  <c r="A2912" i="5"/>
  <c r="A2911" i="5"/>
  <c r="A2910" i="5"/>
  <c r="A2909" i="5"/>
  <c r="A2908" i="5"/>
  <c r="A2907" i="5"/>
  <c r="A2906" i="5"/>
  <c r="A2905" i="5"/>
  <c r="A2904" i="5"/>
  <c r="A2903" i="5"/>
  <c r="A2902" i="5"/>
  <c r="A2901" i="5"/>
  <c r="A2900" i="5"/>
  <c r="A2899" i="5"/>
  <c r="A2898" i="5"/>
  <c r="A2897" i="5"/>
  <c r="A2896" i="5"/>
  <c r="A2895" i="5"/>
  <c r="A2894" i="5"/>
  <c r="A2893" i="5"/>
  <c r="A2892" i="5"/>
  <c r="A2891" i="5"/>
  <c r="A2890" i="5"/>
  <c r="A2889" i="5"/>
  <c r="A2888" i="5"/>
  <c r="A2887" i="5"/>
  <c r="A2886" i="5"/>
  <c r="A2885" i="5"/>
  <c r="A2884" i="5"/>
  <c r="A2883" i="5"/>
  <c r="A2882" i="5"/>
  <c r="A2881" i="5"/>
  <c r="A2880" i="5"/>
  <c r="A2879" i="5"/>
  <c r="A2878" i="5"/>
  <c r="A2877" i="5"/>
  <c r="A2876" i="5"/>
  <c r="A2875" i="5"/>
  <c r="A2874" i="5"/>
  <c r="A2873" i="5"/>
  <c r="A2872" i="5"/>
  <c r="A2871" i="5"/>
  <c r="A2870" i="5"/>
  <c r="A2869" i="5"/>
  <c r="A2868" i="5"/>
  <c r="A2867" i="5"/>
  <c r="A2866" i="5"/>
  <c r="A2865" i="5"/>
  <c r="A2864" i="5"/>
  <c r="A2863" i="5"/>
  <c r="A2862" i="5"/>
  <c r="A2861" i="5"/>
  <c r="A2860" i="5"/>
  <c r="A2859" i="5"/>
  <c r="A2858" i="5"/>
  <c r="A2857" i="5"/>
  <c r="A2856" i="5"/>
  <c r="A2855" i="5"/>
  <c r="A2854" i="5"/>
  <c r="A2853" i="5"/>
  <c r="A2852" i="5"/>
  <c r="A2851" i="5"/>
  <c r="A2850" i="5"/>
  <c r="A2849" i="5"/>
  <c r="A2848" i="5"/>
  <c r="A2847" i="5"/>
  <c r="A2846" i="5"/>
  <c r="A2845" i="5"/>
  <c r="A2844" i="5"/>
  <c r="A2843" i="5"/>
  <c r="A2842" i="5"/>
  <c r="A2841" i="5"/>
  <c r="A2840" i="5"/>
  <c r="A2839" i="5"/>
  <c r="A2838" i="5"/>
  <c r="A2837" i="5"/>
  <c r="A2836" i="5"/>
  <c r="A2835" i="5"/>
  <c r="A2834" i="5"/>
  <c r="A2833" i="5"/>
  <c r="A2832" i="5"/>
  <c r="A2831" i="5"/>
  <c r="A2830" i="5"/>
  <c r="A2829" i="5"/>
  <c r="A2828" i="5"/>
  <c r="A2827" i="5"/>
  <c r="A2826" i="5"/>
  <c r="A2825" i="5"/>
  <c r="A2824" i="5"/>
  <c r="A2823" i="5"/>
  <c r="A2822" i="5"/>
  <c r="A2821" i="5"/>
  <c r="A2820" i="5"/>
  <c r="A2819" i="5"/>
  <c r="A2818" i="5"/>
  <c r="A2817" i="5"/>
  <c r="A2816" i="5"/>
  <c r="A2815" i="5"/>
  <c r="A2814" i="5"/>
  <c r="A2813" i="5"/>
  <c r="A2812" i="5"/>
  <c r="A2811" i="5"/>
  <c r="A2810" i="5"/>
  <c r="A2809" i="5"/>
  <c r="A2808" i="5"/>
  <c r="A2807" i="5"/>
  <c r="A2806" i="5"/>
  <c r="A2805" i="5"/>
  <c r="A2804" i="5"/>
  <c r="A2803" i="5"/>
  <c r="A2802" i="5"/>
  <c r="A2801" i="5"/>
  <c r="A2800" i="5"/>
  <c r="A2799" i="5"/>
  <c r="A2798" i="5"/>
  <c r="A2797" i="5"/>
  <c r="A2796" i="5"/>
  <c r="A2795" i="5"/>
  <c r="A2794" i="5"/>
  <c r="A2793" i="5"/>
  <c r="A2792" i="5"/>
  <c r="A2791" i="5"/>
  <c r="A2790" i="5"/>
  <c r="A2789" i="5"/>
  <c r="A2788" i="5"/>
  <c r="A2787" i="5"/>
  <c r="A2786" i="5"/>
  <c r="A2785" i="5"/>
  <c r="A2784" i="5"/>
  <c r="A2783" i="5"/>
  <c r="A2782" i="5"/>
  <c r="A2781" i="5"/>
  <c r="A2780" i="5"/>
  <c r="A2779" i="5"/>
  <c r="A2778" i="5"/>
  <c r="A2777" i="5"/>
  <c r="A2776" i="5"/>
  <c r="A2775" i="5"/>
  <c r="A2774" i="5"/>
  <c r="A2773" i="5"/>
  <c r="A2772" i="5"/>
  <c r="A2771" i="5"/>
  <c r="A2770" i="5"/>
  <c r="A2769" i="5"/>
  <c r="A2768" i="5"/>
  <c r="A2767" i="5"/>
  <c r="A2766" i="5"/>
  <c r="A2765" i="5"/>
  <c r="A2764" i="5"/>
  <c r="A2763" i="5"/>
  <c r="A2762" i="5"/>
  <c r="A2761" i="5"/>
  <c r="A2760" i="5"/>
  <c r="A2759" i="5"/>
  <c r="A2758" i="5"/>
  <c r="A2757" i="5"/>
  <c r="A2756" i="5"/>
  <c r="A2755" i="5"/>
  <c r="A2754" i="5"/>
  <c r="A2753" i="5"/>
  <c r="A2752" i="5"/>
  <c r="A2751" i="5"/>
  <c r="A2750" i="5"/>
  <c r="A2749" i="5"/>
  <c r="A2748" i="5"/>
  <c r="A2747" i="5"/>
  <c r="A2746" i="5"/>
  <c r="A2745" i="5"/>
  <c r="A2744" i="5"/>
  <c r="A2743" i="5"/>
  <c r="A2742" i="5"/>
  <c r="A2741" i="5"/>
  <c r="A2740" i="5"/>
  <c r="A2739" i="5"/>
  <c r="A2738" i="5"/>
  <c r="A2737" i="5"/>
  <c r="A2736" i="5"/>
  <c r="A2735" i="5"/>
  <c r="A2734" i="5"/>
  <c r="A2733" i="5"/>
  <c r="A2732" i="5"/>
  <c r="A2731" i="5"/>
  <c r="A2730" i="5"/>
  <c r="A2729" i="5"/>
  <c r="A2728" i="5"/>
  <c r="A2727" i="5"/>
  <c r="A2726" i="5"/>
  <c r="A2725" i="5"/>
  <c r="A2724" i="5"/>
  <c r="A2723" i="5"/>
  <c r="A2722" i="5"/>
  <c r="A2721" i="5"/>
  <c r="A2720" i="5"/>
  <c r="A2719" i="5"/>
  <c r="A2718" i="5"/>
  <c r="A2717" i="5"/>
  <c r="A2716" i="5"/>
  <c r="A2715" i="5"/>
  <c r="A2714" i="5"/>
  <c r="A2713" i="5"/>
  <c r="A2712" i="5"/>
  <c r="A2711" i="5"/>
  <c r="A2710" i="5"/>
  <c r="A2709" i="5"/>
  <c r="A2708" i="5"/>
  <c r="A2707" i="5"/>
  <c r="A2706" i="5"/>
  <c r="A2705" i="5"/>
  <c r="A2704" i="5"/>
  <c r="A2703" i="5"/>
  <c r="A2702" i="5"/>
  <c r="A2701" i="5"/>
  <c r="A2700" i="5"/>
  <c r="A2699" i="5"/>
  <c r="A2698" i="5"/>
  <c r="A2697" i="5"/>
  <c r="A2696" i="5"/>
  <c r="A2695" i="5"/>
  <c r="A2694" i="5"/>
  <c r="A2693" i="5"/>
  <c r="A2692" i="5"/>
  <c r="A2691" i="5"/>
  <c r="A2690" i="5"/>
  <c r="A2689" i="5"/>
  <c r="A2688" i="5"/>
  <c r="A2687" i="5"/>
  <c r="A2686" i="5"/>
  <c r="A2685" i="5"/>
  <c r="A2684" i="5"/>
  <c r="A2683" i="5"/>
  <c r="A2682" i="5"/>
  <c r="A2681" i="5"/>
  <c r="A2680" i="5"/>
  <c r="A2679" i="5"/>
  <c r="A2678" i="5"/>
  <c r="A2677" i="5"/>
  <c r="A2676" i="5"/>
  <c r="A2675" i="5"/>
  <c r="A2674" i="5"/>
  <c r="A2673" i="5"/>
  <c r="A2672" i="5"/>
  <c r="A2671" i="5"/>
  <c r="A2670" i="5"/>
  <c r="A2669" i="5"/>
  <c r="A2668" i="5"/>
  <c r="A2667" i="5"/>
  <c r="A2666" i="5"/>
  <c r="A2665" i="5"/>
  <c r="A2664" i="5"/>
  <c r="A2663" i="5"/>
  <c r="A2662" i="5"/>
  <c r="A2661" i="5"/>
  <c r="A2660" i="5"/>
  <c r="A2659" i="5"/>
  <c r="A2658" i="5"/>
  <c r="A2657" i="5"/>
  <c r="A2656" i="5"/>
  <c r="A2655" i="5"/>
  <c r="A2654" i="5"/>
  <c r="A2653" i="5"/>
  <c r="A2652" i="5"/>
  <c r="A2651" i="5"/>
  <c r="A2650" i="5"/>
  <c r="A2649" i="5"/>
  <c r="A2648" i="5"/>
  <c r="A2647" i="5"/>
  <c r="A2646" i="5"/>
  <c r="A2645" i="5"/>
  <c r="A2644" i="5"/>
  <c r="A2643" i="5"/>
  <c r="A2642" i="5"/>
  <c r="A2641" i="5"/>
  <c r="A2640" i="5"/>
  <c r="A2639" i="5"/>
  <c r="A2638" i="5"/>
  <c r="A2637" i="5"/>
  <c r="A2636" i="5"/>
  <c r="A2635" i="5"/>
  <c r="A2634" i="5"/>
  <c r="A2633" i="5"/>
  <c r="A2632" i="5"/>
  <c r="A2631" i="5"/>
  <c r="A2630" i="5"/>
  <c r="A2629" i="5"/>
  <c r="A2628" i="5"/>
  <c r="A2627" i="5"/>
  <c r="A2626" i="5"/>
  <c r="A2625" i="5"/>
  <c r="A2624" i="5"/>
  <c r="A2623" i="5"/>
  <c r="A2622" i="5"/>
  <c r="A2621" i="5"/>
  <c r="A2620" i="5"/>
  <c r="A2619" i="5"/>
  <c r="A2618" i="5"/>
  <c r="A2617" i="5"/>
  <c r="A2616" i="5"/>
  <c r="A2615" i="5"/>
  <c r="A2614" i="5"/>
  <c r="A2613" i="5"/>
  <c r="A2612" i="5"/>
  <c r="A2611" i="5"/>
  <c r="A2610" i="5"/>
  <c r="A2609" i="5"/>
  <c r="A2608" i="5"/>
  <c r="A2607" i="5"/>
  <c r="A2606" i="5"/>
  <c r="A2605" i="5"/>
  <c r="A2604" i="5"/>
  <c r="A2603" i="5"/>
  <c r="A2602" i="5"/>
  <c r="A2601" i="5"/>
  <c r="A2600" i="5"/>
  <c r="A2599" i="5"/>
  <c r="A2598" i="5"/>
  <c r="A2597" i="5"/>
  <c r="A2596" i="5"/>
  <c r="A2595" i="5"/>
  <c r="A2594" i="5"/>
  <c r="A2593" i="5"/>
  <c r="A2592" i="5"/>
  <c r="A2591" i="5"/>
  <c r="A2590" i="5"/>
  <c r="A2589" i="5"/>
  <c r="A2588" i="5"/>
  <c r="A2587" i="5"/>
  <c r="A2586" i="5"/>
  <c r="A2585" i="5"/>
  <c r="A2584" i="5"/>
  <c r="A2583" i="5"/>
  <c r="A2582" i="5"/>
  <c r="A2581" i="5"/>
  <c r="A2580" i="5"/>
  <c r="A2579" i="5"/>
  <c r="A2578" i="5"/>
  <c r="A2577" i="5"/>
  <c r="A2576" i="5"/>
  <c r="A2575" i="5"/>
  <c r="A2574" i="5"/>
  <c r="A2573" i="5"/>
  <c r="A2572" i="5"/>
  <c r="A2571" i="5"/>
  <c r="A2570" i="5"/>
  <c r="A2569" i="5"/>
  <c r="A2568" i="5"/>
  <c r="A2567" i="5"/>
  <c r="A2566" i="5"/>
  <c r="A2565" i="5"/>
  <c r="A2564" i="5"/>
  <c r="A2563" i="5"/>
  <c r="A2562" i="5"/>
  <c r="A2561" i="5"/>
  <c r="A2560" i="5"/>
  <c r="A2559" i="5"/>
  <c r="A2558" i="5"/>
  <c r="A2557" i="5"/>
  <c r="A2556" i="5"/>
  <c r="A2555" i="5"/>
  <c r="A2554" i="5"/>
  <c r="A2553" i="5"/>
  <c r="A2552" i="5"/>
  <c r="A2551" i="5"/>
  <c r="A2550" i="5"/>
  <c r="A2549" i="5"/>
  <c r="A2548" i="5"/>
  <c r="A2547" i="5"/>
  <c r="A2546" i="5"/>
  <c r="A2545" i="5"/>
  <c r="A2544" i="5"/>
  <c r="A2543" i="5"/>
  <c r="A2542" i="5"/>
  <c r="A2541" i="5"/>
  <c r="A2540" i="5"/>
  <c r="A2539" i="5"/>
  <c r="A2538" i="5"/>
  <c r="A2537" i="5"/>
  <c r="A2536" i="5"/>
  <c r="A2535" i="5"/>
  <c r="A2534" i="5"/>
  <c r="A2533" i="5"/>
  <c r="A2532" i="5"/>
  <c r="A2531" i="5"/>
  <c r="A2530" i="5"/>
  <c r="A2529" i="5"/>
  <c r="A2528" i="5"/>
  <c r="A2527" i="5"/>
  <c r="A2526" i="5"/>
  <c r="A2525" i="5"/>
  <c r="A2524" i="5"/>
  <c r="A2523" i="5"/>
  <c r="A2522" i="5"/>
  <c r="A2521" i="5"/>
  <c r="A2520" i="5"/>
  <c r="A2519" i="5"/>
  <c r="A2518" i="5"/>
  <c r="A2517" i="5"/>
  <c r="A2516" i="5"/>
  <c r="A2515" i="5"/>
  <c r="A2514" i="5"/>
  <c r="A2513" i="5"/>
  <c r="A2512" i="5"/>
  <c r="A2511" i="5"/>
  <c r="A2510" i="5"/>
  <c r="A2509" i="5"/>
  <c r="A2508" i="5"/>
  <c r="A2507" i="5"/>
  <c r="A2506" i="5"/>
  <c r="A2505" i="5"/>
  <c r="A2504" i="5"/>
  <c r="A2503" i="5"/>
  <c r="A2502" i="5"/>
  <c r="A2501" i="5"/>
  <c r="A2500" i="5"/>
  <c r="A2499" i="5"/>
  <c r="A2498" i="5"/>
  <c r="A2497" i="5"/>
  <c r="A2496" i="5"/>
  <c r="A2495" i="5"/>
  <c r="A2494" i="5"/>
  <c r="A2493" i="5"/>
  <c r="A2492" i="5"/>
  <c r="A2491" i="5"/>
  <c r="A2490" i="5"/>
  <c r="A2489" i="5"/>
  <c r="A2488" i="5"/>
  <c r="A2487" i="5"/>
  <c r="A2486" i="5"/>
  <c r="A2485" i="5"/>
  <c r="A2484" i="5"/>
  <c r="A2483" i="5"/>
  <c r="A2482" i="5"/>
  <c r="A2481" i="5"/>
  <c r="A2480" i="5"/>
  <c r="A2479" i="5"/>
  <c r="A2478" i="5"/>
  <c r="A2477" i="5"/>
  <c r="A2476" i="5"/>
  <c r="A2475" i="5"/>
  <c r="A2474" i="5"/>
  <c r="A2473" i="5"/>
  <c r="A2472" i="5"/>
  <c r="A2471" i="5"/>
  <c r="A2470" i="5"/>
  <c r="A2469" i="5"/>
  <c r="A2468" i="5"/>
  <c r="A2467" i="5"/>
  <c r="A2466" i="5"/>
  <c r="A2465" i="5"/>
  <c r="A2464" i="5"/>
  <c r="A2463" i="5"/>
  <c r="A2462" i="5"/>
  <c r="A2461" i="5"/>
  <c r="A2460" i="5"/>
  <c r="A2459" i="5"/>
  <c r="A2458" i="5"/>
  <c r="A2457" i="5"/>
  <c r="A2456" i="5"/>
  <c r="A2455" i="5"/>
  <c r="A2454" i="5"/>
  <c r="A2453" i="5"/>
  <c r="A2452" i="5"/>
  <c r="A2451" i="5"/>
  <c r="A2450" i="5"/>
  <c r="A2449" i="5"/>
  <c r="A2448" i="5"/>
  <c r="A2447" i="5"/>
  <c r="A2446" i="5"/>
  <c r="A2445" i="5"/>
  <c r="A2444" i="5"/>
  <c r="A2443" i="5"/>
  <c r="A2442" i="5"/>
  <c r="A2441" i="5"/>
  <c r="A2440" i="5"/>
  <c r="A2439" i="5"/>
  <c r="A2438" i="5"/>
  <c r="A2437" i="5"/>
  <c r="A2436" i="5"/>
  <c r="A2435" i="5"/>
  <c r="A2434" i="5"/>
  <c r="A2433" i="5"/>
  <c r="A2432" i="5"/>
  <c r="A2431" i="5"/>
  <c r="A2430" i="5"/>
  <c r="A2429" i="5"/>
  <c r="A2428" i="5"/>
  <c r="A2427" i="5"/>
  <c r="A2426" i="5"/>
  <c r="A2425" i="5"/>
  <c r="A2424" i="5"/>
  <c r="A2423" i="5"/>
  <c r="A2422" i="5"/>
  <c r="A2421" i="5"/>
  <c r="A2420" i="5"/>
  <c r="A2419" i="5"/>
  <c r="A2418" i="5"/>
  <c r="A2417" i="5"/>
  <c r="A2416" i="5"/>
  <c r="A2415" i="5"/>
  <c r="A2414" i="5"/>
  <c r="A2413" i="5"/>
  <c r="A2412" i="5"/>
  <c r="A2411" i="5"/>
  <c r="A2410" i="5"/>
  <c r="A2409" i="5"/>
  <c r="A2408" i="5"/>
  <c r="A2407" i="5"/>
  <c r="A2406" i="5"/>
  <c r="A2405" i="5"/>
  <c r="A2404" i="5"/>
  <c r="A2403" i="5"/>
  <c r="A2402" i="5"/>
  <c r="A2401" i="5"/>
  <c r="A2400" i="5"/>
  <c r="A2399" i="5"/>
  <c r="A2398" i="5"/>
  <c r="A2397" i="5"/>
  <c r="A2396" i="5"/>
  <c r="A2395" i="5"/>
  <c r="A2394" i="5"/>
  <c r="A2393" i="5"/>
  <c r="A2392" i="5"/>
  <c r="A2391" i="5"/>
  <c r="A2390" i="5"/>
  <c r="A2389" i="5"/>
  <c r="A2388" i="5"/>
  <c r="A2387" i="5"/>
  <c r="A2386" i="5"/>
  <c r="A2385" i="5"/>
  <c r="A2384" i="5"/>
  <c r="A2383" i="5"/>
  <c r="A2382" i="5"/>
  <c r="A2381" i="5"/>
  <c r="A2380" i="5"/>
  <c r="A2379" i="5"/>
  <c r="A2378" i="5"/>
  <c r="A2377" i="5"/>
  <c r="A2376" i="5"/>
  <c r="A2375" i="5"/>
  <c r="A2374" i="5"/>
  <c r="A2373" i="5"/>
  <c r="A2372" i="5"/>
  <c r="A2371" i="5"/>
  <c r="A2370" i="5"/>
  <c r="A2369" i="5"/>
  <c r="A2368" i="5"/>
  <c r="A2367" i="5"/>
  <c r="A2366" i="5"/>
  <c r="A2365" i="5"/>
  <c r="A2364" i="5"/>
  <c r="A2363" i="5"/>
  <c r="A2362" i="5"/>
  <c r="A2361" i="5"/>
  <c r="A2360" i="5"/>
  <c r="A2359" i="5"/>
  <c r="A2358" i="5"/>
  <c r="A2357" i="5"/>
  <c r="A2356" i="5"/>
  <c r="A2355" i="5"/>
  <c r="A2354" i="5"/>
  <c r="A2353" i="5"/>
  <c r="A2352" i="5"/>
  <c r="A2351" i="5"/>
  <c r="A2350" i="5"/>
  <c r="A2349" i="5"/>
  <c r="A2348" i="5"/>
  <c r="A2347" i="5"/>
  <c r="A2346" i="5"/>
  <c r="A2345" i="5"/>
  <c r="A2344" i="5"/>
  <c r="A2343" i="5"/>
  <c r="A2342" i="5"/>
  <c r="A2341" i="5"/>
  <c r="A2340" i="5"/>
  <c r="A2339" i="5"/>
  <c r="A2338" i="5"/>
  <c r="A2337" i="5"/>
  <c r="A2336" i="5"/>
  <c r="A2335" i="5"/>
  <c r="A2334" i="5"/>
  <c r="A2333" i="5"/>
  <c r="A2332" i="5"/>
  <c r="A2331" i="5"/>
  <c r="A2330" i="5"/>
  <c r="A2329" i="5"/>
  <c r="A2328" i="5"/>
  <c r="A2327" i="5"/>
  <c r="A2326" i="5"/>
  <c r="A2325" i="5"/>
  <c r="A2324" i="5"/>
  <c r="A2323" i="5"/>
  <c r="A2322" i="5"/>
  <c r="A2321" i="5"/>
  <c r="A2320" i="5"/>
  <c r="A2319" i="5"/>
  <c r="A2318" i="5"/>
  <c r="A2317" i="5"/>
  <c r="A2316" i="5"/>
  <c r="A2315" i="5"/>
  <c r="A2314" i="5"/>
  <c r="A2313" i="5"/>
  <c r="A2312" i="5"/>
  <c r="A2311" i="5"/>
  <c r="A2310" i="5"/>
  <c r="A2309" i="5"/>
  <c r="A2308" i="5"/>
  <c r="A2307" i="5"/>
  <c r="A2306" i="5"/>
  <c r="A2305" i="5"/>
  <c r="A2304" i="5"/>
  <c r="A2303" i="5"/>
  <c r="A2302" i="5"/>
  <c r="A2301" i="5"/>
  <c r="A2300" i="5"/>
  <c r="A2299" i="5"/>
  <c r="A2298" i="5"/>
  <c r="A2297" i="5"/>
  <c r="A2296" i="5"/>
  <c r="A2295" i="5"/>
  <c r="A2294" i="5"/>
  <c r="A2293" i="5"/>
  <c r="A2292" i="5"/>
  <c r="A2291" i="5"/>
  <c r="A2290" i="5"/>
  <c r="A2289" i="5"/>
  <c r="A2288" i="5"/>
  <c r="A2287" i="5"/>
  <c r="A2286" i="5"/>
  <c r="A2285" i="5"/>
  <c r="A2284" i="5"/>
  <c r="A2283" i="5"/>
  <c r="A2282" i="5"/>
  <c r="A2281" i="5"/>
  <c r="A2280" i="5"/>
  <c r="A2279" i="5"/>
  <c r="A2278" i="5"/>
  <c r="A2277" i="5"/>
  <c r="A2276" i="5"/>
  <c r="A2275" i="5"/>
  <c r="A2274" i="5"/>
  <c r="A2273" i="5"/>
  <c r="A2272" i="5"/>
  <c r="A2271" i="5"/>
  <c r="A2270" i="5"/>
  <c r="A2269" i="5"/>
  <c r="A2268" i="5"/>
  <c r="A2267" i="5"/>
  <c r="A2266" i="5"/>
  <c r="A2265" i="5"/>
  <c r="A2264" i="5"/>
  <c r="A2263" i="5"/>
  <c r="A2262" i="5"/>
  <c r="A2261" i="5"/>
  <c r="A2260" i="5"/>
  <c r="A2259" i="5"/>
  <c r="A2258" i="5"/>
  <c r="A2257" i="5"/>
  <c r="A2256" i="5"/>
  <c r="A2255" i="5"/>
  <c r="A2254" i="5"/>
  <c r="A2253" i="5"/>
  <c r="A2252" i="5"/>
  <c r="A2251" i="5"/>
  <c r="A2250" i="5"/>
  <c r="A2249" i="5"/>
  <c r="A2248" i="5"/>
  <c r="A2247" i="5"/>
  <c r="A2246" i="5"/>
  <c r="A2245" i="5"/>
  <c r="A2244" i="5"/>
  <c r="A2243" i="5"/>
  <c r="A2242" i="5"/>
  <c r="A2241" i="5"/>
  <c r="A2240" i="5"/>
  <c r="A2239" i="5"/>
  <c r="A2238" i="5"/>
  <c r="A2237" i="5"/>
  <c r="A2236" i="5"/>
  <c r="A2235" i="5"/>
  <c r="A2234" i="5"/>
  <c r="A2233" i="5"/>
  <c r="A2232" i="5"/>
  <c r="A2231" i="5"/>
  <c r="A2230" i="5"/>
  <c r="A2229" i="5"/>
  <c r="A2228" i="5"/>
  <c r="A2227" i="5"/>
  <c r="A2226" i="5"/>
  <c r="A2225" i="5"/>
  <c r="A2224" i="5"/>
  <c r="A2223" i="5"/>
  <c r="A2222" i="5"/>
  <c r="A2221" i="5"/>
  <c r="A2220" i="5"/>
  <c r="A2219" i="5"/>
  <c r="A2218" i="5"/>
  <c r="A2217" i="5"/>
  <c r="A2216" i="5"/>
  <c r="A2215" i="5"/>
  <c r="A2214" i="5"/>
  <c r="A2213" i="5"/>
  <c r="A2212" i="5"/>
  <c r="A2211" i="5"/>
  <c r="A2210" i="5"/>
  <c r="A2209" i="5"/>
  <c r="A2208" i="5"/>
  <c r="A2207" i="5"/>
  <c r="A2206" i="5"/>
  <c r="A2205" i="5"/>
  <c r="A2204" i="5"/>
  <c r="A2203" i="5"/>
  <c r="A2202" i="5"/>
  <c r="A2201" i="5"/>
  <c r="A2200" i="5"/>
  <c r="A2199" i="5"/>
  <c r="A2198" i="5"/>
  <c r="A2197" i="5"/>
  <c r="A2196" i="5"/>
  <c r="A2195" i="5"/>
  <c r="A2194" i="5"/>
  <c r="A2193" i="5"/>
  <c r="A2192" i="5"/>
  <c r="A2191" i="5"/>
  <c r="A2190" i="5"/>
  <c r="A2189" i="5"/>
  <c r="A2188" i="5"/>
  <c r="A2187" i="5"/>
  <c r="A2186" i="5"/>
  <c r="A2185" i="5"/>
  <c r="A2184" i="5"/>
  <c r="A2183" i="5"/>
  <c r="A2182" i="5"/>
  <c r="A2181" i="5"/>
  <c r="A2180" i="5"/>
  <c r="A2179" i="5"/>
  <c r="A2178" i="5"/>
  <c r="A2177" i="5"/>
  <c r="A2176" i="5"/>
  <c r="A2175" i="5"/>
  <c r="A2174" i="5"/>
  <c r="A2173" i="5"/>
  <c r="A2172" i="5"/>
  <c r="A2171" i="5"/>
  <c r="A2170" i="5"/>
  <c r="A2169" i="5"/>
  <c r="A2168" i="5"/>
  <c r="A2167" i="5"/>
  <c r="A2166" i="5"/>
  <c r="A2165" i="5"/>
  <c r="A2164" i="5"/>
  <c r="A2163" i="5"/>
  <c r="A2162" i="5"/>
  <c r="A2161" i="5"/>
  <c r="A2160" i="5"/>
  <c r="A2159" i="5"/>
  <c r="A2158" i="5"/>
  <c r="A2157" i="5"/>
  <c r="A2156" i="5"/>
  <c r="A2155" i="5"/>
  <c r="A2154" i="5"/>
  <c r="A2153" i="5"/>
  <c r="A2152" i="5"/>
  <c r="A2151" i="5"/>
  <c r="A2150" i="5"/>
  <c r="A2149" i="5"/>
  <c r="A2148" i="5"/>
  <c r="A2147" i="5"/>
  <c r="A2146" i="5"/>
  <c r="A2145" i="5"/>
  <c r="A2144" i="5"/>
  <c r="A2143" i="5"/>
  <c r="A2142" i="5"/>
  <c r="A2141" i="5"/>
  <c r="A2140" i="5"/>
  <c r="A2139" i="5"/>
  <c r="A2138" i="5"/>
  <c r="A2137" i="5"/>
  <c r="A2136" i="5"/>
  <c r="A2135" i="5"/>
  <c r="A2134" i="5"/>
  <c r="A2133" i="5"/>
  <c r="A2132" i="5"/>
  <c r="A2131" i="5"/>
  <c r="A2130" i="5"/>
  <c r="A2129" i="5"/>
  <c r="A2128" i="5"/>
  <c r="A2127" i="5"/>
  <c r="A2126" i="5"/>
  <c r="A2125" i="5"/>
  <c r="A2124" i="5"/>
  <c r="A2123" i="5"/>
  <c r="A2122" i="5"/>
  <c r="A2121" i="5"/>
  <c r="A2120" i="5"/>
  <c r="A2119" i="5"/>
  <c r="A2118" i="5"/>
  <c r="A2117" i="5"/>
  <c r="A2116" i="5"/>
  <c r="A2115" i="5"/>
  <c r="A2114" i="5"/>
  <c r="A2113" i="5"/>
  <c r="A2112" i="5"/>
  <c r="A2111" i="5"/>
  <c r="A2110" i="5"/>
  <c r="A2109" i="5"/>
  <c r="A2108" i="5"/>
  <c r="A2107" i="5"/>
  <c r="A2106" i="5"/>
  <c r="A2105" i="5"/>
  <c r="A2104" i="5"/>
  <c r="A2103" i="5"/>
  <c r="A2102" i="5"/>
  <c r="A2101" i="5"/>
  <c r="A2100" i="5"/>
  <c r="A2099" i="5"/>
  <c r="A2098" i="5"/>
  <c r="A2097" i="5"/>
  <c r="A2096" i="5"/>
  <c r="A2095" i="5"/>
  <c r="A2094" i="5"/>
  <c r="A2093" i="5"/>
  <c r="A2092" i="5"/>
  <c r="A2091" i="5"/>
  <c r="A2090" i="5"/>
  <c r="A2089" i="5"/>
  <c r="A2088" i="5"/>
  <c r="A2087" i="5"/>
  <c r="A2086" i="5"/>
  <c r="A2085" i="5"/>
  <c r="A2084" i="5"/>
  <c r="A2083" i="5"/>
  <c r="A2082" i="5"/>
  <c r="A2081" i="5"/>
  <c r="A2080" i="5"/>
  <c r="A2079" i="5"/>
  <c r="A2078" i="5"/>
  <c r="A2077" i="5"/>
  <c r="A2076" i="5"/>
  <c r="A2075" i="5"/>
  <c r="A2074" i="5"/>
  <c r="A2073" i="5"/>
  <c r="A2072" i="5"/>
  <c r="A2071" i="5"/>
  <c r="A2070" i="5"/>
  <c r="A2069" i="5"/>
  <c r="A2068" i="5"/>
  <c r="A2067" i="5"/>
  <c r="A2066" i="5"/>
  <c r="A2065" i="5"/>
  <c r="A2064" i="5"/>
  <c r="A2063" i="5"/>
  <c r="A2062" i="5"/>
  <c r="A2061" i="5"/>
  <c r="A2060" i="5"/>
  <c r="A2059" i="5"/>
  <c r="A2058" i="5"/>
  <c r="A2057" i="5"/>
  <c r="A2056" i="5"/>
  <c r="A2055" i="5"/>
  <c r="A2054" i="5"/>
  <c r="A2053" i="5"/>
  <c r="A2052" i="5"/>
  <c r="A2051" i="5"/>
  <c r="A2050" i="5"/>
  <c r="A2049" i="5"/>
  <c r="A2048" i="5"/>
  <c r="A2047" i="5"/>
  <c r="A2046" i="5"/>
  <c r="A2045" i="5"/>
  <c r="A2044" i="5"/>
  <c r="A2043" i="5"/>
  <c r="A2042" i="5"/>
  <c r="A2041" i="5"/>
  <c r="A2040" i="5"/>
  <c r="A2039" i="5"/>
  <c r="A2038" i="5"/>
  <c r="A2037" i="5"/>
  <c r="A2036" i="5"/>
  <c r="A2035" i="5"/>
  <c r="A2034" i="5"/>
  <c r="A2033" i="5"/>
  <c r="A2032" i="5"/>
  <c r="A2031" i="5"/>
  <c r="A2030" i="5"/>
  <c r="A2029" i="5"/>
  <c r="A2028" i="5"/>
  <c r="A2027" i="5"/>
  <c r="A2026" i="5"/>
  <c r="A2025" i="5"/>
  <c r="A2024" i="5"/>
  <c r="A2023" i="5"/>
  <c r="A2022" i="5"/>
  <c r="A2021" i="5"/>
  <c r="A2020" i="5"/>
  <c r="A2019" i="5"/>
  <c r="A2018" i="5"/>
  <c r="A2017" i="5"/>
  <c r="A2016" i="5"/>
  <c r="A2015" i="5"/>
  <c r="A2014" i="5"/>
  <c r="A2013" i="5"/>
  <c r="A2012" i="5"/>
  <c r="A2011" i="5"/>
  <c r="A2010" i="5"/>
  <c r="A2009" i="5"/>
  <c r="A2008" i="5"/>
  <c r="A2007" i="5"/>
  <c r="A2006" i="5"/>
  <c r="A2005" i="5"/>
  <c r="A2004" i="5"/>
  <c r="A2003" i="5"/>
  <c r="A2002" i="5"/>
  <c r="A2001" i="5"/>
  <c r="A2000" i="5"/>
  <c r="A1999" i="5"/>
  <c r="A1998" i="5"/>
  <c r="A1997" i="5"/>
  <c r="A1996" i="5"/>
  <c r="A1995" i="5"/>
  <c r="A1994" i="5"/>
  <c r="A1993" i="5"/>
  <c r="A1992" i="5"/>
  <c r="A1991" i="5"/>
  <c r="A1990" i="5"/>
  <c r="A1989" i="5"/>
  <c r="A1988" i="5"/>
  <c r="A1987" i="5"/>
  <c r="A1986" i="5"/>
  <c r="A1985" i="5"/>
  <c r="A1984" i="5"/>
  <c r="A1983" i="5"/>
  <c r="A1982" i="5"/>
  <c r="A1981" i="5"/>
  <c r="A1980" i="5"/>
  <c r="A1979" i="5"/>
  <c r="A1978" i="5"/>
  <c r="A1977" i="5"/>
  <c r="A1976" i="5"/>
  <c r="A1975" i="5"/>
  <c r="A1974" i="5"/>
  <c r="A1973" i="5"/>
  <c r="A1972" i="5"/>
  <c r="A1971" i="5"/>
  <c r="A1970" i="5"/>
  <c r="A1969" i="5"/>
  <c r="A1968" i="5"/>
  <c r="A1967" i="5"/>
  <c r="A1966" i="5"/>
  <c r="A1965" i="5"/>
  <c r="A1964" i="5"/>
  <c r="A1963" i="5"/>
  <c r="A1962" i="5"/>
  <c r="A1961" i="5"/>
  <c r="A1960" i="5"/>
  <c r="A1959" i="5"/>
  <c r="A1958" i="5"/>
  <c r="A1957" i="5"/>
  <c r="A1956" i="5"/>
  <c r="A1955" i="5"/>
  <c r="A1954" i="5"/>
  <c r="A1953" i="5"/>
  <c r="A1952" i="5"/>
  <c r="A1951" i="5"/>
  <c r="A1950" i="5"/>
  <c r="A1949" i="5"/>
  <c r="A1948" i="5"/>
  <c r="A1947" i="5"/>
  <c r="A1946" i="5"/>
  <c r="A1945" i="5"/>
  <c r="A1944" i="5"/>
  <c r="A1943" i="5"/>
  <c r="A1942" i="5"/>
  <c r="A1941" i="5"/>
  <c r="A1940" i="5"/>
  <c r="A1939" i="5"/>
  <c r="A1938" i="5"/>
  <c r="A1937" i="5"/>
  <c r="A1936" i="5"/>
  <c r="A1935" i="5"/>
  <c r="A1934" i="5"/>
  <c r="A1933" i="5"/>
  <c r="A1932" i="5"/>
  <c r="A1931" i="5"/>
  <c r="A1930" i="5"/>
  <c r="A1929" i="5"/>
  <c r="A1928" i="5"/>
  <c r="A1927" i="5"/>
  <c r="A1926" i="5"/>
  <c r="A1925" i="5"/>
  <c r="A1924" i="5"/>
  <c r="A1923" i="5"/>
  <c r="A1922" i="5"/>
  <c r="A1921" i="5"/>
  <c r="A1920" i="5"/>
  <c r="A1919" i="5"/>
  <c r="A1918" i="5"/>
  <c r="A1917" i="5"/>
  <c r="A1916" i="5"/>
  <c r="A1915" i="5"/>
  <c r="A1914" i="5"/>
  <c r="A1913" i="5"/>
  <c r="A1912" i="5"/>
  <c r="A1911" i="5"/>
  <c r="A1910" i="5"/>
  <c r="A1909" i="5"/>
  <c r="A1908" i="5"/>
  <c r="A1907" i="5"/>
  <c r="A1906" i="5"/>
  <c r="A1905" i="5"/>
  <c r="A1904" i="5"/>
  <c r="A1903" i="5"/>
  <c r="A1902" i="5"/>
  <c r="A1901" i="5"/>
  <c r="A1900" i="5"/>
  <c r="A1899" i="5"/>
  <c r="A1898" i="5"/>
  <c r="A1897" i="5"/>
  <c r="A1896" i="5"/>
  <c r="A1895" i="5"/>
  <c r="A1894" i="5"/>
  <c r="A1893" i="5"/>
  <c r="A1892" i="5"/>
  <c r="A1891" i="5"/>
  <c r="A1890" i="5"/>
  <c r="A1889" i="5"/>
  <c r="A1888" i="5"/>
  <c r="A1887" i="5"/>
  <c r="A1886" i="5"/>
  <c r="A1885" i="5"/>
  <c r="A1884" i="5"/>
  <c r="A1883" i="5"/>
  <c r="A1882" i="5"/>
  <c r="A1881" i="5"/>
  <c r="A1880" i="5"/>
  <c r="A1879" i="5"/>
  <c r="A1878" i="5"/>
  <c r="A1877" i="5"/>
  <c r="A1876" i="5"/>
  <c r="A1875" i="5"/>
  <c r="A1874" i="5"/>
  <c r="A1873" i="5"/>
  <c r="A1872" i="5"/>
  <c r="A1871" i="5"/>
  <c r="A1870" i="5"/>
  <c r="A1869" i="5"/>
  <c r="A1868" i="5"/>
  <c r="A1867" i="5"/>
  <c r="A1866" i="5"/>
  <c r="A1865" i="5"/>
  <c r="A1864" i="5"/>
  <c r="A1863" i="5"/>
  <c r="A1862" i="5"/>
  <c r="A1861" i="5"/>
  <c r="A1860" i="5"/>
  <c r="A1859" i="5"/>
  <c r="A1858" i="5"/>
  <c r="A1857" i="5"/>
  <c r="A1856" i="5"/>
  <c r="A1855" i="5"/>
  <c r="A1854" i="5"/>
  <c r="A1853" i="5"/>
  <c r="A1852" i="5"/>
  <c r="A1851" i="5"/>
  <c r="A1850" i="5"/>
  <c r="A1849" i="5"/>
  <c r="A1848" i="5"/>
  <c r="A1847" i="5"/>
  <c r="A1846" i="5"/>
  <c r="A1845" i="5"/>
  <c r="A1844" i="5"/>
  <c r="A1843" i="5"/>
  <c r="A1842" i="5"/>
  <c r="A1841" i="5"/>
  <c r="A1840" i="5"/>
  <c r="A1839" i="5"/>
  <c r="A1838" i="5"/>
  <c r="A1837" i="5"/>
  <c r="A1836" i="5"/>
  <c r="A1835" i="5"/>
  <c r="A1834" i="5"/>
  <c r="A1833" i="5"/>
  <c r="A1832" i="5"/>
  <c r="A1831" i="5"/>
  <c r="A1830" i="5"/>
  <c r="A1829" i="5"/>
  <c r="A1828" i="5"/>
  <c r="A1827" i="5"/>
  <c r="A1826" i="5"/>
  <c r="A1825" i="5"/>
  <c r="A1824" i="5"/>
  <c r="A1823" i="5"/>
  <c r="A1822" i="5"/>
  <c r="A1821" i="5"/>
  <c r="A1820" i="5"/>
  <c r="A1819" i="5"/>
  <c r="A1818" i="5"/>
  <c r="A1817" i="5"/>
  <c r="A1816" i="5"/>
  <c r="A1815" i="5"/>
  <c r="A1814" i="5"/>
  <c r="A1813" i="5"/>
  <c r="A1812" i="5"/>
  <c r="A1811" i="5"/>
  <c r="A1810" i="5"/>
  <c r="A1809" i="5"/>
  <c r="A1808" i="5"/>
  <c r="A1807" i="5"/>
  <c r="A1806" i="5"/>
  <c r="A1805" i="5"/>
  <c r="A1804" i="5"/>
  <c r="A1803" i="5"/>
  <c r="A1802" i="5"/>
  <c r="A1801" i="5"/>
  <c r="A1800" i="5"/>
  <c r="A1799" i="5"/>
  <c r="A1798" i="5"/>
  <c r="A1797" i="5"/>
  <c r="A1796" i="5"/>
  <c r="A1795" i="5"/>
  <c r="A1794" i="5"/>
  <c r="A1793" i="5"/>
  <c r="A1792" i="5"/>
  <c r="A1791" i="5"/>
  <c r="A1790" i="5"/>
  <c r="A1789" i="5"/>
  <c r="A1788" i="5"/>
  <c r="A1787" i="5"/>
  <c r="A1786" i="5"/>
  <c r="A1785" i="5"/>
  <c r="A1784" i="5"/>
  <c r="A1783" i="5"/>
  <c r="A1782" i="5"/>
  <c r="A1781" i="5"/>
  <c r="A1780" i="5"/>
  <c r="A1779" i="5"/>
  <c r="A1778" i="5"/>
  <c r="A1777" i="5"/>
  <c r="A1776" i="5"/>
  <c r="A1775" i="5"/>
  <c r="A1774" i="5"/>
  <c r="A1773" i="5"/>
  <c r="A1772" i="5"/>
  <c r="A1771" i="5"/>
  <c r="A1770" i="5"/>
  <c r="A1769" i="5"/>
  <c r="A1768" i="5"/>
  <c r="A1767" i="5"/>
  <c r="A1766" i="5"/>
  <c r="A1765" i="5"/>
  <c r="A1764" i="5"/>
  <c r="A1763" i="5"/>
  <c r="A1762" i="5"/>
  <c r="A1761" i="5"/>
  <c r="A1760" i="5"/>
  <c r="A1759" i="5"/>
  <c r="A1758" i="5"/>
  <c r="A1757" i="5"/>
  <c r="A1756" i="5"/>
  <c r="A1755" i="5"/>
  <c r="A1754" i="5"/>
  <c r="A1753" i="5"/>
  <c r="A1752" i="5"/>
  <c r="A1751" i="5"/>
  <c r="A1750" i="5"/>
  <c r="A1749" i="5"/>
  <c r="A1748" i="5"/>
  <c r="A1747" i="5"/>
  <c r="A1746" i="5"/>
  <c r="A1745" i="5"/>
  <c r="A1744" i="5"/>
  <c r="A1743" i="5"/>
  <c r="A1742" i="5"/>
  <c r="A1741" i="5"/>
  <c r="A1740" i="5"/>
  <c r="A1739" i="5"/>
  <c r="A1738" i="5"/>
  <c r="A1737" i="5"/>
  <c r="A1736" i="5"/>
  <c r="A1735" i="5"/>
  <c r="A1734" i="5"/>
  <c r="A1733" i="5"/>
  <c r="A1732" i="5"/>
  <c r="A1731" i="5"/>
  <c r="A1730" i="5"/>
  <c r="A1729" i="5"/>
  <c r="A1728" i="5"/>
  <c r="A1727" i="5"/>
  <c r="A1726" i="5"/>
  <c r="A1725" i="5"/>
  <c r="A1724" i="5"/>
  <c r="A1723" i="5"/>
  <c r="A1722" i="5"/>
  <c r="A1721" i="5"/>
  <c r="A1720" i="5"/>
  <c r="A1719" i="5"/>
  <c r="A1718" i="5"/>
  <c r="A1717" i="5"/>
  <c r="A1716" i="5"/>
  <c r="A1715" i="5"/>
  <c r="A1714" i="5"/>
  <c r="A1713" i="5"/>
  <c r="A1712" i="5"/>
  <c r="A1711" i="5"/>
  <c r="A1710" i="5"/>
  <c r="A1709" i="5"/>
  <c r="A1708" i="5"/>
  <c r="A1707" i="5"/>
  <c r="A1706" i="5"/>
  <c r="A1705" i="5"/>
  <c r="A1704" i="5"/>
  <c r="A1703" i="5"/>
  <c r="A1702" i="5"/>
  <c r="A1701" i="5"/>
  <c r="A1700" i="5"/>
  <c r="A1699" i="5"/>
  <c r="A1698" i="5"/>
  <c r="A1697" i="5"/>
  <c r="A1696" i="5"/>
  <c r="A1695" i="5"/>
  <c r="A1694" i="5"/>
  <c r="A1693" i="5"/>
  <c r="A1692" i="5"/>
  <c r="A1691" i="5"/>
  <c r="A1690" i="5"/>
  <c r="A1689" i="5"/>
  <c r="A1688" i="5"/>
  <c r="A1687" i="5"/>
  <c r="A1686" i="5"/>
  <c r="A1685" i="5"/>
  <c r="A1684" i="5"/>
  <c r="A1683" i="5"/>
  <c r="A1682" i="5"/>
  <c r="A1681" i="5"/>
  <c r="A1680" i="5"/>
  <c r="A1679" i="5"/>
  <c r="A1678" i="5"/>
  <c r="A1677" i="5"/>
  <c r="A1676" i="5"/>
  <c r="A1675" i="5"/>
  <c r="A1674" i="5"/>
  <c r="A1673" i="5"/>
  <c r="A1672" i="5"/>
  <c r="A1671" i="5"/>
  <c r="A1670" i="5"/>
  <c r="A1669" i="5"/>
  <c r="A1668" i="5"/>
  <c r="A1667" i="5"/>
  <c r="A1666" i="5"/>
  <c r="A1665" i="5"/>
  <c r="A1664" i="5"/>
  <c r="A1663" i="5"/>
  <c r="A1662" i="5"/>
  <c r="A1661" i="5"/>
  <c r="A1660" i="5"/>
  <c r="A1659" i="5"/>
  <c r="A1658" i="5"/>
  <c r="A1657" i="5"/>
  <c r="A1656" i="5"/>
  <c r="A1655" i="5"/>
  <c r="A1654" i="5"/>
  <c r="A1653" i="5"/>
  <c r="A1652" i="5"/>
  <c r="A1651" i="5"/>
  <c r="A1650" i="5"/>
  <c r="A1649" i="5"/>
  <c r="A1648" i="5"/>
  <c r="A1647" i="5"/>
  <c r="A1646" i="5"/>
  <c r="A1645" i="5"/>
  <c r="A1644" i="5"/>
  <c r="A1643" i="5"/>
  <c r="A1642" i="5"/>
  <c r="A1641" i="5"/>
  <c r="A1640" i="5"/>
  <c r="A1639" i="5"/>
  <c r="A1638" i="5"/>
  <c r="A1637" i="5"/>
  <c r="A1636" i="5"/>
  <c r="A1635" i="5"/>
  <c r="A1634" i="5"/>
  <c r="A1633" i="5"/>
  <c r="A1632" i="5"/>
  <c r="A1631" i="5"/>
  <c r="A1630" i="5"/>
  <c r="A1629" i="5"/>
  <c r="A1628" i="5"/>
  <c r="A1627" i="5"/>
  <c r="A1626" i="5"/>
  <c r="A1625" i="5"/>
  <c r="A1624" i="5"/>
  <c r="A1623" i="5"/>
  <c r="A1622" i="5"/>
  <c r="A1621" i="5"/>
  <c r="A1620" i="5"/>
  <c r="A1619" i="5"/>
  <c r="A1618" i="5"/>
  <c r="A1617" i="5"/>
  <c r="A1616" i="5"/>
  <c r="A1615" i="5"/>
  <c r="A1614" i="5"/>
  <c r="A1613" i="5"/>
  <c r="A1612" i="5"/>
  <c r="A1611" i="5"/>
  <c r="A1610" i="5"/>
  <c r="A1609" i="5"/>
  <c r="A1608" i="5"/>
  <c r="A1607" i="5"/>
  <c r="A1606" i="5"/>
  <c r="A1605" i="5"/>
  <c r="A1604" i="5"/>
  <c r="A1603" i="5"/>
  <c r="A1602" i="5"/>
  <c r="A1601" i="5"/>
  <c r="A1600" i="5"/>
  <c r="A1599" i="5"/>
  <c r="A1598" i="5"/>
  <c r="A1597" i="5"/>
  <c r="A1596" i="5"/>
  <c r="A1595" i="5"/>
  <c r="A1594" i="5"/>
  <c r="A1593" i="5"/>
  <c r="A1592" i="5"/>
  <c r="A1591" i="5"/>
  <c r="A1590" i="5"/>
  <c r="A1589" i="5"/>
  <c r="A1588" i="5"/>
  <c r="A1587" i="5"/>
  <c r="A1586" i="5"/>
  <c r="A1585" i="5"/>
  <c r="A1584" i="5"/>
  <c r="A1583" i="5"/>
  <c r="A1582" i="5"/>
  <c r="A1581" i="5"/>
  <c r="A1580" i="5"/>
  <c r="A1579" i="5"/>
  <c r="A1578" i="5"/>
  <c r="A1577" i="5"/>
  <c r="A1576" i="5"/>
  <c r="A1575" i="5"/>
  <c r="A1574" i="5"/>
  <c r="A1573" i="5"/>
  <c r="A1572" i="5"/>
  <c r="A1571" i="5"/>
  <c r="A1570" i="5"/>
  <c r="A1569" i="5"/>
  <c r="A1568" i="5"/>
  <c r="A1567" i="5"/>
  <c r="A1566" i="5"/>
  <c r="A1565" i="5"/>
  <c r="A1564" i="5"/>
  <c r="A1563" i="5"/>
  <c r="A1562" i="5"/>
  <c r="A1561" i="5"/>
  <c r="A1560" i="5"/>
  <c r="A1559" i="5"/>
  <c r="A1558" i="5"/>
  <c r="A1557" i="5"/>
  <c r="A1556" i="5"/>
  <c r="A1555" i="5"/>
  <c r="A1554" i="5"/>
  <c r="A1553" i="5"/>
  <c r="A1552" i="5"/>
  <c r="A1551" i="5"/>
  <c r="A1550" i="5"/>
  <c r="A1549" i="5"/>
  <c r="A1548" i="5"/>
  <c r="A1547" i="5"/>
  <c r="A1546" i="5"/>
  <c r="A1545" i="5"/>
  <c r="A1544" i="5"/>
  <c r="A1543" i="5"/>
  <c r="A1542" i="5"/>
  <c r="A1541" i="5"/>
  <c r="A1540" i="5"/>
  <c r="A1539" i="5"/>
  <c r="A1538" i="5"/>
  <c r="A1537" i="5"/>
  <c r="A1536" i="5"/>
  <c r="A1535" i="5"/>
  <c r="A1534" i="5"/>
  <c r="A1533" i="5"/>
  <c r="A1532" i="5"/>
  <c r="A1531" i="5"/>
  <c r="A1530" i="5"/>
  <c r="A1529" i="5"/>
  <c r="A1528" i="5"/>
  <c r="A1527" i="5"/>
  <c r="A1526" i="5"/>
  <c r="A1525" i="5"/>
  <c r="A1524" i="5"/>
  <c r="A1523" i="5"/>
  <c r="A1522" i="5"/>
  <c r="A1521" i="5"/>
  <c r="A1520" i="5"/>
  <c r="A1519" i="5"/>
  <c r="A1518" i="5"/>
  <c r="A1517" i="5"/>
  <c r="A1516" i="5"/>
  <c r="A1515" i="5"/>
  <c r="A1514" i="5"/>
  <c r="A1513" i="5"/>
  <c r="A1512" i="5"/>
  <c r="A1511" i="5"/>
  <c r="A1510" i="5"/>
  <c r="A1509" i="5"/>
  <c r="A1508" i="5"/>
  <c r="A1507" i="5"/>
  <c r="A1506" i="5"/>
  <c r="A1505" i="5"/>
  <c r="A1504" i="5"/>
  <c r="A1503" i="5"/>
  <c r="A1502" i="5"/>
  <c r="A1501" i="5"/>
  <c r="A1500" i="5"/>
  <c r="A1499" i="5"/>
  <c r="A1498" i="5"/>
  <c r="A1497" i="5"/>
  <c r="A1496" i="5"/>
  <c r="A1495" i="5"/>
  <c r="A1494" i="5"/>
  <c r="A1493" i="5"/>
  <c r="A1492" i="5"/>
  <c r="A1491" i="5"/>
  <c r="A1490" i="5"/>
  <c r="A1489" i="5"/>
  <c r="A1488" i="5"/>
  <c r="A1487" i="5"/>
  <c r="A1486" i="5"/>
  <c r="A1485" i="5"/>
  <c r="A1484" i="5"/>
  <c r="A1483" i="5"/>
  <c r="A1482" i="5"/>
  <c r="A1481" i="5"/>
  <c r="A1480" i="5"/>
  <c r="A1479" i="5"/>
  <c r="A1478" i="5"/>
  <c r="A1477" i="5"/>
  <c r="A1476" i="5"/>
  <c r="A1475" i="5"/>
  <c r="A1474" i="5"/>
  <c r="A1473" i="5"/>
  <c r="A1472" i="5"/>
  <c r="A1471" i="5"/>
  <c r="A1470" i="5"/>
  <c r="A1469" i="5"/>
  <c r="A1468" i="5"/>
  <c r="A1467" i="5"/>
  <c r="A1466" i="5"/>
  <c r="A1465" i="5"/>
  <c r="A1464" i="5"/>
  <c r="A1463" i="5"/>
  <c r="A1462" i="5"/>
  <c r="A1461" i="5"/>
  <c r="A1460" i="5"/>
  <c r="A1459" i="5"/>
  <c r="A1458" i="5"/>
  <c r="A1457" i="5"/>
  <c r="A1456" i="5"/>
  <c r="A1455" i="5"/>
  <c r="A1454" i="5"/>
  <c r="A1453" i="5"/>
  <c r="A1452" i="5"/>
  <c r="A1451" i="5"/>
  <c r="A1450" i="5"/>
  <c r="A1449" i="5"/>
  <c r="A1448" i="5"/>
  <c r="A1447" i="5"/>
  <c r="A1446" i="5"/>
  <c r="A1445" i="5"/>
  <c r="A1444" i="5"/>
  <c r="A1443" i="5"/>
  <c r="A1442" i="5"/>
  <c r="A1441" i="5"/>
  <c r="A1440" i="5"/>
  <c r="A1439" i="5"/>
  <c r="A1438" i="5"/>
  <c r="A1437" i="5"/>
  <c r="A1436" i="5"/>
  <c r="A1435" i="5"/>
  <c r="A1434" i="5"/>
  <c r="A1433" i="5"/>
  <c r="A1432" i="5"/>
  <c r="A1431" i="5"/>
  <c r="A1430" i="5"/>
  <c r="A1429" i="5"/>
  <c r="A1428" i="5"/>
  <c r="A1427" i="5"/>
  <c r="A1426" i="5"/>
  <c r="A1425" i="5"/>
  <c r="A1424" i="5"/>
  <c r="A1423" i="5"/>
  <c r="A1422" i="5"/>
  <c r="A1421" i="5"/>
  <c r="A1420" i="5"/>
  <c r="A1419" i="5"/>
  <c r="A1418" i="5"/>
  <c r="A1417" i="5"/>
  <c r="A1416" i="5"/>
  <c r="A1415" i="5"/>
  <c r="A1414" i="5"/>
  <c r="A1413" i="5"/>
  <c r="A1412" i="5"/>
  <c r="A1411" i="5"/>
  <c r="A1410" i="5"/>
  <c r="A1409" i="5"/>
  <c r="A1408" i="5"/>
  <c r="A1407" i="5"/>
  <c r="A1406" i="5"/>
  <c r="A1405" i="5"/>
  <c r="A1404" i="5"/>
  <c r="A1403" i="5"/>
  <c r="A1402" i="5"/>
  <c r="A1401" i="5"/>
  <c r="A1400" i="5"/>
  <c r="A1399" i="5"/>
  <c r="A1398" i="5"/>
  <c r="A1397" i="5"/>
  <c r="A1396" i="5"/>
  <c r="A1395" i="5"/>
  <c r="A1394" i="5"/>
  <c r="A1393" i="5"/>
  <c r="A1392" i="5"/>
  <c r="A1391" i="5"/>
  <c r="A1390" i="5"/>
  <c r="A1389" i="5"/>
  <c r="A1388" i="5"/>
  <c r="A1387" i="5"/>
  <c r="A1386" i="5"/>
  <c r="A1385" i="5"/>
  <c r="A1384" i="5"/>
  <c r="A1383" i="5"/>
  <c r="A1382" i="5"/>
  <c r="A1381" i="5"/>
  <c r="A1380" i="5"/>
  <c r="A1379" i="5"/>
  <c r="A1378" i="5"/>
  <c r="A1377" i="5"/>
  <c r="A1376" i="5"/>
  <c r="A1375" i="5"/>
  <c r="A1374" i="5"/>
  <c r="A1373" i="5"/>
  <c r="A1372" i="5"/>
  <c r="A1371" i="5"/>
  <c r="A1370" i="5"/>
  <c r="A1369" i="5"/>
  <c r="A1368" i="5"/>
  <c r="A1367" i="5"/>
  <c r="A1366" i="5"/>
  <c r="A1365" i="5"/>
  <c r="A1364" i="5"/>
  <c r="A1363" i="5"/>
  <c r="A1362" i="5"/>
  <c r="A1361" i="5"/>
  <c r="A1360" i="5"/>
  <c r="A1359" i="5"/>
  <c r="A1358" i="5"/>
  <c r="A1357" i="5"/>
  <c r="A1356" i="5"/>
  <c r="A1355" i="5"/>
  <c r="A1354" i="5"/>
  <c r="A1353" i="5"/>
  <c r="A1352" i="5"/>
  <c r="A1351" i="5"/>
  <c r="A1350" i="5"/>
  <c r="A1349" i="5"/>
  <c r="A1348" i="5"/>
  <c r="A1347" i="5"/>
  <c r="A1346" i="5"/>
  <c r="A1345" i="5"/>
  <c r="A1344" i="5"/>
  <c r="A1343" i="5"/>
  <c r="A1342" i="5"/>
  <c r="A1341" i="5"/>
  <c r="A1340" i="5"/>
  <c r="A1339" i="5"/>
  <c r="A1338" i="5"/>
  <c r="A1337" i="5"/>
  <c r="A1336" i="5"/>
  <c r="A1335" i="5"/>
  <c r="A1334" i="5"/>
  <c r="A1333" i="5"/>
  <c r="A1332" i="5"/>
  <c r="A1331" i="5"/>
  <c r="A1330" i="5"/>
  <c r="A1329" i="5"/>
  <c r="A1328" i="5"/>
  <c r="A1327" i="5"/>
  <c r="A1326" i="5"/>
  <c r="A1325" i="5"/>
  <c r="A1324" i="5"/>
  <c r="A1323" i="5"/>
  <c r="A1322" i="5"/>
  <c r="A1321" i="5"/>
  <c r="A1320" i="5"/>
  <c r="A1319" i="5"/>
  <c r="A1318" i="5"/>
  <c r="A1317" i="5"/>
  <c r="A1316" i="5"/>
  <c r="A1315" i="5"/>
  <c r="A1314" i="5"/>
  <c r="A1313" i="5"/>
  <c r="A1312" i="5"/>
  <c r="A1311" i="5"/>
  <c r="A1310" i="5"/>
  <c r="A1309" i="5"/>
  <c r="A1308" i="5"/>
  <c r="A1307" i="5"/>
  <c r="A1306" i="5"/>
  <c r="A1305" i="5"/>
  <c r="A1304" i="5"/>
  <c r="A1303" i="5"/>
  <c r="A1302" i="5"/>
  <c r="A1301" i="5"/>
  <c r="A1300" i="5"/>
  <c r="A1299" i="5"/>
  <c r="A1298" i="5"/>
  <c r="A1297" i="5"/>
  <c r="A1296" i="5"/>
  <c r="A1295" i="5"/>
  <c r="A1294" i="5"/>
  <c r="A1293" i="5"/>
  <c r="A1292" i="5"/>
  <c r="A1291" i="5"/>
  <c r="A1290" i="5"/>
  <c r="A1289" i="5"/>
  <c r="A1288" i="5"/>
  <c r="A1287" i="5"/>
  <c r="A1286" i="5"/>
  <c r="A1285" i="5"/>
  <c r="A1284" i="5"/>
  <c r="A1283" i="5"/>
  <c r="A1282" i="5"/>
  <c r="A1281" i="5"/>
  <c r="A1280" i="5"/>
  <c r="A1279" i="5"/>
  <c r="A1278" i="5"/>
  <c r="A1277" i="5"/>
  <c r="A1276" i="5"/>
  <c r="A1275" i="5"/>
  <c r="A1274" i="5"/>
  <c r="A1273" i="5"/>
  <c r="A1272" i="5"/>
  <c r="A1271" i="5"/>
  <c r="A1270" i="5"/>
  <c r="A1269" i="5"/>
  <c r="A1268" i="5"/>
  <c r="A1267" i="5"/>
  <c r="A1266" i="5"/>
  <c r="A1265" i="5"/>
  <c r="A1264" i="5"/>
  <c r="A1263" i="5"/>
  <c r="A1262" i="5"/>
  <c r="A1261" i="5"/>
  <c r="A1260" i="5"/>
  <c r="A1259" i="5"/>
  <c r="A1258" i="5"/>
  <c r="A1257" i="5"/>
  <c r="A1256" i="5"/>
  <c r="A1255" i="5"/>
  <c r="A1254" i="5"/>
  <c r="A1253" i="5"/>
  <c r="A1252" i="5"/>
  <c r="A1251" i="5"/>
  <c r="A1250" i="5"/>
  <c r="A1249" i="5"/>
  <c r="A1248" i="5"/>
  <c r="A1247" i="5"/>
  <c r="A1246" i="5"/>
  <c r="A1245" i="5"/>
  <c r="A1244" i="5"/>
  <c r="A1243" i="5"/>
  <c r="A1242" i="5"/>
  <c r="A1241" i="5"/>
  <c r="A1240" i="5"/>
  <c r="A1239" i="5"/>
  <c r="A1238" i="5"/>
  <c r="A1237" i="5"/>
  <c r="A1236" i="5"/>
  <c r="A1235" i="5"/>
  <c r="A1234" i="5"/>
  <c r="A1233" i="5"/>
  <c r="A1232" i="5"/>
  <c r="A1231" i="5"/>
  <c r="A1230" i="5"/>
  <c r="A1229" i="5"/>
  <c r="A1228" i="5"/>
  <c r="A1227" i="5"/>
  <c r="A1226" i="5"/>
  <c r="A1225" i="5"/>
  <c r="A1224" i="5"/>
  <c r="A1223" i="5"/>
  <c r="A1222" i="5"/>
  <c r="A1221" i="5"/>
  <c r="A1220" i="5"/>
  <c r="A1219" i="5"/>
  <c r="A1218" i="5"/>
  <c r="A1217" i="5"/>
  <c r="A1216" i="5"/>
  <c r="A1215" i="5"/>
  <c r="A1214" i="5"/>
  <c r="A1213" i="5"/>
  <c r="A1212" i="5"/>
  <c r="A1211" i="5"/>
  <c r="A1210" i="5"/>
  <c r="A1209" i="5"/>
  <c r="A1208" i="5"/>
  <c r="A1207" i="5"/>
  <c r="A1206" i="5"/>
  <c r="A1205" i="5"/>
  <c r="A1204" i="5"/>
  <c r="A1203" i="5"/>
  <c r="A1202" i="5"/>
  <c r="A1201" i="5"/>
  <c r="A1200" i="5"/>
  <c r="A1199" i="5"/>
  <c r="A1198" i="5"/>
  <c r="A1197" i="5"/>
  <c r="A1196" i="5"/>
  <c r="A1195" i="5"/>
  <c r="A1194" i="5"/>
  <c r="A1193" i="5"/>
  <c r="A1192" i="5"/>
  <c r="A1191" i="5"/>
  <c r="A1190" i="5"/>
  <c r="A1189" i="5"/>
  <c r="A1188" i="5"/>
  <c r="A1187" i="5"/>
  <c r="A1186" i="5"/>
  <c r="A1185" i="5"/>
  <c r="A1184" i="5"/>
  <c r="A1183" i="5"/>
  <c r="A1182" i="5"/>
  <c r="A1181" i="5"/>
  <c r="A1180" i="5"/>
  <c r="A1179" i="5"/>
  <c r="A1178" i="5"/>
  <c r="A1177" i="5"/>
  <c r="A1176" i="5"/>
  <c r="A1175" i="5"/>
  <c r="A1174" i="5"/>
  <c r="A1173" i="5"/>
  <c r="A1172" i="5"/>
  <c r="A1171" i="5"/>
  <c r="A1170" i="5"/>
  <c r="A1169" i="5"/>
  <c r="A1168" i="5"/>
  <c r="A1167" i="5"/>
  <c r="A1166" i="5"/>
  <c r="A1165" i="5"/>
  <c r="A1164" i="5"/>
  <c r="A1163" i="5"/>
  <c r="A1162" i="5"/>
  <c r="A1161" i="5"/>
  <c r="A1160" i="5"/>
  <c r="A1159" i="5"/>
  <c r="A1158" i="5"/>
  <c r="A1157" i="5"/>
  <c r="A1156" i="5"/>
  <c r="A1155" i="5"/>
  <c r="A1154" i="5"/>
  <c r="A1153" i="5"/>
  <c r="A1152" i="5"/>
  <c r="A1151" i="5"/>
  <c r="A1150" i="5"/>
  <c r="A1149" i="5"/>
  <c r="A1148" i="5"/>
  <c r="A1147" i="5"/>
  <c r="A1146" i="5"/>
  <c r="A1145" i="5"/>
  <c r="A1144" i="5"/>
  <c r="A1143" i="5"/>
  <c r="A1142" i="5"/>
  <c r="A1141" i="5"/>
  <c r="A1140" i="5"/>
  <c r="A1139" i="5"/>
  <c r="A1138" i="5"/>
  <c r="A1137" i="5"/>
  <c r="A1136" i="5"/>
  <c r="A1135" i="5"/>
  <c r="A1134" i="5"/>
  <c r="A1133" i="5"/>
  <c r="A1132" i="5"/>
  <c r="A1131" i="5"/>
  <c r="A1130" i="5"/>
  <c r="A1129" i="5"/>
  <c r="A1128" i="5"/>
  <c r="A1127" i="5"/>
  <c r="A1126" i="5"/>
  <c r="A1125" i="5"/>
  <c r="A1124" i="5"/>
  <c r="A1123" i="5"/>
  <c r="A1122" i="5"/>
  <c r="A1121" i="5"/>
  <c r="A1120" i="5"/>
  <c r="A1119" i="5"/>
  <c r="A1118" i="5"/>
  <c r="A1117" i="5"/>
  <c r="A1116" i="5"/>
  <c r="A1115" i="5"/>
  <c r="A1114" i="5"/>
  <c r="A1113" i="5"/>
  <c r="A1112" i="5"/>
  <c r="A1111" i="5"/>
  <c r="A1110" i="5"/>
  <c r="A1109" i="5"/>
  <c r="A1108" i="5"/>
  <c r="A1107" i="5"/>
  <c r="A1106" i="5"/>
  <c r="A1105" i="5"/>
  <c r="A1104" i="5"/>
  <c r="A1103" i="5"/>
  <c r="A1102" i="5"/>
  <c r="A1101" i="5"/>
  <c r="A1100" i="5"/>
  <c r="A1099" i="5"/>
  <c r="A1098" i="5"/>
  <c r="A1097" i="5"/>
  <c r="A1096" i="5"/>
  <c r="A1095" i="5"/>
  <c r="A1094" i="5"/>
  <c r="A1093" i="5"/>
  <c r="A1092" i="5"/>
  <c r="A1091" i="5"/>
  <c r="A1090" i="5"/>
  <c r="A1089" i="5"/>
  <c r="A1088" i="5"/>
  <c r="A1087" i="5"/>
  <c r="A1086" i="5"/>
  <c r="A1085" i="5"/>
  <c r="A1084" i="5"/>
  <c r="A1083" i="5"/>
  <c r="A1082" i="5"/>
  <c r="A1081" i="5"/>
  <c r="A1080" i="5"/>
  <c r="A1079" i="5"/>
  <c r="A1078" i="5"/>
  <c r="A1077" i="5"/>
  <c r="A1076" i="5"/>
  <c r="A1075" i="5"/>
  <c r="A1074" i="5"/>
  <c r="A1073" i="5"/>
  <c r="A1072" i="5"/>
  <c r="A1071" i="5"/>
  <c r="A1070" i="5"/>
  <c r="A1069" i="5"/>
  <c r="A1068" i="5"/>
  <c r="A1067" i="5"/>
  <c r="A1066" i="5"/>
  <c r="A1065" i="5"/>
  <c r="A1064" i="5"/>
  <c r="A1063" i="5"/>
  <c r="A1062" i="5"/>
  <c r="A1061" i="5"/>
  <c r="A1060" i="5"/>
  <c r="A1059" i="5"/>
  <c r="A1058" i="5"/>
  <c r="A1057" i="5"/>
  <c r="A1056" i="5"/>
  <c r="A1055" i="5"/>
  <c r="A1054" i="5"/>
  <c r="A1053" i="5"/>
  <c r="A1052" i="5"/>
  <c r="A1051" i="5"/>
  <c r="A1050" i="5"/>
  <c r="A1049" i="5"/>
  <c r="A1048" i="5"/>
  <c r="A1047" i="5"/>
  <c r="A1046" i="5"/>
  <c r="A1045" i="5"/>
  <c r="A1044" i="5"/>
  <c r="A1043" i="5"/>
  <c r="A1042" i="5"/>
  <c r="A1041" i="5"/>
  <c r="A1040" i="5"/>
  <c r="A1039" i="5"/>
  <c r="A1038" i="5"/>
  <c r="A1037" i="5"/>
  <c r="A1036" i="5"/>
  <c r="A1035" i="5"/>
  <c r="A1034" i="5"/>
  <c r="A1033" i="5"/>
  <c r="A1032" i="5"/>
  <c r="A1031" i="5"/>
  <c r="A1030" i="5"/>
  <c r="A1029" i="5"/>
  <c r="A1028" i="5"/>
  <c r="A1027" i="5"/>
  <c r="A1026" i="5"/>
  <c r="A1025" i="5"/>
  <c r="A1024" i="5"/>
  <c r="A1023" i="5"/>
  <c r="A1022" i="5"/>
  <c r="A1021" i="5"/>
  <c r="A1020" i="5"/>
  <c r="A1019" i="5"/>
  <c r="A1018" i="5"/>
  <c r="A1017" i="5"/>
  <c r="A1016" i="5"/>
  <c r="A1015" i="5"/>
  <c r="A1014" i="5"/>
  <c r="A1013" i="5"/>
  <c r="A1012" i="5"/>
  <c r="A1011" i="5"/>
  <c r="A1010" i="5"/>
  <c r="A1009" i="5"/>
  <c r="A1008" i="5"/>
  <c r="A1007" i="5"/>
  <c r="A1006" i="5"/>
  <c r="A1005" i="5"/>
  <c r="A1004" i="5"/>
  <c r="A1003" i="5"/>
  <c r="A1002" i="5"/>
  <c r="A1001" i="5"/>
  <c r="A1000" i="5"/>
  <c r="A999" i="5"/>
  <c r="A998" i="5"/>
  <c r="A997" i="5"/>
  <c r="A996" i="5"/>
  <c r="A995" i="5"/>
  <c r="A994" i="5"/>
  <c r="A993" i="5"/>
  <c r="A992" i="5"/>
  <c r="A991" i="5"/>
  <c r="A990" i="5"/>
  <c r="A989" i="5"/>
  <c r="A988" i="5"/>
  <c r="A987" i="5"/>
  <c r="A986" i="5"/>
  <c r="A985" i="5"/>
  <c r="A984" i="5"/>
  <c r="A983" i="5"/>
  <c r="A982" i="5"/>
  <c r="A981" i="5"/>
  <c r="A980" i="5"/>
  <c r="A979" i="5"/>
  <c r="A978" i="5"/>
  <c r="A977" i="5"/>
  <c r="A976" i="5"/>
  <c r="A975" i="5"/>
  <c r="A974" i="5"/>
  <c r="A973" i="5"/>
  <c r="A972" i="5"/>
  <c r="A971" i="5"/>
  <c r="A970" i="5"/>
  <c r="A969" i="5"/>
  <c r="A968" i="5"/>
  <c r="A967" i="5"/>
  <c r="A966" i="5"/>
  <c r="A965" i="5"/>
  <c r="A964" i="5"/>
  <c r="A963" i="5"/>
  <c r="A962" i="5"/>
  <c r="A961" i="5"/>
  <c r="A960" i="5"/>
  <c r="A959" i="5"/>
  <c r="A958" i="5"/>
  <c r="A957" i="5"/>
  <c r="A956" i="5"/>
  <c r="A955" i="5"/>
  <c r="A954" i="5"/>
  <c r="A953" i="5"/>
  <c r="A952" i="5"/>
  <c r="A951" i="5"/>
  <c r="A950" i="5"/>
  <c r="A949" i="5"/>
  <c r="A948" i="5"/>
  <c r="A947" i="5"/>
  <c r="A946" i="5"/>
  <c r="A945" i="5"/>
  <c r="A944" i="5"/>
  <c r="A943" i="5"/>
  <c r="A942" i="5"/>
  <c r="A941" i="5"/>
  <c r="A940" i="5"/>
  <c r="A939" i="5"/>
  <c r="A938" i="5"/>
  <c r="A937" i="5"/>
  <c r="A936" i="5"/>
  <c r="A935" i="5"/>
  <c r="A934" i="5"/>
  <c r="A933" i="5"/>
  <c r="A932" i="5"/>
  <c r="A931" i="5"/>
  <c r="A930" i="5"/>
  <c r="A929" i="5"/>
  <c r="A928" i="5"/>
  <c r="A927" i="5"/>
  <c r="A926" i="5"/>
  <c r="A925" i="5"/>
  <c r="A924" i="5"/>
  <c r="A923" i="5"/>
  <c r="A922" i="5"/>
  <c r="A921" i="5"/>
  <c r="A920" i="5"/>
  <c r="A919" i="5"/>
  <c r="A918" i="5"/>
  <c r="A917" i="5"/>
  <c r="A916" i="5"/>
  <c r="A915" i="5"/>
  <c r="A914" i="5"/>
  <c r="A913" i="5"/>
  <c r="A912" i="5"/>
  <c r="A911" i="5"/>
  <c r="A910" i="5"/>
  <c r="A909" i="5"/>
  <c r="A908" i="5"/>
  <c r="A907" i="5"/>
  <c r="A906" i="5"/>
  <c r="A905" i="5"/>
  <c r="A904" i="5"/>
  <c r="A903" i="5"/>
  <c r="A902" i="5"/>
  <c r="A901" i="5"/>
  <c r="A900" i="5"/>
  <c r="A899" i="5"/>
  <c r="A898" i="5"/>
  <c r="A897" i="5"/>
  <c r="A896" i="5"/>
  <c r="A895" i="5"/>
  <c r="A894" i="5"/>
  <c r="A893" i="5"/>
  <c r="A892" i="5"/>
  <c r="A891" i="5"/>
  <c r="A890" i="5"/>
  <c r="A889" i="5"/>
  <c r="A888" i="5"/>
  <c r="A887" i="5"/>
  <c r="A886" i="5"/>
  <c r="A885" i="5"/>
  <c r="A884" i="5"/>
  <c r="A883" i="5"/>
  <c r="A882" i="5"/>
  <c r="A881" i="5"/>
  <c r="A880" i="5"/>
  <c r="A879" i="5"/>
  <c r="A878" i="5"/>
  <c r="A877" i="5"/>
  <c r="A876" i="5"/>
  <c r="A875" i="5"/>
  <c r="A874" i="5"/>
  <c r="A873" i="5"/>
  <c r="A872" i="5"/>
  <c r="A871" i="5"/>
  <c r="A870" i="5"/>
  <c r="A869" i="5"/>
  <c r="A868" i="5"/>
  <c r="A867" i="5"/>
  <c r="A866" i="5"/>
  <c r="A865" i="5"/>
  <c r="A864" i="5"/>
  <c r="A863" i="5"/>
  <c r="A862" i="5"/>
  <c r="A861" i="5"/>
  <c r="A860" i="5"/>
  <c r="A859" i="5"/>
  <c r="A858" i="5"/>
  <c r="A857" i="5"/>
  <c r="A856" i="5"/>
  <c r="A855" i="5"/>
  <c r="A854" i="5"/>
  <c r="A853" i="5"/>
  <c r="A852" i="5"/>
  <c r="A851" i="5"/>
  <c r="A850" i="5"/>
  <c r="A849" i="5"/>
  <c r="A848" i="5"/>
  <c r="A847" i="5"/>
  <c r="A846" i="5"/>
  <c r="A845" i="5"/>
  <c r="A844" i="5"/>
  <c r="A843" i="5"/>
  <c r="A842" i="5"/>
  <c r="A841" i="5"/>
  <c r="A840" i="5"/>
  <c r="A839" i="5"/>
  <c r="A838" i="5"/>
  <c r="A837" i="5"/>
  <c r="A836" i="5"/>
  <c r="A835" i="5"/>
  <c r="A834" i="5"/>
  <c r="A833" i="5"/>
  <c r="A832" i="5"/>
  <c r="A831" i="5"/>
  <c r="A830" i="5"/>
  <c r="A829" i="5"/>
  <c r="A828" i="5"/>
  <c r="A827" i="5"/>
  <c r="A826" i="5"/>
  <c r="A825" i="5"/>
  <c r="A824" i="5"/>
  <c r="A823" i="5"/>
  <c r="A822" i="5"/>
  <c r="A821" i="5"/>
  <c r="A820" i="5"/>
  <c r="A819" i="5"/>
  <c r="A818" i="5"/>
  <c r="A817" i="5"/>
  <c r="A816" i="5"/>
  <c r="A815" i="5"/>
  <c r="A814" i="5"/>
  <c r="A813" i="5"/>
  <c r="A812" i="5"/>
  <c r="A811" i="5"/>
  <c r="A810" i="5"/>
  <c r="A809" i="5"/>
  <c r="A808" i="5"/>
  <c r="A807" i="5"/>
  <c r="A806" i="5"/>
  <c r="A805" i="5"/>
  <c r="A804" i="5"/>
  <c r="A803" i="5"/>
  <c r="A802" i="5"/>
  <c r="A801" i="5"/>
  <c r="A800" i="5"/>
  <c r="A799" i="5"/>
  <c r="A798" i="5"/>
  <c r="A797" i="5"/>
  <c r="A796" i="5"/>
  <c r="A795" i="5"/>
  <c r="A794" i="5"/>
  <c r="A793" i="5"/>
  <c r="A792" i="5"/>
  <c r="A791" i="5"/>
  <c r="A790" i="5"/>
  <c r="A789" i="5"/>
  <c r="A788" i="5"/>
  <c r="A787" i="5"/>
  <c r="A786" i="5"/>
  <c r="A785" i="5"/>
  <c r="A784" i="5"/>
  <c r="A783" i="5"/>
  <c r="A782" i="5"/>
  <c r="A781" i="5"/>
  <c r="A780" i="5"/>
  <c r="A779" i="5"/>
  <c r="A778" i="5"/>
  <c r="A777" i="5"/>
  <c r="A776" i="5"/>
  <c r="A775" i="5"/>
  <c r="A774" i="5"/>
  <c r="A773" i="5"/>
  <c r="A772" i="5"/>
  <c r="A771" i="5"/>
  <c r="A770" i="5"/>
  <c r="A769" i="5"/>
  <c r="A768" i="5"/>
  <c r="A767" i="5"/>
  <c r="A766" i="5"/>
  <c r="A765" i="5"/>
  <c r="A764" i="5"/>
  <c r="A763" i="5"/>
  <c r="A762" i="5"/>
  <c r="A761" i="5"/>
  <c r="A760" i="5"/>
  <c r="A759" i="5"/>
  <c r="A758" i="5"/>
  <c r="A757" i="5"/>
  <c r="A756" i="5"/>
  <c r="A755" i="5"/>
  <c r="A754" i="5"/>
  <c r="A753" i="5"/>
  <c r="A752" i="5"/>
  <c r="A751" i="5"/>
  <c r="A750" i="5"/>
  <c r="A749" i="5"/>
  <c r="A748" i="5"/>
  <c r="A747" i="5"/>
  <c r="A746" i="5"/>
  <c r="A745" i="5"/>
  <c r="A744" i="5"/>
  <c r="A743" i="5"/>
  <c r="A742" i="5"/>
  <c r="A741" i="5"/>
  <c r="A740" i="5"/>
  <c r="A739" i="5"/>
  <c r="A738" i="5"/>
  <c r="A737" i="5"/>
  <c r="A736" i="5"/>
  <c r="A735" i="5"/>
  <c r="A734" i="5"/>
  <c r="A733" i="5"/>
  <c r="A732" i="5"/>
  <c r="A731" i="5"/>
  <c r="A730" i="5"/>
  <c r="A729" i="5"/>
  <c r="A728" i="5"/>
  <c r="A727" i="5"/>
  <c r="A726" i="5"/>
  <c r="A725" i="5"/>
  <c r="A724" i="5"/>
  <c r="A723" i="5"/>
  <c r="A722" i="5"/>
  <c r="A721" i="5"/>
  <c r="A720" i="5"/>
  <c r="A719" i="5"/>
  <c r="A718" i="5"/>
  <c r="A717" i="5"/>
  <c r="A716" i="5"/>
  <c r="A715" i="5"/>
  <c r="A714" i="5"/>
  <c r="A713" i="5"/>
  <c r="A712" i="5"/>
  <c r="A711" i="5"/>
  <c r="A710" i="5"/>
  <c r="A709" i="5"/>
  <c r="A708" i="5"/>
  <c r="A707" i="5"/>
  <c r="A706" i="5"/>
  <c r="A705" i="5"/>
  <c r="A704" i="5"/>
  <c r="A703" i="5"/>
  <c r="A702" i="5"/>
  <c r="A701" i="5"/>
  <c r="A700" i="5"/>
  <c r="A699" i="5"/>
  <c r="A698" i="5"/>
  <c r="A697" i="5"/>
  <c r="A696" i="5"/>
  <c r="A695" i="5"/>
  <c r="A694" i="5"/>
  <c r="A693" i="5"/>
  <c r="A692" i="5"/>
  <c r="A691" i="5"/>
  <c r="A690" i="5"/>
  <c r="A689" i="5"/>
  <c r="A688" i="5"/>
  <c r="A687" i="5"/>
  <c r="A686" i="5"/>
  <c r="A685" i="5"/>
  <c r="A684" i="5"/>
  <c r="A683" i="5"/>
  <c r="A682" i="5"/>
  <c r="A681" i="5"/>
  <c r="A680" i="5"/>
  <c r="A679" i="5"/>
  <c r="A678" i="5"/>
  <c r="A677" i="5"/>
  <c r="A676" i="5"/>
  <c r="A675" i="5"/>
  <c r="A674" i="5"/>
  <c r="A673" i="5"/>
  <c r="A672" i="5"/>
  <c r="A671" i="5"/>
  <c r="A670" i="5"/>
  <c r="A669" i="5"/>
  <c r="A668" i="5"/>
  <c r="A667" i="5"/>
  <c r="A666" i="5"/>
  <c r="A665" i="5"/>
  <c r="A664" i="5"/>
  <c r="A663" i="5"/>
  <c r="A662" i="5"/>
  <c r="A661" i="5"/>
  <c r="A660" i="5"/>
  <c r="A659" i="5"/>
  <c r="A658" i="5"/>
  <c r="A657" i="5"/>
  <c r="A656" i="5"/>
  <c r="A655" i="5"/>
  <c r="A654" i="5"/>
  <c r="A653" i="5"/>
  <c r="A652" i="5"/>
  <c r="A651" i="5"/>
  <c r="A650" i="5"/>
  <c r="A649" i="5"/>
  <c r="A648" i="5"/>
  <c r="A647" i="5"/>
  <c r="A646" i="5"/>
  <c r="A645" i="5"/>
  <c r="A644" i="5"/>
  <c r="A643" i="5"/>
  <c r="A642" i="5"/>
  <c r="A641" i="5"/>
  <c r="A640" i="5"/>
  <c r="A639" i="5"/>
  <c r="A638" i="5"/>
  <c r="A637" i="5"/>
  <c r="A636" i="5"/>
  <c r="A635" i="5"/>
  <c r="A634" i="5"/>
  <c r="A633" i="5"/>
  <c r="A632" i="5"/>
  <c r="A631" i="5"/>
  <c r="A630" i="5"/>
  <c r="A629" i="5"/>
  <c r="A628" i="5"/>
  <c r="A627" i="5"/>
  <c r="A626" i="5"/>
  <c r="A625" i="5"/>
  <c r="A624" i="5"/>
  <c r="A623" i="5"/>
  <c r="A622" i="5"/>
  <c r="A621" i="5"/>
  <c r="A620" i="5"/>
  <c r="A619" i="5"/>
  <c r="A618" i="5"/>
  <c r="A617" i="5"/>
  <c r="A616" i="5"/>
  <c r="A615" i="5"/>
  <c r="A614" i="5"/>
  <c r="A613" i="5"/>
  <c r="A612" i="5"/>
  <c r="A611" i="5"/>
  <c r="A610" i="5"/>
  <c r="A609" i="5"/>
  <c r="A608" i="5"/>
  <c r="A607" i="5"/>
  <c r="A606" i="5"/>
  <c r="A605" i="5"/>
  <c r="A604" i="5"/>
  <c r="A603" i="5"/>
  <c r="A602" i="5"/>
  <c r="A601" i="5"/>
  <c r="A600" i="5"/>
  <c r="A599" i="5"/>
  <c r="A598" i="5"/>
  <c r="A597" i="5"/>
  <c r="A596" i="5"/>
  <c r="A595" i="5"/>
  <c r="A594" i="5"/>
  <c r="A593" i="5"/>
  <c r="A592" i="5"/>
  <c r="A591" i="5"/>
  <c r="A590" i="5"/>
  <c r="A589" i="5"/>
  <c r="A588" i="5"/>
  <c r="A587" i="5"/>
  <c r="A586" i="5"/>
  <c r="A585" i="5"/>
  <c r="A584" i="5"/>
  <c r="A583" i="5"/>
  <c r="A582" i="5"/>
  <c r="A581" i="5"/>
  <c r="A580" i="5"/>
  <c r="A579" i="5"/>
  <c r="A578" i="5"/>
  <c r="A577" i="5"/>
  <c r="A576" i="5"/>
  <c r="A575" i="5"/>
  <c r="A574" i="5"/>
  <c r="A573" i="5"/>
  <c r="A572" i="5"/>
  <c r="A571" i="5"/>
  <c r="A570" i="5"/>
  <c r="A569" i="5"/>
  <c r="A568" i="5"/>
  <c r="A567" i="5"/>
  <c r="A566" i="5"/>
  <c r="A565" i="5"/>
  <c r="A564" i="5"/>
  <c r="A563" i="5"/>
  <c r="A562" i="5"/>
  <c r="A561" i="5"/>
  <c r="A560" i="5"/>
  <c r="A559" i="5"/>
  <c r="A558" i="5"/>
  <c r="A557" i="5"/>
  <c r="A556" i="5"/>
  <c r="A555" i="5"/>
  <c r="A554" i="5"/>
  <c r="A553" i="5"/>
  <c r="A552" i="5"/>
  <c r="A551" i="5"/>
  <c r="A550" i="5"/>
  <c r="A549" i="5"/>
  <c r="A548" i="5"/>
  <c r="A547" i="5"/>
  <c r="A546" i="5"/>
  <c r="A545" i="5"/>
  <c r="A544" i="5"/>
  <c r="A543" i="5"/>
  <c r="A542" i="5"/>
  <c r="A541" i="5"/>
  <c r="A540" i="5"/>
  <c r="A539" i="5"/>
  <c r="A538" i="5"/>
  <c r="A537" i="5"/>
  <c r="A536" i="5"/>
  <c r="A535" i="5"/>
  <c r="A534" i="5"/>
  <c r="A533" i="5"/>
  <c r="A532" i="5"/>
  <c r="A531" i="5"/>
  <c r="A530" i="5"/>
  <c r="A529" i="5"/>
  <c r="A528" i="5"/>
  <c r="A527" i="5"/>
  <c r="A526" i="5"/>
  <c r="A525" i="5"/>
  <c r="A524" i="5"/>
  <c r="A523" i="5"/>
  <c r="A522" i="5"/>
  <c r="A521" i="5"/>
  <c r="A520" i="5"/>
  <c r="A519" i="5"/>
  <c r="A518" i="5"/>
  <c r="A517" i="5"/>
  <c r="A516" i="5"/>
  <c r="A515" i="5"/>
  <c r="A514" i="5"/>
  <c r="A513" i="5"/>
  <c r="A512" i="5"/>
  <c r="A511" i="5"/>
  <c r="A510" i="5"/>
  <c r="A509" i="5"/>
  <c r="A508" i="5"/>
  <c r="A507" i="5"/>
  <c r="A506" i="5"/>
  <c r="A505" i="5"/>
  <c r="A504" i="5"/>
  <c r="A503" i="5"/>
  <c r="A502" i="5"/>
  <c r="A501" i="5"/>
  <c r="A500" i="5"/>
  <c r="A499" i="5"/>
  <c r="A498" i="5"/>
  <c r="A497" i="5"/>
  <c r="A496" i="5"/>
  <c r="A495" i="5"/>
  <c r="A494" i="5"/>
  <c r="A493" i="5"/>
  <c r="A492" i="5"/>
  <c r="A491" i="5"/>
  <c r="A490" i="5"/>
  <c r="A489" i="5"/>
  <c r="A488" i="5"/>
  <c r="A487" i="5"/>
  <c r="A486" i="5"/>
  <c r="A485" i="5"/>
  <c r="A484" i="5"/>
  <c r="A483" i="5"/>
  <c r="A482" i="5"/>
  <c r="A481" i="5"/>
  <c r="A480" i="5"/>
  <c r="A479" i="5"/>
  <c r="A478" i="5"/>
  <c r="A477" i="5"/>
  <c r="A476" i="5"/>
  <c r="A475" i="5"/>
  <c r="A474" i="5"/>
  <c r="A473" i="5"/>
  <c r="A472" i="5"/>
  <c r="A471" i="5"/>
  <c r="A470" i="5"/>
  <c r="A469" i="5"/>
  <c r="A468" i="5"/>
  <c r="A467" i="5"/>
  <c r="A466" i="5"/>
  <c r="A465" i="5"/>
  <c r="A464" i="5"/>
  <c r="A463" i="5"/>
  <c r="A462" i="5"/>
  <c r="A461" i="5"/>
  <c r="A460" i="5"/>
  <c r="A459" i="5"/>
  <c r="A458" i="5"/>
  <c r="A457" i="5"/>
  <c r="A456" i="5"/>
  <c r="A455" i="5"/>
  <c r="A454" i="5"/>
  <c r="A453" i="5"/>
  <c r="A452" i="5"/>
  <c r="A451" i="5"/>
  <c r="A450" i="5"/>
  <c r="A449" i="5"/>
  <c r="A448" i="5"/>
  <c r="A447" i="5"/>
  <c r="A446" i="5"/>
  <c r="A445" i="5"/>
  <c r="A444" i="5"/>
  <c r="A443" i="5"/>
  <c r="A442" i="5"/>
  <c r="A441" i="5"/>
  <c r="A440" i="5"/>
  <c r="A439" i="5"/>
  <c r="A438" i="5"/>
  <c r="A437" i="5"/>
  <c r="A436" i="5"/>
  <c r="A435" i="5"/>
  <c r="A434" i="5"/>
  <c r="A433" i="5"/>
  <c r="A432" i="5"/>
  <c r="A431" i="5"/>
  <c r="A430" i="5"/>
  <c r="A429" i="5"/>
  <c r="A428" i="5"/>
  <c r="A427" i="5"/>
  <c r="A426" i="5"/>
  <c r="A425" i="5"/>
  <c r="A424" i="5"/>
  <c r="A423" i="5"/>
  <c r="A422" i="5"/>
  <c r="A421" i="5"/>
  <c r="A420" i="5"/>
  <c r="A419" i="5"/>
  <c r="A418" i="5"/>
  <c r="A417" i="5"/>
  <c r="A416" i="5"/>
  <c r="A415" i="5"/>
  <c r="A414" i="5"/>
  <c r="A413" i="5"/>
  <c r="A412" i="5"/>
  <c r="A411" i="5"/>
  <c r="A410" i="5"/>
  <c r="A409" i="5"/>
  <c r="A408" i="5"/>
  <c r="A407" i="5"/>
  <c r="A406" i="5"/>
  <c r="A405" i="5"/>
  <c r="A404" i="5"/>
  <c r="A403" i="5"/>
  <c r="A402" i="5"/>
  <c r="A401" i="5"/>
  <c r="A400" i="5"/>
  <c r="A399" i="5"/>
  <c r="A398" i="5"/>
  <c r="A397" i="5"/>
  <c r="A396" i="5"/>
  <c r="A395" i="5"/>
  <c r="A394" i="5"/>
  <c r="A393" i="5"/>
  <c r="A392" i="5"/>
  <c r="A391" i="5"/>
  <c r="A390" i="5"/>
  <c r="A389" i="5"/>
  <c r="A388" i="5"/>
  <c r="A387" i="5"/>
  <c r="A386" i="5"/>
  <c r="A385" i="5"/>
  <c r="A384" i="5"/>
  <c r="A383" i="5"/>
  <c r="A382" i="5"/>
  <c r="A381" i="5"/>
  <c r="A380" i="5"/>
  <c r="A379" i="5"/>
  <c r="A378" i="5"/>
  <c r="A377" i="5"/>
  <c r="A376" i="5"/>
  <c r="A375" i="5"/>
  <c r="A374" i="5"/>
  <c r="A373" i="5"/>
  <c r="A372" i="5"/>
  <c r="A371" i="5"/>
  <c r="A370" i="5"/>
  <c r="A369" i="5"/>
  <c r="A368" i="5"/>
  <c r="A367" i="5"/>
  <c r="A366" i="5"/>
  <c r="A365" i="5"/>
  <c r="A364" i="5"/>
  <c r="A363" i="5"/>
  <c r="A362" i="5"/>
  <c r="A361" i="5"/>
  <c r="A360" i="5"/>
  <c r="A359" i="5"/>
  <c r="A358" i="5"/>
  <c r="A357" i="5"/>
  <c r="A356" i="5"/>
  <c r="A355" i="5"/>
  <c r="A354" i="5"/>
  <c r="A353" i="5"/>
  <c r="A352" i="5"/>
  <c r="A351" i="5"/>
  <c r="A350" i="5"/>
  <c r="A349" i="5"/>
  <c r="A348" i="5"/>
  <c r="A347" i="5"/>
  <c r="A346" i="5"/>
  <c r="A345" i="5"/>
  <c r="A344" i="5"/>
  <c r="A343" i="5"/>
  <c r="A342" i="5"/>
  <c r="A341" i="5"/>
  <c r="A340" i="5"/>
  <c r="A339" i="5"/>
  <c r="A338" i="5"/>
  <c r="A337" i="5"/>
  <c r="A336" i="5"/>
  <c r="A335" i="5"/>
  <c r="A334" i="5"/>
  <c r="A333" i="5"/>
  <c r="A332" i="5"/>
  <c r="A331" i="5"/>
  <c r="A330" i="5"/>
  <c r="A329" i="5"/>
  <c r="A328" i="5"/>
  <c r="A327" i="5"/>
  <c r="A326" i="5"/>
  <c r="A325" i="5"/>
  <c r="A324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A305" i="5"/>
  <c r="A304" i="5"/>
  <c r="A303" i="5"/>
  <c r="A302" i="5"/>
  <c r="A301" i="5"/>
  <c r="A300" i="5"/>
  <c r="A299" i="5"/>
  <c r="A298" i="5"/>
  <c r="A297" i="5"/>
  <c r="A296" i="5"/>
  <c r="A295" i="5"/>
  <c r="A294" i="5"/>
  <c r="A293" i="5"/>
  <c r="A292" i="5"/>
  <c r="A291" i="5"/>
  <c r="A290" i="5"/>
  <c r="A289" i="5"/>
  <c r="A288" i="5"/>
  <c r="A287" i="5"/>
  <c r="A286" i="5"/>
  <c r="A285" i="5"/>
  <c r="A284" i="5"/>
  <c r="A283" i="5"/>
  <c r="A282" i="5"/>
  <c r="A281" i="5"/>
  <c r="A280" i="5"/>
  <c r="A279" i="5"/>
  <c r="A278" i="5"/>
  <c r="A277" i="5"/>
  <c r="A276" i="5"/>
  <c r="A275" i="5"/>
  <c r="A274" i="5"/>
  <c r="A273" i="5"/>
  <c r="A272" i="5"/>
  <c r="A271" i="5"/>
  <c r="A270" i="5"/>
  <c r="A269" i="5"/>
  <c r="A268" i="5"/>
  <c r="A267" i="5"/>
  <c r="A266" i="5"/>
  <c r="A265" i="5"/>
  <c r="A264" i="5"/>
  <c r="A263" i="5"/>
  <c r="A262" i="5"/>
  <c r="A261" i="5"/>
  <c r="A260" i="5"/>
  <c r="A259" i="5"/>
  <c r="A258" i="5"/>
  <c r="A257" i="5"/>
  <c r="A256" i="5"/>
  <c r="A255" i="5"/>
  <c r="A254" i="5"/>
  <c r="A253" i="5"/>
  <c r="A252" i="5"/>
  <c r="A251" i="5"/>
  <c r="A250" i="5"/>
  <c r="A249" i="5"/>
  <c r="A248" i="5"/>
  <c r="A247" i="5"/>
  <c r="A246" i="5"/>
  <c r="A245" i="5"/>
  <c r="A244" i="5"/>
  <c r="A243" i="5"/>
  <c r="A242" i="5"/>
  <c r="A241" i="5"/>
  <c r="A240" i="5"/>
  <c r="A239" i="5"/>
  <c r="A238" i="5"/>
  <c r="A237" i="5"/>
  <c r="A236" i="5"/>
  <c r="A235" i="5"/>
  <c r="A234" i="5"/>
  <c r="A233" i="5"/>
  <c r="A232" i="5"/>
  <c r="A231" i="5"/>
  <c r="A230" i="5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A184" i="5"/>
  <c r="A183" i="5"/>
  <c r="A182" i="5"/>
  <c r="A181" i="5"/>
  <c r="A180" i="5"/>
  <c r="A179" i="5"/>
  <c r="A178" i="5"/>
  <c r="A177" i="5"/>
  <c r="A176" i="5"/>
  <c r="A175" i="5"/>
  <c r="A174" i="5"/>
  <c r="A173" i="5"/>
  <c r="A172" i="5"/>
  <c r="A171" i="5"/>
  <c r="A170" i="5"/>
  <c r="A169" i="5"/>
  <c r="A168" i="5"/>
  <c r="A167" i="5"/>
  <c r="A166" i="5"/>
  <c r="A165" i="5"/>
  <c r="A164" i="5"/>
  <c r="A163" i="5"/>
  <c r="A162" i="5"/>
  <c r="A161" i="5"/>
  <c r="A160" i="5"/>
  <c r="A159" i="5"/>
  <c r="A158" i="5"/>
  <c r="A157" i="5"/>
  <c r="A156" i="5"/>
  <c r="A155" i="5"/>
  <c r="A154" i="5"/>
  <c r="A153" i="5"/>
  <c r="A152" i="5"/>
  <c r="A151" i="5"/>
  <c r="A150" i="5"/>
  <c r="A149" i="5"/>
  <c r="A148" i="5"/>
  <c r="A147" i="5"/>
  <c r="A146" i="5"/>
  <c r="A145" i="5"/>
  <c r="A144" i="5"/>
  <c r="A143" i="5"/>
  <c r="A142" i="5"/>
  <c r="A141" i="5"/>
  <c r="A140" i="5"/>
  <c r="A139" i="5"/>
  <c r="A138" i="5"/>
  <c r="A137" i="5"/>
  <c r="A136" i="5"/>
  <c r="A135" i="5"/>
  <c r="A134" i="5"/>
  <c r="A133" i="5"/>
  <c r="A132" i="5"/>
  <c r="A131" i="5"/>
  <c r="A130" i="5"/>
  <c r="A129" i="5"/>
  <c r="A128" i="5"/>
  <c r="A127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111" i="5"/>
  <c r="A110" i="5"/>
  <c r="A109" i="5"/>
  <c r="A108" i="5"/>
  <c r="A107" i="5"/>
  <c r="A106" i="5"/>
  <c r="A105" i="5"/>
  <c r="A104" i="5"/>
  <c r="A103" i="5"/>
  <c r="A102" i="5"/>
  <c r="A101" i="5"/>
  <c r="A100" i="5"/>
  <c r="A99" i="5"/>
  <c r="A98" i="5"/>
  <c r="A97" i="5"/>
  <c r="A96" i="5"/>
  <c r="A95" i="5"/>
  <c r="A94" i="5"/>
  <c r="A93" i="5"/>
  <c r="A92" i="5"/>
  <c r="A91" i="5"/>
  <c r="A90" i="5"/>
  <c r="A89" i="5"/>
  <c r="A88" i="5"/>
  <c r="A87" i="5"/>
  <c r="A86" i="5"/>
  <c r="A85" i="5"/>
  <c r="A84" i="5"/>
  <c r="A83" i="5"/>
  <c r="A82" i="5"/>
  <c r="A81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E3" i="5"/>
  <c r="E4" i="5" s="1"/>
  <c r="E5" i="5" s="1"/>
  <c r="E6" i="5" s="1"/>
  <c r="E7" i="5" s="1"/>
  <c r="E8" i="5" s="1"/>
  <c r="E9" i="5" s="1"/>
  <c r="E10" i="5" s="1"/>
  <c r="E11" i="5" s="1"/>
  <c r="E12" i="5" s="1"/>
  <c r="E13" i="5" s="1"/>
  <c r="E14" i="5" s="1"/>
  <c r="E15" i="5" s="1"/>
  <c r="E16" i="5" s="1"/>
  <c r="E17" i="5" s="1"/>
  <c r="E18" i="5" s="1"/>
  <c r="E19" i="5" s="1"/>
  <c r="E20" i="5" s="1"/>
  <c r="E21" i="5" s="1"/>
  <c r="E22" i="5" s="1"/>
  <c r="E23" i="5" s="1"/>
  <c r="E24" i="5" s="1"/>
  <c r="E25" i="5" s="1"/>
  <c r="E26" i="5" s="1"/>
  <c r="E27" i="5" s="1"/>
  <c r="E28" i="5" s="1"/>
  <c r="E29" i="5" s="1"/>
  <c r="E30" i="5" s="1"/>
  <c r="E31" i="5" s="1"/>
  <c r="E32" i="5" s="1"/>
  <c r="E33" i="5" s="1"/>
  <c r="E34" i="5" s="1"/>
  <c r="E35" i="5" s="1"/>
  <c r="E36" i="5" s="1"/>
  <c r="E37" i="5" s="1"/>
  <c r="E38" i="5" s="1"/>
  <c r="E39" i="5" s="1"/>
  <c r="E40" i="5" s="1"/>
  <c r="E41" i="5" s="1"/>
  <c r="E42" i="5" s="1"/>
  <c r="E43" i="5" s="1"/>
  <c r="E44" i="5" s="1"/>
  <c r="E45" i="5" s="1"/>
  <c r="E46" i="5" s="1"/>
  <c r="E47" i="5" s="1"/>
  <c r="E48" i="5" s="1"/>
  <c r="E49" i="5" s="1"/>
  <c r="E50" i="5" s="1"/>
  <c r="E51" i="5" s="1"/>
  <c r="E52" i="5" s="1"/>
  <c r="E53" i="5" s="1"/>
  <c r="E54" i="5" s="1"/>
  <c r="E55" i="5" s="1"/>
  <c r="E56" i="5" s="1"/>
  <c r="E57" i="5" s="1"/>
  <c r="E58" i="5" s="1"/>
  <c r="E59" i="5" s="1"/>
  <c r="E60" i="5" s="1"/>
  <c r="E61" i="5" s="1"/>
  <c r="E62" i="5" s="1"/>
  <c r="E63" i="5" s="1"/>
  <c r="E64" i="5" s="1"/>
  <c r="E65" i="5" s="1"/>
  <c r="E66" i="5" s="1"/>
  <c r="E67" i="5" s="1"/>
  <c r="E68" i="5" s="1"/>
  <c r="E69" i="5" s="1"/>
  <c r="E70" i="5" s="1"/>
  <c r="E71" i="5" s="1"/>
  <c r="E72" i="5" s="1"/>
  <c r="E73" i="5" s="1"/>
  <c r="E74" i="5" s="1"/>
  <c r="E75" i="5" s="1"/>
  <c r="E76" i="5" s="1"/>
  <c r="E77" i="5" s="1"/>
  <c r="E78" i="5" s="1"/>
  <c r="E79" i="5" s="1"/>
  <c r="E80" i="5" s="1"/>
  <c r="E81" i="5" s="1"/>
  <c r="E82" i="5" s="1"/>
  <c r="E83" i="5" s="1"/>
  <c r="E84" i="5" s="1"/>
  <c r="E85" i="5" s="1"/>
  <c r="E86" i="5" s="1"/>
  <c r="E87" i="5" s="1"/>
  <c r="E88" i="5" s="1"/>
  <c r="E89" i="5" s="1"/>
  <c r="E90" i="5" s="1"/>
  <c r="E91" i="5" s="1"/>
  <c r="E92" i="5" s="1"/>
  <c r="E93" i="5" s="1"/>
  <c r="E94" i="5" s="1"/>
  <c r="E95" i="5" s="1"/>
  <c r="E96" i="5" s="1"/>
  <c r="E97" i="5" s="1"/>
  <c r="E98" i="5" s="1"/>
  <c r="E99" i="5" s="1"/>
  <c r="E100" i="5" s="1"/>
  <c r="E101" i="5" s="1"/>
  <c r="E102" i="5" s="1"/>
  <c r="E103" i="5" s="1"/>
  <c r="E104" i="5" s="1"/>
  <c r="E105" i="5" s="1"/>
  <c r="E106" i="5" s="1"/>
  <c r="E107" i="5" s="1"/>
  <c r="E108" i="5" s="1"/>
  <c r="E109" i="5" s="1"/>
  <c r="E110" i="5" s="1"/>
  <c r="E111" i="5" s="1"/>
  <c r="E112" i="5" s="1"/>
  <c r="E113" i="5" s="1"/>
  <c r="E114" i="5" s="1"/>
  <c r="E115" i="5" s="1"/>
  <c r="E116" i="5" s="1"/>
  <c r="E117" i="5" s="1"/>
  <c r="E118" i="5" s="1"/>
  <c r="E119" i="5" s="1"/>
  <c r="E120" i="5" s="1"/>
  <c r="E121" i="5" s="1"/>
  <c r="E122" i="5" s="1"/>
  <c r="E123" i="5" s="1"/>
  <c r="E124" i="5" s="1"/>
  <c r="E125" i="5" s="1"/>
  <c r="E126" i="5" s="1"/>
  <c r="E127" i="5" s="1"/>
  <c r="E128" i="5" s="1"/>
  <c r="E129" i="5" s="1"/>
  <c r="E130" i="5" s="1"/>
  <c r="E131" i="5" s="1"/>
  <c r="E132" i="5" s="1"/>
  <c r="E133" i="5" s="1"/>
  <c r="E134" i="5" s="1"/>
  <c r="E135" i="5" s="1"/>
  <c r="E136" i="5" s="1"/>
  <c r="E137" i="5" s="1"/>
  <c r="E138" i="5" s="1"/>
  <c r="E139" i="5" s="1"/>
  <c r="E140" i="5" s="1"/>
  <c r="E141" i="5" s="1"/>
  <c r="E142" i="5" s="1"/>
  <c r="E143" i="5" s="1"/>
  <c r="E144" i="5" s="1"/>
  <c r="E145" i="5" s="1"/>
  <c r="E146" i="5" s="1"/>
  <c r="E147" i="5" s="1"/>
  <c r="E148" i="5" s="1"/>
  <c r="E149" i="5" s="1"/>
  <c r="E150" i="5" s="1"/>
  <c r="E151" i="5" s="1"/>
  <c r="E152" i="5" s="1"/>
  <c r="E153" i="5" s="1"/>
  <c r="E154" i="5" s="1"/>
  <c r="E155" i="5" s="1"/>
  <c r="E156" i="5" s="1"/>
  <c r="E157" i="5" s="1"/>
  <c r="E158" i="5" s="1"/>
  <c r="E159" i="5" s="1"/>
  <c r="E160" i="5" s="1"/>
  <c r="E161" i="5" s="1"/>
  <c r="E162" i="5" s="1"/>
  <c r="E163" i="5" s="1"/>
  <c r="E164" i="5" s="1"/>
  <c r="E165" i="5" s="1"/>
  <c r="E166" i="5" s="1"/>
  <c r="E167" i="5" s="1"/>
  <c r="E168" i="5" s="1"/>
  <c r="E169" i="5" s="1"/>
  <c r="E170" i="5" s="1"/>
  <c r="E171" i="5" s="1"/>
  <c r="E172" i="5" s="1"/>
  <c r="E173" i="5" s="1"/>
  <c r="E174" i="5" s="1"/>
  <c r="E175" i="5" s="1"/>
  <c r="E176" i="5" s="1"/>
  <c r="E177" i="5" s="1"/>
  <c r="E178" i="5" s="1"/>
  <c r="E179" i="5" s="1"/>
  <c r="E180" i="5" s="1"/>
  <c r="E181" i="5" s="1"/>
  <c r="E182" i="5" s="1"/>
  <c r="E183" i="5" s="1"/>
  <c r="E184" i="5" s="1"/>
  <c r="E185" i="5" s="1"/>
  <c r="E186" i="5" s="1"/>
  <c r="E187" i="5" s="1"/>
  <c r="E188" i="5" s="1"/>
  <c r="E189" i="5" s="1"/>
  <c r="E190" i="5" s="1"/>
  <c r="E191" i="5" s="1"/>
  <c r="E192" i="5" s="1"/>
  <c r="E193" i="5" s="1"/>
  <c r="E194" i="5" s="1"/>
  <c r="E195" i="5" s="1"/>
  <c r="E196" i="5" s="1"/>
  <c r="E197" i="5" s="1"/>
  <c r="E198" i="5" s="1"/>
  <c r="E199" i="5" s="1"/>
  <c r="E200" i="5" s="1"/>
  <c r="E201" i="5" s="1"/>
  <c r="E202" i="5" s="1"/>
  <c r="E203" i="5" s="1"/>
  <c r="E204" i="5" s="1"/>
  <c r="E205" i="5" s="1"/>
  <c r="E206" i="5" s="1"/>
  <c r="E207" i="5" s="1"/>
  <c r="E208" i="5" s="1"/>
  <c r="E209" i="5" s="1"/>
  <c r="E210" i="5" s="1"/>
  <c r="E211" i="5" s="1"/>
  <c r="E212" i="5" s="1"/>
  <c r="E213" i="5" s="1"/>
  <c r="E214" i="5" s="1"/>
  <c r="E215" i="5" s="1"/>
  <c r="E216" i="5" s="1"/>
  <c r="E217" i="5" s="1"/>
  <c r="E218" i="5" s="1"/>
  <c r="E219" i="5" s="1"/>
  <c r="E220" i="5" s="1"/>
  <c r="E221" i="5" s="1"/>
  <c r="E222" i="5" s="1"/>
  <c r="E223" i="5" s="1"/>
  <c r="E224" i="5" s="1"/>
  <c r="E225" i="5" s="1"/>
  <c r="E226" i="5" s="1"/>
  <c r="E227" i="5" s="1"/>
  <c r="E228" i="5" s="1"/>
  <c r="E229" i="5" s="1"/>
  <c r="E230" i="5" s="1"/>
  <c r="E231" i="5" s="1"/>
  <c r="E232" i="5" s="1"/>
  <c r="E233" i="5" s="1"/>
  <c r="E234" i="5" s="1"/>
  <c r="E235" i="5" s="1"/>
  <c r="E236" i="5" s="1"/>
  <c r="E237" i="5" s="1"/>
  <c r="E238" i="5" s="1"/>
  <c r="E239" i="5" s="1"/>
  <c r="E240" i="5" s="1"/>
  <c r="E241" i="5" s="1"/>
  <c r="E242" i="5" s="1"/>
  <c r="E243" i="5" s="1"/>
  <c r="E244" i="5" s="1"/>
  <c r="E245" i="5" s="1"/>
  <c r="E246" i="5" s="1"/>
  <c r="E247" i="5" s="1"/>
  <c r="E248" i="5" s="1"/>
  <c r="E249" i="5" s="1"/>
  <c r="E250" i="5" s="1"/>
  <c r="E251" i="5" s="1"/>
  <c r="E252" i="5" s="1"/>
  <c r="E253" i="5" s="1"/>
  <c r="E254" i="5" s="1"/>
  <c r="E255" i="5" s="1"/>
  <c r="E256" i="5" s="1"/>
  <c r="E257" i="5" s="1"/>
  <c r="E258" i="5" s="1"/>
  <c r="E259" i="5" s="1"/>
  <c r="E260" i="5" s="1"/>
  <c r="E261" i="5" s="1"/>
  <c r="E262" i="5" s="1"/>
  <c r="E263" i="5" s="1"/>
  <c r="E264" i="5" s="1"/>
  <c r="E265" i="5" s="1"/>
  <c r="E266" i="5" s="1"/>
  <c r="E267" i="5" s="1"/>
  <c r="E268" i="5" s="1"/>
  <c r="E269" i="5" s="1"/>
  <c r="E270" i="5" s="1"/>
  <c r="E271" i="5" s="1"/>
  <c r="E272" i="5" s="1"/>
  <c r="E273" i="5" s="1"/>
  <c r="E274" i="5" s="1"/>
  <c r="E275" i="5" s="1"/>
  <c r="E276" i="5" s="1"/>
  <c r="E277" i="5" s="1"/>
  <c r="E278" i="5" s="1"/>
  <c r="E279" i="5" s="1"/>
  <c r="E280" i="5" s="1"/>
  <c r="E281" i="5" s="1"/>
  <c r="E282" i="5" s="1"/>
  <c r="E283" i="5" s="1"/>
  <c r="E284" i="5" s="1"/>
  <c r="E285" i="5" s="1"/>
  <c r="E286" i="5" s="1"/>
  <c r="E287" i="5" s="1"/>
  <c r="E288" i="5" s="1"/>
  <c r="E289" i="5" s="1"/>
  <c r="E290" i="5" s="1"/>
  <c r="E291" i="5" s="1"/>
  <c r="E292" i="5" s="1"/>
  <c r="E293" i="5" s="1"/>
  <c r="E294" i="5" s="1"/>
  <c r="E295" i="5" s="1"/>
  <c r="E296" i="5" s="1"/>
  <c r="E297" i="5" s="1"/>
  <c r="E298" i="5" s="1"/>
  <c r="E299" i="5" s="1"/>
  <c r="E300" i="5" s="1"/>
  <c r="E301" i="5" s="1"/>
  <c r="E302" i="5" s="1"/>
  <c r="E303" i="5" s="1"/>
  <c r="E304" i="5" s="1"/>
  <c r="E305" i="5" s="1"/>
  <c r="E306" i="5" s="1"/>
  <c r="E307" i="5" s="1"/>
  <c r="E308" i="5" s="1"/>
  <c r="E309" i="5" s="1"/>
  <c r="E310" i="5" s="1"/>
  <c r="E311" i="5" s="1"/>
  <c r="E312" i="5" s="1"/>
  <c r="E313" i="5" s="1"/>
  <c r="E314" i="5" s="1"/>
  <c r="E315" i="5" s="1"/>
  <c r="E316" i="5" s="1"/>
  <c r="E317" i="5" s="1"/>
  <c r="E318" i="5" s="1"/>
  <c r="E319" i="5" s="1"/>
  <c r="E320" i="5" s="1"/>
  <c r="E321" i="5" s="1"/>
  <c r="E322" i="5" s="1"/>
  <c r="E323" i="5" s="1"/>
  <c r="E324" i="5" s="1"/>
  <c r="E325" i="5" s="1"/>
  <c r="E326" i="5" s="1"/>
  <c r="E327" i="5" s="1"/>
  <c r="E328" i="5" s="1"/>
  <c r="E329" i="5" s="1"/>
  <c r="E330" i="5" s="1"/>
  <c r="E331" i="5" s="1"/>
  <c r="E332" i="5" s="1"/>
  <c r="E333" i="5" s="1"/>
  <c r="E334" i="5" s="1"/>
  <c r="E335" i="5" s="1"/>
  <c r="E336" i="5" s="1"/>
  <c r="E337" i="5" s="1"/>
  <c r="E338" i="5" s="1"/>
  <c r="E339" i="5" s="1"/>
  <c r="E340" i="5" s="1"/>
  <c r="E341" i="5" s="1"/>
  <c r="E342" i="5" s="1"/>
  <c r="E343" i="5" s="1"/>
  <c r="E344" i="5" s="1"/>
  <c r="E345" i="5" s="1"/>
  <c r="E346" i="5" s="1"/>
  <c r="E347" i="5" s="1"/>
  <c r="E348" i="5" s="1"/>
  <c r="E349" i="5" s="1"/>
  <c r="E350" i="5" s="1"/>
  <c r="E351" i="5" s="1"/>
  <c r="E352" i="5" s="1"/>
  <c r="E353" i="5" s="1"/>
  <c r="E354" i="5" s="1"/>
  <c r="E355" i="5" s="1"/>
  <c r="E356" i="5" s="1"/>
  <c r="E357" i="5" s="1"/>
  <c r="E358" i="5" s="1"/>
  <c r="E359" i="5" s="1"/>
  <c r="E360" i="5" s="1"/>
  <c r="E361" i="5" s="1"/>
  <c r="E362" i="5" s="1"/>
  <c r="E363" i="5" s="1"/>
  <c r="E364" i="5" s="1"/>
  <c r="E365" i="5" s="1"/>
  <c r="E366" i="5" s="1"/>
  <c r="E367" i="5" s="1"/>
  <c r="E368" i="5" s="1"/>
  <c r="E369" i="5" s="1"/>
  <c r="E370" i="5" s="1"/>
  <c r="E371" i="5" s="1"/>
  <c r="E372" i="5" s="1"/>
  <c r="E373" i="5" s="1"/>
  <c r="E374" i="5" s="1"/>
  <c r="E375" i="5" s="1"/>
  <c r="E376" i="5" s="1"/>
  <c r="E377" i="5" s="1"/>
  <c r="E378" i="5" s="1"/>
  <c r="E379" i="5" s="1"/>
  <c r="E380" i="5" s="1"/>
  <c r="E381" i="5" s="1"/>
  <c r="E382" i="5" s="1"/>
  <c r="E383" i="5" s="1"/>
  <c r="E384" i="5" s="1"/>
  <c r="E385" i="5" s="1"/>
  <c r="E386" i="5" s="1"/>
  <c r="E387" i="5" s="1"/>
  <c r="E388" i="5" s="1"/>
  <c r="E389" i="5" s="1"/>
  <c r="E390" i="5" s="1"/>
  <c r="E391" i="5" s="1"/>
  <c r="E392" i="5" s="1"/>
  <c r="E393" i="5" s="1"/>
  <c r="E394" i="5" s="1"/>
  <c r="E395" i="5" s="1"/>
  <c r="E396" i="5" s="1"/>
  <c r="E397" i="5" s="1"/>
  <c r="E398" i="5" s="1"/>
  <c r="E399" i="5" s="1"/>
  <c r="E400" i="5" s="1"/>
  <c r="E401" i="5" s="1"/>
  <c r="E402" i="5" s="1"/>
  <c r="E403" i="5" s="1"/>
  <c r="E404" i="5" s="1"/>
  <c r="E405" i="5" s="1"/>
  <c r="E406" i="5" s="1"/>
  <c r="E407" i="5" s="1"/>
  <c r="E408" i="5" s="1"/>
  <c r="E409" i="5" s="1"/>
  <c r="E410" i="5" s="1"/>
  <c r="E411" i="5" s="1"/>
  <c r="E412" i="5" s="1"/>
  <c r="E413" i="5" s="1"/>
  <c r="E414" i="5" s="1"/>
  <c r="E415" i="5" s="1"/>
  <c r="E416" i="5" s="1"/>
  <c r="E417" i="5" s="1"/>
  <c r="E418" i="5" s="1"/>
  <c r="E419" i="5" s="1"/>
  <c r="E420" i="5" s="1"/>
  <c r="E421" i="5" s="1"/>
  <c r="E422" i="5" s="1"/>
  <c r="E423" i="5" s="1"/>
  <c r="E424" i="5" s="1"/>
  <c r="E425" i="5" s="1"/>
  <c r="E426" i="5" s="1"/>
  <c r="E427" i="5" s="1"/>
  <c r="E428" i="5" s="1"/>
  <c r="E429" i="5" s="1"/>
  <c r="E430" i="5" s="1"/>
  <c r="E431" i="5" s="1"/>
  <c r="E432" i="5" s="1"/>
  <c r="E433" i="5" s="1"/>
  <c r="E434" i="5" s="1"/>
  <c r="E435" i="5" s="1"/>
  <c r="E436" i="5" s="1"/>
  <c r="E437" i="5" s="1"/>
  <c r="E438" i="5" s="1"/>
  <c r="E439" i="5" s="1"/>
  <c r="E440" i="5" s="1"/>
  <c r="E441" i="5" s="1"/>
  <c r="E442" i="5" s="1"/>
  <c r="E443" i="5" s="1"/>
  <c r="E444" i="5" s="1"/>
  <c r="E445" i="5" s="1"/>
  <c r="E446" i="5" s="1"/>
  <c r="E447" i="5" s="1"/>
  <c r="E448" i="5" s="1"/>
  <c r="E449" i="5" s="1"/>
  <c r="E450" i="5" s="1"/>
  <c r="E451" i="5" s="1"/>
  <c r="E452" i="5" s="1"/>
  <c r="E453" i="5" s="1"/>
  <c r="E454" i="5" s="1"/>
  <c r="E455" i="5" s="1"/>
  <c r="E456" i="5" s="1"/>
  <c r="E457" i="5" s="1"/>
  <c r="E458" i="5" s="1"/>
  <c r="E459" i="5" s="1"/>
  <c r="E460" i="5" s="1"/>
  <c r="E461" i="5" s="1"/>
  <c r="E462" i="5" s="1"/>
  <c r="E463" i="5" s="1"/>
  <c r="E464" i="5" s="1"/>
  <c r="E465" i="5" s="1"/>
  <c r="E466" i="5" s="1"/>
  <c r="E467" i="5" s="1"/>
  <c r="E468" i="5" s="1"/>
  <c r="E469" i="5" s="1"/>
  <c r="E470" i="5" s="1"/>
  <c r="E471" i="5" s="1"/>
  <c r="E472" i="5" s="1"/>
  <c r="E473" i="5" s="1"/>
  <c r="E474" i="5" s="1"/>
  <c r="E475" i="5" s="1"/>
  <c r="E476" i="5" s="1"/>
  <c r="E477" i="5" s="1"/>
  <c r="E478" i="5" s="1"/>
  <c r="E479" i="5" s="1"/>
  <c r="E480" i="5" s="1"/>
  <c r="E481" i="5" s="1"/>
  <c r="E482" i="5" s="1"/>
  <c r="E483" i="5" s="1"/>
  <c r="E484" i="5" s="1"/>
  <c r="E485" i="5" s="1"/>
  <c r="E486" i="5" s="1"/>
  <c r="E487" i="5" s="1"/>
  <c r="E488" i="5" s="1"/>
  <c r="E489" i="5" s="1"/>
  <c r="E490" i="5" s="1"/>
  <c r="E491" i="5" s="1"/>
  <c r="E492" i="5" s="1"/>
  <c r="E493" i="5" s="1"/>
  <c r="E494" i="5" s="1"/>
  <c r="E495" i="5" s="1"/>
  <c r="E496" i="5" s="1"/>
  <c r="E497" i="5" s="1"/>
  <c r="E498" i="5" s="1"/>
  <c r="E499" i="5" s="1"/>
  <c r="E500" i="5" s="1"/>
  <c r="E501" i="5" s="1"/>
  <c r="E502" i="5" s="1"/>
  <c r="E503" i="5" s="1"/>
  <c r="E504" i="5" s="1"/>
  <c r="E505" i="5" s="1"/>
  <c r="E506" i="5" s="1"/>
  <c r="E507" i="5" s="1"/>
  <c r="E508" i="5" s="1"/>
  <c r="E509" i="5" s="1"/>
  <c r="E510" i="5" s="1"/>
  <c r="E511" i="5" s="1"/>
  <c r="E512" i="5" s="1"/>
  <c r="E513" i="5" s="1"/>
  <c r="E514" i="5" s="1"/>
  <c r="E515" i="5" s="1"/>
  <c r="E516" i="5" s="1"/>
  <c r="E517" i="5" s="1"/>
  <c r="E518" i="5" s="1"/>
  <c r="E519" i="5" s="1"/>
  <c r="E520" i="5" s="1"/>
  <c r="E521" i="5" s="1"/>
  <c r="E522" i="5" s="1"/>
  <c r="E523" i="5" s="1"/>
  <c r="E524" i="5" s="1"/>
  <c r="E525" i="5" s="1"/>
  <c r="E526" i="5" s="1"/>
  <c r="E527" i="5" s="1"/>
  <c r="E528" i="5" s="1"/>
  <c r="E529" i="5" s="1"/>
  <c r="E530" i="5" s="1"/>
  <c r="E531" i="5" s="1"/>
  <c r="E532" i="5" s="1"/>
  <c r="E533" i="5" s="1"/>
  <c r="E534" i="5" s="1"/>
  <c r="E535" i="5" s="1"/>
  <c r="E536" i="5" s="1"/>
  <c r="E537" i="5" s="1"/>
  <c r="E538" i="5" s="1"/>
  <c r="E539" i="5" s="1"/>
  <c r="E540" i="5" s="1"/>
  <c r="E541" i="5" s="1"/>
  <c r="E542" i="5" s="1"/>
  <c r="E543" i="5" s="1"/>
  <c r="E544" i="5" s="1"/>
  <c r="E545" i="5" s="1"/>
  <c r="E546" i="5" s="1"/>
  <c r="E547" i="5" s="1"/>
  <c r="E548" i="5" s="1"/>
  <c r="E549" i="5" s="1"/>
  <c r="E550" i="5" s="1"/>
  <c r="E551" i="5" s="1"/>
  <c r="E552" i="5" s="1"/>
  <c r="E553" i="5" s="1"/>
  <c r="E554" i="5" s="1"/>
  <c r="E555" i="5" s="1"/>
  <c r="E556" i="5" s="1"/>
  <c r="E557" i="5" s="1"/>
  <c r="E558" i="5" s="1"/>
  <c r="E559" i="5" s="1"/>
  <c r="E560" i="5" s="1"/>
  <c r="E561" i="5" s="1"/>
  <c r="E562" i="5" s="1"/>
  <c r="E563" i="5" s="1"/>
  <c r="E564" i="5" s="1"/>
  <c r="E565" i="5" s="1"/>
  <c r="E566" i="5" s="1"/>
  <c r="E567" i="5" s="1"/>
  <c r="E568" i="5" s="1"/>
  <c r="E569" i="5" s="1"/>
  <c r="E570" i="5" s="1"/>
  <c r="E571" i="5" s="1"/>
  <c r="E572" i="5" s="1"/>
  <c r="E573" i="5" s="1"/>
  <c r="E574" i="5" s="1"/>
  <c r="E575" i="5" s="1"/>
  <c r="E576" i="5" s="1"/>
  <c r="E577" i="5" s="1"/>
  <c r="E578" i="5" s="1"/>
  <c r="E579" i="5" s="1"/>
  <c r="E580" i="5" s="1"/>
  <c r="E581" i="5" s="1"/>
  <c r="E582" i="5" s="1"/>
  <c r="E583" i="5" s="1"/>
  <c r="E584" i="5" s="1"/>
  <c r="E585" i="5" s="1"/>
  <c r="E586" i="5" s="1"/>
  <c r="E587" i="5" s="1"/>
  <c r="E588" i="5" s="1"/>
  <c r="E589" i="5" s="1"/>
  <c r="E590" i="5" s="1"/>
  <c r="E591" i="5" s="1"/>
  <c r="E592" i="5" s="1"/>
  <c r="E593" i="5" s="1"/>
  <c r="E594" i="5" s="1"/>
  <c r="E595" i="5" s="1"/>
  <c r="E596" i="5" s="1"/>
  <c r="E597" i="5" s="1"/>
  <c r="E598" i="5" s="1"/>
  <c r="E599" i="5" s="1"/>
  <c r="E600" i="5" s="1"/>
  <c r="E601" i="5" s="1"/>
  <c r="E602" i="5" s="1"/>
  <c r="E603" i="5" s="1"/>
  <c r="E604" i="5" s="1"/>
  <c r="E605" i="5" s="1"/>
  <c r="E606" i="5" s="1"/>
  <c r="E607" i="5" s="1"/>
  <c r="E608" i="5" s="1"/>
  <c r="E609" i="5" s="1"/>
  <c r="E610" i="5" s="1"/>
  <c r="E611" i="5" s="1"/>
  <c r="E612" i="5" s="1"/>
  <c r="E613" i="5" s="1"/>
  <c r="E614" i="5" s="1"/>
  <c r="E615" i="5" s="1"/>
  <c r="E616" i="5" s="1"/>
  <c r="E617" i="5" s="1"/>
  <c r="E618" i="5" s="1"/>
  <c r="E619" i="5" s="1"/>
  <c r="E620" i="5" s="1"/>
  <c r="E621" i="5" s="1"/>
  <c r="E622" i="5" s="1"/>
  <c r="E623" i="5" s="1"/>
  <c r="E624" i="5" s="1"/>
  <c r="E625" i="5" s="1"/>
  <c r="E626" i="5" s="1"/>
  <c r="E627" i="5" s="1"/>
  <c r="E628" i="5" s="1"/>
  <c r="E629" i="5" s="1"/>
  <c r="E630" i="5" s="1"/>
  <c r="E631" i="5" s="1"/>
  <c r="E632" i="5" s="1"/>
  <c r="E633" i="5" s="1"/>
  <c r="E634" i="5" s="1"/>
  <c r="E635" i="5" s="1"/>
  <c r="E636" i="5" s="1"/>
  <c r="E637" i="5" s="1"/>
  <c r="E638" i="5" s="1"/>
  <c r="E639" i="5" s="1"/>
  <c r="E640" i="5" s="1"/>
  <c r="E641" i="5" s="1"/>
  <c r="E642" i="5" s="1"/>
  <c r="E643" i="5" s="1"/>
  <c r="E644" i="5" s="1"/>
  <c r="E645" i="5" s="1"/>
  <c r="E646" i="5" s="1"/>
  <c r="E647" i="5" s="1"/>
  <c r="E648" i="5" s="1"/>
  <c r="E649" i="5" s="1"/>
  <c r="E650" i="5" s="1"/>
  <c r="E651" i="5" s="1"/>
  <c r="E652" i="5" s="1"/>
  <c r="E653" i="5" s="1"/>
  <c r="E654" i="5" s="1"/>
  <c r="E655" i="5" s="1"/>
  <c r="E656" i="5" s="1"/>
  <c r="E657" i="5" s="1"/>
  <c r="E658" i="5" s="1"/>
  <c r="E659" i="5" s="1"/>
  <c r="E660" i="5" s="1"/>
  <c r="E661" i="5" s="1"/>
  <c r="E662" i="5" s="1"/>
  <c r="E663" i="5" s="1"/>
  <c r="E664" i="5" s="1"/>
  <c r="E665" i="5" s="1"/>
  <c r="E666" i="5" s="1"/>
  <c r="E667" i="5" s="1"/>
  <c r="E668" i="5" s="1"/>
  <c r="E669" i="5" s="1"/>
  <c r="E670" i="5" s="1"/>
  <c r="E671" i="5" s="1"/>
  <c r="E672" i="5" s="1"/>
  <c r="E673" i="5" s="1"/>
  <c r="E674" i="5" s="1"/>
  <c r="E675" i="5" s="1"/>
  <c r="E676" i="5" s="1"/>
  <c r="E677" i="5" s="1"/>
  <c r="E678" i="5" s="1"/>
  <c r="E679" i="5" s="1"/>
  <c r="E680" i="5" s="1"/>
  <c r="E681" i="5" s="1"/>
  <c r="E682" i="5" s="1"/>
  <c r="E683" i="5" s="1"/>
  <c r="E684" i="5" s="1"/>
  <c r="E685" i="5" s="1"/>
  <c r="E686" i="5" s="1"/>
  <c r="E687" i="5" s="1"/>
  <c r="E688" i="5" s="1"/>
  <c r="E689" i="5" s="1"/>
  <c r="E690" i="5" s="1"/>
  <c r="E691" i="5" s="1"/>
  <c r="E692" i="5" s="1"/>
  <c r="E693" i="5" s="1"/>
  <c r="E694" i="5" s="1"/>
  <c r="E695" i="5" s="1"/>
  <c r="E696" i="5" s="1"/>
  <c r="E697" i="5" s="1"/>
  <c r="E698" i="5" s="1"/>
  <c r="E699" i="5" s="1"/>
  <c r="E700" i="5" s="1"/>
  <c r="E701" i="5" s="1"/>
  <c r="E702" i="5" s="1"/>
  <c r="E703" i="5" s="1"/>
  <c r="E704" i="5" s="1"/>
  <c r="E705" i="5" s="1"/>
  <c r="E706" i="5" s="1"/>
  <c r="E707" i="5" s="1"/>
  <c r="E708" i="5" s="1"/>
  <c r="E709" i="5" s="1"/>
  <c r="E710" i="5" s="1"/>
  <c r="E711" i="5" s="1"/>
  <c r="E712" i="5" s="1"/>
  <c r="E713" i="5" s="1"/>
  <c r="E714" i="5" s="1"/>
  <c r="E715" i="5" s="1"/>
  <c r="E716" i="5" s="1"/>
  <c r="E717" i="5" s="1"/>
  <c r="E718" i="5" s="1"/>
  <c r="E719" i="5" s="1"/>
  <c r="E720" i="5" s="1"/>
  <c r="E721" i="5" s="1"/>
  <c r="E722" i="5" s="1"/>
  <c r="E723" i="5" s="1"/>
  <c r="E724" i="5" s="1"/>
  <c r="E725" i="5" s="1"/>
  <c r="E726" i="5" s="1"/>
  <c r="E727" i="5" s="1"/>
  <c r="E728" i="5" s="1"/>
  <c r="E729" i="5" s="1"/>
  <c r="E730" i="5" s="1"/>
  <c r="E731" i="5" s="1"/>
  <c r="E732" i="5" s="1"/>
  <c r="E733" i="5" s="1"/>
  <c r="E734" i="5" s="1"/>
  <c r="E735" i="5" s="1"/>
  <c r="E736" i="5" s="1"/>
  <c r="E737" i="5" s="1"/>
  <c r="E738" i="5" s="1"/>
  <c r="E739" i="5" s="1"/>
  <c r="E740" i="5" s="1"/>
  <c r="E741" i="5" s="1"/>
  <c r="E742" i="5" s="1"/>
  <c r="E743" i="5" s="1"/>
  <c r="E744" i="5" s="1"/>
  <c r="E745" i="5" s="1"/>
  <c r="E746" i="5" s="1"/>
  <c r="E747" i="5" s="1"/>
  <c r="E748" i="5" s="1"/>
  <c r="E749" i="5" s="1"/>
  <c r="E750" i="5" s="1"/>
  <c r="E751" i="5" s="1"/>
  <c r="E752" i="5" s="1"/>
  <c r="E753" i="5" s="1"/>
  <c r="E754" i="5" s="1"/>
  <c r="E755" i="5" s="1"/>
  <c r="E756" i="5" s="1"/>
  <c r="E757" i="5" s="1"/>
  <c r="E758" i="5" s="1"/>
  <c r="E759" i="5" s="1"/>
  <c r="E760" i="5" s="1"/>
  <c r="E761" i="5" s="1"/>
  <c r="E762" i="5" s="1"/>
  <c r="E763" i="5" s="1"/>
  <c r="E764" i="5" s="1"/>
  <c r="E765" i="5" s="1"/>
  <c r="E766" i="5" s="1"/>
  <c r="E767" i="5" s="1"/>
  <c r="E768" i="5" s="1"/>
  <c r="E769" i="5" s="1"/>
  <c r="E770" i="5" s="1"/>
  <c r="E771" i="5" s="1"/>
  <c r="E772" i="5" s="1"/>
  <c r="E773" i="5" s="1"/>
  <c r="E774" i="5" s="1"/>
  <c r="E775" i="5" s="1"/>
  <c r="E776" i="5" s="1"/>
  <c r="E777" i="5" s="1"/>
  <c r="E778" i="5" s="1"/>
  <c r="E779" i="5" s="1"/>
  <c r="E780" i="5" s="1"/>
  <c r="E781" i="5" s="1"/>
  <c r="E782" i="5" s="1"/>
  <c r="E783" i="5" s="1"/>
  <c r="E784" i="5" s="1"/>
  <c r="E785" i="5" s="1"/>
  <c r="E786" i="5" s="1"/>
  <c r="E787" i="5" s="1"/>
  <c r="E788" i="5" s="1"/>
  <c r="E789" i="5" s="1"/>
  <c r="E790" i="5" s="1"/>
  <c r="E791" i="5" s="1"/>
  <c r="E792" i="5" s="1"/>
  <c r="E793" i="5" s="1"/>
  <c r="E794" i="5" s="1"/>
  <c r="E795" i="5" s="1"/>
  <c r="E796" i="5" s="1"/>
  <c r="E797" i="5" s="1"/>
  <c r="E798" i="5" s="1"/>
  <c r="E799" i="5" s="1"/>
  <c r="E800" i="5" s="1"/>
  <c r="E801" i="5" s="1"/>
  <c r="E802" i="5" s="1"/>
  <c r="E803" i="5" s="1"/>
  <c r="E804" i="5" s="1"/>
  <c r="E805" i="5" s="1"/>
  <c r="E806" i="5" s="1"/>
  <c r="E807" i="5" s="1"/>
  <c r="E808" i="5" s="1"/>
  <c r="E809" i="5" s="1"/>
  <c r="E810" i="5" s="1"/>
  <c r="E811" i="5" s="1"/>
  <c r="E812" i="5" s="1"/>
  <c r="E813" i="5" s="1"/>
  <c r="E814" i="5" s="1"/>
  <c r="E815" i="5" s="1"/>
  <c r="E816" i="5" s="1"/>
  <c r="E817" i="5" s="1"/>
  <c r="E818" i="5" s="1"/>
  <c r="E819" i="5" s="1"/>
  <c r="E820" i="5" s="1"/>
  <c r="E821" i="5" s="1"/>
  <c r="E822" i="5" s="1"/>
  <c r="E823" i="5" s="1"/>
  <c r="E824" i="5" s="1"/>
  <c r="E825" i="5" s="1"/>
  <c r="E826" i="5" s="1"/>
  <c r="E827" i="5" s="1"/>
  <c r="E828" i="5" s="1"/>
  <c r="E829" i="5" s="1"/>
  <c r="E830" i="5" s="1"/>
  <c r="E831" i="5" s="1"/>
  <c r="E832" i="5" s="1"/>
  <c r="E833" i="5" s="1"/>
  <c r="E834" i="5" s="1"/>
  <c r="E835" i="5" s="1"/>
  <c r="E836" i="5" s="1"/>
  <c r="E837" i="5" s="1"/>
  <c r="E838" i="5" s="1"/>
  <c r="E839" i="5" s="1"/>
  <c r="E840" i="5" s="1"/>
  <c r="E841" i="5" s="1"/>
  <c r="E842" i="5" s="1"/>
  <c r="E843" i="5" s="1"/>
  <c r="E844" i="5" s="1"/>
  <c r="E845" i="5" s="1"/>
  <c r="E846" i="5" s="1"/>
  <c r="E847" i="5" s="1"/>
  <c r="E848" i="5" s="1"/>
  <c r="E849" i="5" s="1"/>
  <c r="E850" i="5" s="1"/>
  <c r="E851" i="5" s="1"/>
  <c r="E852" i="5" s="1"/>
  <c r="E853" i="5" s="1"/>
  <c r="E854" i="5" s="1"/>
  <c r="E855" i="5" s="1"/>
  <c r="E856" i="5" s="1"/>
  <c r="E857" i="5" s="1"/>
  <c r="E858" i="5" s="1"/>
  <c r="E859" i="5" s="1"/>
  <c r="E860" i="5" s="1"/>
  <c r="E861" i="5" s="1"/>
  <c r="E862" i="5" s="1"/>
  <c r="E863" i="5" s="1"/>
  <c r="E864" i="5" s="1"/>
  <c r="E865" i="5" s="1"/>
  <c r="E866" i="5" s="1"/>
  <c r="E867" i="5" s="1"/>
  <c r="E868" i="5" s="1"/>
  <c r="E869" i="5" s="1"/>
  <c r="E870" i="5" s="1"/>
  <c r="E871" i="5" s="1"/>
  <c r="E872" i="5" s="1"/>
  <c r="E873" i="5" s="1"/>
  <c r="E874" i="5" s="1"/>
  <c r="E875" i="5" s="1"/>
  <c r="E876" i="5" s="1"/>
  <c r="E877" i="5" s="1"/>
  <c r="E878" i="5" s="1"/>
  <c r="E879" i="5" s="1"/>
  <c r="E880" i="5" s="1"/>
  <c r="E881" i="5" s="1"/>
  <c r="E882" i="5" s="1"/>
  <c r="E883" i="5" s="1"/>
  <c r="E884" i="5" s="1"/>
  <c r="E885" i="5" s="1"/>
  <c r="E886" i="5" s="1"/>
  <c r="E887" i="5" s="1"/>
  <c r="E888" i="5" s="1"/>
  <c r="E889" i="5" s="1"/>
  <c r="E890" i="5" s="1"/>
  <c r="E891" i="5" s="1"/>
  <c r="E892" i="5" s="1"/>
  <c r="E893" i="5" s="1"/>
  <c r="E894" i="5" s="1"/>
  <c r="E895" i="5" s="1"/>
  <c r="E896" i="5" s="1"/>
  <c r="E897" i="5" s="1"/>
  <c r="E898" i="5" s="1"/>
  <c r="E899" i="5" s="1"/>
  <c r="E900" i="5" s="1"/>
  <c r="E901" i="5" s="1"/>
  <c r="E902" i="5" s="1"/>
  <c r="E903" i="5" s="1"/>
  <c r="E904" i="5" s="1"/>
  <c r="E905" i="5" s="1"/>
  <c r="E906" i="5" s="1"/>
  <c r="E907" i="5" s="1"/>
  <c r="E908" i="5" s="1"/>
  <c r="E909" i="5" s="1"/>
  <c r="E910" i="5" s="1"/>
  <c r="E911" i="5" s="1"/>
  <c r="E912" i="5" s="1"/>
  <c r="E913" i="5" s="1"/>
  <c r="E914" i="5" s="1"/>
  <c r="E915" i="5" s="1"/>
  <c r="E916" i="5" s="1"/>
  <c r="E917" i="5" s="1"/>
  <c r="E918" i="5" s="1"/>
  <c r="E919" i="5" s="1"/>
  <c r="E920" i="5" s="1"/>
  <c r="E921" i="5" s="1"/>
  <c r="E922" i="5" s="1"/>
  <c r="E923" i="5" s="1"/>
  <c r="E924" i="5" s="1"/>
  <c r="E925" i="5" s="1"/>
  <c r="E926" i="5" s="1"/>
  <c r="E927" i="5" s="1"/>
  <c r="E928" i="5" s="1"/>
  <c r="E929" i="5" s="1"/>
  <c r="E930" i="5" s="1"/>
  <c r="E931" i="5" s="1"/>
  <c r="E932" i="5" s="1"/>
  <c r="E933" i="5" s="1"/>
  <c r="E934" i="5" s="1"/>
  <c r="E935" i="5" s="1"/>
  <c r="E936" i="5" s="1"/>
  <c r="E937" i="5" s="1"/>
  <c r="E938" i="5" s="1"/>
  <c r="E939" i="5" s="1"/>
  <c r="E940" i="5" s="1"/>
  <c r="E941" i="5" s="1"/>
  <c r="E942" i="5" s="1"/>
  <c r="E943" i="5" s="1"/>
  <c r="E944" i="5" s="1"/>
  <c r="E945" i="5" s="1"/>
  <c r="E946" i="5" s="1"/>
  <c r="E947" i="5" s="1"/>
  <c r="E948" i="5" s="1"/>
  <c r="E949" i="5" s="1"/>
  <c r="E950" i="5" s="1"/>
  <c r="E951" i="5" s="1"/>
  <c r="E952" i="5" s="1"/>
  <c r="E953" i="5" s="1"/>
  <c r="E954" i="5" s="1"/>
  <c r="E955" i="5" s="1"/>
  <c r="E956" i="5" s="1"/>
  <c r="E957" i="5" s="1"/>
  <c r="E958" i="5" s="1"/>
  <c r="E959" i="5" s="1"/>
  <c r="E960" i="5" s="1"/>
  <c r="E961" i="5" s="1"/>
  <c r="E962" i="5" s="1"/>
  <c r="E963" i="5" s="1"/>
  <c r="E964" i="5" s="1"/>
  <c r="E965" i="5" s="1"/>
  <c r="E966" i="5" s="1"/>
  <c r="E967" i="5" s="1"/>
  <c r="E968" i="5" s="1"/>
  <c r="E969" i="5" s="1"/>
  <c r="E970" i="5" s="1"/>
  <c r="E971" i="5" s="1"/>
  <c r="E972" i="5" s="1"/>
  <c r="E973" i="5" s="1"/>
  <c r="E974" i="5" s="1"/>
  <c r="E975" i="5" s="1"/>
  <c r="E976" i="5" s="1"/>
  <c r="E977" i="5" s="1"/>
  <c r="E978" i="5" s="1"/>
  <c r="E979" i="5" s="1"/>
  <c r="E980" i="5" s="1"/>
  <c r="E981" i="5" s="1"/>
  <c r="E982" i="5" s="1"/>
  <c r="E983" i="5" s="1"/>
  <c r="E984" i="5" s="1"/>
  <c r="E985" i="5" s="1"/>
  <c r="E986" i="5" s="1"/>
  <c r="E987" i="5" s="1"/>
  <c r="E988" i="5" s="1"/>
  <c r="E989" i="5" s="1"/>
  <c r="E990" i="5" s="1"/>
  <c r="E991" i="5" s="1"/>
  <c r="E992" i="5" s="1"/>
  <c r="E993" i="5" s="1"/>
  <c r="E994" i="5" s="1"/>
  <c r="E995" i="5" s="1"/>
  <c r="E996" i="5" s="1"/>
  <c r="E997" i="5" s="1"/>
  <c r="E998" i="5" s="1"/>
  <c r="E999" i="5" s="1"/>
  <c r="E1000" i="5" s="1"/>
  <c r="E1001" i="5" s="1"/>
  <c r="E1002" i="5" s="1"/>
  <c r="E1003" i="5" s="1"/>
  <c r="E1004" i="5" s="1"/>
  <c r="E1005" i="5" s="1"/>
  <c r="E1006" i="5" s="1"/>
  <c r="E1007" i="5" s="1"/>
  <c r="E1008" i="5" s="1"/>
  <c r="E1009" i="5" s="1"/>
  <c r="E1010" i="5" s="1"/>
  <c r="E1011" i="5" s="1"/>
  <c r="E1012" i="5" s="1"/>
  <c r="E1013" i="5" s="1"/>
  <c r="E1014" i="5" s="1"/>
  <c r="E1015" i="5" s="1"/>
  <c r="E1016" i="5" s="1"/>
  <c r="E1017" i="5" s="1"/>
  <c r="E1018" i="5" s="1"/>
  <c r="E1019" i="5" s="1"/>
  <c r="E1020" i="5" s="1"/>
  <c r="E1021" i="5" s="1"/>
  <c r="E1022" i="5" s="1"/>
  <c r="E1023" i="5" s="1"/>
  <c r="E1024" i="5" s="1"/>
  <c r="E1025" i="5" s="1"/>
  <c r="E1026" i="5" s="1"/>
  <c r="E1027" i="5" s="1"/>
  <c r="E1028" i="5" s="1"/>
  <c r="E1029" i="5" s="1"/>
  <c r="E1030" i="5" s="1"/>
  <c r="E1031" i="5" s="1"/>
  <c r="E1032" i="5" s="1"/>
  <c r="E1033" i="5" s="1"/>
  <c r="E1034" i="5" s="1"/>
  <c r="E1035" i="5" s="1"/>
  <c r="E1036" i="5" s="1"/>
  <c r="E1037" i="5" s="1"/>
  <c r="E1038" i="5" s="1"/>
  <c r="E1039" i="5" s="1"/>
  <c r="E1040" i="5" s="1"/>
  <c r="E1041" i="5" s="1"/>
  <c r="E1042" i="5" s="1"/>
  <c r="E1043" i="5" s="1"/>
  <c r="E1044" i="5" s="1"/>
  <c r="E1045" i="5" s="1"/>
  <c r="E1046" i="5" s="1"/>
  <c r="E1047" i="5" s="1"/>
  <c r="E1048" i="5" s="1"/>
  <c r="E1049" i="5" s="1"/>
  <c r="E1050" i="5" s="1"/>
  <c r="E1051" i="5" s="1"/>
  <c r="E1052" i="5" s="1"/>
  <c r="E1053" i="5" s="1"/>
  <c r="E1054" i="5" s="1"/>
  <c r="E1055" i="5" s="1"/>
  <c r="E1056" i="5" s="1"/>
  <c r="E1057" i="5" s="1"/>
  <c r="E1058" i="5" s="1"/>
  <c r="E1059" i="5" s="1"/>
  <c r="E1060" i="5" s="1"/>
  <c r="E1061" i="5" s="1"/>
  <c r="E1062" i="5" s="1"/>
  <c r="E1063" i="5" s="1"/>
  <c r="E1064" i="5" s="1"/>
  <c r="E1065" i="5" s="1"/>
  <c r="E1066" i="5" s="1"/>
  <c r="E1067" i="5" s="1"/>
  <c r="E1068" i="5" s="1"/>
  <c r="E1069" i="5" s="1"/>
  <c r="E1070" i="5" s="1"/>
  <c r="E1071" i="5" s="1"/>
  <c r="E1072" i="5" s="1"/>
  <c r="E1073" i="5" s="1"/>
  <c r="E1074" i="5" s="1"/>
  <c r="E1075" i="5" s="1"/>
  <c r="E1076" i="5" s="1"/>
  <c r="E1077" i="5" s="1"/>
  <c r="E1078" i="5" s="1"/>
  <c r="E1079" i="5" s="1"/>
  <c r="E1080" i="5" s="1"/>
  <c r="E1081" i="5" s="1"/>
  <c r="E1082" i="5" s="1"/>
  <c r="E1083" i="5" s="1"/>
  <c r="E1084" i="5" s="1"/>
  <c r="E1085" i="5" s="1"/>
  <c r="E1086" i="5" s="1"/>
  <c r="E1087" i="5" s="1"/>
  <c r="E1088" i="5" s="1"/>
  <c r="E1089" i="5" s="1"/>
  <c r="E1090" i="5" s="1"/>
  <c r="E1091" i="5" s="1"/>
  <c r="E1092" i="5" s="1"/>
  <c r="E1093" i="5" s="1"/>
  <c r="E1094" i="5" s="1"/>
  <c r="E1095" i="5" s="1"/>
  <c r="E1096" i="5" s="1"/>
  <c r="E1097" i="5" s="1"/>
  <c r="E1098" i="5" s="1"/>
  <c r="E1099" i="5" s="1"/>
  <c r="E1100" i="5" s="1"/>
  <c r="E1101" i="5" s="1"/>
  <c r="E1102" i="5" s="1"/>
  <c r="E1103" i="5" s="1"/>
  <c r="E1104" i="5" s="1"/>
  <c r="E1105" i="5" s="1"/>
  <c r="E1106" i="5" s="1"/>
  <c r="E1107" i="5" s="1"/>
  <c r="E1108" i="5" s="1"/>
  <c r="E1109" i="5" s="1"/>
  <c r="E1110" i="5" s="1"/>
  <c r="E1111" i="5" s="1"/>
  <c r="E1112" i="5" s="1"/>
  <c r="E1113" i="5" s="1"/>
  <c r="E1114" i="5" s="1"/>
  <c r="E1115" i="5" s="1"/>
  <c r="E1116" i="5" s="1"/>
  <c r="E1117" i="5" s="1"/>
  <c r="E1118" i="5" s="1"/>
  <c r="E1119" i="5" s="1"/>
  <c r="E1120" i="5" s="1"/>
  <c r="E1121" i="5" s="1"/>
  <c r="E1122" i="5" s="1"/>
  <c r="E1123" i="5" s="1"/>
  <c r="E1124" i="5" s="1"/>
  <c r="E1125" i="5" s="1"/>
  <c r="E1126" i="5" s="1"/>
  <c r="E1127" i="5" s="1"/>
  <c r="E1128" i="5" s="1"/>
  <c r="E1129" i="5" s="1"/>
  <c r="E1130" i="5" s="1"/>
  <c r="E1131" i="5" s="1"/>
  <c r="E1132" i="5" s="1"/>
  <c r="E1133" i="5" s="1"/>
  <c r="E1134" i="5" s="1"/>
  <c r="E1135" i="5" s="1"/>
  <c r="E1136" i="5" s="1"/>
  <c r="E1137" i="5" s="1"/>
  <c r="E1138" i="5" s="1"/>
  <c r="E1139" i="5" s="1"/>
  <c r="E1140" i="5" s="1"/>
  <c r="E1141" i="5" s="1"/>
  <c r="E1142" i="5" s="1"/>
  <c r="E1143" i="5" s="1"/>
  <c r="E1144" i="5" s="1"/>
  <c r="E1145" i="5" s="1"/>
  <c r="E1146" i="5" s="1"/>
  <c r="E1147" i="5" s="1"/>
  <c r="E1148" i="5" s="1"/>
  <c r="E1149" i="5" s="1"/>
  <c r="E1150" i="5" s="1"/>
  <c r="E1151" i="5" s="1"/>
  <c r="E1152" i="5" s="1"/>
  <c r="E1153" i="5" s="1"/>
  <c r="E1154" i="5" s="1"/>
  <c r="E1155" i="5" s="1"/>
  <c r="E1156" i="5" s="1"/>
  <c r="E1157" i="5" s="1"/>
  <c r="E1158" i="5" s="1"/>
  <c r="E1159" i="5" s="1"/>
  <c r="E1160" i="5" s="1"/>
  <c r="E1161" i="5" s="1"/>
  <c r="E1162" i="5" s="1"/>
  <c r="E1163" i="5" s="1"/>
  <c r="E1164" i="5" s="1"/>
  <c r="E1165" i="5" s="1"/>
  <c r="E1166" i="5" s="1"/>
  <c r="E1167" i="5" s="1"/>
  <c r="E1168" i="5" s="1"/>
  <c r="E1169" i="5" s="1"/>
  <c r="E1170" i="5" s="1"/>
  <c r="E1171" i="5" s="1"/>
  <c r="E1172" i="5" s="1"/>
  <c r="E1173" i="5" s="1"/>
  <c r="E1174" i="5" s="1"/>
  <c r="E1175" i="5" s="1"/>
  <c r="E1176" i="5" s="1"/>
  <c r="E1177" i="5" s="1"/>
  <c r="E1178" i="5" s="1"/>
  <c r="E1179" i="5" s="1"/>
  <c r="E1180" i="5" s="1"/>
  <c r="E1181" i="5" s="1"/>
  <c r="E1182" i="5" s="1"/>
  <c r="E1183" i="5" s="1"/>
  <c r="E1184" i="5" s="1"/>
  <c r="E1185" i="5" s="1"/>
  <c r="E1186" i="5" s="1"/>
  <c r="E1187" i="5" s="1"/>
  <c r="E1188" i="5" s="1"/>
  <c r="E1189" i="5" s="1"/>
  <c r="E1190" i="5" s="1"/>
  <c r="E1191" i="5" s="1"/>
  <c r="E1192" i="5" s="1"/>
  <c r="E1193" i="5" s="1"/>
  <c r="E1194" i="5" s="1"/>
  <c r="E1195" i="5" s="1"/>
  <c r="E1196" i="5" s="1"/>
  <c r="E1197" i="5" s="1"/>
  <c r="E1198" i="5" s="1"/>
  <c r="E1199" i="5" s="1"/>
  <c r="E1200" i="5" s="1"/>
  <c r="E1201" i="5" s="1"/>
  <c r="E1202" i="5" s="1"/>
  <c r="E1203" i="5" s="1"/>
  <c r="E1204" i="5" s="1"/>
  <c r="E1205" i="5" s="1"/>
  <c r="E1206" i="5" s="1"/>
  <c r="E1207" i="5" s="1"/>
  <c r="E1208" i="5" s="1"/>
  <c r="E1209" i="5" s="1"/>
  <c r="E1210" i="5" s="1"/>
  <c r="E1211" i="5" s="1"/>
  <c r="E1212" i="5" s="1"/>
  <c r="E1213" i="5" s="1"/>
  <c r="E1214" i="5" s="1"/>
  <c r="E1215" i="5" s="1"/>
  <c r="E1216" i="5" s="1"/>
  <c r="E1217" i="5" s="1"/>
  <c r="E1218" i="5" s="1"/>
  <c r="E1219" i="5" s="1"/>
  <c r="E1220" i="5" s="1"/>
  <c r="E1221" i="5" s="1"/>
  <c r="E1222" i="5" s="1"/>
  <c r="E1223" i="5" s="1"/>
  <c r="E1224" i="5" s="1"/>
  <c r="E1225" i="5" s="1"/>
  <c r="E1226" i="5" s="1"/>
  <c r="E1227" i="5" s="1"/>
  <c r="E1228" i="5" s="1"/>
  <c r="E1229" i="5" s="1"/>
  <c r="E1230" i="5" s="1"/>
  <c r="E1231" i="5" s="1"/>
  <c r="E1232" i="5" s="1"/>
  <c r="E1233" i="5" s="1"/>
  <c r="E1234" i="5" s="1"/>
  <c r="E1235" i="5" s="1"/>
  <c r="E1236" i="5" s="1"/>
  <c r="E1237" i="5" s="1"/>
  <c r="E1238" i="5" s="1"/>
  <c r="E1239" i="5" s="1"/>
  <c r="E1240" i="5" s="1"/>
  <c r="E1241" i="5" s="1"/>
  <c r="E1242" i="5" s="1"/>
  <c r="E1243" i="5" s="1"/>
  <c r="E1244" i="5" s="1"/>
  <c r="E1245" i="5" s="1"/>
  <c r="E1246" i="5" s="1"/>
  <c r="E1247" i="5" s="1"/>
  <c r="E1248" i="5" s="1"/>
  <c r="E1249" i="5" s="1"/>
  <c r="E1250" i="5" s="1"/>
  <c r="E1251" i="5" s="1"/>
  <c r="E1252" i="5" s="1"/>
  <c r="E1253" i="5" s="1"/>
  <c r="E1254" i="5" s="1"/>
  <c r="E1255" i="5" s="1"/>
  <c r="E1256" i="5" s="1"/>
  <c r="E1257" i="5" s="1"/>
  <c r="E1258" i="5" s="1"/>
  <c r="E1259" i="5" s="1"/>
  <c r="E1260" i="5" s="1"/>
  <c r="E1261" i="5" s="1"/>
  <c r="E1262" i="5" s="1"/>
  <c r="E1263" i="5" s="1"/>
  <c r="E1264" i="5" s="1"/>
  <c r="E1265" i="5" s="1"/>
  <c r="E1266" i="5" s="1"/>
  <c r="E1267" i="5" s="1"/>
  <c r="E1268" i="5" s="1"/>
  <c r="E1269" i="5" s="1"/>
  <c r="E1270" i="5" s="1"/>
  <c r="E1271" i="5" s="1"/>
  <c r="E1272" i="5" s="1"/>
  <c r="E1273" i="5" s="1"/>
  <c r="E1274" i="5" s="1"/>
  <c r="E1275" i="5" s="1"/>
  <c r="E1276" i="5" s="1"/>
  <c r="E1277" i="5" s="1"/>
  <c r="E1278" i="5" s="1"/>
  <c r="E1279" i="5" s="1"/>
  <c r="E1280" i="5" s="1"/>
  <c r="E1281" i="5" s="1"/>
  <c r="E1282" i="5" s="1"/>
  <c r="E1283" i="5" s="1"/>
  <c r="E1284" i="5" s="1"/>
  <c r="E1285" i="5" s="1"/>
  <c r="E1286" i="5" s="1"/>
  <c r="E1287" i="5" s="1"/>
  <c r="E1288" i="5" s="1"/>
  <c r="E1289" i="5" s="1"/>
  <c r="E1290" i="5" s="1"/>
  <c r="E1291" i="5" s="1"/>
  <c r="E1292" i="5" s="1"/>
  <c r="E1293" i="5" s="1"/>
  <c r="E1294" i="5" s="1"/>
  <c r="E1295" i="5" s="1"/>
  <c r="E1296" i="5" s="1"/>
  <c r="E1297" i="5" s="1"/>
  <c r="E1298" i="5" s="1"/>
  <c r="E1299" i="5" s="1"/>
  <c r="E1300" i="5" s="1"/>
  <c r="E1301" i="5" s="1"/>
  <c r="E1302" i="5" s="1"/>
  <c r="E1303" i="5" s="1"/>
  <c r="E1304" i="5" s="1"/>
  <c r="E1305" i="5" s="1"/>
  <c r="E1306" i="5" s="1"/>
  <c r="E1307" i="5" s="1"/>
  <c r="E1308" i="5" s="1"/>
  <c r="E1309" i="5" s="1"/>
  <c r="E1310" i="5" s="1"/>
  <c r="E1311" i="5" s="1"/>
  <c r="E1312" i="5" s="1"/>
  <c r="E1313" i="5" s="1"/>
  <c r="E1314" i="5" s="1"/>
  <c r="E1315" i="5" s="1"/>
  <c r="E1316" i="5" s="1"/>
  <c r="E1317" i="5" s="1"/>
  <c r="E1318" i="5" s="1"/>
  <c r="E1319" i="5" s="1"/>
  <c r="E1320" i="5" s="1"/>
  <c r="E1321" i="5" s="1"/>
  <c r="E1322" i="5" s="1"/>
  <c r="E1323" i="5" s="1"/>
  <c r="E1324" i="5" s="1"/>
  <c r="E1325" i="5" s="1"/>
  <c r="E1326" i="5" s="1"/>
  <c r="E1327" i="5" s="1"/>
  <c r="E1328" i="5" s="1"/>
  <c r="E1329" i="5" s="1"/>
  <c r="E1330" i="5" s="1"/>
  <c r="E1331" i="5" s="1"/>
  <c r="E1332" i="5" s="1"/>
  <c r="E1333" i="5" s="1"/>
  <c r="E1334" i="5" s="1"/>
  <c r="E1335" i="5" s="1"/>
  <c r="E1336" i="5" s="1"/>
  <c r="E1337" i="5" s="1"/>
  <c r="E1338" i="5" s="1"/>
  <c r="E1339" i="5" s="1"/>
  <c r="E1340" i="5" s="1"/>
  <c r="E1341" i="5" s="1"/>
  <c r="E1342" i="5" s="1"/>
  <c r="E1343" i="5" s="1"/>
  <c r="E1344" i="5" s="1"/>
  <c r="E1345" i="5" s="1"/>
  <c r="E1346" i="5" s="1"/>
  <c r="E1347" i="5" s="1"/>
  <c r="E1348" i="5" s="1"/>
  <c r="E1349" i="5" s="1"/>
  <c r="E1350" i="5" s="1"/>
  <c r="E1351" i="5" s="1"/>
  <c r="E1352" i="5" s="1"/>
  <c r="E1353" i="5" s="1"/>
  <c r="E1354" i="5" s="1"/>
  <c r="E1355" i="5" s="1"/>
  <c r="E1356" i="5" s="1"/>
  <c r="E1357" i="5" s="1"/>
  <c r="E1358" i="5" s="1"/>
  <c r="E1359" i="5" s="1"/>
  <c r="E1360" i="5" s="1"/>
  <c r="E1361" i="5" s="1"/>
  <c r="E1362" i="5" s="1"/>
  <c r="E1363" i="5" s="1"/>
  <c r="E1364" i="5" s="1"/>
  <c r="E1365" i="5" s="1"/>
  <c r="E1366" i="5" s="1"/>
  <c r="E1367" i="5" s="1"/>
  <c r="E1368" i="5" s="1"/>
  <c r="E1369" i="5" s="1"/>
  <c r="E1370" i="5" s="1"/>
  <c r="E1371" i="5" s="1"/>
  <c r="E1372" i="5" s="1"/>
  <c r="E1373" i="5" s="1"/>
  <c r="E1374" i="5" s="1"/>
  <c r="E1375" i="5" s="1"/>
  <c r="E1376" i="5" s="1"/>
  <c r="E1377" i="5" s="1"/>
  <c r="E1378" i="5" s="1"/>
  <c r="E1379" i="5" s="1"/>
  <c r="E1380" i="5" s="1"/>
  <c r="E1381" i="5" s="1"/>
  <c r="E1382" i="5" s="1"/>
  <c r="E1383" i="5" s="1"/>
  <c r="E1384" i="5" s="1"/>
  <c r="E1385" i="5" s="1"/>
  <c r="E1386" i="5" s="1"/>
  <c r="E1387" i="5" s="1"/>
  <c r="E1388" i="5" s="1"/>
  <c r="E1389" i="5" s="1"/>
  <c r="E1390" i="5" s="1"/>
  <c r="E1391" i="5" s="1"/>
  <c r="E1392" i="5" s="1"/>
  <c r="E1393" i="5" s="1"/>
  <c r="E1394" i="5" s="1"/>
  <c r="E1395" i="5" s="1"/>
  <c r="E1396" i="5" s="1"/>
  <c r="E1397" i="5" s="1"/>
  <c r="E1398" i="5" s="1"/>
  <c r="E1399" i="5" s="1"/>
  <c r="E1400" i="5" s="1"/>
  <c r="E1401" i="5" s="1"/>
  <c r="E1402" i="5" s="1"/>
  <c r="E1403" i="5" s="1"/>
  <c r="E1404" i="5" s="1"/>
  <c r="E1405" i="5" s="1"/>
  <c r="E1406" i="5" s="1"/>
  <c r="E1407" i="5" s="1"/>
  <c r="E1408" i="5" s="1"/>
  <c r="E1409" i="5" s="1"/>
  <c r="E1410" i="5" s="1"/>
  <c r="E1411" i="5" s="1"/>
  <c r="E1412" i="5" s="1"/>
  <c r="E1413" i="5" s="1"/>
  <c r="E1414" i="5" s="1"/>
  <c r="E1415" i="5" s="1"/>
  <c r="E1416" i="5" s="1"/>
  <c r="E1417" i="5" s="1"/>
  <c r="E1418" i="5" s="1"/>
  <c r="E1419" i="5" s="1"/>
  <c r="E1420" i="5" s="1"/>
  <c r="E1421" i="5" s="1"/>
  <c r="E1422" i="5" s="1"/>
  <c r="E1423" i="5" s="1"/>
  <c r="E1424" i="5" s="1"/>
  <c r="E1425" i="5" s="1"/>
  <c r="E1426" i="5" s="1"/>
  <c r="E1427" i="5" s="1"/>
  <c r="E1428" i="5" s="1"/>
  <c r="E1429" i="5" s="1"/>
  <c r="E1430" i="5" s="1"/>
  <c r="E1431" i="5" s="1"/>
  <c r="E1432" i="5" s="1"/>
  <c r="E1433" i="5" s="1"/>
  <c r="E1434" i="5" s="1"/>
  <c r="E1435" i="5" s="1"/>
  <c r="E1436" i="5" s="1"/>
  <c r="E1437" i="5" s="1"/>
  <c r="E1438" i="5" s="1"/>
  <c r="E1439" i="5" s="1"/>
  <c r="E1440" i="5" s="1"/>
  <c r="E1441" i="5" s="1"/>
  <c r="E1442" i="5" s="1"/>
  <c r="E1443" i="5" s="1"/>
  <c r="E1444" i="5" s="1"/>
  <c r="E1445" i="5" s="1"/>
  <c r="E1446" i="5" s="1"/>
  <c r="E1447" i="5" s="1"/>
  <c r="E1448" i="5" s="1"/>
  <c r="E1449" i="5" s="1"/>
  <c r="E1450" i="5" s="1"/>
  <c r="E1451" i="5" s="1"/>
  <c r="E1452" i="5" s="1"/>
  <c r="E1453" i="5" s="1"/>
  <c r="E1454" i="5" s="1"/>
  <c r="E1455" i="5" s="1"/>
  <c r="E1456" i="5" s="1"/>
  <c r="E1457" i="5" s="1"/>
  <c r="E1458" i="5" s="1"/>
  <c r="E1459" i="5" s="1"/>
  <c r="E1460" i="5" s="1"/>
  <c r="E1461" i="5" s="1"/>
  <c r="E1462" i="5" s="1"/>
  <c r="E1463" i="5" s="1"/>
  <c r="E1464" i="5" s="1"/>
  <c r="E1465" i="5" s="1"/>
  <c r="E1466" i="5" s="1"/>
  <c r="E1467" i="5" s="1"/>
  <c r="E1468" i="5" s="1"/>
  <c r="E1469" i="5" s="1"/>
  <c r="E1470" i="5" s="1"/>
  <c r="E1471" i="5" s="1"/>
  <c r="E1472" i="5" s="1"/>
  <c r="E1473" i="5" s="1"/>
  <c r="E1474" i="5" s="1"/>
  <c r="E1475" i="5" s="1"/>
  <c r="E1476" i="5" s="1"/>
  <c r="E1477" i="5" s="1"/>
  <c r="E1478" i="5" s="1"/>
  <c r="E1479" i="5" s="1"/>
  <c r="E1480" i="5" s="1"/>
  <c r="E1481" i="5" s="1"/>
  <c r="E1482" i="5" s="1"/>
  <c r="E1483" i="5" s="1"/>
  <c r="E1484" i="5" s="1"/>
  <c r="E1485" i="5" s="1"/>
  <c r="E1486" i="5" s="1"/>
  <c r="E1487" i="5" s="1"/>
  <c r="E1488" i="5" s="1"/>
  <c r="E1489" i="5" s="1"/>
  <c r="E1490" i="5" s="1"/>
  <c r="E1491" i="5" s="1"/>
  <c r="E1492" i="5" s="1"/>
  <c r="E1493" i="5" s="1"/>
  <c r="E1494" i="5" s="1"/>
  <c r="E1495" i="5" s="1"/>
  <c r="E1496" i="5" s="1"/>
  <c r="E1497" i="5" s="1"/>
  <c r="E1498" i="5" s="1"/>
  <c r="E1499" i="5" s="1"/>
  <c r="E1500" i="5" s="1"/>
  <c r="E1501" i="5" s="1"/>
  <c r="E1502" i="5" s="1"/>
  <c r="E1503" i="5" s="1"/>
  <c r="E1504" i="5" s="1"/>
  <c r="E1505" i="5" s="1"/>
  <c r="E1506" i="5" s="1"/>
  <c r="E1507" i="5" s="1"/>
  <c r="E1508" i="5" s="1"/>
  <c r="E1509" i="5" s="1"/>
  <c r="E1510" i="5" s="1"/>
  <c r="E1511" i="5" s="1"/>
  <c r="E1512" i="5" s="1"/>
  <c r="E1513" i="5" s="1"/>
  <c r="E1514" i="5" s="1"/>
  <c r="E1515" i="5" s="1"/>
  <c r="E1516" i="5" s="1"/>
  <c r="E1517" i="5" s="1"/>
  <c r="E1518" i="5" s="1"/>
  <c r="E1519" i="5" s="1"/>
  <c r="E1520" i="5" s="1"/>
  <c r="E1521" i="5" s="1"/>
  <c r="E1522" i="5" s="1"/>
  <c r="E1523" i="5" s="1"/>
  <c r="E1524" i="5" s="1"/>
  <c r="E1525" i="5" s="1"/>
  <c r="E1526" i="5" s="1"/>
  <c r="E1527" i="5" s="1"/>
  <c r="E1528" i="5" s="1"/>
  <c r="E1529" i="5" s="1"/>
  <c r="E1530" i="5" s="1"/>
  <c r="E1531" i="5" s="1"/>
  <c r="E1532" i="5" s="1"/>
  <c r="E1533" i="5" s="1"/>
  <c r="E1534" i="5" s="1"/>
  <c r="E1535" i="5" s="1"/>
  <c r="E1536" i="5" s="1"/>
  <c r="E1537" i="5" s="1"/>
  <c r="E1538" i="5" s="1"/>
  <c r="E1539" i="5" s="1"/>
  <c r="E1540" i="5" s="1"/>
  <c r="E1541" i="5" s="1"/>
  <c r="E1542" i="5" s="1"/>
  <c r="E1543" i="5" s="1"/>
  <c r="E1544" i="5" s="1"/>
  <c r="E1545" i="5" s="1"/>
  <c r="E1546" i="5" s="1"/>
  <c r="E1547" i="5" s="1"/>
  <c r="E1548" i="5" s="1"/>
  <c r="E1549" i="5" s="1"/>
  <c r="E1550" i="5" s="1"/>
  <c r="E1551" i="5" s="1"/>
  <c r="E1552" i="5" s="1"/>
  <c r="E1553" i="5" s="1"/>
  <c r="E1554" i="5" s="1"/>
  <c r="E1555" i="5" s="1"/>
  <c r="E1556" i="5" s="1"/>
  <c r="E1557" i="5" s="1"/>
  <c r="E1558" i="5" s="1"/>
  <c r="E1559" i="5" s="1"/>
  <c r="E1560" i="5" s="1"/>
  <c r="E1561" i="5" s="1"/>
  <c r="E1562" i="5" s="1"/>
  <c r="E1563" i="5" s="1"/>
  <c r="E1564" i="5" s="1"/>
  <c r="E1565" i="5" s="1"/>
  <c r="E1566" i="5" s="1"/>
  <c r="E1567" i="5" s="1"/>
  <c r="E1568" i="5" s="1"/>
  <c r="E1569" i="5" s="1"/>
  <c r="E1570" i="5" s="1"/>
  <c r="E1571" i="5" s="1"/>
  <c r="E1572" i="5" s="1"/>
  <c r="E1573" i="5" s="1"/>
  <c r="E1574" i="5" s="1"/>
  <c r="E1575" i="5" s="1"/>
  <c r="E1576" i="5" s="1"/>
  <c r="E1577" i="5" s="1"/>
  <c r="E1578" i="5" s="1"/>
  <c r="E1579" i="5" s="1"/>
  <c r="E1580" i="5" s="1"/>
  <c r="E1581" i="5" s="1"/>
  <c r="E1582" i="5" s="1"/>
  <c r="E1583" i="5" s="1"/>
  <c r="E1584" i="5" s="1"/>
  <c r="E1585" i="5" s="1"/>
  <c r="E1586" i="5" s="1"/>
  <c r="E1587" i="5" s="1"/>
  <c r="E1588" i="5" s="1"/>
  <c r="E1589" i="5" s="1"/>
  <c r="E1590" i="5" s="1"/>
  <c r="E1591" i="5" s="1"/>
  <c r="E1592" i="5" s="1"/>
  <c r="E1593" i="5" s="1"/>
  <c r="E1594" i="5" s="1"/>
  <c r="E1595" i="5" s="1"/>
  <c r="E1596" i="5" s="1"/>
  <c r="E1597" i="5" s="1"/>
  <c r="E1598" i="5" s="1"/>
  <c r="E1599" i="5" s="1"/>
  <c r="E1600" i="5" s="1"/>
  <c r="E1601" i="5" s="1"/>
  <c r="E1602" i="5" s="1"/>
  <c r="E1603" i="5" s="1"/>
  <c r="E1604" i="5" s="1"/>
  <c r="E1605" i="5" s="1"/>
  <c r="E1606" i="5" s="1"/>
  <c r="E1607" i="5" s="1"/>
  <c r="E1608" i="5" s="1"/>
  <c r="E1609" i="5" s="1"/>
  <c r="E1610" i="5" s="1"/>
  <c r="E1611" i="5" s="1"/>
  <c r="E1612" i="5" s="1"/>
  <c r="E1613" i="5" s="1"/>
  <c r="E1614" i="5" s="1"/>
  <c r="E1615" i="5" s="1"/>
  <c r="E1616" i="5" s="1"/>
  <c r="E1617" i="5" s="1"/>
  <c r="E1618" i="5" s="1"/>
  <c r="E1619" i="5" s="1"/>
  <c r="E1620" i="5" s="1"/>
  <c r="E1621" i="5" s="1"/>
  <c r="E1622" i="5" s="1"/>
  <c r="E1623" i="5" s="1"/>
  <c r="E1624" i="5" s="1"/>
  <c r="E1625" i="5" s="1"/>
  <c r="E1626" i="5" s="1"/>
  <c r="E1627" i="5" s="1"/>
  <c r="E1628" i="5" s="1"/>
  <c r="E1629" i="5" s="1"/>
  <c r="E1630" i="5" s="1"/>
  <c r="E1631" i="5" s="1"/>
  <c r="E1632" i="5" s="1"/>
  <c r="E1633" i="5" s="1"/>
  <c r="E1634" i="5" s="1"/>
  <c r="E1635" i="5" s="1"/>
  <c r="E1636" i="5" s="1"/>
  <c r="E1637" i="5" s="1"/>
  <c r="E1638" i="5" s="1"/>
  <c r="E1639" i="5" s="1"/>
  <c r="E1640" i="5" s="1"/>
  <c r="E1641" i="5" s="1"/>
  <c r="E1642" i="5" s="1"/>
  <c r="E1643" i="5" s="1"/>
  <c r="E1644" i="5" s="1"/>
  <c r="E1645" i="5" s="1"/>
  <c r="E1646" i="5" s="1"/>
  <c r="E1647" i="5" s="1"/>
  <c r="E1648" i="5" s="1"/>
  <c r="E1649" i="5" s="1"/>
  <c r="E1650" i="5" s="1"/>
  <c r="E1651" i="5" s="1"/>
  <c r="E1652" i="5" s="1"/>
  <c r="E1653" i="5" s="1"/>
  <c r="E1654" i="5" s="1"/>
  <c r="E1655" i="5" s="1"/>
  <c r="E1656" i="5" s="1"/>
  <c r="E1657" i="5" s="1"/>
  <c r="E1658" i="5" s="1"/>
  <c r="E1659" i="5" s="1"/>
  <c r="E1660" i="5" s="1"/>
  <c r="E1661" i="5" s="1"/>
  <c r="E1662" i="5" s="1"/>
  <c r="E1663" i="5" s="1"/>
  <c r="E1664" i="5" s="1"/>
  <c r="E1665" i="5" s="1"/>
  <c r="E1666" i="5" s="1"/>
  <c r="E1667" i="5" s="1"/>
  <c r="E1668" i="5" s="1"/>
  <c r="E1669" i="5" s="1"/>
  <c r="E1670" i="5" s="1"/>
  <c r="E1671" i="5" s="1"/>
  <c r="E1672" i="5" s="1"/>
  <c r="E1673" i="5" s="1"/>
  <c r="E1674" i="5" s="1"/>
  <c r="E1675" i="5" s="1"/>
  <c r="E1676" i="5" s="1"/>
  <c r="E1677" i="5" s="1"/>
  <c r="E1678" i="5" s="1"/>
  <c r="E1679" i="5" s="1"/>
  <c r="E1680" i="5" s="1"/>
  <c r="E1681" i="5" s="1"/>
  <c r="E1682" i="5" s="1"/>
  <c r="E1683" i="5" s="1"/>
  <c r="E1684" i="5" s="1"/>
  <c r="E1685" i="5" s="1"/>
  <c r="E1686" i="5" s="1"/>
  <c r="E1687" i="5" s="1"/>
  <c r="E1688" i="5" s="1"/>
  <c r="E1689" i="5" s="1"/>
  <c r="E1690" i="5" s="1"/>
  <c r="E1691" i="5" s="1"/>
  <c r="E1692" i="5" s="1"/>
  <c r="E1693" i="5" s="1"/>
  <c r="E1694" i="5" s="1"/>
  <c r="E1695" i="5" s="1"/>
  <c r="E1696" i="5" s="1"/>
  <c r="E1697" i="5" s="1"/>
  <c r="E1698" i="5" s="1"/>
  <c r="E1699" i="5" s="1"/>
  <c r="E1700" i="5" s="1"/>
  <c r="E1701" i="5" s="1"/>
  <c r="E1702" i="5" s="1"/>
  <c r="E1703" i="5" s="1"/>
  <c r="E1704" i="5" s="1"/>
  <c r="E1705" i="5" s="1"/>
  <c r="E1706" i="5" s="1"/>
  <c r="E1707" i="5" s="1"/>
  <c r="E1708" i="5" s="1"/>
  <c r="E1709" i="5" s="1"/>
  <c r="E1710" i="5" s="1"/>
  <c r="E1711" i="5" s="1"/>
  <c r="E1712" i="5" s="1"/>
  <c r="E1713" i="5" s="1"/>
  <c r="E1714" i="5" s="1"/>
  <c r="E1715" i="5" s="1"/>
  <c r="E1716" i="5" s="1"/>
  <c r="E1717" i="5" s="1"/>
  <c r="E1718" i="5" s="1"/>
  <c r="E1719" i="5" s="1"/>
  <c r="E1720" i="5" s="1"/>
  <c r="E1721" i="5" s="1"/>
  <c r="E1722" i="5" s="1"/>
  <c r="E1723" i="5" s="1"/>
  <c r="E1724" i="5" s="1"/>
  <c r="E1725" i="5" s="1"/>
  <c r="E1726" i="5" s="1"/>
  <c r="E1727" i="5" s="1"/>
  <c r="E1728" i="5" s="1"/>
  <c r="E1729" i="5" s="1"/>
  <c r="E1730" i="5" s="1"/>
  <c r="E1731" i="5" s="1"/>
  <c r="E1732" i="5" s="1"/>
  <c r="E1733" i="5" s="1"/>
  <c r="E1734" i="5" s="1"/>
  <c r="E1735" i="5" s="1"/>
  <c r="E1736" i="5" s="1"/>
  <c r="E1737" i="5" s="1"/>
  <c r="E1738" i="5" s="1"/>
  <c r="E1739" i="5" s="1"/>
  <c r="E1740" i="5" s="1"/>
  <c r="E1741" i="5" s="1"/>
  <c r="E1742" i="5" s="1"/>
  <c r="E1743" i="5" s="1"/>
  <c r="E1744" i="5" s="1"/>
  <c r="E1745" i="5" s="1"/>
  <c r="E1746" i="5" s="1"/>
  <c r="E1747" i="5" s="1"/>
  <c r="E1748" i="5" s="1"/>
  <c r="E1749" i="5" s="1"/>
  <c r="E1750" i="5" s="1"/>
  <c r="E1751" i="5" s="1"/>
  <c r="E1752" i="5" s="1"/>
  <c r="E1753" i="5" s="1"/>
  <c r="E1754" i="5" s="1"/>
  <c r="E1755" i="5" s="1"/>
  <c r="E1756" i="5" s="1"/>
  <c r="E1757" i="5" s="1"/>
  <c r="E1758" i="5" s="1"/>
  <c r="E1759" i="5" s="1"/>
  <c r="E1760" i="5" s="1"/>
  <c r="E1761" i="5" s="1"/>
  <c r="E1762" i="5" s="1"/>
  <c r="E1763" i="5" s="1"/>
  <c r="E1764" i="5" s="1"/>
  <c r="E1765" i="5" s="1"/>
  <c r="E1766" i="5" s="1"/>
  <c r="E1767" i="5" s="1"/>
  <c r="E1768" i="5" s="1"/>
  <c r="E1769" i="5" s="1"/>
  <c r="E1770" i="5" s="1"/>
  <c r="E1771" i="5" s="1"/>
  <c r="E1772" i="5" s="1"/>
  <c r="E1773" i="5" s="1"/>
  <c r="E1774" i="5" s="1"/>
  <c r="E1775" i="5" s="1"/>
  <c r="E1776" i="5" s="1"/>
  <c r="E1777" i="5" s="1"/>
  <c r="E1778" i="5" s="1"/>
  <c r="E1779" i="5" s="1"/>
  <c r="E1780" i="5" s="1"/>
  <c r="E1781" i="5" s="1"/>
  <c r="E1782" i="5" s="1"/>
  <c r="E1783" i="5" s="1"/>
  <c r="E1784" i="5" s="1"/>
  <c r="E1785" i="5" s="1"/>
  <c r="E1786" i="5" s="1"/>
  <c r="E1787" i="5" s="1"/>
  <c r="E1788" i="5" s="1"/>
  <c r="E1789" i="5" s="1"/>
  <c r="E1790" i="5" s="1"/>
  <c r="E1791" i="5" s="1"/>
  <c r="E1792" i="5" s="1"/>
  <c r="E1793" i="5" s="1"/>
  <c r="E1794" i="5" s="1"/>
  <c r="E1795" i="5" s="1"/>
  <c r="E1796" i="5" s="1"/>
  <c r="E1797" i="5" s="1"/>
  <c r="E1798" i="5" s="1"/>
  <c r="E1799" i="5" s="1"/>
  <c r="E1800" i="5" s="1"/>
  <c r="E1801" i="5" s="1"/>
  <c r="E1802" i="5" s="1"/>
  <c r="E1803" i="5" s="1"/>
  <c r="E1804" i="5" s="1"/>
  <c r="E1805" i="5" s="1"/>
  <c r="E1806" i="5" s="1"/>
  <c r="E1807" i="5" s="1"/>
  <c r="E1808" i="5" s="1"/>
  <c r="E1809" i="5" s="1"/>
  <c r="E1810" i="5" s="1"/>
  <c r="E1811" i="5" s="1"/>
  <c r="E1812" i="5" s="1"/>
  <c r="E1813" i="5" s="1"/>
  <c r="E1814" i="5" s="1"/>
  <c r="E1815" i="5" s="1"/>
  <c r="E1816" i="5" s="1"/>
  <c r="E1817" i="5" s="1"/>
  <c r="E1818" i="5" s="1"/>
  <c r="E1819" i="5" s="1"/>
  <c r="E1820" i="5" s="1"/>
  <c r="E1821" i="5" s="1"/>
  <c r="E1822" i="5" s="1"/>
  <c r="E1823" i="5" s="1"/>
  <c r="E1824" i="5" s="1"/>
  <c r="E1825" i="5" s="1"/>
  <c r="E1826" i="5" s="1"/>
  <c r="E1827" i="5" s="1"/>
  <c r="E1828" i="5" s="1"/>
  <c r="E1829" i="5" s="1"/>
  <c r="E1830" i="5" s="1"/>
  <c r="E1831" i="5" s="1"/>
  <c r="E1832" i="5" s="1"/>
  <c r="E1833" i="5" s="1"/>
  <c r="E1834" i="5" s="1"/>
  <c r="E1835" i="5" s="1"/>
  <c r="E1836" i="5" s="1"/>
  <c r="E1837" i="5" s="1"/>
  <c r="E1838" i="5" s="1"/>
  <c r="E1839" i="5" s="1"/>
  <c r="E1840" i="5" s="1"/>
  <c r="E1841" i="5" s="1"/>
  <c r="E1842" i="5" s="1"/>
  <c r="E1843" i="5" s="1"/>
  <c r="E1844" i="5" s="1"/>
  <c r="E1845" i="5" s="1"/>
  <c r="E1846" i="5" s="1"/>
  <c r="E1847" i="5" s="1"/>
  <c r="E1848" i="5" s="1"/>
  <c r="E1849" i="5" s="1"/>
  <c r="E1850" i="5" s="1"/>
  <c r="E1851" i="5" s="1"/>
  <c r="E1852" i="5" s="1"/>
  <c r="E1853" i="5" s="1"/>
  <c r="E1854" i="5" s="1"/>
  <c r="E1855" i="5" s="1"/>
  <c r="E1856" i="5" s="1"/>
  <c r="E1857" i="5" s="1"/>
  <c r="E1858" i="5" s="1"/>
  <c r="E1859" i="5" s="1"/>
  <c r="E1860" i="5" s="1"/>
  <c r="E1861" i="5" s="1"/>
  <c r="E1862" i="5" s="1"/>
  <c r="E1863" i="5" s="1"/>
  <c r="E1864" i="5" s="1"/>
  <c r="E1865" i="5" s="1"/>
  <c r="E1866" i="5" s="1"/>
  <c r="E1867" i="5" s="1"/>
  <c r="E1868" i="5" s="1"/>
  <c r="E1869" i="5" s="1"/>
  <c r="E1870" i="5" s="1"/>
  <c r="E1871" i="5" s="1"/>
  <c r="E1872" i="5" s="1"/>
  <c r="E1873" i="5" s="1"/>
  <c r="E1874" i="5" s="1"/>
  <c r="E1875" i="5" s="1"/>
  <c r="E1876" i="5" s="1"/>
  <c r="E1877" i="5" s="1"/>
  <c r="E1878" i="5" s="1"/>
  <c r="E1879" i="5" s="1"/>
  <c r="E1880" i="5" s="1"/>
  <c r="E1881" i="5" s="1"/>
  <c r="E1882" i="5" s="1"/>
  <c r="E1883" i="5" s="1"/>
  <c r="E1884" i="5" s="1"/>
  <c r="E1885" i="5" s="1"/>
  <c r="E1886" i="5" s="1"/>
  <c r="E1887" i="5" s="1"/>
  <c r="E1888" i="5" s="1"/>
  <c r="E1889" i="5" s="1"/>
  <c r="E1890" i="5" s="1"/>
  <c r="E1891" i="5" s="1"/>
  <c r="E1892" i="5" s="1"/>
  <c r="E1893" i="5" s="1"/>
  <c r="E1894" i="5" s="1"/>
  <c r="E1895" i="5" s="1"/>
  <c r="E1896" i="5" s="1"/>
  <c r="E1897" i="5" s="1"/>
  <c r="E1898" i="5" s="1"/>
  <c r="E1899" i="5" s="1"/>
  <c r="E1900" i="5" s="1"/>
  <c r="E1901" i="5" s="1"/>
  <c r="E1902" i="5" s="1"/>
  <c r="E1903" i="5" s="1"/>
  <c r="E1904" i="5" s="1"/>
  <c r="E1905" i="5" s="1"/>
  <c r="E1906" i="5" s="1"/>
  <c r="E1907" i="5" s="1"/>
  <c r="E1908" i="5" s="1"/>
  <c r="E1909" i="5" s="1"/>
  <c r="E1910" i="5" s="1"/>
  <c r="E1911" i="5" s="1"/>
  <c r="E1912" i="5" s="1"/>
  <c r="E1913" i="5" s="1"/>
  <c r="E1914" i="5" s="1"/>
  <c r="E1915" i="5" s="1"/>
  <c r="E1916" i="5" s="1"/>
  <c r="E1917" i="5" s="1"/>
  <c r="E1918" i="5" s="1"/>
  <c r="E1919" i="5" s="1"/>
  <c r="E1920" i="5" s="1"/>
  <c r="E1921" i="5" s="1"/>
  <c r="E1922" i="5" s="1"/>
  <c r="E1923" i="5" s="1"/>
  <c r="E1924" i="5" s="1"/>
  <c r="E1925" i="5" s="1"/>
  <c r="E1926" i="5" s="1"/>
  <c r="E1927" i="5" s="1"/>
  <c r="E1928" i="5" s="1"/>
  <c r="E1929" i="5" s="1"/>
  <c r="E1930" i="5" s="1"/>
  <c r="E1931" i="5" s="1"/>
  <c r="E1932" i="5" s="1"/>
  <c r="E1933" i="5" s="1"/>
  <c r="E1934" i="5" s="1"/>
  <c r="E1935" i="5" s="1"/>
  <c r="E1936" i="5" s="1"/>
  <c r="E1937" i="5" s="1"/>
  <c r="E1938" i="5" s="1"/>
  <c r="E1939" i="5" s="1"/>
  <c r="E1940" i="5" s="1"/>
  <c r="E1941" i="5" s="1"/>
  <c r="E1942" i="5" s="1"/>
  <c r="E1943" i="5" s="1"/>
  <c r="E1944" i="5" s="1"/>
  <c r="E1945" i="5" s="1"/>
  <c r="E1946" i="5" s="1"/>
  <c r="E1947" i="5" s="1"/>
  <c r="E1948" i="5" s="1"/>
  <c r="E1949" i="5" s="1"/>
  <c r="E1950" i="5" s="1"/>
  <c r="E1951" i="5" s="1"/>
  <c r="E1952" i="5" s="1"/>
  <c r="E1953" i="5" s="1"/>
  <c r="E1954" i="5" s="1"/>
  <c r="E1955" i="5" s="1"/>
  <c r="E1956" i="5" s="1"/>
  <c r="E1957" i="5" s="1"/>
  <c r="E1958" i="5" s="1"/>
  <c r="E1959" i="5" s="1"/>
  <c r="E1960" i="5" s="1"/>
  <c r="E1961" i="5" s="1"/>
  <c r="E1962" i="5" s="1"/>
  <c r="E1963" i="5" s="1"/>
  <c r="E1964" i="5" s="1"/>
  <c r="E1965" i="5" s="1"/>
  <c r="E1966" i="5" s="1"/>
  <c r="E1967" i="5" s="1"/>
  <c r="E1968" i="5" s="1"/>
  <c r="E1969" i="5" s="1"/>
  <c r="E1970" i="5" s="1"/>
  <c r="E1971" i="5" s="1"/>
  <c r="E1972" i="5" s="1"/>
  <c r="E1973" i="5" s="1"/>
  <c r="E1974" i="5" s="1"/>
  <c r="E1975" i="5" s="1"/>
  <c r="E1976" i="5" s="1"/>
  <c r="E1977" i="5" s="1"/>
  <c r="E1978" i="5" s="1"/>
  <c r="E1979" i="5" s="1"/>
  <c r="E1980" i="5" s="1"/>
  <c r="E1981" i="5" s="1"/>
  <c r="E1982" i="5" s="1"/>
  <c r="E1983" i="5" s="1"/>
  <c r="E1984" i="5" s="1"/>
  <c r="E1985" i="5" s="1"/>
  <c r="E1986" i="5" s="1"/>
  <c r="E1987" i="5" s="1"/>
  <c r="E1988" i="5" s="1"/>
  <c r="E1989" i="5" s="1"/>
  <c r="E1990" i="5" s="1"/>
  <c r="E1991" i="5" s="1"/>
  <c r="E1992" i="5" s="1"/>
  <c r="E1993" i="5" s="1"/>
  <c r="E1994" i="5" s="1"/>
  <c r="E1995" i="5" s="1"/>
  <c r="E1996" i="5" s="1"/>
  <c r="E1997" i="5" s="1"/>
  <c r="E1998" i="5" s="1"/>
  <c r="E1999" i="5" s="1"/>
  <c r="E2000" i="5" s="1"/>
  <c r="E2001" i="5" s="1"/>
  <c r="E2002" i="5" s="1"/>
  <c r="E2003" i="5" s="1"/>
  <c r="E2004" i="5" s="1"/>
  <c r="E2005" i="5" s="1"/>
  <c r="E2006" i="5" s="1"/>
  <c r="E2007" i="5" s="1"/>
  <c r="E2008" i="5" s="1"/>
  <c r="E2009" i="5" s="1"/>
  <c r="E2010" i="5" s="1"/>
  <c r="E2011" i="5" s="1"/>
  <c r="E2012" i="5" s="1"/>
  <c r="E2013" i="5" s="1"/>
  <c r="E2014" i="5" s="1"/>
  <c r="E2015" i="5" s="1"/>
  <c r="E2016" i="5" s="1"/>
  <c r="E2017" i="5" s="1"/>
  <c r="E2018" i="5" s="1"/>
  <c r="E2019" i="5" s="1"/>
  <c r="E2020" i="5" s="1"/>
  <c r="E2021" i="5" s="1"/>
  <c r="E2022" i="5" s="1"/>
  <c r="E2023" i="5" s="1"/>
  <c r="E2024" i="5" s="1"/>
  <c r="E2025" i="5" s="1"/>
  <c r="E2026" i="5" s="1"/>
  <c r="E2027" i="5" s="1"/>
  <c r="E2028" i="5" s="1"/>
  <c r="E2029" i="5" s="1"/>
  <c r="E2030" i="5" s="1"/>
  <c r="E2031" i="5" s="1"/>
  <c r="E2032" i="5" s="1"/>
  <c r="E2033" i="5" s="1"/>
  <c r="E2034" i="5" s="1"/>
  <c r="E2035" i="5" s="1"/>
  <c r="E2036" i="5" s="1"/>
  <c r="E2037" i="5" s="1"/>
  <c r="E2038" i="5" s="1"/>
  <c r="E2039" i="5" s="1"/>
  <c r="E2040" i="5" s="1"/>
  <c r="E2041" i="5" s="1"/>
  <c r="E2042" i="5" s="1"/>
  <c r="E2043" i="5" s="1"/>
  <c r="E2044" i="5" s="1"/>
  <c r="E2045" i="5" s="1"/>
  <c r="E2046" i="5" s="1"/>
  <c r="E2047" i="5" s="1"/>
  <c r="E2048" i="5" s="1"/>
  <c r="E2049" i="5" s="1"/>
  <c r="E2050" i="5" s="1"/>
  <c r="E2051" i="5" s="1"/>
  <c r="E2052" i="5" s="1"/>
  <c r="E2053" i="5" s="1"/>
  <c r="E2054" i="5" s="1"/>
  <c r="E2055" i="5" s="1"/>
  <c r="E2056" i="5" s="1"/>
  <c r="E2057" i="5" s="1"/>
  <c r="E2058" i="5" s="1"/>
  <c r="E2059" i="5" s="1"/>
  <c r="E2060" i="5" s="1"/>
  <c r="E2061" i="5" s="1"/>
  <c r="E2062" i="5" s="1"/>
  <c r="E2063" i="5" s="1"/>
  <c r="E2064" i="5" s="1"/>
  <c r="E2065" i="5" s="1"/>
  <c r="E2066" i="5" s="1"/>
  <c r="E2067" i="5" s="1"/>
  <c r="E2068" i="5" s="1"/>
  <c r="E2069" i="5" s="1"/>
  <c r="E2070" i="5" s="1"/>
  <c r="E2071" i="5" s="1"/>
  <c r="E2072" i="5" s="1"/>
  <c r="E2073" i="5" s="1"/>
  <c r="E2074" i="5" s="1"/>
  <c r="E2075" i="5" s="1"/>
  <c r="E2076" i="5" s="1"/>
  <c r="E2077" i="5" s="1"/>
  <c r="E2078" i="5" s="1"/>
  <c r="E2079" i="5" s="1"/>
  <c r="E2080" i="5" s="1"/>
  <c r="E2081" i="5" s="1"/>
  <c r="E2082" i="5" s="1"/>
  <c r="E2083" i="5" s="1"/>
  <c r="E2084" i="5" s="1"/>
  <c r="E2085" i="5" s="1"/>
  <c r="E2086" i="5" s="1"/>
  <c r="E2087" i="5" s="1"/>
  <c r="E2088" i="5" s="1"/>
  <c r="E2089" i="5" s="1"/>
  <c r="E2090" i="5" s="1"/>
  <c r="E2091" i="5" s="1"/>
  <c r="E2092" i="5" s="1"/>
  <c r="E2093" i="5" s="1"/>
  <c r="E2094" i="5" s="1"/>
  <c r="E2095" i="5" s="1"/>
  <c r="E2096" i="5" s="1"/>
  <c r="E2097" i="5" s="1"/>
  <c r="E2098" i="5" s="1"/>
  <c r="E2099" i="5" s="1"/>
  <c r="E2100" i="5" s="1"/>
  <c r="E2101" i="5" s="1"/>
  <c r="E2102" i="5" s="1"/>
  <c r="E2103" i="5" s="1"/>
  <c r="E2104" i="5" s="1"/>
  <c r="E2105" i="5" s="1"/>
  <c r="E2106" i="5" s="1"/>
  <c r="E2107" i="5" s="1"/>
  <c r="E2108" i="5" s="1"/>
  <c r="E2109" i="5" s="1"/>
  <c r="E2110" i="5" s="1"/>
  <c r="E2111" i="5" s="1"/>
  <c r="E2112" i="5" s="1"/>
  <c r="E2113" i="5" s="1"/>
  <c r="E2114" i="5" s="1"/>
  <c r="E2115" i="5" s="1"/>
  <c r="E2116" i="5" s="1"/>
  <c r="E2117" i="5" s="1"/>
  <c r="E2118" i="5" s="1"/>
  <c r="E2119" i="5" s="1"/>
  <c r="E2120" i="5" s="1"/>
  <c r="E2121" i="5" s="1"/>
  <c r="E2122" i="5" s="1"/>
  <c r="E2123" i="5" s="1"/>
  <c r="E2124" i="5" s="1"/>
  <c r="E2125" i="5" s="1"/>
  <c r="E2126" i="5" s="1"/>
  <c r="E2127" i="5" s="1"/>
  <c r="E2128" i="5" s="1"/>
  <c r="E2129" i="5" s="1"/>
  <c r="E2130" i="5" s="1"/>
  <c r="E2131" i="5" s="1"/>
  <c r="E2132" i="5" s="1"/>
  <c r="E2133" i="5" s="1"/>
  <c r="E2134" i="5" s="1"/>
  <c r="E2135" i="5" s="1"/>
  <c r="E2136" i="5" s="1"/>
  <c r="E2137" i="5" s="1"/>
  <c r="E2138" i="5" s="1"/>
  <c r="E2139" i="5" s="1"/>
  <c r="E2140" i="5" s="1"/>
  <c r="E2141" i="5" s="1"/>
  <c r="E2142" i="5" s="1"/>
  <c r="E2143" i="5" s="1"/>
  <c r="E2144" i="5" s="1"/>
  <c r="E2145" i="5" s="1"/>
  <c r="E2146" i="5" s="1"/>
  <c r="E2147" i="5" s="1"/>
  <c r="E2148" i="5" s="1"/>
  <c r="E2149" i="5" s="1"/>
  <c r="E2150" i="5" s="1"/>
  <c r="E2151" i="5" s="1"/>
  <c r="E2152" i="5" s="1"/>
  <c r="E2153" i="5" s="1"/>
  <c r="E2154" i="5" s="1"/>
  <c r="E2155" i="5" s="1"/>
  <c r="E2156" i="5" s="1"/>
  <c r="E2157" i="5" s="1"/>
  <c r="E2158" i="5" s="1"/>
  <c r="E2159" i="5" s="1"/>
  <c r="E2160" i="5" s="1"/>
  <c r="E2161" i="5" s="1"/>
  <c r="E2162" i="5" s="1"/>
  <c r="E2163" i="5" s="1"/>
  <c r="E2164" i="5" s="1"/>
  <c r="E2165" i="5" s="1"/>
  <c r="E2166" i="5" s="1"/>
  <c r="E2167" i="5" s="1"/>
  <c r="E2168" i="5" s="1"/>
  <c r="E2169" i="5" s="1"/>
  <c r="E2170" i="5" s="1"/>
  <c r="E2171" i="5" s="1"/>
  <c r="E2172" i="5" s="1"/>
  <c r="E2173" i="5" s="1"/>
  <c r="E2174" i="5" s="1"/>
  <c r="E2175" i="5" s="1"/>
  <c r="E2176" i="5" s="1"/>
  <c r="E2177" i="5" s="1"/>
  <c r="E2178" i="5" s="1"/>
  <c r="E2179" i="5" s="1"/>
  <c r="E2180" i="5" s="1"/>
  <c r="E2181" i="5" s="1"/>
  <c r="E2182" i="5" s="1"/>
  <c r="E2183" i="5" s="1"/>
  <c r="E2184" i="5" s="1"/>
  <c r="E2185" i="5" s="1"/>
  <c r="E2186" i="5" s="1"/>
  <c r="E2187" i="5" s="1"/>
  <c r="E2188" i="5" s="1"/>
  <c r="E2189" i="5" s="1"/>
  <c r="E2190" i="5" s="1"/>
  <c r="E2191" i="5" s="1"/>
  <c r="E2192" i="5" s="1"/>
  <c r="E2193" i="5" s="1"/>
  <c r="E2194" i="5" s="1"/>
  <c r="E2195" i="5" s="1"/>
  <c r="E2196" i="5" s="1"/>
  <c r="E2197" i="5" s="1"/>
  <c r="E2198" i="5" s="1"/>
  <c r="E2199" i="5" s="1"/>
  <c r="E2200" i="5" s="1"/>
  <c r="E2201" i="5" s="1"/>
  <c r="E2202" i="5" s="1"/>
  <c r="E2203" i="5" s="1"/>
  <c r="E2204" i="5" s="1"/>
  <c r="E2205" i="5" s="1"/>
  <c r="E2206" i="5" s="1"/>
  <c r="E2207" i="5" s="1"/>
  <c r="E2208" i="5" s="1"/>
  <c r="E2209" i="5" s="1"/>
  <c r="E2210" i="5" s="1"/>
  <c r="E2211" i="5" s="1"/>
  <c r="E2212" i="5" s="1"/>
  <c r="E2213" i="5" s="1"/>
  <c r="E2214" i="5" s="1"/>
  <c r="E2215" i="5" s="1"/>
  <c r="E2216" i="5" s="1"/>
  <c r="E2217" i="5" s="1"/>
  <c r="E2218" i="5" s="1"/>
  <c r="E2219" i="5" s="1"/>
  <c r="E2220" i="5" s="1"/>
  <c r="E2221" i="5" s="1"/>
  <c r="E2222" i="5" s="1"/>
  <c r="E2223" i="5" s="1"/>
  <c r="E2224" i="5" s="1"/>
  <c r="E2225" i="5" s="1"/>
  <c r="E2226" i="5" s="1"/>
  <c r="E2227" i="5" s="1"/>
  <c r="E2228" i="5" s="1"/>
  <c r="E2229" i="5" s="1"/>
  <c r="E2230" i="5" s="1"/>
  <c r="E2231" i="5" s="1"/>
  <c r="E2232" i="5" s="1"/>
  <c r="E2233" i="5" s="1"/>
  <c r="E2234" i="5" s="1"/>
  <c r="E2235" i="5" s="1"/>
  <c r="E2236" i="5" s="1"/>
  <c r="E2237" i="5" s="1"/>
  <c r="E2238" i="5" s="1"/>
  <c r="E2239" i="5" s="1"/>
  <c r="E2240" i="5" s="1"/>
  <c r="E2241" i="5" s="1"/>
  <c r="E2242" i="5" s="1"/>
  <c r="E2243" i="5" s="1"/>
  <c r="E2244" i="5" s="1"/>
  <c r="E2245" i="5" s="1"/>
  <c r="E2246" i="5" s="1"/>
  <c r="E2247" i="5" s="1"/>
  <c r="E2248" i="5" s="1"/>
  <c r="E2249" i="5" s="1"/>
  <c r="E2250" i="5" s="1"/>
  <c r="E2251" i="5" s="1"/>
  <c r="E2252" i="5" s="1"/>
  <c r="E2253" i="5" s="1"/>
  <c r="E2254" i="5" s="1"/>
  <c r="E2255" i="5" s="1"/>
  <c r="E2256" i="5" s="1"/>
  <c r="E2257" i="5" s="1"/>
  <c r="E2258" i="5" s="1"/>
  <c r="E2259" i="5" s="1"/>
  <c r="E2260" i="5" s="1"/>
  <c r="E2261" i="5" s="1"/>
  <c r="E2262" i="5" s="1"/>
  <c r="E2263" i="5" s="1"/>
  <c r="E2264" i="5" s="1"/>
  <c r="E2265" i="5" s="1"/>
  <c r="E2266" i="5" s="1"/>
  <c r="E2267" i="5" s="1"/>
  <c r="E2268" i="5" s="1"/>
  <c r="E2269" i="5" s="1"/>
  <c r="E2270" i="5" s="1"/>
  <c r="E2271" i="5" s="1"/>
  <c r="E2272" i="5" s="1"/>
  <c r="E2273" i="5" s="1"/>
  <c r="E2274" i="5" s="1"/>
  <c r="E2275" i="5" s="1"/>
  <c r="E2276" i="5" s="1"/>
  <c r="E2277" i="5" s="1"/>
  <c r="E2278" i="5" s="1"/>
  <c r="E2279" i="5" s="1"/>
  <c r="E2280" i="5" s="1"/>
  <c r="E2281" i="5" s="1"/>
  <c r="E2282" i="5" s="1"/>
  <c r="E2283" i="5" s="1"/>
  <c r="E2284" i="5" s="1"/>
  <c r="E2285" i="5" s="1"/>
  <c r="E2286" i="5" s="1"/>
  <c r="E2287" i="5" s="1"/>
  <c r="E2288" i="5" s="1"/>
  <c r="E2289" i="5" s="1"/>
  <c r="E2290" i="5" s="1"/>
  <c r="E2291" i="5" s="1"/>
  <c r="E2292" i="5" s="1"/>
  <c r="E2293" i="5" s="1"/>
  <c r="E2294" i="5" s="1"/>
  <c r="E2295" i="5" s="1"/>
  <c r="E2296" i="5" s="1"/>
  <c r="E2297" i="5" s="1"/>
  <c r="E2298" i="5" s="1"/>
  <c r="E2299" i="5" s="1"/>
  <c r="E2300" i="5" s="1"/>
  <c r="E2301" i="5" s="1"/>
  <c r="E2302" i="5" s="1"/>
  <c r="E2303" i="5" s="1"/>
  <c r="E2304" i="5" s="1"/>
  <c r="E2305" i="5" s="1"/>
  <c r="E2306" i="5" s="1"/>
  <c r="E2307" i="5" s="1"/>
  <c r="E2308" i="5" s="1"/>
  <c r="E2309" i="5" s="1"/>
  <c r="E2310" i="5" s="1"/>
  <c r="E2311" i="5" s="1"/>
  <c r="E2312" i="5" s="1"/>
  <c r="E2313" i="5" s="1"/>
  <c r="E2314" i="5" s="1"/>
  <c r="E2315" i="5" s="1"/>
  <c r="E2316" i="5" s="1"/>
  <c r="E2317" i="5" s="1"/>
  <c r="E2318" i="5" s="1"/>
  <c r="E2319" i="5" s="1"/>
  <c r="E2320" i="5" s="1"/>
  <c r="E2321" i="5" s="1"/>
  <c r="E2322" i="5" s="1"/>
  <c r="E2323" i="5" s="1"/>
  <c r="E2324" i="5" s="1"/>
  <c r="E2325" i="5" s="1"/>
  <c r="E2326" i="5" s="1"/>
  <c r="E2327" i="5" s="1"/>
  <c r="E2328" i="5" s="1"/>
  <c r="E2329" i="5" s="1"/>
  <c r="E2330" i="5" s="1"/>
  <c r="E2331" i="5" s="1"/>
  <c r="E2332" i="5" s="1"/>
  <c r="E2333" i="5" s="1"/>
  <c r="E2334" i="5" s="1"/>
  <c r="E2335" i="5" s="1"/>
  <c r="E2336" i="5" s="1"/>
  <c r="E2337" i="5" s="1"/>
  <c r="E2338" i="5" s="1"/>
  <c r="E2339" i="5" s="1"/>
  <c r="E2340" i="5" s="1"/>
  <c r="E2341" i="5" s="1"/>
  <c r="E2342" i="5" s="1"/>
  <c r="E2343" i="5" s="1"/>
  <c r="E2344" i="5" s="1"/>
  <c r="E2345" i="5" s="1"/>
  <c r="E2346" i="5" s="1"/>
  <c r="E2347" i="5" s="1"/>
  <c r="E2348" i="5" s="1"/>
  <c r="E2349" i="5" s="1"/>
  <c r="E2350" i="5" s="1"/>
  <c r="E2351" i="5" s="1"/>
  <c r="E2352" i="5" s="1"/>
  <c r="E2353" i="5" s="1"/>
  <c r="E2354" i="5" s="1"/>
  <c r="E2355" i="5" s="1"/>
  <c r="E2356" i="5" s="1"/>
  <c r="E2357" i="5" s="1"/>
  <c r="E2358" i="5" s="1"/>
  <c r="E2359" i="5" s="1"/>
  <c r="E2360" i="5" s="1"/>
  <c r="E2361" i="5" s="1"/>
  <c r="E2362" i="5" s="1"/>
  <c r="E2363" i="5" s="1"/>
  <c r="E2364" i="5" s="1"/>
  <c r="E2365" i="5" s="1"/>
  <c r="E2366" i="5" s="1"/>
  <c r="E2367" i="5" s="1"/>
  <c r="E2368" i="5" s="1"/>
  <c r="E2369" i="5" s="1"/>
  <c r="E2370" i="5" s="1"/>
  <c r="E2371" i="5" s="1"/>
  <c r="E2372" i="5" s="1"/>
  <c r="E2373" i="5" s="1"/>
  <c r="E2374" i="5" s="1"/>
  <c r="E2375" i="5" s="1"/>
  <c r="E2376" i="5" s="1"/>
  <c r="E2377" i="5" s="1"/>
  <c r="E2378" i="5" s="1"/>
  <c r="E2379" i="5" s="1"/>
  <c r="E2380" i="5" s="1"/>
  <c r="E2381" i="5" s="1"/>
  <c r="E2382" i="5" s="1"/>
  <c r="E2383" i="5" s="1"/>
  <c r="E2384" i="5" s="1"/>
  <c r="E2385" i="5" s="1"/>
  <c r="E2386" i="5" s="1"/>
  <c r="E2387" i="5" s="1"/>
  <c r="E2388" i="5" s="1"/>
  <c r="E2389" i="5" s="1"/>
  <c r="E2390" i="5" s="1"/>
  <c r="E2391" i="5" s="1"/>
  <c r="E2392" i="5" s="1"/>
  <c r="E2393" i="5" s="1"/>
  <c r="E2394" i="5" s="1"/>
  <c r="E2395" i="5" s="1"/>
  <c r="E2396" i="5" s="1"/>
  <c r="E2397" i="5" s="1"/>
  <c r="E2398" i="5" s="1"/>
  <c r="E2399" i="5" s="1"/>
  <c r="E2400" i="5" s="1"/>
  <c r="E2401" i="5" s="1"/>
  <c r="E2402" i="5" s="1"/>
  <c r="E2403" i="5" s="1"/>
  <c r="E2404" i="5" s="1"/>
  <c r="E2405" i="5" s="1"/>
  <c r="E2406" i="5" s="1"/>
  <c r="E2407" i="5" s="1"/>
  <c r="E2408" i="5" s="1"/>
  <c r="E2409" i="5" s="1"/>
  <c r="E2410" i="5" s="1"/>
  <c r="E2411" i="5" s="1"/>
  <c r="E2412" i="5" s="1"/>
  <c r="E2413" i="5" s="1"/>
  <c r="E2414" i="5" s="1"/>
  <c r="E2415" i="5" s="1"/>
  <c r="E2416" i="5" s="1"/>
  <c r="E2417" i="5" s="1"/>
  <c r="E2418" i="5" s="1"/>
  <c r="E2419" i="5" s="1"/>
  <c r="E2420" i="5" s="1"/>
  <c r="E2421" i="5" s="1"/>
  <c r="E2422" i="5" s="1"/>
  <c r="E2423" i="5" s="1"/>
  <c r="E2424" i="5" s="1"/>
  <c r="E2425" i="5" s="1"/>
  <c r="E2426" i="5" s="1"/>
  <c r="E2427" i="5" s="1"/>
  <c r="E2428" i="5" s="1"/>
  <c r="E2429" i="5" s="1"/>
  <c r="E2430" i="5" s="1"/>
  <c r="E2431" i="5" s="1"/>
  <c r="E2432" i="5" s="1"/>
  <c r="E2433" i="5" s="1"/>
  <c r="E2434" i="5" s="1"/>
  <c r="E2435" i="5" s="1"/>
  <c r="E2436" i="5" s="1"/>
  <c r="E2437" i="5" s="1"/>
  <c r="E2438" i="5" s="1"/>
  <c r="E2439" i="5" s="1"/>
  <c r="E2440" i="5" s="1"/>
  <c r="E2441" i="5" s="1"/>
  <c r="E2442" i="5" s="1"/>
  <c r="E2443" i="5" s="1"/>
  <c r="E2444" i="5" s="1"/>
  <c r="E2445" i="5" s="1"/>
  <c r="E2446" i="5" s="1"/>
  <c r="E2447" i="5" s="1"/>
  <c r="E2448" i="5" s="1"/>
  <c r="E2449" i="5" s="1"/>
  <c r="E2450" i="5" s="1"/>
  <c r="E2451" i="5" s="1"/>
  <c r="E2452" i="5" s="1"/>
  <c r="E2453" i="5" s="1"/>
  <c r="E2454" i="5" s="1"/>
  <c r="E2455" i="5" s="1"/>
  <c r="E2456" i="5" s="1"/>
  <c r="E2457" i="5" s="1"/>
  <c r="E2458" i="5" s="1"/>
  <c r="E2459" i="5" s="1"/>
  <c r="E2460" i="5" s="1"/>
  <c r="E2461" i="5" s="1"/>
  <c r="E2462" i="5" s="1"/>
  <c r="E2463" i="5" s="1"/>
  <c r="E2464" i="5" s="1"/>
  <c r="E2465" i="5" s="1"/>
  <c r="E2466" i="5" s="1"/>
  <c r="E2467" i="5" s="1"/>
  <c r="E2468" i="5" s="1"/>
  <c r="E2469" i="5" s="1"/>
  <c r="E2470" i="5" s="1"/>
  <c r="E2471" i="5" s="1"/>
  <c r="E2472" i="5" s="1"/>
  <c r="E2473" i="5" s="1"/>
  <c r="E2474" i="5" s="1"/>
  <c r="E2475" i="5" s="1"/>
  <c r="E2476" i="5" s="1"/>
  <c r="E2477" i="5" s="1"/>
  <c r="E2478" i="5" s="1"/>
  <c r="E2479" i="5" s="1"/>
  <c r="E2480" i="5" s="1"/>
  <c r="E2481" i="5" s="1"/>
  <c r="E2482" i="5" s="1"/>
  <c r="E2483" i="5" s="1"/>
  <c r="E2484" i="5" s="1"/>
  <c r="E2485" i="5" s="1"/>
  <c r="E2486" i="5" s="1"/>
  <c r="E2487" i="5" s="1"/>
  <c r="E2488" i="5" s="1"/>
  <c r="E2489" i="5" s="1"/>
  <c r="E2490" i="5" s="1"/>
  <c r="E2491" i="5" s="1"/>
  <c r="E2492" i="5" s="1"/>
  <c r="E2493" i="5" s="1"/>
  <c r="E2494" i="5" s="1"/>
  <c r="E2495" i="5" s="1"/>
  <c r="E2496" i="5" s="1"/>
  <c r="E2497" i="5" s="1"/>
  <c r="E2498" i="5" s="1"/>
  <c r="E2499" i="5" s="1"/>
  <c r="E2500" i="5" s="1"/>
  <c r="E2501" i="5" s="1"/>
  <c r="E2502" i="5" s="1"/>
  <c r="E2503" i="5" s="1"/>
  <c r="E2504" i="5" s="1"/>
  <c r="E2505" i="5" s="1"/>
  <c r="E2506" i="5" s="1"/>
  <c r="E2507" i="5" s="1"/>
  <c r="E2508" i="5" s="1"/>
  <c r="E2509" i="5" s="1"/>
  <c r="E2510" i="5" s="1"/>
  <c r="E2511" i="5" s="1"/>
  <c r="E2512" i="5" s="1"/>
  <c r="E2513" i="5" s="1"/>
  <c r="E2514" i="5" s="1"/>
  <c r="E2515" i="5" s="1"/>
  <c r="E2516" i="5" s="1"/>
  <c r="E2517" i="5" s="1"/>
  <c r="E2518" i="5" s="1"/>
  <c r="E2519" i="5" s="1"/>
  <c r="E2520" i="5" s="1"/>
  <c r="E2521" i="5" s="1"/>
  <c r="E2522" i="5" s="1"/>
  <c r="E2523" i="5" s="1"/>
  <c r="E2524" i="5" s="1"/>
  <c r="E2525" i="5" s="1"/>
  <c r="E2526" i="5" s="1"/>
  <c r="E2527" i="5" s="1"/>
  <c r="E2528" i="5" s="1"/>
  <c r="E2529" i="5" s="1"/>
  <c r="E2530" i="5" s="1"/>
  <c r="E2531" i="5" s="1"/>
  <c r="E2532" i="5" s="1"/>
  <c r="E2533" i="5" s="1"/>
  <c r="E2534" i="5" s="1"/>
  <c r="E2535" i="5" s="1"/>
  <c r="E2536" i="5" s="1"/>
  <c r="E2537" i="5" s="1"/>
  <c r="E2538" i="5" s="1"/>
  <c r="E2539" i="5" s="1"/>
  <c r="E2540" i="5" s="1"/>
  <c r="E2541" i="5" s="1"/>
  <c r="E2542" i="5" s="1"/>
  <c r="E2543" i="5" s="1"/>
  <c r="E2544" i="5" s="1"/>
  <c r="E2545" i="5" s="1"/>
  <c r="E2546" i="5" s="1"/>
  <c r="E2547" i="5" s="1"/>
  <c r="E2548" i="5" s="1"/>
  <c r="E2549" i="5" s="1"/>
  <c r="E2550" i="5" s="1"/>
  <c r="E2551" i="5" s="1"/>
  <c r="E2552" i="5" s="1"/>
  <c r="E2553" i="5" s="1"/>
  <c r="E2554" i="5" s="1"/>
  <c r="E2555" i="5" s="1"/>
  <c r="E2556" i="5" s="1"/>
  <c r="E2557" i="5" s="1"/>
  <c r="E2558" i="5" s="1"/>
  <c r="E2559" i="5" s="1"/>
  <c r="E2560" i="5" s="1"/>
  <c r="E2561" i="5" s="1"/>
  <c r="E2562" i="5" s="1"/>
  <c r="E2563" i="5" s="1"/>
  <c r="E2564" i="5" s="1"/>
  <c r="E2565" i="5" s="1"/>
  <c r="E2566" i="5" s="1"/>
  <c r="E2567" i="5" s="1"/>
  <c r="E2568" i="5" s="1"/>
  <c r="E2569" i="5" s="1"/>
  <c r="E2570" i="5" s="1"/>
  <c r="E2571" i="5" s="1"/>
  <c r="E2572" i="5" s="1"/>
  <c r="E2573" i="5" s="1"/>
  <c r="E2574" i="5" s="1"/>
  <c r="E2575" i="5" s="1"/>
  <c r="E2576" i="5" s="1"/>
  <c r="E2577" i="5" s="1"/>
  <c r="E2578" i="5" s="1"/>
  <c r="E2579" i="5" s="1"/>
  <c r="E2580" i="5" s="1"/>
  <c r="E2581" i="5" s="1"/>
  <c r="E2582" i="5" s="1"/>
  <c r="E2583" i="5" s="1"/>
  <c r="E2584" i="5" s="1"/>
  <c r="E2585" i="5" s="1"/>
  <c r="E2586" i="5" s="1"/>
  <c r="E2587" i="5" s="1"/>
  <c r="E2588" i="5" s="1"/>
  <c r="E2589" i="5" s="1"/>
  <c r="E2590" i="5" s="1"/>
  <c r="E2591" i="5" s="1"/>
  <c r="E2592" i="5" s="1"/>
  <c r="E2593" i="5" s="1"/>
  <c r="E2594" i="5" s="1"/>
  <c r="E2595" i="5" s="1"/>
  <c r="E2596" i="5" s="1"/>
  <c r="E2597" i="5" s="1"/>
  <c r="E2598" i="5" s="1"/>
  <c r="E2599" i="5" s="1"/>
  <c r="E2600" i="5" s="1"/>
  <c r="E2601" i="5" s="1"/>
  <c r="E2602" i="5" s="1"/>
  <c r="E2603" i="5" s="1"/>
  <c r="E2604" i="5" s="1"/>
  <c r="E2605" i="5" s="1"/>
  <c r="E2606" i="5" s="1"/>
  <c r="E2607" i="5" s="1"/>
  <c r="E2608" i="5" s="1"/>
  <c r="E2609" i="5" s="1"/>
  <c r="E2610" i="5" s="1"/>
  <c r="E2611" i="5" s="1"/>
  <c r="E2612" i="5" s="1"/>
  <c r="E2613" i="5" s="1"/>
  <c r="E2614" i="5" s="1"/>
  <c r="E2615" i="5" s="1"/>
  <c r="E2616" i="5" s="1"/>
  <c r="E2617" i="5" s="1"/>
  <c r="E2618" i="5" s="1"/>
  <c r="E2619" i="5" s="1"/>
  <c r="E2620" i="5" s="1"/>
  <c r="E2621" i="5" s="1"/>
  <c r="E2622" i="5" s="1"/>
  <c r="E2623" i="5" s="1"/>
  <c r="E2624" i="5" s="1"/>
  <c r="E2625" i="5" s="1"/>
  <c r="E2626" i="5" s="1"/>
  <c r="E2627" i="5" s="1"/>
  <c r="E2628" i="5" s="1"/>
  <c r="E2629" i="5" s="1"/>
  <c r="E2630" i="5" s="1"/>
  <c r="E2631" i="5" s="1"/>
  <c r="E2632" i="5" s="1"/>
  <c r="E2633" i="5" s="1"/>
  <c r="E2634" i="5" s="1"/>
  <c r="E2635" i="5" s="1"/>
  <c r="E2636" i="5" s="1"/>
  <c r="E2637" i="5" s="1"/>
  <c r="E2638" i="5" s="1"/>
  <c r="E2639" i="5" s="1"/>
  <c r="E2640" i="5" s="1"/>
  <c r="E2641" i="5" s="1"/>
  <c r="E2642" i="5" s="1"/>
  <c r="E2643" i="5" s="1"/>
  <c r="E2644" i="5" s="1"/>
  <c r="E2645" i="5" s="1"/>
  <c r="E2646" i="5" s="1"/>
  <c r="E2647" i="5" s="1"/>
  <c r="E2648" i="5" s="1"/>
  <c r="E2649" i="5" s="1"/>
  <c r="E2650" i="5" s="1"/>
  <c r="E2651" i="5" s="1"/>
  <c r="E2652" i="5" s="1"/>
  <c r="E2653" i="5" s="1"/>
  <c r="E2654" i="5" s="1"/>
  <c r="E2655" i="5" s="1"/>
  <c r="E2656" i="5" s="1"/>
  <c r="E2657" i="5" s="1"/>
  <c r="E2658" i="5" s="1"/>
  <c r="E2659" i="5" s="1"/>
  <c r="E2660" i="5" s="1"/>
  <c r="E2661" i="5" s="1"/>
  <c r="E2662" i="5" s="1"/>
  <c r="E2663" i="5" s="1"/>
  <c r="E2664" i="5" s="1"/>
  <c r="E2665" i="5" s="1"/>
  <c r="E2666" i="5" s="1"/>
  <c r="E2667" i="5" s="1"/>
  <c r="E2668" i="5" s="1"/>
  <c r="E2669" i="5" s="1"/>
  <c r="E2670" i="5" s="1"/>
  <c r="E2671" i="5" s="1"/>
  <c r="E2672" i="5" s="1"/>
  <c r="E2673" i="5" s="1"/>
  <c r="E2674" i="5" s="1"/>
  <c r="E2675" i="5" s="1"/>
  <c r="E2676" i="5" s="1"/>
  <c r="E2677" i="5" s="1"/>
  <c r="E2678" i="5" s="1"/>
  <c r="E2679" i="5" s="1"/>
  <c r="E2680" i="5" s="1"/>
  <c r="E2681" i="5" s="1"/>
  <c r="E2682" i="5" s="1"/>
  <c r="E2683" i="5" s="1"/>
  <c r="E2684" i="5" s="1"/>
  <c r="E2685" i="5" s="1"/>
  <c r="E2686" i="5" s="1"/>
  <c r="E2687" i="5" s="1"/>
  <c r="E2688" i="5" s="1"/>
  <c r="E2689" i="5" s="1"/>
  <c r="E2690" i="5" s="1"/>
  <c r="E2691" i="5" s="1"/>
  <c r="E2692" i="5" s="1"/>
  <c r="E2693" i="5" s="1"/>
  <c r="E2694" i="5" s="1"/>
  <c r="E2695" i="5" s="1"/>
  <c r="E2696" i="5" s="1"/>
  <c r="E2697" i="5" s="1"/>
  <c r="E2698" i="5" s="1"/>
  <c r="E2699" i="5" s="1"/>
  <c r="E2700" i="5" s="1"/>
  <c r="E2701" i="5" s="1"/>
  <c r="E2702" i="5" s="1"/>
  <c r="E2703" i="5" s="1"/>
  <c r="E2704" i="5" s="1"/>
  <c r="E2705" i="5" s="1"/>
  <c r="E2706" i="5" s="1"/>
  <c r="E2707" i="5" s="1"/>
  <c r="E2708" i="5" s="1"/>
  <c r="E2709" i="5" s="1"/>
  <c r="E2710" i="5" s="1"/>
  <c r="E2711" i="5" s="1"/>
  <c r="E2712" i="5" s="1"/>
  <c r="E2713" i="5" s="1"/>
  <c r="E2714" i="5" s="1"/>
  <c r="E2715" i="5" s="1"/>
  <c r="E2716" i="5" s="1"/>
  <c r="E2717" i="5" s="1"/>
  <c r="E2718" i="5" s="1"/>
  <c r="E2719" i="5" s="1"/>
  <c r="E2720" i="5" s="1"/>
  <c r="E2721" i="5" s="1"/>
  <c r="E2722" i="5" s="1"/>
  <c r="E2723" i="5" s="1"/>
  <c r="E2724" i="5" s="1"/>
  <c r="E2725" i="5" s="1"/>
  <c r="E2726" i="5" s="1"/>
  <c r="E2727" i="5" s="1"/>
  <c r="E2728" i="5" s="1"/>
  <c r="E2729" i="5" s="1"/>
  <c r="E2730" i="5" s="1"/>
  <c r="E2731" i="5" s="1"/>
  <c r="E2732" i="5" s="1"/>
  <c r="E2733" i="5" s="1"/>
  <c r="E2734" i="5" s="1"/>
  <c r="E2735" i="5" s="1"/>
  <c r="E2736" i="5" s="1"/>
  <c r="E2737" i="5" s="1"/>
  <c r="E2738" i="5" s="1"/>
  <c r="E2739" i="5" s="1"/>
  <c r="E2740" i="5" s="1"/>
  <c r="E2741" i="5" s="1"/>
  <c r="E2742" i="5" s="1"/>
  <c r="E2743" i="5" s="1"/>
  <c r="E2744" i="5" s="1"/>
  <c r="E2745" i="5" s="1"/>
  <c r="E2746" i="5" s="1"/>
  <c r="E2747" i="5" s="1"/>
  <c r="E2748" i="5" s="1"/>
  <c r="E2749" i="5" s="1"/>
  <c r="E2750" i="5" s="1"/>
  <c r="E2751" i="5" s="1"/>
  <c r="E2752" i="5" s="1"/>
  <c r="E2753" i="5" s="1"/>
  <c r="E2754" i="5" s="1"/>
  <c r="E2755" i="5" s="1"/>
  <c r="E2756" i="5" s="1"/>
  <c r="E2757" i="5" s="1"/>
  <c r="E2758" i="5" s="1"/>
  <c r="E2759" i="5" s="1"/>
  <c r="E2760" i="5" s="1"/>
  <c r="E2761" i="5" s="1"/>
  <c r="E2762" i="5" s="1"/>
  <c r="E2763" i="5" s="1"/>
  <c r="E2764" i="5" s="1"/>
  <c r="E2765" i="5" s="1"/>
  <c r="E2766" i="5" s="1"/>
  <c r="E2767" i="5" s="1"/>
  <c r="E2768" i="5" s="1"/>
  <c r="E2769" i="5" s="1"/>
  <c r="E2770" i="5" s="1"/>
  <c r="E2771" i="5" s="1"/>
  <c r="E2772" i="5" s="1"/>
  <c r="E2773" i="5" s="1"/>
  <c r="E2774" i="5" s="1"/>
  <c r="E2775" i="5" s="1"/>
  <c r="E2776" i="5" s="1"/>
  <c r="E2777" i="5" s="1"/>
  <c r="E2778" i="5" s="1"/>
  <c r="E2779" i="5" s="1"/>
  <c r="E2780" i="5" s="1"/>
  <c r="E2781" i="5" s="1"/>
  <c r="E2782" i="5" s="1"/>
  <c r="E2783" i="5" s="1"/>
  <c r="E2784" i="5" s="1"/>
  <c r="E2785" i="5" s="1"/>
  <c r="E2786" i="5" s="1"/>
  <c r="E2787" i="5" s="1"/>
  <c r="E2788" i="5" s="1"/>
  <c r="E2789" i="5" s="1"/>
  <c r="E2790" i="5" s="1"/>
  <c r="E2791" i="5" s="1"/>
  <c r="E2792" i="5" s="1"/>
  <c r="E2793" i="5" s="1"/>
  <c r="E2794" i="5" s="1"/>
  <c r="E2795" i="5" s="1"/>
  <c r="E2796" i="5" s="1"/>
  <c r="E2797" i="5" s="1"/>
  <c r="E2798" i="5" s="1"/>
  <c r="E2799" i="5" s="1"/>
  <c r="E2800" i="5" s="1"/>
  <c r="E2801" i="5" s="1"/>
  <c r="E2802" i="5" s="1"/>
  <c r="E2803" i="5" s="1"/>
  <c r="E2804" i="5" s="1"/>
  <c r="E2805" i="5" s="1"/>
  <c r="E2806" i="5" s="1"/>
  <c r="E2807" i="5" s="1"/>
  <c r="E2808" i="5" s="1"/>
  <c r="E2809" i="5" s="1"/>
  <c r="E2810" i="5" s="1"/>
  <c r="E2811" i="5" s="1"/>
  <c r="E2812" i="5" s="1"/>
  <c r="E2813" i="5" s="1"/>
  <c r="E2814" i="5" s="1"/>
  <c r="E2815" i="5" s="1"/>
  <c r="E2816" i="5" s="1"/>
  <c r="E2817" i="5" s="1"/>
  <c r="E2818" i="5" s="1"/>
  <c r="E2819" i="5" s="1"/>
  <c r="E2820" i="5" s="1"/>
  <c r="E2821" i="5" s="1"/>
  <c r="E2822" i="5" s="1"/>
  <c r="E2823" i="5" s="1"/>
  <c r="E2824" i="5" s="1"/>
  <c r="E2825" i="5" s="1"/>
  <c r="E2826" i="5" s="1"/>
  <c r="E2827" i="5" s="1"/>
  <c r="E2828" i="5" s="1"/>
  <c r="E2829" i="5" s="1"/>
  <c r="E2830" i="5" s="1"/>
  <c r="E2831" i="5" s="1"/>
  <c r="E2832" i="5" s="1"/>
  <c r="E2833" i="5" s="1"/>
  <c r="E2834" i="5" s="1"/>
  <c r="E2835" i="5" s="1"/>
  <c r="E2836" i="5" s="1"/>
  <c r="E2837" i="5" s="1"/>
  <c r="E2838" i="5" s="1"/>
  <c r="E2839" i="5" s="1"/>
  <c r="E2840" i="5" s="1"/>
  <c r="E2841" i="5" s="1"/>
  <c r="E2842" i="5" s="1"/>
  <c r="E2843" i="5" s="1"/>
  <c r="E2844" i="5" s="1"/>
  <c r="E2845" i="5" s="1"/>
  <c r="E2846" i="5" s="1"/>
  <c r="E2847" i="5" s="1"/>
  <c r="E2848" i="5" s="1"/>
  <c r="E2849" i="5" s="1"/>
  <c r="E2850" i="5" s="1"/>
  <c r="E2851" i="5" s="1"/>
  <c r="E2852" i="5" s="1"/>
  <c r="E2853" i="5" s="1"/>
  <c r="E2854" i="5" s="1"/>
  <c r="E2855" i="5" s="1"/>
  <c r="E2856" i="5" s="1"/>
  <c r="E2857" i="5" s="1"/>
  <c r="E2858" i="5" s="1"/>
  <c r="E2859" i="5" s="1"/>
  <c r="E2860" i="5" s="1"/>
  <c r="E2861" i="5" s="1"/>
  <c r="E2862" i="5" s="1"/>
  <c r="E2863" i="5" s="1"/>
  <c r="E2864" i="5" s="1"/>
  <c r="E2865" i="5" s="1"/>
  <c r="E2866" i="5" s="1"/>
  <c r="E2867" i="5" s="1"/>
  <c r="E2868" i="5" s="1"/>
  <c r="E2869" i="5" s="1"/>
  <c r="E2870" i="5" s="1"/>
  <c r="E2871" i="5" s="1"/>
  <c r="E2872" i="5" s="1"/>
  <c r="E2873" i="5" s="1"/>
  <c r="E2874" i="5" s="1"/>
  <c r="E2875" i="5" s="1"/>
  <c r="E2876" i="5" s="1"/>
  <c r="E2877" i="5" s="1"/>
  <c r="E2878" i="5" s="1"/>
  <c r="E2879" i="5" s="1"/>
  <c r="E2880" i="5" s="1"/>
  <c r="E2881" i="5" s="1"/>
  <c r="E2882" i="5" s="1"/>
  <c r="E2883" i="5" s="1"/>
  <c r="E2884" i="5" s="1"/>
  <c r="E2885" i="5" s="1"/>
  <c r="E2886" i="5" s="1"/>
  <c r="E2887" i="5" s="1"/>
  <c r="E2888" i="5" s="1"/>
  <c r="E2889" i="5" s="1"/>
  <c r="E2890" i="5" s="1"/>
  <c r="E2891" i="5" s="1"/>
  <c r="E2892" i="5" s="1"/>
  <c r="E2893" i="5" s="1"/>
  <c r="E2894" i="5" s="1"/>
  <c r="E2895" i="5" s="1"/>
  <c r="E2896" i="5" s="1"/>
  <c r="E2897" i="5" s="1"/>
  <c r="E2898" i="5" s="1"/>
  <c r="E2899" i="5" s="1"/>
  <c r="E2900" i="5" s="1"/>
  <c r="E2901" i="5" s="1"/>
  <c r="E2902" i="5" s="1"/>
  <c r="E2903" i="5" s="1"/>
  <c r="E2904" i="5" s="1"/>
  <c r="E2905" i="5" s="1"/>
  <c r="E2906" i="5" s="1"/>
  <c r="E2907" i="5" s="1"/>
  <c r="E2908" i="5" s="1"/>
  <c r="E2909" i="5" s="1"/>
  <c r="E2910" i="5" s="1"/>
  <c r="E2911" i="5" s="1"/>
  <c r="E2912" i="5" s="1"/>
  <c r="E2913" i="5" s="1"/>
  <c r="E2914" i="5" s="1"/>
  <c r="E2915" i="5" s="1"/>
  <c r="E2916" i="5" s="1"/>
  <c r="E2917" i="5" s="1"/>
  <c r="E2918" i="5" s="1"/>
  <c r="E2919" i="5" s="1"/>
  <c r="E2920" i="5" s="1"/>
  <c r="E2921" i="5" s="1"/>
  <c r="E2922" i="5" s="1"/>
  <c r="E2923" i="5" s="1"/>
  <c r="E2924" i="5" s="1"/>
  <c r="E2925" i="5" s="1"/>
  <c r="E2926" i="5" s="1"/>
  <c r="E2927" i="5" s="1"/>
  <c r="E2928" i="5" s="1"/>
  <c r="E2929" i="5" s="1"/>
  <c r="E2930" i="5" s="1"/>
  <c r="E2931" i="5" s="1"/>
  <c r="E2932" i="5" s="1"/>
  <c r="E2933" i="5" s="1"/>
  <c r="E2934" i="5" s="1"/>
  <c r="E2935" i="5" s="1"/>
  <c r="E2936" i="5" s="1"/>
  <c r="E2937" i="5" s="1"/>
  <c r="E2938" i="5" s="1"/>
  <c r="E2939" i="5" s="1"/>
  <c r="E2940" i="5" s="1"/>
  <c r="E2941" i="5" s="1"/>
  <c r="E2942" i="5" s="1"/>
  <c r="E2943" i="5" s="1"/>
  <c r="E2944" i="5" s="1"/>
  <c r="E2945" i="5" s="1"/>
  <c r="E2946" i="5" s="1"/>
  <c r="E2947" i="5" s="1"/>
  <c r="E2948" i="5" s="1"/>
  <c r="E2949" i="5" s="1"/>
  <c r="E2950" i="5" s="1"/>
  <c r="E2951" i="5" s="1"/>
  <c r="E2952" i="5" s="1"/>
  <c r="E2953" i="5" s="1"/>
  <c r="E2954" i="5" s="1"/>
  <c r="E2955" i="5" s="1"/>
  <c r="E2956" i="5" s="1"/>
  <c r="E2957" i="5" s="1"/>
  <c r="E2958" i="5" s="1"/>
  <c r="E2959" i="5" s="1"/>
  <c r="E2960" i="5" s="1"/>
  <c r="E2961" i="5" s="1"/>
  <c r="E2962" i="5" s="1"/>
  <c r="E2963" i="5" s="1"/>
  <c r="E2964" i="5" s="1"/>
  <c r="E2965" i="5" s="1"/>
  <c r="E2966" i="5" s="1"/>
  <c r="E2967" i="5" s="1"/>
  <c r="E2968" i="5" s="1"/>
  <c r="E2969" i="5" s="1"/>
  <c r="E2970" i="5" s="1"/>
  <c r="E2971" i="5" s="1"/>
  <c r="E2972" i="5" s="1"/>
  <c r="E2973" i="5" s="1"/>
  <c r="E2974" i="5" s="1"/>
  <c r="E2975" i="5" s="1"/>
  <c r="E2976" i="5" s="1"/>
  <c r="E2977" i="5" s="1"/>
  <c r="E2978" i="5" s="1"/>
  <c r="E2979" i="5" s="1"/>
  <c r="E2980" i="5" s="1"/>
  <c r="E2981" i="5" s="1"/>
  <c r="E2982" i="5" s="1"/>
  <c r="E2983" i="5" s="1"/>
  <c r="E2984" i="5" s="1"/>
  <c r="E2985" i="5" s="1"/>
  <c r="E2986" i="5" s="1"/>
  <c r="E2987" i="5" s="1"/>
  <c r="E2988" i="5" s="1"/>
  <c r="E2989" i="5" s="1"/>
  <c r="E2990" i="5" s="1"/>
  <c r="E2991" i="5" s="1"/>
  <c r="E2992" i="5" s="1"/>
  <c r="E2993" i="5" s="1"/>
  <c r="E2994" i="5" s="1"/>
  <c r="E2995" i="5" s="1"/>
  <c r="E2996" i="5" s="1"/>
  <c r="E2997" i="5" s="1"/>
  <c r="E2998" i="5" s="1"/>
  <c r="E2999" i="5" s="1"/>
  <c r="E3000" i="5" s="1"/>
  <c r="E3001" i="5" s="1"/>
  <c r="E3002" i="5" s="1"/>
  <c r="E3003" i="5" s="1"/>
  <c r="E3004" i="5" s="1"/>
  <c r="E3005" i="5" s="1"/>
  <c r="E3006" i="5" s="1"/>
  <c r="E3007" i="5" s="1"/>
  <c r="E3008" i="5" s="1"/>
  <c r="E3009" i="5" s="1"/>
  <c r="E3010" i="5" s="1"/>
  <c r="E3011" i="5" s="1"/>
  <c r="E3012" i="5" s="1"/>
  <c r="E3013" i="5" s="1"/>
  <c r="E3014" i="5" s="1"/>
  <c r="E3015" i="5" s="1"/>
  <c r="E3016" i="5" s="1"/>
  <c r="E3017" i="5" s="1"/>
  <c r="E3018" i="5" s="1"/>
  <c r="E3019" i="5" s="1"/>
  <c r="E3020" i="5" s="1"/>
  <c r="E3021" i="5" s="1"/>
  <c r="E3022" i="5" s="1"/>
  <c r="E3023" i="5" s="1"/>
  <c r="E3024" i="5" s="1"/>
  <c r="E3025" i="5" s="1"/>
  <c r="E3026" i="5" s="1"/>
  <c r="E3027" i="5" s="1"/>
  <c r="E3028" i="5" s="1"/>
  <c r="E3029" i="5" s="1"/>
  <c r="E3030" i="5" s="1"/>
  <c r="E3031" i="5" s="1"/>
  <c r="E3032" i="5" s="1"/>
  <c r="E3033" i="5" s="1"/>
  <c r="E3034" i="5" s="1"/>
  <c r="E3035" i="5" s="1"/>
  <c r="E3036" i="5" s="1"/>
  <c r="E3037" i="5" s="1"/>
  <c r="E3038" i="5" s="1"/>
  <c r="E3039" i="5" s="1"/>
  <c r="E3040" i="5" s="1"/>
  <c r="E3041" i="5" s="1"/>
  <c r="E3042" i="5" s="1"/>
  <c r="E3043" i="5" s="1"/>
  <c r="E3044" i="5" s="1"/>
  <c r="E3045" i="5" s="1"/>
  <c r="E3046" i="5" s="1"/>
  <c r="E3047" i="5" s="1"/>
  <c r="E3048" i="5" s="1"/>
  <c r="E3049" i="5" s="1"/>
  <c r="E3050" i="5" s="1"/>
  <c r="E3051" i="5" s="1"/>
  <c r="E3052" i="5" s="1"/>
  <c r="E3053" i="5" s="1"/>
  <c r="E3054" i="5" s="1"/>
  <c r="E3055" i="5" s="1"/>
  <c r="E3056" i="5" s="1"/>
  <c r="E3057" i="5" s="1"/>
  <c r="E3058" i="5" s="1"/>
  <c r="E3059" i="5" s="1"/>
  <c r="E3060" i="5" s="1"/>
  <c r="E3061" i="5" s="1"/>
  <c r="E3062" i="5" s="1"/>
  <c r="E3063" i="5" s="1"/>
  <c r="E3064" i="5" s="1"/>
  <c r="E3065" i="5" s="1"/>
  <c r="E3066" i="5" s="1"/>
  <c r="E3067" i="5" s="1"/>
  <c r="E3068" i="5" s="1"/>
  <c r="E3069" i="5" s="1"/>
  <c r="E3070" i="5" s="1"/>
  <c r="E3071" i="5" s="1"/>
  <c r="E3072" i="5" s="1"/>
  <c r="E3073" i="5" s="1"/>
  <c r="E3074" i="5" s="1"/>
  <c r="E3075" i="5" s="1"/>
  <c r="E3076" i="5" s="1"/>
  <c r="E3077" i="5" s="1"/>
  <c r="E3078" i="5" s="1"/>
  <c r="E3079" i="5" s="1"/>
  <c r="E3080" i="5" s="1"/>
  <c r="E3081" i="5" s="1"/>
  <c r="E3082" i="5" s="1"/>
  <c r="E3083" i="5" s="1"/>
  <c r="E3084" i="5" s="1"/>
  <c r="E3085" i="5" s="1"/>
  <c r="E3086" i="5" s="1"/>
  <c r="E3087" i="5" s="1"/>
  <c r="E3088" i="5" s="1"/>
  <c r="E3089" i="5" s="1"/>
  <c r="E3090" i="5" s="1"/>
  <c r="E3091" i="5" s="1"/>
  <c r="E3092" i="5" s="1"/>
  <c r="E3093" i="5" s="1"/>
  <c r="E3094" i="5" s="1"/>
  <c r="E3095" i="5" s="1"/>
  <c r="E3096" i="5" s="1"/>
  <c r="E3097" i="5" s="1"/>
  <c r="E3098" i="5" s="1"/>
  <c r="E3099" i="5" s="1"/>
  <c r="E3100" i="5" s="1"/>
  <c r="E3101" i="5" s="1"/>
  <c r="E3102" i="5" s="1"/>
  <c r="E3103" i="5" s="1"/>
  <c r="E3104" i="5" s="1"/>
  <c r="E3105" i="5" s="1"/>
  <c r="E3106" i="5" s="1"/>
  <c r="E3107" i="5" s="1"/>
  <c r="E3108" i="5" s="1"/>
  <c r="E3109" i="5" s="1"/>
  <c r="E3110" i="5" s="1"/>
  <c r="E3111" i="5" s="1"/>
  <c r="E3112" i="5" s="1"/>
  <c r="E3113" i="5" s="1"/>
  <c r="E3114" i="5" s="1"/>
  <c r="E3115" i="5" s="1"/>
  <c r="E3116" i="5" s="1"/>
  <c r="E3117" i="5" s="1"/>
  <c r="E3118" i="5" s="1"/>
  <c r="E3119" i="5" s="1"/>
  <c r="E3120" i="5" s="1"/>
  <c r="E3121" i="5" s="1"/>
  <c r="E3122" i="5" s="1"/>
  <c r="E3123" i="5" s="1"/>
  <c r="E3124" i="5" s="1"/>
  <c r="E3125" i="5" s="1"/>
  <c r="E3126" i="5" s="1"/>
  <c r="E3127" i="5" s="1"/>
  <c r="E3128" i="5" s="1"/>
  <c r="E3129" i="5" s="1"/>
  <c r="E3130" i="5" s="1"/>
  <c r="E3131" i="5" s="1"/>
  <c r="E3132" i="5" s="1"/>
  <c r="E3133" i="5" s="1"/>
  <c r="E3134" i="5" s="1"/>
  <c r="E3135" i="5" s="1"/>
  <c r="E3136" i="5" s="1"/>
  <c r="E3137" i="5" s="1"/>
  <c r="E3138" i="5" s="1"/>
  <c r="E3139" i="5" s="1"/>
  <c r="E3140" i="5" s="1"/>
  <c r="E3141" i="5" s="1"/>
  <c r="E3142" i="5" s="1"/>
  <c r="E3143" i="5" s="1"/>
  <c r="E3144" i="5" s="1"/>
  <c r="E3145" i="5" s="1"/>
  <c r="E3146" i="5" s="1"/>
  <c r="E3147" i="5" s="1"/>
  <c r="E3148" i="5" s="1"/>
  <c r="E3149" i="5" s="1"/>
  <c r="E3150" i="5" s="1"/>
  <c r="E3151" i="5" s="1"/>
  <c r="E3152" i="5" s="1"/>
  <c r="E3153" i="5" s="1"/>
  <c r="E3154" i="5" s="1"/>
  <c r="E3155" i="5" s="1"/>
  <c r="E3156" i="5" s="1"/>
  <c r="E3157" i="5" s="1"/>
  <c r="E3158" i="5" s="1"/>
  <c r="E3159" i="5" s="1"/>
  <c r="E3160" i="5" s="1"/>
  <c r="E3161" i="5" s="1"/>
  <c r="E3162" i="5" s="1"/>
  <c r="E3163" i="5" s="1"/>
  <c r="E3164" i="5" s="1"/>
  <c r="E3165" i="5" s="1"/>
  <c r="E3166" i="5" s="1"/>
  <c r="E3167" i="5" s="1"/>
  <c r="E3168" i="5" s="1"/>
  <c r="E3169" i="5" s="1"/>
  <c r="E3170" i="5" s="1"/>
  <c r="E3171" i="5" s="1"/>
  <c r="E3172" i="5" s="1"/>
  <c r="E3173" i="5" s="1"/>
  <c r="E3174" i="5" s="1"/>
  <c r="E3175" i="5" s="1"/>
  <c r="E3176" i="5" s="1"/>
  <c r="E3177" i="5" s="1"/>
  <c r="E3178" i="5" s="1"/>
  <c r="E3179" i="5" s="1"/>
  <c r="E3180" i="5" s="1"/>
  <c r="E3181" i="5" s="1"/>
  <c r="E3182" i="5" s="1"/>
  <c r="E3183" i="5" s="1"/>
  <c r="E3184" i="5" s="1"/>
  <c r="E3185" i="5" s="1"/>
  <c r="E3186" i="5" s="1"/>
  <c r="E3187" i="5" s="1"/>
  <c r="E3188" i="5" s="1"/>
  <c r="E3189" i="5" s="1"/>
  <c r="E3190" i="5" s="1"/>
  <c r="E3191" i="5" s="1"/>
  <c r="E3192" i="5" s="1"/>
  <c r="E3193" i="5" s="1"/>
  <c r="E3194" i="5" s="1"/>
  <c r="E3195" i="5" s="1"/>
  <c r="E3196" i="5" s="1"/>
  <c r="E3197" i="5" s="1"/>
  <c r="E3198" i="5" s="1"/>
  <c r="E3199" i="5" s="1"/>
  <c r="E3200" i="5" s="1"/>
  <c r="E3201" i="5" s="1"/>
  <c r="E3202" i="5" s="1"/>
  <c r="E3203" i="5" s="1"/>
  <c r="E3204" i="5" s="1"/>
  <c r="E3205" i="5" s="1"/>
  <c r="E3206" i="5" s="1"/>
  <c r="E3207" i="5" s="1"/>
  <c r="E3208" i="5" s="1"/>
  <c r="E3209" i="5" s="1"/>
  <c r="E3210" i="5" s="1"/>
  <c r="E3211" i="5" s="1"/>
  <c r="E3212" i="5" s="1"/>
  <c r="E3213" i="5" s="1"/>
  <c r="E3214" i="5" s="1"/>
  <c r="E3215" i="5" s="1"/>
  <c r="E3216" i="5" s="1"/>
  <c r="E3217" i="5" s="1"/>
  <c r="E3218" i="5" s="1"/>
  <c r="E3219" i="5" s="1"/>
  <c r="E3220" i="5" s="1"/>
  <c r="E3221" i="5" s="1"/>
  <c r="E3222" i="5" s="1"/>
  <c r="E3223" i="5" s="1"/>
  <c r="E3224" i="5" s="1"/>
  <c r="E3225" i="5" s="1"/>
  <c r="E3226" i="5" s="1"/>
  <c r="E3227" i="5" s="1"/>
  <c r="E3228" i="5" s="1"/>
  <c r="E3229" i="5" s="1"/>
  <c r="E3230" i="5" s="1"/>
  <c r="E3231" i="5" s="1"/>
  <c r="E3232" i="5" s="1"/>
  <c r="E3233" i="5" s="1"/>
  <c r="E3234" i="5" s="1"/>
  <c r="E3235" i="5" s="1"/>
  <c r="E3236" i="5" s="1"/>
  <c r="E3237" i="5" s="1"/>
  <c r="E3238" i="5" s="1"/>
  <c r="E3239" i="5" s="1"/>
  <c r="E3240" i="5" s="1"/>
  <c r="E3241" i="5" s="1"/>
  <c r="E3242" i="5" s="1"/>
  <c r="E3243" i="5" s="1"/>
  <c r="E3244" i="5" s="1"/>
  <c r="E3245" i="5" s="1"/>
  <c r="E3246" i="5" s="1"/>
  <c r="E3247" i="5" s="1"/>
  <c r="E3248" i="5" s="1"/>
  <c r="E3249" i="5" s="1"/>
  <c r="E3250" i="5" s="1"/>
  <c r="E3251" i="5" s="1"/>
  <c r="E3252" i="5" s="1"/>
  <c r="E3253" i="5" s="1"/>
  <c r="E3254" i="5" s="1"/>
  <c r="E3255" i="5" s="1"/>
  <c r="E3256" i="5" s="1"/>
  <c r="E3257" i="5" s="1"/>
  <c r="E3258" i="5" s="1"/>
  <c r="E3259" i="5" s="1"/>
  <c r="E3260" i="5" s="1"/>
  <c r="E3261" i="5" s="1"/>
  <c r="E3262" i="5" s="1"/>
  <c r="E3263" i="5" s="1"/>
  <c r="E3264" i="5" s="1"/>
  <c r="E3265" i="5" s="1"/>
  <c r="E3266" i="5" s="1"/>
  <c r="E3267" i="5" s="1"/>
  <c r="E3268" i="5" s="1"/>
  <c r="E3269" i="5" s="1"/>
  <c r="E3270" i="5" s="1"/>
  <c r="E3271" i="5" s="1"/>
  <c r="E3272" i="5" s="1"/>
  <c r="E3273" i="5" s="1"/>
  <c r="E3274" i="5" s="1"/>
  <c r="E3275" i="5" s="1"/>
  <c r="E3276" i="5" s="1"/>
  <c r="E3277" i="5" s="1"/>
  <c r="E3278" i="5" s="1"/>
  <c r="E3279" i="5" s="1"/>
  <c r="E3280" i="5" s="1"/>
  <c r="E3281" i="5" s="1"/>
  <c r="E3282" i="5" s="1"/>
  <c r="E3283" i="5" s="1"/>
  <c r="E3284" i="5" s="1"/>
  <c r="E3285" i="5" s="1"/>
  <c r="E3286" i="5" s="1"/>
  <c r="E3287" i="5" s="1"/>
  <c r="E3288" i="5" s="1"/>
  <c r="E3289" i="5" s="1"/>
  <c r="E3290" i="5" s="1"/>
  <c r="E3291" i="5" s="1"/>
  <c r="E3292" i="5" s="1"/>
  <c r="E3293" i="5" s="1"/>
  <c r="E3294" i="5" s="1"/>
  <c r="E3295" i="5" s="1"/>
  <c r="E3296" i="5" s="1"/>
  <c r="E3297" i="5" s="1"/>
  <c r="E3298" i="5" s="1"/>
  <c r="E3299" i="5" s="1"/>
  <c r="E3300" i="5" s="1"/>
  <c r="E3301" i="5" s="1"/>
  <c r="E3302" i="5" s="1"/>
  <c r="E3303" i="5" s="1"/>
  <c r="E3304" i="5" s="1"/>
  <c r="E3305" i="5" s="1"/>
  <c r="E3306" i="5" s="1"/>
  <c r="E3307" i="5" s="1"/>
  <c r="E3308" i="5" s="1"/>
  <c r="E3309" i="5" s="1"/>
  <c r="E3310" i="5" s="1"/>
  <c r="E3311" i="5" s="1"/>
  <c r="E3312" i="5" s="1"/>
  <c r="E3313" i="5" s="1"/>
  <c r="E3314" i="5" s="1"/>
  <c r="E3315" i="5" s="1"/>
  <c r="E3316" i="5" s="1"/>
  <c r="E3317" i="5" s="1"/>
  <c r="E3318" i="5" s="1"/>
  <c r="E3319" i="5" s="1"/>
  <c r="E3320" i="5" s="1"/>
  <c r="E3321" i="5" s="1"/>
  <c r="E3322" i="5" s="1"/>
  <c r="E3323" i="5" s="1"/>
  <c r="E3324" i="5" s="1"/>
  <c r="E3325" i="5" s="1"/>
  <c r="E3326" i="5" s="1"/>
  <c r="E3327" i="5" s="1"/>
  <c r="E3328" i="5" s="1"/>
  <c r="E3329" i="5" s="1"/>
  <c r="E3330" i="5" s="1"/>
  <c r="E3331" i="5" s="1"/>
  <c r="E3332" i="5" s="1"/>
  <c r="E3333" i="5" s="1"/>
  <c r="E3334" i="5" s="1"/>
  <c r="E3335" i="5" s="1"/>
  <c r="E3336" i="5" s="1"/>
  <c r="E3337" i="5" s="1"/>
  <c r="E3338" i="5" s="1"/>
  <c r="E3339" i="5" s="1"/>
  <c r="E3340" i="5" s="1"/>
  <c r="E3341" i="5" s="1"/>
  <c r="E3342" i="5" s="1"/>
  <c r="E3343" i="5" s="1"/>
  <c r="E3344" i="5" s="1"/>
  <c r="E3345" i="5" s="1"/>
  <c r="E3346" i="5" s="1"/>
  <c r="E3347" i="5" s="1"/>
  <c r="E3348" i="5" s="1"/>
  <c r="E3349" i="5" s="1"/>
  <c r="E3350" i="5" s="1"/>
  <c r="E3351" i="5" s="1"/>
  <c r="E3352" i="5" s="1"/>
  <c r="E3353" i="5" s="1"/>
  <c r="E3354" i="5" s="1"/>
  <c r="E3355" i="5" s="1"/>
  <c r="E3356" i="5" s="1"/>
  <c r="E3357" i="5" s="1"/>
  <c r="E3358" i="5" s="1"/>
  <c r="E3359" i="5" s="1"/>
  <c r="E3360" i="5" s="1"/>
  <c r="E3361" i="5" s="1"/>
  <c r="E3362" i="5" s="1"/>
  <c r="E3363" i="5" s="1"/>
  <c r="E3364" i="5" s="1"/>
  <c r="E3365" i="5" s="1"/>
  <c r="E3366" i="5" s="1"/>
  <c r="E3367" i="5" s="1"/>
  <c r="E3368" i="5" s="1"/>
  <c r="E3369" i="5" s="1"/>
  <c r="E3370" i="5" s="1"/>
  <c r="E3371" i="5" s="1"/>
  <c r="E3372" i="5" s="1"/>
  <c r="E3373" i="5" s="1"/>
  <c r="E3374" i="5" s="1"/>
  <c r="E3375" i="5" s="1"/>
  <c r="E3376" i="5" s="1"/>
  <c r="E3377" i="5" s="1"/>
  <c r="E3378" i="5" s="1"/>
  <c r="E3379" i="5" s="1"/>
  <c r="E3380" i="5" s="1"/>
  <c r="E3381" i="5" s="1"/>
  <c r="E3382" i="5" s="1"/>
  <c r="E3383" i="5" s="1"/>
  <c r="E3384" i="5" s="1"/>
  <c r="E3385" i="5" s="1"/>
  <c r="E3386" i="5" s="1"/>
  <c r="E3387" i="5" s="1"/>
  <c r="E3388" i="5" s="1"/>
  <c r="E3389" i="5" s="1"/>
  <c r="E3390" i="5" s="1"/>
  <c r="E3391" i="5" s="1"/>
  <c r="E3392" i="5" s="1"/>
  <c r="E3393" i="5" s="1"/>
  <c r="E3394" i="5" s="1"/>
  <c r="E3395" i="5" s="1"/>
  <c r="E3396" i="5" s="1"/>
  <c r="E3397" i="5" s="1"/>
  <c r="E3398" i="5" s="1"/>
  <c r="E3399" i="5" s="1"/>
  <c r="E3400" i="5" s="1"/>
  <c r="E3401" i="5" s="1"/>
  <c r="E3402" i="5" s="1"/>
  <c r="E3403" i="5" s="1"/>
  <c r="E3404" i="5" s="1"/>
  <c r="E3405" i="5" s="1"/>
  <c r="E3406" i="5" s="1"/>
  <c r="E3407" i="5" s="1"/>
  <c r="E3408" i="5" s="1"/>
  <c r="E3409" i="5" s="1"/>
  <c r="E3410" i="5" s="1"/>
  <c r="E3411" i="5" s="1"/>
  <c r="E3412" i="5" s="1"/>
  <c r="E3413" i="5" s="1"/>
  <c r="E3414" i="5" s="1"/>
  <c r="E3415" i="5" s="1"/>
  <c r="E3416" i="5" s="1"/>
  <c r="E3417" i="5" s="1"/>
  <c r="E3418" i="5" s="1"/>
  <c r="E3419" i="5" s="1"/>
  <c r="E3420" i="5" s="1"/>
  <c r="E3421" i="5" s="1"/>
  <c r="E3422" i="5" s="1"/>
  <c r="E3423" i="5" s="1"/>
  <c r="E3424" i="5" s="1"/>
  <c r="E3425" i="5" s="1"/>
  <c r="E3426" i="5" s="1"/>
  <c r="E3427" i="5" s="1"/>
  <c r="E3428" i="5" s="1"/>
  <c r="E3429" i="5" s="1"/>
  <c r="E3430" i="5" s="1"/>
  <c r="E3431" i="5" s="1"/>
  <c r="E3432" i="5" s="1"/>
  <c r="E3433" i="5" s="1"/>
  <c r="E3434" i="5" s="1"/>
  <c r="E3435" i="5" s="1"/>
  <c r="E3436" i="5" s="1"/>
  <c r="E3437" i="5" s="1"/>
  <c r="E3438" i="5" s="1"/>
  <c r="E3439" i="5" s="1"/>
  <c r="E3440" i="5" s="1"/>
  <c r="E3441" i="5" s="1"/>
  <c r="E3442" i="5" s="1"/>
  <c r="E3443" i="5" s="1"/>
  <c r="E3444" i="5" s="1"/>
  <c r="E3445" i="5" s="1"/>
  <c r="E3446" i="5" s="1"/>
  <c r="E3447" i="5" s="1"/>
  <c r="E3448" i="5" s="1"/>
  <c r="E3449" i="5" s="1"/>
  <c r="E3450" i="5" s="1"/>
  <c r="E3451" i="5" s="1"/>
  <c r="E3452" i="5" s="1"/>
  <c r="E3453" i="5" s="1"/>
  <c r="E3454" i="5" s="1"/>
  <c r="E3455" i="5" s="1"/>
  <c r="E3456" i="5" s="1"/>
  <c r="E3457" i="5" s="1"/>
  <c r="E3458" i="5" s="1"/>
  <c r="E3459" i="5" s="1"/>
  <c r="E3460" i="5" s="1"/>
  <c r="E3461" i="5" s="1"/>
  <c r="E3462" i="5" s="1"/>
  <c r="E3463" i="5" s="1"/>
  <c r="E3464" i="5" s="1"/>
  <c r="E3465" i="5" s="1"/>
  <c r="E3466" i="5" s="1"/>
  <c r="E3467" i="5" s="1"/>
  <c r="E3468" i="5" s="1"/>
  <c r="E3469" i="5" s="1"/>
  <c r="E3470" i="5" s="1"/>
  <c r="E3471" i="5" s="1"/>
  <c r="E3472" i="5" s="1"/>
  <c r="E3473" i="5" s="1"/>
  <c r="E3474" i="5" s="1"/>
  <c r="E3475" i="5" s="1"/>
  <c r="E3476" i="5" s="1"/>
  <c r="E3477" i="5" s="1"/>
  <c r="E3478" i="5" s="1"/>
  <c r="E3479" i="5" s="1"/>
  <c r="E3480" i="5" s="1"/>
  <c r="E3481" i="5" s="1"/>
  <c r="E3482" i="5" s="1"/>
  <c r="E3483" i="5" s="1"/>
  <c r="E3484" i="5" s="1"/>
  <c r="E3485" i="5" s="1"/>
  <c r="E3486" i="5" s="1"/>
  <c r="E3487" i="5" s="1"/>
  <c r="E3488" i="5" s="1"/>
  <c r="E3489" i="5" s="1"/>
  <c r="E3490" i="5" s="1"/>
  <c r="E3491" i="5" s="1"/>
  <c r="E3492" i="5" s="1"/>
  <c r="E3493" i="5" s="1"/>
  <c r="E3494" i="5" s="1"/>
  <c r="E3495" i="5" s="1"/>
  <c r="E3496" i="5" s="1"/>
  <c r="E3497" i="5" s="1"/>
  <c r="E3498" i="5" s="1"/>
  <c r="E3499" i="5" s="1"/>
  <c r="E3500" i="5" s="1"/>
  <c r="E3501" i="5" s="1"/>
  <c r="E3502" i="5" s="1"/>
  <c r="E3503" i="5" s="1"/>
  <c r="E3504" i="5" s="1"/>
  <c r="E3505" i="5" s="1"/>
  <c r="E3506" i="5" s="1"/>
  <c r="E3507" i="5" s="1"/>
  <c r="E3508" i="5" s="1"/>
  <c r="E3509" i="5" s="1"/>
  <c r="E3510" i="5" s="1"/>
  <c r="E3511" i="5" s="1"/>
  <c r="E3512" i="5" s="1"/>
  <c r="E3513" i="5" s="1"/>
  <c r="E3514" i="5" s="1"/>
  <c r="E3515" i="5" s="1"/>
  <c r="E3516" i="5" s="1"/>
  <c r="E3517" i="5" s="1"/>
  <c r="E3518" i="5" s="1"/>
  <c r="E3519" i="5" s="1"/>
  <c r="E3520" i="5" s="1"/>
  <c r="E3521" i="5" s="1"/>
  <c r="E3522" i="5" s="1"/>
  <c r="E3523" i="5" s="1"/>
  <c r="E3524" i="5" s="1"/>
  <c r="E3525" i="5" s="1"/>
  <c r="E3526" i="5" s="1"/>
  <c r="E3527" i="5" s="1"/>
  <c r="E3528" i="5" s="1"/>
  <c r="E3529" i="5" s="1"/>
  <c r="E3530" i="5" s="1"/>
  <c r="E3531" i="5" s="1"/>
  <c r="E3532" i="5" s="1"/>
  <c r="E3533" i="5" s="1"/>
  <c r="E3534" i="5" s="1"/>
  <c r="E3535" i="5" s="1"/>
  <c r="E3536" i="5" s="1"/>
  <c r="E3537" i="5" s="1"/>
  <c r="E3538" i="5" s="1"/>
  <c r="E3539" i="5" s="1"/>
  <c r="E3540" i="5" s="1"/>
  <c r="E3541" i="5" s="1"/>
  <c r="E3542" i="5" s="1"/>
  <c r="E3543" i="5" s="1"/>
  <c r="E3544" i="5" s="1"/>
  <c r="E3545" i="5" s="1"/>
  <c r="E3546" i="5" s="1"/>
  <c r="E3547" i="5" s="1"/>
  <c r="E3548" i="5" s="1"/>
  <c r="E3549" i="5" s="1"/>
  <c r="E3550" i="5" s="1"/>
  <c r="E3551" i="5" s="1"/>
  <c r="E3552" i="5" s="1"/>
  <c r="E3553" i="5" s="1"/>
  <c r="E3554" i="5" s="1"/>
  <c r="E3555" i="5" s="1"/>
  <c r="E3556" i="5" s="1"/>
  <c r="E3557" i="5" s="1"/>
  <c r="E3558" i="5" s="1"/>
  <c r="E3559" i="5" s="1"/>
  <c r="E3560" i="5" s="1"/>
  <c r="E3561" i="5" s="1"/>
  <c r="E3562" i="5" s="1"/>
  <c r="E3563" i="5" s="1"/>
  <c r="E3564" i="5" s="1"/>
  <c r="E3565" i="5" s="1"/>
  <c r="E3566" i="5" s="1"/>
  <c r="E3567" i="5" s="1"/>
  <c r="E3568" i="5" s="1"/>
  <c r="E3569" i="5" s="1"/>
  <c r="E3570" i="5" s="1"/>
  <c r="E3571" i="5" s="1"/>
  <c r="E3572" i="5" s="1"/>
  <c r="E3573" i="5" s="1"/>
  <c r="E3574" i="5" s="1"/>
  <c r="E3575" i="5" s="1"/>
  <c r="E3576" i="5" s="1"/>
  <c r="E3577" i="5" s="1"/>
  <c r="E3578" i="5" s="1"/>
  <c r="E3579" i="5" s="1"/>
  <c r="E3580" i="5" s="1"/>
  <c r="E3581" i="5" s="1"/>
  <c r="E3582" i="5" s="1"/>
  <c r="E3583" i="5" s="1"/>
  <c r="E3584" i="5" s="1"/>
  <c r="E3585" i="5" s="1"/>
  <c r="E3586" i="5" s="1"/>
  <c r="E3587" i="5" s="1"/>
  <c r="E3588" i="5" s="1"/>
  <c r="E3589" i="5" s="1"/>
  <c r="E3590" i="5" s="1"/>
  <c r="E3591" i="5" s="1"/>
  <c r="E3592" i="5" s="1"/>
  <c r="E3593" i="5" s="1"/>
  <c r="E3594" i="5" s="1"/>
  <c r="E3595" i="5" s="1"/>
  <c r="E3596" i="5" s="1"/>
  <c r="E3597" i="5" s="1"/>
  <c r="E3598" i="5" s="1"/>
  <c r="E3599" i="5" s="1"/>
  <c r="E3600" i="5" s="1"/>
  <c r="E3601" i="5" s="1"/>
  <c r="E3602" i="5" s="1"/>
  <c r="E3603" i="5" s="1"/>
  <c r="E3604" i="5" s="1"/>
  <c r="E3605" i="5" s="1"/>
  <c r="E3606" i="5" s="1"/>
  <c r="E3607" i="5" s="1"/>
  <c r="E3608" i="5" s="1"/>
  <c r="E3609" i="5" s="1"/>
  <c r="E3610" i="5" s="1"/>
  <c r="E3611" i="5" s="1"/>
  <c r="E3612" i="5" s="1"/>
  <c r="E3613" i="5" s="1"/>
  <c r="E3614" i="5" s="1"/>
  <c r="E3615" i="5" s="1"/>
  <c r="E3616" i="5" s="1"/>
  <c r="E3617" i="5" s="1"/>
  <c r="E3618" i="5" s="1"/>
  <c r="E3619" i="5" s="1"/>
  <c r="E3620" i="5" s="1"/>
  <c r="E3621" i="5" s="1"/>
  <c r="E3622" i="5" s="1"/>
  <c r="E3623" i="5" s="1"/>
  <c r="E3624" i="5" s="1"/>
  <c r="E3625" i="5" s="1"/>
  <c r="E3626" i="5" s="1"/>
  <c r="E3627" i="5" s="1"/>
  <c r="E3628" i="5" s="1"/>
  <c r="E3629" i="5" s="1"/>
  <c r="E3630" i="5" s="1"/>
  <c r="E3631" i="5" s="1"/>
  <c r="E3632" i="5" s="1"/>
  <c r="E3633" i="5" s="1"/>
  <c r="E3634" i="5" s="1"/>
  <c r="E3635" i="5" s="1"/>
  <c r="E3636" i="5" s="1"/>
  <c r="E3637" i="5" s="1"/>
  <c r="E3638" i="5" s="1"/>
  <c r="E3639" i="5" s="1"/>
  <c r="E3640" i="5" s="1"/>
  <c r="E3641" i="5" s="1"/>
  <c r="E3642" i="5" s="1"/>
  <c r="E3643" i="5" s="1"/>
  <c r="E3644" i="5" s="1"/>
  <c r="E3645" i="5" s="1"/>
  <c r="E3646" i="5" s="1"/>
  <c r="E3647" i="5" s="1"/>
  <c r="E3648" i="5" s="1"/>
  <c r="E3649" i="5" s="1"/>
  <c r="E3650" i="5" s="1"/>
  <c r="E3651" i="5" s="1"/>
  <c r="E3652" i="5" s="1"/>
  <c r="E3653" i="5" s="1"/>
  <c r="E3654" i="5" s="1"/>
  <c r="E3655" i="5" s="1"/>
  <c r="E3656" i="5" s="1"/>
  <c r="E3657" i="5" s="1"/>
  <c r="E3658" i="5" s="1"/>
  <c r="E3659" i="5" s="1"/>
  <c r="E3660" i="5" s="1"/>
  <c r="E3661" i="5" s="1"/>
  <c r="E3662" i="5" s="1"/>
  <c r="E3663" i="5" s="1"/>
  <c r="E3664" i="5" s="1"/>
  <c r="E3665" i="5" s="1"/>
  <c r="E3666" i="5" s="1"/>
  <c r="E3667" i="5" s="1"/>
  <c r="E3668" i="5" s="1"/>
  <c r="E3669" i="5" s="1"/>
  <c r="E3670" i="5" s="1"/>
  <c r="E3671" i="5" s="1"/>
  <c r="E3672" i="5" s="1"/>
  <c r="E3673" i="5" s="1"/>
  <c r="E3674" i="5" s="1"/>
  <c r="E3675" i="5" s="1"/>
  <c r="E3676" i="5" s="1"/>
  <c r="E3677" i="5" s="1"/>
  <c r="E3678" i="5" s="1"/>
  <c r="E3679" i="5" s="1"/>
  <c r="E3680" i="5" s="1"/>
  <c r="E3681" i="5" s="1"/>
  <c r="E3682" i="5" s="1"/>
  <c r="E3683" i="5" s="1"/>
  <c r="E3684" i="5" s="1"/>
  <c r="E3685" i="5" s="1"/>
  <c r="E3686" i="5" s="1"/>
  <c r="E3687" i="5" s="1"/>
  <c r="E3688" i="5" s="1"/>
  <c r="E3689" i="5" s="1"/>
  <c r="E3690" i="5" s="1"/>
  <c r="E3691" i="5" s="1"/>
  <c r="E3692" i="5" s="1"/>
  <c r="E3693" i="5" s="1"/>
  <c r="E3694" i="5" s="1"/>
  <c r="E3695" i="5" s="1"/>
  <c r="E3696" i="5" s="1"/>
  <c r="E3697" i="5" s="1"/>
  <c r="E3698" i="5" s="1"/>
  <c r="E3699" i="5" s="1"/>
  <c r="E3700" i="5" s="1"/>
  <c r="E3701" i="5" s="1"/>
  <c r="E3702" i="5" s="1"/>
  <c r="E3703" i="5" s="1"/>
  <c r="E3704" i="5" s="1"/>
  <c r="E3705" i="5" s="1"/>
  <c r="E3706" i="5" s="1"/>
  <c r="E3707" i="5" s="1"/>
  <c r="E3708" i="5" s="1"/>
  <c r="E3709" i="5" s="1"/>
  <c r="E3710" i="5" s="1"/>
  <c r="E3711" i="5" s="1"/>
  <c r="E3712" i="5" s="1"/>
  <c r="E3713" i="5" s="1"/>
  <c r="E3714" i="5" s="1"/>
  <c r="E3715" i="5" s="1"/>
  <c r="E3716" i="5" s="1"/>
  <c r="E3717" i="5" s="1"/>
  <c r="E3718" i="5" s="1"/>
  <c r="E3719" i="5" s="1"/>
  <c r="E3720" i="5" s="1"/>
  <c r="E3721" i="5" s="1"/>
  <c r="E3722" i="5" s="1"/>
  <c r="E3723" i="5" s="1"/>
  <c r="E3724" i="5" s="1"/>
  <c r="E3725" i="5" s="1"/>
  <c r="E3726" i="5" s="1"/>
  <c r="E3727" i="5" s="1"/>
  <c r="E3728" i="5" s="1"/>
  <c r="E3729" i="5" s="1"/>
  <c r="E3730" i="5" s="1"/>
  <c r="E3731" i="5" s="1"/>
  <c r="E3732" i="5" s="1"/>
  <c r="E3733" i="5" s="1"/>
  <c r="E3734" i="5" s="1"/>
  <c r="E3735" i="5" s="1"/>
  <c r="E3736" i="5" s="1"/>
  <c r="E3737" i="5" s="1"/>
  <c r="E3738" i="5" s="1"/>
  <c r="E3739" i="5" s="1"/>
  <c r="E3740" i="5" s="1"/>
  <c r="E3741" i="5" s="1"/>
  <c r="E3742" i="5" s="1"/>
  <c r="E3743" i="5" s="1"/>
  <c r="E3744" i="5" s="1"/>
  <c r="E3745" i="5" s="1"/>
  <c r="E3746" i="5" s="1"/>
  <c r="E3747" i="5" s="1"/>
  <c r="E3748" i="5" s="1"/>
  <c r="E3749" i="5" s="1"/>
  <c r="E3750" i="5" s="1"/>
  <c r="E3751" i="5" s="1"/>
  <c r="E3752" i="5" s="1"/>
  <c r="E3753" i="5" s="1"/>
  <c r="E3754" i="5" s="1"/>
  <c r="E3755" i="5" s="1"/>
  <c r="E3756" i="5" s="1"/>
  <c r="E3757" i="5" s="1"/>
  <c r="E3758" i="5" s="1"/>
  <c r="E3759" i="5" s="1"/>
  <c r="E3760" i="5" s="1"/>
  <c r="E3761" i="5" s="1"/>
  <c r="E3762" i="5" s="1"/>
  <c r="E3763" i="5" s="1"/>
  <c r="E3764" i="5" s="1"/>
  <c r="E3765" i="5" s="1"/>
  <c r="E3766" i="5" s="1"/>
  <c r="E3767" i="5" s="1"/>
  <c r="E3768" i="5" s="1"/>
  <c r="E3769" i="5" s="1"/>
  <c r="E3770" i="5" s="1"/>
  <c r="E3771" i="5" s="1"/>
  <c r="E3772" i="5" s="1"/>
  <c r="E3773" i="5" s="1"/>
  <c r="E3774" i="5" s="1"/>
  <c r="E3775" i="5" s="1"/>
  <c r="E3776" i="5" s="1"/>
  <c r="E3777" i="5" s="1"/>
  <c r="E3778" i="5" s="1"/>
  <c r="E3779" i="5" s="1"/>
  <c r="E3780" i="5" s="1"/>
  <c r="E3781" i="5" s="1"/>
  <c r="E3782" i="5" s="1"/>
  <c r="E3783" i="5" s="1"/>
  <c r="E3784" i="5" s="1"/>
  <c r="E3785" i="5" s="1"/>
  <c r="E3786" i="5" s="1"/>
  <c r="E3787" i="5" s="1"/>
  <c r="E3788" i="5" s="1"/>
  <c r="E3789" i="5" s="1"/>
  <c r="E3790" i="5" s="1"/>
  <c r="E3791" i="5" s="1"/>
  <c r="E3792" i="5" s="1"/>
  <c r="E3793" i="5" s="1"/>
  <c r="E3794" i="5" s="1"/>
  <c r="E3795" i="5" s="1"/>
  <c r="E3796" i="5" s="1"/>
  <c r="E3797" i="5" s="1"/>
  <c r="E3798" i="5" s="1"/>
  <c r="E3799" i="5" s="1"/>
  <c r="E3800" i="5" s="1"/>
  <c r="E3801" i="5" s="1"/>
  <c r="E3802" i="5" s="1"/>
  <c r="E3803" i="5" s="1"/>
  <c r="E3804" i="5" s="1"/>
  <c r="E3805" i="5" s="1"/>
  <c r="E3806" i="5" s="1"/>
  <c r="E3807" i="5" s="1"/>
  <c r="E3808" i="5" s="1"/>
  <c r="E3809" i="5" s="1"/>
  <c r="E3810" i="5" s="1"/>
  <c r="E3811" i="5" s="1"/>
  <c r="E3812" i="5" s="1"/>
  <c r="E3813" i="5" s="1"/>
  <c r="E3814" i="5" s="1"/>
  <c r="E3815" i="5" s="1"/>
  <c r="E3816" i="5" s="1"/>
  <c r="E3817" i="5" s="1"/>
  <c r="E3818" i="5" s="1"/>
  <c r="E3819" i="5" s="1"/>
  <c r="E3820" i="5" s="1"/>
  <c r="E3821" i="5" s="1"/>
  <c r="E3822" i="5" s="1"/>
  <c r="E3823" i="5" s="1"/>
  <c r="E3824" i="5" s="1"/>
  <c r="E3825" i="5" s="1"/>
  <c r="E3826" i="5" s="1"/>
  <c r="E3827" i="5" s="1"/>
  <c r="E3828" i="5" s="1"/>
  <c r="E3829" i="5" s="1"/>
  <c r="E3830" i="5" s="1"/>
  <c r="E3831" i="5" s="1"/>
  <c r="E3832" i="5" s="1"/>
  <c r="E3833" i="5" s="1"/>
  <c r="E3834" i="5" s="1"/>
  <c r="E3835" i="5" s="1"/>
  <c r="E3836" i="5" s="1"/>
  <c r="E3837" i="5" s="1"/>
  <c r="E3838" i="5" s="1"/>
  <c r="E3839" i="5" s="1"/>
  <c r="E3840" i="5" s="1"/>
  <c r="E3841" i="5" s="1"/>
  <c r="E3842" i="5" s="1"/>
  <c r="E3843" i="5" s="1"/>
  <c r="E3844" i="5" s="1"/>
  <c r="E3845" i="5" s="1"/>
  <c r="E3846" i="5" s="1"/>
  <c r="E3847" i="5" s="1"/>
  <c r="E3848" i="5" s="1"/>
  <c r="E3849" i="5" s="1"/>
  <c r="E3850" i="5" s="1"/>
  <c r="E3851" i="5" s="1"/>
  <c r="E3852" i="5" s="1"/>
  <c r="E3853" i="5" s="1"/>
  <c r="E3854" i="5" s="1"/>
  <c r="E3855" i="5" s="1"/>
  <c r="E3856" i="5" s="1"/>
  <c r="E3857" i="5" s="1"/>
  <c r="E3858" i="5" s="1"/>
  <c r="E3859" i="5" s="1"/>
  <c r="E3860" i="5" s="1"/>
  <c r="E3861" i="5" s="1"/>
  <c r="E3862" i="5" s="1"/>
  <c r="E3863" i="5" s="1"/>
  <c r="E3864" i="5" s="1"/>
  <c r="E3865" i="5" s="1"/>
  <c r="E3866" i="5" s="1"/>
  <c r="E3867" i="5" s="1"/>
  <c r="E3868" i="5" s="1"/>
  <c r="E3869" i="5" s="1"/>
  <c r="E3870" i="5" s="1"/>
  <c r="E3871" i="5" s="1"/>
  <c r="E3872" i="5" s="1"/>
  <c r="E3873" i="5" s="1"/>
  <c r="E3874" i="5" s="1"/>
  <c r="E3875" i="5" s="1"/>
  <c r="E3876" i="5" s="1"/>
  <c r="E3877" i="5" s="1"/>
  <c r="E3878" i="5" s="1"/>
  <c r="E3879" i="5" s="1"/>
  <c r="E3880" i="5" s="1"/>
  <c r="E3881" i="5" s="1"/>
  <c r="E3882" i="5" s="1"/>
  <c r="E3883" i="5" s="1"/>
  <c r="E3884" i="5" s="1"/>
  <c r="E3885" i="5" s="1"/>
  <c r="E3886" i="5" s="1"/>
  <c r="E3887" i="5" s="1"/>
  <c r="E3888" i="5" s="1"/>
  <c r="E3889" i="5" s="1"/>
  <c r="E3890" i="5" s="1"/>
  <c r="E3891" i="5" s="1"/>
  <c r="E3892" i="5" s="1"/>
  <c r="E3893" i="5" s="1"/>
  <c r="E3894" i="5" s="1"/>
  <c r="E3895" i="5" s="1"/>
  <c r="E3896" i="5" s="1"/>
  <c r="E3897" i="5" s="1"/>
  <c r="E3898" i="5" s="1"/>
  <c r="E3899" i="5" s="1"/>
  <c r="E3900" i="5" s="1"/>
  <c r="E3901" i="5" s="1"/>
  <c r="E3902" i="5" s="1"/>
  <c r="E3903" i="5" s="1"/>
  <c r="E3904" i="5" s="1"/>
  <c r="E3905" i="5" s="1"/>
  <c r="E3906" i="5" s="1"/>
  <c r="E3907" i="5" s="1"/>
  <c r="E3908" i="5" s="1"/>
  <c r="E3909" i="5" s="1"/>
  <c r="E3910" i="5" s="1"/>
  <c r="E3911" i="5" s="1"/>
  <c r="E3912" i="5" s="1"/>
  <c r="E3913" i="5" s="1"/>
  <c r="E3914" i="5" s="1"/>
  <c r="E3915" i="5" s="1"/>
  <c r="E3916" i="5" s="1"/>
  <c r="E3917" i="5" s="1"/>
  <c r="E3918" i="5" s="1"/>
  <c r="E3919" i="5" s="1"/>
  <c r="E3920" i="5" s="1"/>
  <c r="E3921" i="5" s="1"/>
  <c r="E3922" i="5" s="1"/>
  <c r="E3923" i="5" s="1"/>
  <c r="E3924" i="5" s="1"/>
  <c r="E3925" i="5" s="1"/>
  <c r="E3926" i="5" s="1"/>
  <c r="E3927" i="5" s="1"/>
  <c r="E3928" i="5" s="1"/>
  <c r="E3929" i="5" s="1"/>
  <c r="E3930" i="5" s="1"/>
  <c r="E3931" i="5" s="1"/>
  <c r="E3932" i="5" s="1"/>
  <c r="E3933" i="5" s="1"/>
  <c r="E3934" i="5" s="1"/>
  <c r="E3935" i="5" s="1"/>
  <c r="E3936" i="5" s="1"/>
  <c r="E3937" i="5" s="1"/>
  <c r="E3938" i="5" s="1"/>
  <c r="E3939" i="5" s="1"/>
  <c r="E3940" i="5" s="1"/>
  <c r="E3941" i="5" s="1"/>
  <c r="E3942" i="5" s="1"/>
  <c r="E3943" i="5" s="1"/>
  <c r="E3944" i="5" s="1"/>
  <c r="E3945" i="5" s="1"/>
  <c r="E3946" i="5" s="1"/>
  <c r="E3947" i="5" s="1"/>
  <c r="E3948" i="5" s="1"/>
  <c r="E3949" i="5" s="1"/>
  <c r="E3950" i="5" s="1"/>
  <c r="E3951" i="5" s="1"/>
  <c r="E3952" i="5" s="1"/>
  <c r="E3953" i="5" s="1"/>
  <c r="E3954" i="5" s="1"/>
  <c r="E3955" i="5" s="1"/>
  <c r="E3956" i="5" s="1"/>
  <c r="E3957" i="5" s="1"/>
  <c r="E3958" i="5" s="1"/>
  <c r="E3959" i="5" s="1"/>
  <c r="E3960" i="5" s="1"/>
  <c r="E3961" i="5" s="1"/>
  <c r="E3962" i="5" s="1"/>
  <c r="E3963" i="5" s="1"/>
  <c r="E3964" i="5" s="1"/>
  <c r="E3965" i="5" s="1"/>
  <c r="E3966" i="5" s="1"/>
  <c r="E3967" i="5" s="1"/>
  <c r="E3968" i="5" s="1"/>
  <c r="E3969" i="5" s="1"/>
  <c r="E3970" i="5" s="1"/>
  <c r="E3971" i="5" s="1"/>
  <c r="E3972" i="5" s="1"/>
  <c r="E3973" i="5" s="1"/>
  <c r="E3974" i="5" s="1"/>
  <c r="E3975" i="5" s="1"/>
  <c r="E3976" i="5" s="1"/>
  <c r="E3977" i="5" s="1"/>
  <c r="E3978" i="5" s="1"/>
  <c r="E3979" i="5" s="1"/>
  <c r="E3980" i="5" s="1"/>
  <c r="E3981" i="5" s="1"/>
  <c r="E3982" i="5" s="1"/>
  <c r="E3983" i="5" s="1"/>
  <c r="E3984" i="5" s="1"/>
  <c r="E3985" i="5" s="1"/>
  <c r="E3986" i="5" s="1"/>
  <c r="E3987" i="5" s="1"/>
  <c r="E3988" i="5" s="1"/>
  <c r="E3989" i="5" s="1"/>
  <c r="E3990" i="5" s="1"/>
  <c r="E3991" i="5" s="1"/>
  <c r="E3992" i="5" s="1"/>
  <c r="E3993" i="5" s="1"/>
  <c r="E3994" i="5" s="1"/>
  <c r="E3995" i="5" s="1"/>
  <c r="E3996" i="5" s="1"/>
  <c r="E3997" i="5" s="1"/>
  <c r="E3998" i="5" s="1"/>
  <c r="E3999" i="5" s="1"/>
  <c r="E4000" i="5" s="1"/>
  <c r="E4001" i="5" s="1"/>
  <c r="E4002" i="5" s="1"/>
  <c r="E4003" i="5" s="1"/>
  <c r="E4004" i="5" s="1"/>
  <c r="E4005" i="5" s="1"/>
  <c r="E4006" i="5" s="1"/>
  <c r="E4007" i="5" s="1"/>
  <c r="E4008" i="5" s="1"/>
  <c r="E4009" i="5" s="1"/>
  <c r="E4010" i="5" s="1"/>
  <c r="E4011" i="5" s="1"/>
  <c r="E4012" i="5" s="1"/>
  <c r="E4013" i="5" s="1"/>
  <c r="E4014" i="5" s="1"/>
  <c r="E4015" i="5" s="1"/>
  <c r="E4016" i="5" s="1"/>
  <c r="E4017" i="5" s="1"/>
  <c r="E4018" i="5" s="1"/>
  <c r="E4019" i="5" s="1"/>
  <c r="E4020" i="5" s="1"/>
  <c r="E4021" i="5" s="1"/>
  <c r="E4022" i="5" s="1"/>
  <c r="E4023" i="5" s="1"/>
  <c r="E4024" i="5" s="1"/>
  <c r="E4025" i="5" s="1"/>
  <c r="E4026" i="5" s="1"/>
  <c r="E4027" i="5" s="1"/>
  <c r="E4028" i="5" s="1"/>
  <c r="E4029" i="5" s="1"/>
  <c r="E4030" i="5" s="1"/>
  <c r="E4031" i="5" s="1"/>
  <c r="E4032" i="5" s="1"/>
  <c r="E4033" i="5" s="1"/>
  <c r="E4034" i="5" s="1"/>
  <c r="E4035" i="5" s="1"/>
  <c r="E4036" i="5" s="1"/>
  <c r="E4037" i="5" s="1"/>
  <c r="E4038" i="5" s="1"/>
  <c r="E4039" i="5" s="1"/>
  <c r="E4040" i="5" s="1"/>
  <c r="E4041" i="5" s="1"/>
  <c r="E4042" i="5" s="1"/>
  <c r="E4043" i="5" s="1"/>
  <c r="E4044" i="5" s="1"/>
  <c r="E4045" i="5" s="1"/>
  <c r="E4046" i="5" s="1"/>
  <c r="E4047" i="5" s="1"/>
  <c r="E4048" i="5" s="1"/>
  <c r="E4049" i="5" s="1"/>
  <c r="E4050" i="5" s="1"/>
  <c r="E4051" i="5" s="1"/>
  <c r="E4052" i="5" s="1"/>
  <c r="E4053" i="5" s="1"/>
  <c r="E4054" i="5" s="1"/>
  <c r="E4055" i="5" s="1"/>
  <c r="E4056" i="5" s="1"/>
  <c r="E4057" i="5" s="1"/>
  <c r="E4058" i="5" s="1"/>
  <c r="E4059" i="5" s="1"/>
  <c r="E4060" i="5" s="1"/>
  <c r="E4061" i="5" s="1"/>
  <c r="E4062" i="5" s="1"/>
  <c r="E4063" i="5" s="1"/>
  <c r="E4064" i="5" s="1"/>
  <c r="E4065" i="5" s="1"/>
  <c r="E4066" i="5" s="1"/>
  <c r="E4067" i="5" s="1"/>
  <c r="E4068" i="5" s="1"/>
  <c r="E4069" i="5" s="1"/>
  <c r="E4070" i="5" s="1"/>
  <c r="E4071" i="5" s="1"/>
  <c r="E4072" i="5" s="1"/>
  <c r="E4073" i="5" s="1"/>
  <c r="E4074" i="5" s="1"/>
  <c r="E4075" i="5" s="1"/>
  <c r="E4076" i="5" s="1"/>
  <c r="E4077" i="5" s="1"/>
  <c r="E4078" i="5" s="1"/>
  <c r="E4079" i="5" s="1"/>
  <c r="E4080" i="5" s="1"/>
  <c r="E4081" i="5" s="1"/>
  <c r="E4082" i="5" s="1"/>
  <c r="E4083" i="5" s="1"/>
  <c r="E4084" i="5" s="1"/>
  <c r="E4085" i="5" s="1"/>
  <c r="E4086" i="5" s="1"/>
  <c r="E4087" i="5" s="1"/>
  <c r="E4088" i="5" s="1"/>
  <c r="E4089" i="5" s="1"/>
  <c r="E4090" i="5" s="1"/>
  <c r="E4091" i="5" s="1"/>
  <c r="E4092" i="5" s="1"/>
  <c r="E4093" i="5" s="1"/>
  <c r="E4094" i="5" s="1"/>
  <c r="E4095" i="5" s="1"/>
  <c r="E4096" i="5" s="1"/>
  <c r="E4097" i="5" s="1"/>
  <c r="E4098" i="5" s="1"/>
  <c r="E4099" i="5" s="1"/>
  <c r="E4100" i="5" s="1"/>
  <c r="E4101" i="5" s="1"/>
  <c r="E4102" i="5" s="1"/>
  <c r="E4103" i="5" s="1"/>
  <c r="E4104" i="5" s="1"/>
  <c r="E4105" i="5" s="1"/>
  <c r="E4106" i="5" s="1"/>
  <c r="E4107" i="5" s="1"/>
  <c r="E4108" i="5" s="1"/>
  <c r="E4109" i="5" s="1"/>
  <c r="E4110" i="5" s="1"/>
  <c r="E4111" i="5" s="1"/>
  <c r="E4112" i="5" s="1"/>
  <c r="E4113" i="5" s="1"/>
  <c r="E4114" i="5" s="1"/>
  <c r="E4115" i="5" s="1"/>
  <c r="E4116" i="5" s="1"/>
  <c r="E4117" i="5" s="1"/>
  <c r="E4118" i="5" s="1"/>
  <c r="E4119" i="5" s="1"/>
  <c r="E4120" i="5" s="1"/>
  <c r="E4121" i="5" s="1"/>
  <c r="E4122" i="5" s="1"/>
  <c r="E4123" i="5" s="1"/>
  <c r="E4124" i="5" s="1"/>
  <c r="E4125" i="5" s="1"/>
  <c r="E4126" i="5" s="1"/>
  <c r="E4127" i="5" s="1"/>
  <c r="E4128" i="5" s="1"/>
  <c r="E4129" i="5" s="1"/>
  <c r="E4130" i="5" s="1"/>
  <c r="E4131" i="5" s="1"/>
  <c r="E4132" i="5" s="1"/>
  <c r="E4133" i="5" s="1"/>
  <c r="E4134" i="5" s="1"/>
  <c r="E4135" i="5" s="1"/>
  <c r="E4136" i="5" s="1"/>
  <c r="E4137" i="5" s="1"/>
  <c r="E4138" i="5" s="1"/>
  <c r="E4139" i="5" s="1"/>
  <c r="E4140" i="5" s="1"/>
  <c r="E4141" i="5" s="1"/>
  <c r="E4142" i="5" s="1"/>
  <c r="E4143" i="5" s="1"/>
  <c r="E4144" i="5" s="1"/>
  <c r="E4145" i="5" s="1"/>
  <c r="E4146" i="5" s="1"/>
  <c r="E4147" i="5" s="1"/>
  <c r="E4148" i="5" s="1"/>
  <c r="E4149" i="5" s="1"/>
  <c r="E4150" i="5" s="1"/>
  <c r="E4151" i="5" s="1"/>
  <c r="E4152" i="5" s="1"/>
  <c r="E4153" i="5" s="1"/>
  <c r="E4154" i="5" s="1"/>
  <c r="E4155" i="5" s="1"/>
  <c r="E4156" i="5" s="1"/>
  <c r="E4157" i="5" s="1"/>
  <c r="E4158" i="5" s="1"/>
  <c r="E4159" i="5" s="1"/>
  <c r="E4160" i="5" s="1"/>
  <c r="E4161" i="5" s="1"/>
  <c r="E4162" i="5" s="1"/>
  <c r="E4163" i="5" s="1"/>
  <c r="E4164" i="5" s="1"/>
  <c r="E4165" i="5" s="1"/>
  <c r="E4166" i="5" s="1"/>
  <c r="E4167" i="5" s="1"/>
  <c r="E4168" i="5" s="1"/>
  <c r="E4169" i="5" s="1"/>
  <c r="E4170" i="5" s="1"/>
  <c r="E4171" i="5" s="1"/>
  <c r="E4172" i="5" s="1"/>
  <c r="E4173" i="5" s="1"/>
  <c r="E4174" i="5" s="1"/>
  <c r="E4175" i="5" s="1"/>
  <c r="E4176" i="5" s="1"/>
  <c r="E4177" i="5" s="1"/>
  <c r="E4178" i="5" s="1"/>
  <c r="E4179" i="5" s="1"/>
  <c r="E4180" i="5" s="1"/>
  <c r="E4181" i="5" s="1"/>
  <c r="E4182" i="5" s="1"/>
  <c r="E4183" i="5" s="1"/>
  <c r="E4184" i="5" s="1"/>
  <c r="E4185" i="5" s="1"/>
  <c r="E4186" i="5" s="1"/>
  <c r="E4187" i="5" s="1"/>
  <c r="E4188" i="5" s="1"/>
  <c r="E4189" i="5" s="1"/>
  <c r="E4190" i="5" s="1"/>
  <c r="E4191" i="5" s="1"/>
  <c r="E4192" i="5" s="1"/>
  <c r="E4193" i="5" s="1"/>
  <c r="E4194" i="5" s="1"/>
  <c r="E4195" i="5" s="1"/>
  <c r="E4196" i="5" s="1"/>
  <c r="E4197" i="5" s="1"/>
  <c r="E4198" i="5" s="1"/>
  <c r="E4199" i="5" s="1"/>
  <c r="E4200" i="5" s="1"/>
  <c r="E4201" i="5" s="1"/>
  <c r="E4202" i="5" s="1"/>
  <c r="E4203" i="5" s="1"/>
  <c r="E4204" i="5" s="1"/>
  <c r="E4205" i="5" s="1"/>
  <c r="E4206" i="5" s="1"/>
  <c r="E4207" i="5" s="1"/>
  <c r="E4208" i="5" s="1"/>
  <c r="E4209" i="5" s="1"/>
  <c r="E4210" i="5" s="1"/>
  <c r="E4211" i="5" s="1"/>
  <c r="E4212" i="5" s="1"/>
  <c r="E4213" i="5" s="1"/>
  <c r="E4214" i="5" s="1"/>
  <c r="E4215" i="5" s="1"/>
  <c r="E4216" i="5" s="1"/>
  <c r="E4217" i="5" s="1"/>
  <c r="E4218" i="5" s="1"/>
  <c r="E4219" i="5" s="1"/>
  <c r="E4220" i="5" s="1"/>
  <c r="E4221" i="5" s="1"/>
  <c r="E4222" i="5" s="1"/>
  <c r="E4223" i="5" s="1"/>
  <c r="E4224" i="5" s="1"/>
  <c r="E4225" i="5" s="1"/>
  <c r="E4226" i="5" s="1"/>
  <c r="E4227" i="5" s="1"/>
  <c r="E4228" i="5" s="1"/>
  <c r="E4229" i="5" s="1"/>
  <c r="E4230" i="5" s="1"/>
  <c r="E4231" i="5" s="1"/>
  <c r="E4232" i="5" s="1"/>
  <c r="E4233" i="5" s="1"/>
  <c r="E4234" i="5" s="1"/>
  <c r="E4235" i="5" s="1"/>
  <c r="E4236" i="5" s="1"/>
  <c r="E4237" i="5" s="1"/>
  <c r="E4238" i="5" s="1"/>
  <c r="E4239" i="5" s="1"/>
  <c r="E4240" i="5" s="1"/>
  <c r="E4241" i="5" s="1"/>
  <c r="E4242" i="5" s="1"/>
  <c r="E4243" i="5" s="1"/>
  <c r="E4244" i="5" s="1"/>
  <c r="E4245" i="5" s="1"/>
  <c r="E4246" i="5" s="1"/>
  <c r="E4247" i="5" s="1"/>
  <c r="E4248" i="5" s="1"/>
  <c r="E4249" i="5" s="1"/>
  <c r="E4250" i="5" s="1"/>
  <c r="E4251" i="5" s="1"/>
  <c r="E4252" i="5" s="1"/>
  <c r="E4253" i="5" s="1"/>
  <c r="E4254" i="5" s="1"/>
  <c r="E4255" i="5" s="1"/>
  <c r="E4256" i="5" s="1"/>
  <c r="E4257" i="5" s="1"/>
  <c r="E4258" i="5" s="1"/>
  <c r="E4259" i="5" s="1"/>
  <c r="E4260" i="5" s="1"/>
  <c r="E4261" i="5" s="1"/>
  <c r="E4262" i="5" s="1"/>
  <c r="E4263" i="5" s="1"/>
  <c r="E4264" i="5" s="1"/>
  <c r="E4265" i="5" s="1"/>
  <c r="E4266" i="5" s="1"/>
  <c r="E4267" i="5" s="1"/>
  <c r="E4268" i="5" s="1"/>
  <c r="E4269" i="5" s="1"/>
  <c r="E4270" i="5" s="1"/>
  <c r="E4271" i="5" s="1"/>
  <c r="E4272" i="5" s="1"/>
  <c r="E4273" i="5" s="1"/>
  <c r="E4274" i="5" s="1"/>
  <c r="E4275" i="5" s="1"/>
  <c r="E4276" i="5" s="1"/>
  <c r="E4277" i="5" s="1"/>
  <c r="E4278" i="5" s="1"/>
  <c r="E4279" i="5" s="1"/>
  <c r="E4280" i="5" s="1"/>
  <c r="E4281" i="5" s="1"/>
  <c r="E4282" i="5" s="1"/>
  <c r="E4283" i="5" s="1"/>
  <c r="E4284" i="5" s="1"/>
  <c r="E4285" i="5" s="1"/>
  <c r="E4286" i="5" s="1"/>
  <c r="E4287" i="5" s="1"/>
  <c r="E4288" i="5" s="1"/>
  <c r="E4289" i="5" s="1"/>
  <c r="E4290" i="5" s="1"/>
  <c r="E4291" i="5" s="1"/>
  <c r="E4292" i="5" s="1"/>
  <c r="E4293" i="5" s="1"/>
  <c r="E4294" i="5" s="1"/>
  <c r="E4295" i="5" s="1"/>
  <c r="E4296" i="5" s="1"/>
  <c r="E4297" i="5" s="1"/>
  <c r="E4298" i="5" s="1"/>
  <c r="E4299" i="5" s="1"/>
  <c r="E4300" i="5" s="1"/>
  <c r="E4301" i="5" s="1"/>
  <c r="E4302" i="5" s="1"/>
  <c r="E4303" i="5" s="1"/>
  <c r="E4304" i="5" s="1"/>
  <c r="E4305" i="5" s="1"/>
  <c r="E4306" i="5" s="1"/>
  <c r="E4307" i="5" s="1"/>
  <c r="E4308" i="5" s="1"/>
  <c r="E4309" i="5" s="1"/>
  <c r="E4310" i="5" s="1"/>
  <c r="E4311" i="5" s="1"/>
  <c r="E4312" i="5" s="1"/>
  <c r="E4313" i="5" s="1"/>
  <c r="E4314" i="5" s="1"/>
  <c r="E4315" i="5" s="1"/>
  <c r="E4316" i="5" s="1"/>
  <c r="E4317" i="5" s="1"/>
  <c r="E4318" i="5" s="1"/>
  <c r="E4319" i="5" s="1"/>
  <c r="E4320" i="5" s="1"/>
  <c r="E4321" i="5" s="1"/>
  <c r="E4322" i="5" s="1"/>
  <c r="E4323" i="5" s="1"/>
  <c r="E4324" i="5" s="1"/>
  <c r="E4325" i="5" s="1"/>
  <c r="E4326" i="5" s="1"/>
  <c r="E4327" i="5" s="1"/>
  <c r="E4328" i="5" s="1"/>
  <c r="E4329" i="5" s="1"/>
  <c r="E4330" i="5" s="1"/>
  <c r="E4331" i="5" s="1"/>
  <c r="E4332" i="5" s="1"/>
  <c r="E4333" i="5" s="1"/>
  <c r="E4334" i="5" s="1"/>
  <c r="E4335" i="5" s="1"/>
  <c r="E4336" i="5" s="1"/>
  <c r="E4337" i="5" s="1"/>
  <c r="E4338" i="5" s="1"/>
  <c r="E4339" i="5" s="1"/>
  <c r="E4340" i="5" s="1"/>
  <c r="E4341" i="5" s="1"/>
  <c r="E4342" i="5" s="1"/>
  <c r="E4343" i="5" s="1"/>
  <c r="E4344" i="5" s="1"/>
  <c r="E4345" i="5" s="1"/>
  <c r="E4346" i="5" s="1"/>
  <c r="E4347" i="5" s="1"/>
  <c r="E4348" i="5" s="1"/>
  <c r="E4349" i="5" s="1"/>
  <c r="E4350" i="5" s="1"/>
  <c r="E4351" i="5" s="1"/>
  <c r="E4352" i="5" s="1"/>
  <c r="E4353" i="5" s="1"/>
  <c r="E4354" i="5" s="1"/>
  <c r="E4355" i="5" s="1"/>
  <c r="E4356" i="5" s="1"/>
  <c r="E4357" i="5" s="1"/>
  <c r="E4358" i="5" s="1"/>
  <c r="E4359" i="5" s="1"/>
  <c r="E4360" i="5" s="1"/>
  <c r="E4361" i="5" s="1"/>
  <c r="E4362" i="5" s="1"/>
  <c r="E4363" i="5" s="1"/>
  <c r="E4364" i="5" s="1"/>
  <c r="E4365" i="5" s="1"/>
  <c r="E4366" i="5" s="1"/>
  <c r="E4367" i="5" s="1"/>
  <c r="E4368" i="5" s="1"/>
  <c r="E4369" i="5" s="1"/>
  <c r="E4370" i="5" s="1"/>
  <c r="E4371" i="5" s="1"/>
  <c r="E4372" i="5" s="1"/>
  <c r="E4373" i="5" s="1"/>
  <c r="E4374" i="5" s="1"/>
  <c r="E4375" i="5" s="1"/>
  <c r="E4376" i="5" s="1"/>
  <c r="E4377" i="5" s="1"/>
  <c r="E4378" i="5" s="1"/>
  <c r="E4379" i="5" s="1"/>
  <c r="E4380" i="5" s="1"/>
  <c r="E4381" i="5" s="1"/>
  <c r="E4382" i="5" s="1"/>
  <c r="E4383" i="5" s="1"/>
  <c r="E4384" i="5" s="1"/>
  <c r="E4385" i="5" s="1"/>
  <c r="E4386" i="5" s="1"/>
  <c r="E4387" i="5" s="1"/>
  <c r="E4388" i="5" s="1"/>
  <c r="E4389" i="5" s="1"/>
  <c r="E4390" i="5" s="1"/>
  <c r="E4391" i="5" s="1"/>
  <c r="E4392" i="5" s="1"/>
  <c r="E4393" i="5" s="1"/>
  <c r="E4394" i="5" s="1"/>
  <c r="E4395" i="5" s="1"/>
  <c r="E4396" i="5" s="1"/>
  <c r="E4397" i="5" s="1"/>
  <c r="E4398" i="5" s="1"/>
  <c r="E4399" i="5" s="1"/>
  <c r="E4400" i="5" s="1"/>
  <c r="E4401" i="5" s="1"/>
  <c r="E4402" i="5" s="1"/>
  <c r="E4403" i="5" s="1"/>
  <c r="E4404" i="5" s="1"/>
  <c r="E4405" i="5" s="1"/>
  <c r="E4406" i="5" s="1"/>
  <c r="E4407" i="5" s="1"/>
  <c r="E4408" i="5" s="1"/>
  <c r="E4409" i="5" s="1"/>
  <c r="E4410" i="5" s="1"/>
  <c r="E4411" i="5" s="1"/>
  <c r="E4412" i="5" s="1"/>
  <c r="E4413" i="5" s="1"/>
  <c r="E4414" i="5" s="1"/>
  <c r="E4415" i="5" s="1"/>
  <c r="E4416" i="5" s="1"/>
  <c r="E4417" i="5" s="1"/>
  <c r="E4418" i="5" s="1"/>
  <c r="E4419" i="5" s="1"/>
  <c r="E4420" i="5" s="1"/>
  <c r="E4421" i="5" s="1"/>
  <c r="E4422" i="5" s="1"/>
  <c r="E4423" i="5" s="1"/>
  <c r="E4424" i="5" s="1"/>
  <c r="E4425" i="5" s="1"/>
  <c r="E4426" i="5" s="1"/>
  <c r="E4427" i="5" s="1"/>
  <c r="E4428" i="5" s="1"/>
  <c r="E4429" i="5" s="1"/>
  <c r="E4430" i="5" s="1"/>
  <c r="E4431" i="5" s="1"/>
  <c r="E4432" i="5" s="1"/>
  <c r="E4433" i="5" s="1"/>
  <c r="E4434" i="5" s="1"/>
  <c r="E4435" i="5" s="1"/>
  <c r="E4436" i="5" s="1"/>
  <c r="E4437" i="5" s="1"/>
  <c r="E4438" i="5" s="1"/>
  <c r="E4439" i="5" s="1"/>
  <c r="E4440" i="5" s="1"/>
  <c r="E4441" i="5" s="1"/>
  <c r="E4442" i="5" s="1"/>
  <c r="E4443" i="5" s="1"/>
  <c r="E4444" i="5" s="1"/>
  <c r="E4445" i="5" s="1"/>
  <c r="E4446" i="5" s="1"/>
  <c r="E4447" i="5" s="1"/>
  <c r="E4448" i="5" s="1"/>
  <c r="E4449" i="5" s="1"/>
  <c r="E4450" i="5" s="1"/>
  <c r="E4451" i="5" s="1"/>
  <c r="E4452" i="5" s="1"/>
  <c r="E4453" i="5" s="1"/>
  <c r="E4454" i="5" s="1"/>
  <c r="E4455" i="5" s="1"/>
  <c r="E4456" i="5" s="1"/>
  <c r="E4457" i="5" s="1"/>
  <c r="E4458" i="5" s="1"/>
  <c r="E4459" i="5" s="1"/>
  <c r="E4460" i="5" s="1"/>
  <c r="E4461" i="5" s="1"/>
  <c r="E4462" i="5" s="1"/>
  <c r="E4463" i="5" s="1"/>
  <c r="E4464" i="5" s="1"/>
  <c r="E4465" i="5" s="1"/>
  <c r="E4466" i="5" s="1"/>
  <c r="E4467" i="5" s="1"/>
  <c r="E4468" i="5" s="1"/>
  <c r="E4469" i="5" s="1"/>
  <c r="E4470" i="5" s="1"/>
  <c r="E4471" i="5" s="1"/>
  <c r="E4472" i="5" s="1"/>
  <c r="E4473" i="5" s="1"/>
  <c r="E4474" i="5" s="1"/>
  <c r="E4475" i="5" s="1"/>
  <c r="E4476" i="5" s="1"/>
  <c r="E4477" i="5" s="1"/>
  <c r="E4478" i="5" s="1"/>
  <c r="E4479" i="5" s="1"/>
  <c r="E4480" i="5" s="1"/>
  <c r="E4481" i="5" s="1"/>
  <c r="E4482" i="5" s="1"/>
  <c r="E4483" i="5" s="1"/>
  <c r="E4484" i="5" s="1"/>
  <c r="E4485" i="5" s="1"/>
  <c r="E4486" i="5" s="1"/>
  <c r="E4487" i="5" s="1"/>
  <c r="E4488" i="5" s="1"/>
  <c r="E4489" i="5" s="1"/>
  <c r="E4490" i="5" s="1"/>
  <c r="E4491" i="5" s="1"/>
  <c r="E4492" i="5" s="1"/>
  <c r="E4493" i="5" s="1"/>
  <c r="E4494" i="5" s="1"/>
  <c r="E4495" i="5" s="1"/>
  <c r="E4496" i="5" s="1"/>
  <c r="E4497" i="5" s="1"/>
  <c r="E4498" i="5" s="1"/>
  <c r="E4499" i="5" s="1"/>
  <c r="E4500" i="5" s="1"/>
  <c r="E4501" i="5" s="1"/>
  <c r="E4502" i="5" s="1"/>
  <c r="E4503" i="5" s="1"/>
  <c r="E4504" i="5" s="1"/>
  <c r="E4505" i="5" s="1"/>
  <c r="E4506" i="5" s="1"/>
  <c r="E4507" i="5" s="1"/>
  <c r="E4508" i="5" s="1"/>
  <c r="E4509" i="5" s="1"/>
  <c r="E4510" i="5" s="1"/>
  <c r="E4511" i="5" s="1"/>
  <c r="E4512" i="5" s="1"/>
  <c r="E4513" i="5" s="1"/>
  <c r="E4514" i="5" s="1"/>
  <c r="E4515" i="5" s="1"/>
  <c r="E4516" i="5" s="1"/>
  <c r="E4517" i="5" s="1"/>
  <c r="E4518" i="5" s="1"/>
  <c r="E4519" i="5" s="1"/>
  <c r="E4520" i="5" s="1"/>
  <c r="E4521" i="5" s="1"/>
  <c r="E4522" i="5" s="1"/>
  <c r="E4523" i="5" s="1"/>
  <c r="E4524" i="5" s="1"/>
  <c r="E4525" i="5" s="1"/>
  <c r="E4526" i="5" s="1"/>
  <c r="E4527" i="5" s="1"/>
  <c r="E4528" i="5" s="1"/>
  <c r="E4529" i="5" s="1"/>
  <c r="E4530" i="5" s="1"/>
  <c r="E4531" i="5" s="1"/>
  <c r="E4532" i="5" s="1"/>
  <c r="E4533" i="5" s="1"/>
  <c r="E4534" i="5" s="1"/>
  <c r="E4535" i="5" s="1"/>
  <c r="E4536" i="5" s="1"/>
  <c r="E4537" i="5" s="1"/>
  <c r="E4538" i="5" s="1"/>
  <c r="E4539" i="5" s="1"/>
  <c r="E4540" i="5" s="1"/>
  <c r="E4541" i="5" s="1"/>
  <c r="E4542" i="5" s="1"/>
  <c r="E4543" i="5" s="1"/>
  <c r="E4544" i="5" s="1"/>
  <c r="E4545" i="5" s="1"/>
  <c r="E4546" i="5" s="1"/>
  <c r="E4547" i="5" s="1"/>
  <c r="E4548" i="5" s="1"/>
  <c r="E4549" i="5" s="1"/>
  <c r="E4550" i="5" s="1"/>
  <c r="E4551" i="5" s="1"/>
  <c r="E4552" i="5" s="1"/>
  <c r="E4553" i="5" s="1"/>
  <c r="E4554" i="5" s="1"/>
  <c r="E4555" i="5" s="1"/>
  <c r="E4556" i="5" s="1"/>
  <c r="E4557" i="5" s="1"/>
  <c r="E4558" i="5" s="1"/>
  <c r="E4559" i="5" s="1"/>
  <c r="E4560" i="5" s="1"/>
  <c r="E4561" i="5" s="1"/>
  <c r="E4562" i="5" s="1"/>
  <c r="E4563" i="5" s="1"/>
  <c r="E4564" i="5" s="1"/>
  <c r="E4565" i="5" s="1"/>
  <c r="E4566" i="5" s="1"/>
  <c r="E4567" i="5" s="1"/>
  <c r="E4568" i="5" s="1"/>
  <c r="E4569" i="5" s="1"/>
  <c r="E4570" i="5" s="1"/>
  <c r="E4571" i="5" s="1"/>
  <c r="E4572" i="5" s="1"/>
  <c r="E4573" i="5" s="1"/>
  <c r="E4574" i="5" s="1"/>
  <c r="E4575" i="5" s="1"/>
  <c r="E4576" i="5" s="1"/>
  <c r="E4577" i="5" s="1"/>
  <c r="E4578" i="5" s="1"/>
  <c r="E4579" i="5" s="1"/>
  <c r="E4580" i="5" s="1"/>
  <c r="E4581" i="5" s="1"/>
  <c r="E4582" i="5" s="1"/>
  <c r="E4583" i="5" s="1"/>
  <c r="E4584" i="5" s="1"/>
  <c r="E4585" i="5" s="1"/>
  <c r="E4586" i="5" s="1"/>
  <c r="E4587" i="5" s="1"/>
  <c r="E4588" i="5" s="1"/>
  <c r="E4589" i="5" s="1"/>
  <c r="E4590" i="5" s="1"/>
  <c r="E4591" i="5" s="1"/>
  <c r="E4592" i="5" s="1"/>
  <c r="E4593" i="5" s="1"/>
  <c r="E4594" i="5" s="1"/>
  <c r="E4595" i="5" s="1"/>
  <c r="E4596" i="5" s="1"/>
  <c r="E4597" i="5" s="1"/>
  <c r="E4598" i="5" s="1"/>
  <c r="E4599" i="5" s="1"/>
  <c r="E4600" i="5" s="1"/>
  <c r="E4601" i="5" s="1"/>
  <c r="E4602" i="5" s="1"/>
  <c r="E4603" i="5" s="1"/>
  <c r="E4604" i="5" s="1"/>
  <c r="E4605" i="5" s="1"/>
  <c r="E4606" i="5" s="1"/>
  <c r="E4607" i="5" s="1"/>
  <c r="E4608" i="5" s="1"/>
  <c r="E4609" i="5" s="1"/>
  <c r="E4610" i="5" s="1"/>
  <c r="E4611" i="5" s="1"/>
  <c r="E4612" i="5" s="1"/>
  <c r="E4613" i="5" s="1"/>
  <c r="E4614" i="5" s="1"/>
  <c r="E4615" i="5" s="1"/>
  <c r="E4616" i="5" s="1"/>
  <c r="E4617" i="5" s="1"/>
  <c r="E4618" i="5" s="1"/>
  <c r="E4619" i="5" s="1"/>
  <c r="E4620" i="5" s="1"/>
  <c r="E4621" i="5" s="1"/>
  <c r="E4622" i="5" s="1"/>
  <c r="E4623" i="5" s="1"/>
  <c r="E4624" i="5" s="1"/>
  <c r="E4625" i="5" s="1"/>
  <c r="E4626" i="5" s="1"/>
  <c r="E4627" i="5" s="1"/>
  <c r="E4628" i="5" s="1"/>
  <c r="E4629" i="5" s="1"/>
  <c r="E4630" i="5" s="1"/>
  <c r="E4631" i="5" s="1"/>
  <c r="E4632" i="5" s="1"/>
  <c r="E4633" i="5" s="1"/>
  <c r="E4634" i="5" s="1"/>
  <c r="E4635" i="5" s="1"/>
  <c r="E4636" i="5" s="1"/>
  <c r="E4637" i="5" s="1"/>
  <c r="E4638" i="5" s="1"/>
  <c r="E4639" i="5" s="1"/>
  <c r="E4640" i="5" s="1"/>
  <c r="E4641" i="5" s="1"/>
  <c r="E4642" i="5" s="1"/>
  <c r="E4643" i="5" s="1"/>
  <c r="E4644" i="5" s="1"/>
  <c r="E4645" i="5" s="1"/>
  <c r="E4646" i="5" s="1"/>
  <c r="E4647" i="5" s="1"/>
  <c r="E4648" i="5" s="1"/>
  <c r="E4649" i="5" s="1"/>
  <c r="E4650" i="5" s="1"/>
  <c r="E4651" i="5" s="1"/>
  <c r="E4652" i="5" s="1"/>
  <c r="E4653" i="5" s="1"/>
  <c r="E4654" i="5" s="1"/>
  <c r="E4655" i="5" s="1"/>
  <c r="E4656" i="5" s="1"/>
  <c r="E4657" i="5" s="1"/>
  <c r="E4658" i="5" s="1"/>
  <c r="E4659" i="5" s="1"/>
  <c r="E4660" i="5" s="1"/>
  <c r="E4661" i="5" s="1"/>
  <c r="E4662" i="5" s="1"/>
  <c r="E4663" i="5" s="1"/>
  <c r="E4664" i="5" s="1"/>
  <c r="E4665" i="5" s="1"/>
  <c r="E4666" i="5" s="1"/>
  <c r="E4667" i="5" s="1"/>
  <c r="E4668" i="5" s="1"/>
  <c r="E4669" i="5" s="1"/>
  <c r="E4670" i="5" s="1"/>
  <c r="E4671" i="5" s="1"/>
  <c r="E4672" i="5" s="1"/>
  <c r="E4673" i="5" s="1"/>
  <c r="E4674" i="5" s="1"/>
  <c r="E4675" i="5" s="1"/>
  <c r="E4676" i="5" s="1"/>
  <c r="E4677" i="5" s="1"/>
  <c r="E4678" i="5" s="1"/>
  <c r="E4679" i="5" s="1"/>
  <c r="E4680" i="5" s="1"/>
  <c r="E4681" i="5" s="1"/>
  <c r="E4682" i="5" s="1"/>
  <c r="E4683" i="5" s="1"/>
  <c r="E4684" i="5" s="1"/>
  <c r="E4685" i="5" s="1"/>
  <c r="E4686" i="5" s="1"/>
  <c r="E4687" i="5" s="1"/>
  <c r="E4688" i="5" s="1"/>
  <c r="E4689" i="5" s="1"/>
  <c r="E4690" i="5" s="1"/>
  <c r="E4691" i="5" s="1"/>
  <c r="E4692" i="5" s="1"/>
  <c r="E4693" i="5" s="1"/>
  <c r="E4694" i="5" s="1"/>
  <c r="E4695" i="5" s="1"/>
  <c r="E4696" i="5" s="1"/>
  <c r="E4697" i="5" s="1"/>
  <c r="E4698" i="5" s="1"/>
  <c r="E4699" i="5" s="1"/>
  <c r="E4700" i="5" s="1"/>
  <c r="E4701" i="5" s="1"/>
  <c r="E4702" i="5" s="1"/>
  <c r="E4703" i="5" s="1"/>
  <c r="E4704" i="5" s="1"/>
  <c r="E4705" i="5" s="1"/>
  <c r="E4706" i="5" s="1"/>
  <c r="E4707" i="5" s="1"/>
  <c r="E4708" i="5" s="1"/>
  <c r="E4709" i="5" s="1"/>
  <c r="E4710" i="5" s="1"/>
  <c r="E4711" i="5" s="1"/>
  <c r="E4712" i="5" s="1"/>
  <c r="E4713" i="5" s="1"/>
  <c r="E4714" i="5" s="1"/>
  <c r="E4715" i="5" s="1"/>
  <c r="E4716" i="5" s="1"/>
  <c r="E4717" i="5" s="1"/>
  <c r="E4718" i="5" s="1"/>
  <c r="E4719" i="5" s="1"/>
  <c r="E4720" i="5" s="1"/>
  <c r="E4721" i="5" s="1"/>
  <c r="E4722" i="5" s="1"/>
  <c r="E4723" i="5" s="1"/>
  <c r="E4724" i="5" s="1"/>
  <c r="E4725" i="5" s="1"/>
  <c r="E4726" i="5" s="1"/>
  <c r="E4727" i="5" s="1"/>
  <c r="E4728" i="5" s="1"/>
  <c r="E4729" i="5" s="1"/>
  <c r="E4730" i="5" s="1"/>
  <c r="E4731" i="5" s="1"/>
  <c r="E4732" i="5" s="1"/>
  <c r="E4733" i="5" s="1"/>
  <c r="E4734" i="5" s="1"/>
  <c r="E4735" i="5" s="1"/>
  <c r="E4736" i="5" s="1"/>
  <c r="E4737" i="5" s="1"/>
  <c r="E4738" i="5" s="1"/>
  <c r="E4739" i="5" s="1"/>
  <c r="E4740" i="5" s="1"/>
  <c r="E4741" i="5" s="1"/>
  <c r="E4742" i="5" s="1"/>
  <c r="E4743" i="5" s="1"/>
  <c r="E4744" i="5" s="1"/>
  <c r="E4745" i="5" s="1"/>
  <c r="E4746" i="5" s="1"/>
  <c r="E4747" i="5" s="1"/>
  <c r="E4748" i="5" s="1"/>
  <c r="E4749" i="5" s="1"/>
  <c r="E4750" i="5" s="1"/>
  <c r="E4751" i="5" s="1"/>
  <c r="E4752" i="5" s="1"/>
  <c r="E4753" i="5" s="1"/>
  <c r="E4754" i="5" s="1"/>
  <c r="E4755" i="5" s="1"/>
  <c r="E4756" i="5" s="1"/>
  <c r="E4757" i="5" s="1"/>
  <c r="E4758" i="5" s="1"/>
  <c r="E4759" i="5" s="1"/>
  <c r="E4760" i="5" s="1"/>
  <c r="E4761" i="5" s="1"/>
  <c r="E4762" i="5" s="1"/>
  <c r="E4763" i="5" s="1"/>
  <c r="E4764" i="5" s="1"/>
  <c r="E4765" i="5" s="1"/>
  <c r="E4766" i="5" s="1"/>
  <c r="E4767" i="5" s="1"/>
  <c r="E4768" i="5" s="1"/>
  <c r="E4769" i="5" s="1"/>
  <c r="E4770" i="5" s="1"/>
  <c r="E4771" i="5" s="1"/>
  <c r="E4772" i="5" s="1"/>
  <c r="E4773" i="5" s="1"/>
  <c r="E4774" i="5" s="1"/>
  <c r="E4775" i="5" s="1"/>
  <c r="E4776" i="5" s="1"/>
  <c r="E4777" i="5" s="1"/>
  <c r="E4778" i="5" s="1"/>
  <c r="E4779" i="5" s="1"/>
  <c r="E4780" i="5" s="1"/>
  <c r="E4781" i="5" s="1"/>
  <c r="E4782" i="5" s="1"/>
  <c r="E4783" i="5" s="1"/>
  <c r="E4784" i="5" s="1"/>
  <c r="E4785" i="5" s="1"/>
  <c r="E4786" i="5" s="1"/>
  <c r="E4787" i="5" s="1"/>
  <c r="E4788" i="5" s="1"/>
  <c r="E4789" i="5" s="1"/>
  <c r="E4790" i="5" s="1"/>
  <c r="E4791" i="5" s="1"/>
  <c r="E4792" i="5" s="1"/>
  <c r="E4793" i="5" s="1"/>
  <c r="E4794" i="5" s="1"/>
  <c r="E4795" i="5" s="1"/>
  <c r="E4796" i="5" s="1"/>
  <c r="E4797" i="5" s="1"/>
  <c r="E4798" i="5" s="1"/>
  <c r="E4799" i="5" s="1"/>
  <c r="E4800" i="5" s="1"/>
  <c r="E4801" i="5" s="1"/>
  <c r="E4802" i="5" s="1"/>
  <c r="E4803" i="5" s="1"/>
  <c r="E4804" i="5" s="1"/>
  <c r="E4805" i="5" s="1"/>
  <c r="E4806" i="5" s="1"/>
  <c r="E4807" i="5" s="1"/>
  <c r="E4808" i="5" s="1"/>
  <c r="E4809" i="5" s="1"/>
  <c r="E4810" i="5" s="1"/>
  <c r="E4811" i="5" s="1"/>
  <c r="E4812" i="5" s="1"/>
  <c r="E4813" i="5" s="1"/>
  <c r="E4814" i="5" s="1"/>
  <c r="E4815" i="5" s="1"/>
  <c r="E4816" i="5" s="1"/>
  <c r="E4817" i="5" s="1"/>
  <c r="E4818" i="5" s="1"/>
  <c r="E4819" i="5" s="1"/>
  <c r="E4820" i="5" s="1"/>
  <c r="E4821" i="5" s="1"/>
  <c r="E4822" i="5" s="1"/>
  <c r="E4823" i="5" s="1"/>
  <c r="E4824" i="5" s="1"/>
  <c r="E4825" i="5" s="1"/>
  <c r="E4826" i="5" s="1"/>
  <c r="E4827" i="5" s="1"/>
  <c r="E4828" i="5" s="1"/>
  <c r="E4829" i="5" s="1"/>
  <c r="E4830" i="5" s="1"/>
  <c r="E4831" i="5" s="1"/>
  <c r="E4832" i="5" s="1"/>
  <c r="E4833" i="5" s="1"/>
  <c r="E4834" i="5" s="1"/>
  <c r="E4835" i="5" s="1"/>
  <c r="E4836" i="5" s="1"/>
  <c r="E4837" i="5" s="1"/>
  <c r="E4838" i="5" s="1"/>
  <c r="E4839" i="5" s="1"/>
  <c r="E4840" i="5" s="1"/>
  <c r="E4841" i="5" s="1"/>
  <c r="E4842" i="5" s="1"/>
  <c r="E4843" i="5" s="1"/>
  <c r="E4844" i="5" s="1"/>
  <c r="E4845" i="5" s="1"/>
  <c r="E4846" i="5" s="1"/>
  <c r="E4847" i="5" s="1"/>
  <c r="E4848" i="5" s="1"/>
  <c r="E4849" i="5" s="1"/>
  <c r="E4850" i="5" s="1"/>
  <c r="E4851" i="5" s="1"/>
  <c r="E4852" i="5" s="1"/>
  <c r="E4853" i="5" s="1"/>
  <c r="E4854" i="5" s="1"/>
  <c r="E4855" i="5" s="1"/>
  <c r="E4856" i="5" s="1"/>
  <c r="E4857" i="5" s="1"/>
  <c r="E4858" i="5" s="1"/>
  <c r="E4859" i="5" s="1"/>
  <c r="E4860" i="5" s="1"/>
  <c r="E4861" i="5" s="1"/>
  <c r="E4862" i="5" s="1"/>
  <c r="E4863" i="5" s="1"/>
  <c r="E4864" i="5" s="1"/>
  <c r="E4865" i="5" s="1"/>
  <c r="E4866" i="5" s="1"/>
  <c r="E4867" i="5" s="1"/>
  <c r="E4868" i="5" s="1"/>
  <c r="E4869" i="5" s="1"/>
  <c r="E4870" i="5" s="1"/>
  <c r="E4871" i="5" s="1"/>
  <c r="E4872" i="5" s="1"/>
  <c r="E4873" i="5" s="1"/>
  <c r="E4874" i="5" s="1"/>
  <c r="E4875" i="5" s="1"/>
  <c r="E4876" i="5" s="1"/>
  <c r="E4877" i="5" s="1"/>
  <c r="E4878" i="5" s="1"/>
  <c r="E4879" i="5" s="1"/>
  <c r="E4880" i="5" s="1"/>
  <c r="E4881" i="5" s="1"/>
  <c r="E4882" i="5" s="1"/>
  <c r="E4883" i="5" s="1"/>
  <c r="E4884" i="5" s="1"/>
  <c r="E4885" i="5" s="1"/>
  <c r="E4886" i="5" s="1"/>
  <c r="E4887" i="5" s="1"/>
  <c r="E4888" i="5" s="1"/>
  <c r="E4889" i="5" s="1"/>
  <c r="E4890" i="5" s="1"/>
  <c r="E4891" i="5" s="1"/>
  <c r="E4892" i="5" s="1"/>
  <c r="E4893" i="5" s="1"/>
  <c r="E4894" i="5" s="1"/>
  <c r="E4895" i="5" s="1"/>
  <c r="E4896" i="5" s="1"/>
  <c r="E4897" i="5" s="1"/>
  <c r="E4898" i="5" s="1"/>
  <c r="E4899" i="5" s="1"/>
  <c r="E4900" i="5" s="1"/>
  <c r="E4901" i="5" s="1"/>
  <c r="E4902" i="5" s="1"/>
  <c r="E4903" i="5" s="1"/>
  <c r="E4904" i="5" s="1"/>
  <c r="E4905" i="5" s="1"/>
  <c r="E4906" i="5" s="1"/>
  <c r="E4907" i="5" s="1"/>
  <c r="E4908" i="5" s="1"/>
  <c r="E4909" i="5" s="1"/>
  <c r="E4910" i="5" s="1"/>
  <c r="E4911" i="5" s="1"/>
  <c r="E4912" i="5" s="1"/>
  <c r="E4913" i="5" s="1"/>
  <c r="E4914" i="5" s="1"/>
  <c r="E4915" i="5" s="1"/>
  <c r="E4916" i="5" s="1"/>
  <c r="E4917" i="5" s="1"/>
  <c r="E4918" i="5" s="1"/>
  <c r="E4919" i="5" s="1"/>
  <c r="E4920" i="5" s="1"/>
  <c r="E4921" i="5" s="1"/>
  <c r="E4922" i="5" s="1"/>
  <c r="E4923" i="5" s="1"/>
  <c r="E4924" i="5" s="1"/>
  <c r="E4925" i="5" s="1"/>
  <c r="E4926" i="5" s="1"/>
  <c r="E4927" i="5" s="1"/>
  <c r="E4928" i="5" s="1"/>
  <c r="E4929" i="5" s="1"/>
  <c r="E4930" i="5" s="1"/>
  <c r="E4931" i="5" s="1"/>
  <c r="E4932" i="5" s="1"/>
  <c r="E4933" i="5" s="1"/>
  <c r="E4934" i="5" s="1"/>
  <c r="E4935" i="5" s="1"/>
  <c r="E4936" i="5" s="1"/>
  <c r="E4937" i="5" s="1"/>
  <c r="E4938" i="5" s="1"/>
  <c r="E4939" i="5" s="1"/>
  <c r="E4940" i="5" s="1"/>
  <c r="E4941" i="5" s="1"/>
  <c r="E4942" i="5" s="1"/>
  <c r="E4943" i="5" s="1"/>
  <c r="E4944" i="5" s="1"/>
  <c r="E4945" i="5" s="1"/>
  <c r="E4946" i="5" s="1"/>
  <c r="E4947" i="5" s="1"/>
  <c r="E4948" i="5" s="1"/>
  <c r="E4949" i="5" s="1"/>
  <c r="E4950" i="5" s="1"/>
  <c r="E4951" i="5" s="1"/>
  <c r="E4952" i="5" s="1"/>
  <c r="E4953" i="5" s="1"/>
  <c r="E4954" i="5" s="1"/>
  <c r="E4955" i="5" s="1"/>
  <c r="E4956" i="5" s="1"/>
  <c r="E4957" i="5" s="1"/>
  <c r="E4958" i="5" s="1"/>
  <c r="E4959" i="5" s="1"/>
  <c r="E4960" i="5" s="1"/>
  <c r="E4961" i="5" s="1"/>
  <c r="E4962" i="5" s="1"/>
  <c r="E4963" i="5" s="1"/>
  <c r="E4964" i="5" s="1"/>
  <c r="E4965" i="5" s="1"/>
  <c r="E4966" i="5" s="1"/>
  <c r="E4967" i="5" s="1"/>
  <c r="E4968" i="5" s="1"/>
  <c r="E4969" i="5" s="1"/>
  <c r="E4970" i="5" s="1"/>
  <c r="E4971" i="5" s="1"/>
  <c r="E4972" i="5" s="1"/>
  <c r="E4973" i="5" s="1"/>
  <c r="E4974" i="5" s="1"/>
  <c r="E4975" i="5" s="1"/>
  <c r="E4976" i="5" s="1"/>
  <c r="E4977" i="5" s="1"/>
  <c r="E4978" i="5" s="1"/>
  <c r="E4979" i="5" s="1"/>
  <c r="E4980" i="5" s="1"/>
  <c r="E4981" i="5" s="1"/>
  <c r="E4982" i="5" s="1"/>
  <c r="E4983" i="5" s="1"/>
  <c r="E4984" i="5" s="1"/>
  <c r="E4985" i="5" s="1"/>
  <c r="E4986" i="5" s="1"/>
  <c r="E4987" i="5" s="1"/>
  <c r="E4988" i="5" s="1"/>
  <c r="E4989" i="5" s="1"/>
  <c r="E4990" i="5" s="1"/>
  <c r="E4991" i="5" s="1"/>
  <c r="E4992" i="5" s="1"/>
  <c r="E4993" i="5" s="1"/>
  <c r="E4994" i="5" s="1"/>
  <c r="E4995" i="5" s="1"/>
  <c r="E4996" i="5" s="1"/>
  <c r="E4997" i="5" s="1"/>
  <c r="E4998" i="5" s="1"/>
  <c r="E4999" i="5" s="1"/>
  <c r="E5000" i="5" s="1"/>
  <c r="E5001" i="5" s="1"/>
  <c r="E5002" i="5" s="1"/>
  <c r="E5003" i="5" s="1"/>
  <c r="E5004" i="5" s="1"/>
  <c r="E5005" i="5" s="1"/>
  <c r="E5006" i="5" s="1"/>
  <c r="E5007" i="5" s="1"/>
  <c r="E5008" i="5" s="1"/>
  <c r="E5009" i="5" s="1"/>
  <c r="E5010" i="5" s="1"/>
  <c r="E5011" i="5" s="1"/>
  <c r="E5012" i="5" s="1"/>
  <c r="E5013" i="5" s="1"/>
  <c r="E5014" i="5" s="1"/>
  <c r="E5015" i="5" s="1"/>
  <c r="E5016" i="5" s="1"/>
  <c r="E5017" i="5" s="1"/>
  <c r="E5018" i="5" s="1"/>
  <c r="E5019" i="5" s="1"/>
  <c r="E5020" i="5" s="1"/>
  <c r="E5021" i="5" s="1"/>
  <c r="E5022" i="5" s="1"/>
  <c r="E5023" i="5" s="1"/>
  <c r="E5024" i="5" s="1"/>
  <c r="E5025" i="5" s="1"/>
  <c r="E5026" i="5" s="1"/>
  <c r="E5027" i="5" s="1"/>
  <c r="E5028" i="5" s="1"/>
  <c r="E5029" i="5" s="1"/>
  <c r="E5030" i="5" s="1"/>
  <c r="E5031" i="5" s="1"/>
  <c r="E5032" i="5" s="1"/>
  <c r="E5033" i="5" s="1"/>
  <c r="E5034" i="5" s="1"/>
  <c r="E5035" i="5" s="1"/>
  <c r="E5036" i="5" s="1"/>
  <c r="E5037" i="5" s="1"/>
  <c r="E5038" i="5" s="1"/>
  <c r="E5039" i="5" s="1"/>
  <c r="E5040" i="5" s="1"/>
  <c r="E5041" i="5" s="1"/>
  <c r="E5042" i="5" s="1"/>
  <c r="E5043" i="5" s="1"/>
  <c r="E5044" i="5" s="1"/>
  <c r="E5045" i="5" s="1"/>
  <c r="E5046" i="5" s="1"/>
  <c r="E5047" i="5" s="1"/>
  <c r="E5048" i="5" s="1"/>
  <c r="E5049" i="5" s="1"/>
  <c r="E5050" i="5" s="1"/>
  <c r="E5051" i="5" s="1"/>
  <c r="E5052" i="5" s="1"/>
  <c r="E5053" i="5" s="1"/>
  <c r="E5054" i="5" s="1"/>
  <c r="E5055" i="5" s="1"/>
  <c r="E5056" i="5" s="1"/>
  <c r="E5057" i="5" s="1"/>
  <c r="E5058" i="5" s="1"/>
  <c r="E5059" i="5" s="1"/>
  <c r="E5060" i="5" s="1"/>
  <c r="E5061" i="5" s="1"/>
  <c r="E5062" i="5" s="1"/>
  <c r="E5063" i="5" s="1"/>
  <c r="E5064" i="5" s="1"/>
  <c r="E5065" i="5" s="1"/>
  <c r="E5066" i="5" s="1"/>
  <c r="E5067" i="5" s="1"/>
  <c r="E5068" i="5" s="1"/>
  <c r="E5069" i="5" s="1"/>
  <c r="E5070" i="5" s="1"/>
  <c r="E5071" i="5" s="1"/>
  <c r="E5072" i="5" s="1"/>
  <c r="E5073" i="5" s="1"/>
  <c r="E5074" i="5" s="1"/>
  <c r="E5075" i="5" s="1"/>
  <c r="E5076" i="5" s="1"/>
  <c r="E5077" i="5" s="1"/>
  <c r="E5078" i="5" s="1"/>
  <c r="E5079" i="5" s="1"/>
  <c r="E5080" i="5" s="1"/>
  <c r="E5081" i="5" s="1"/>
  <c r="E5082" i="5" s="1"/>
  <c r="E5083" i="5" s="1"/>
  <c r="E5084" i="5" s="1"/>
  <c r="E5085" i="5" s="1"/>
  <c r="E5086" i="5" s="1"/>
  <c r="E5087" i="5" s="1"/>
  <c r="E5088" i="5" s="1"/>
  <c r="E5089" i="5" s="1"/>
  <c r="E5090" i="5" s="1"/>
  <c r="E5091" i="5" s="1"/>
  <c r="E5092" i="5" s="1"/>
  <c r="E5093" i="5" s="1"/>
  <c r="E5094" i="5" s="1"/>
  <c r="E5095" i="5" s="1"/>
  <c r="E5096" i="5" s="1"/>
  <c r="E5097" i="5" s="1"/>
  <c r="E5098" i="5" s="1"/>
  <c r="E5099" i="5" s="1"/>
  <c r="E5100" i="5" s="1"/>
  <c r="E5101" i="5" s="1"/>
  <c r="E5102" i="5" s="1"/>
  <c r="E5103" i="5" s="1"/>
  <c r="E5104" i="5" s="1"/>
  <c r="E5105" i="5" s="1"/>
  <c r="E5106" i="5" s="1"/>
  <c r="E5107" i="5" s="1"/>
  <c r="E5108" i="5" s="1"/>
  <c r="E5109" i="5" s="1"/>
  <c r="E5110" i="5" s="1"/>
  <c r="E5111" i="5" s="1"/>
  <c r="E5112" i="5" s="1"/>
  <c r="E5113" i="5" s="1"/>
  <c r="E5114" i="5" s="1"/>
  <c r="E5115" i="5" s="1"/>
  <c r="E5116" i="5" s="1"/>
  <c r="E5117" i="5" s="1"/>
  <c r="E5118" i="5" s="1"/>
  <c r="E5119" i="5" s="1"/>
  <c r="E5120" i="5" s="1"/>
  <c r="E5121" i="5" s="1"/>
  <c r="E5122" i="5" s="1"/>
  <c r="E5123" i="5" s="1"/>
  <c r="E5124" i="5" s="1"/>
  <c r="E5125" i="5" s="1"/>
  <c r="E5126" i="5" s="1"/>
  <c r="E5127" i="5" s="1"/>
  <c r="E5128" i="5" s="1"/>
  <c r="E5129" i="5" s="1"/>
  <c r="E5130" i="5" s="1"/>
  <c r="E5131" i="5" s="1"/>
  <c r="E5132" i="5" s="1"/>
  <c r="E5133" i="5" s="1"/>
  <c r="E5134" i="5" s="1"/>
  <c r="E5135" i="5" s="1"/>
  <c r="E5136" i="5" s="1"/>
  <c r="E5137" i="5" s="1"/>
  <c r="E5138" i="5" s="1"/>
  <c r="E5139" i="5" s="1"/>
  <c r="E5140" i="5" s="1"/>
  <c r="E5141" i="5" s="1"/>
  <c r="E5142" i="5" s="1"/>
  <c r="E5143" i="5" s="1"/>
  <c r="E5144" i="5" s="1"/>
  <c r="E5145" i="5" s="1"/>
  <c r="E5146" i="5" s="1"/>
  <c r="E5147" i="5" s="1"/>
  <c r="E5148" i="5" s="1"/>
  <c r="E5149" i="5" s="1"/>
  <c r="E5150" i="5" s="1"/>
  <c r="E5151" i="5" s="1"/>
  <c r="E5152" i="5" s="1"/>
  <c r="E5153" i="5" s="1"/>
  <c r="E5154" i="5" s="1"/>
  <c r="E5155" i="5" s="1"/>
  <c r="E5156" i="5" s="1"/>
  <c r="E5157" i="5" s="1"/>
  <c r="E5158" i="5" s="1"/>
  <c r="E5159" i="5" s="1"/>
  <c r="E5160" i="5" s="1"/>
  <c r="E5161" i="5" s="1"/>
  <c r="E5162" i="5" s="1"/>
  <c r="E5163" i="5" s="1"/>
  <c r="E5164" i="5" s="1"/>
  <c r="E5165" i="5" s="1"/>
  <c r="E5166" i="5" s="1"/>
  <c r="E5167" i="5" s="1"/>
  <c r="E5168" i="5" s="1"/>
  <c r="E5169" i="5" s="1"/>
  <c r="E5170" i="5" s="1"/>
  <c r="E5171" i="5" s="1"/>
  <c r="E5172" i="5" s="1"/>
  <c r="E5173" i="5" s="1"/>
  <c r="E5174" i="5" s="1"/>
  <c r="E5175" i="5" s="1"/>
  <c r="E5176" i="5" s="1"/>
  <c r="E5177" i="5" s="1"/>
  <c r="E5178" i="5" s="1"/>
  <c r="E5179" i="5" s="1"/>
  <c r="E5180" i="5" s="1"/>
  <c r="E5181" i="5" s="1"/>
  <c r="E5182" i="5" s="1"/>
  <c r="E5183" i="5" s="1"/>
  <c r="E5184" i="5" s="1"/>
  <c r="E5185" i="5" s="1"/>
  <c r="E5186" i="5" s="1"/>
  <c r="E5187" i="5" s="1"/>
  <c r="E5188" i="5" s="1"/>
  <c r="E5189" i="5" s="1"/>
  <c r="E5190" i="5" s="1"/>
  <c r="E5191" i="5" s="1"/>
  <c r="E5192" i="5" s="1"/>
  <c r="E5193" i="5" s="1"/>
  <c r="E5194" i="5" s="1"/>
  <c r="E5195" i="5" s="1"/>
  <c r="E5196" i="5" s="1"/>
  <c r="E5197" i="5" s="1"/>
  <c r="E5198" i="5" s="1"/>
  <c r="E5199" i="5" s="1"/>
  <c r="E5200" i="5" s="1"/>
  <c r="E5201" i="5" s="1"/>
  <c r="E5202" i="5" s="1"/>
  <c r="E5203" i="5" s="1"/>
  <c r="E5204" i="5" s="1"/>
  <c r="E5205" i="5" s="1"/>
  <c r="E5206" i="5" s="1"/>
  <c r="E5207" i="5" s="1"/>
  <c r="E5208" i="5" s="1"/>
  <c r="E5209" i="5" s="1"/>
  <c r="E5210" i="5" s="1"/>
  <c r="E5211" i="5" s="1"/>
  <c r="E5212" i="5" s="1"/>
  <c r="E5213" i="5" s="1"/>
  <c r="E5214" i="5" s="1"/>
  <c r="E5215" i="5" s="1"/>
  <c r="E5216" i="5" s="1"/>
  <c r="E5217" i="5" s="1"/>
  <c r="E5218" i="5" s="1"/>
  <c r="E5219" i="5" s="1"/>
  <c r="E5220" i="5" s="1"/>
  <c r="E5221" i="5" s="1"/>
  <c r="E5222" i="5" s="1"/>
  <c r="E5223" i="5" s="1"/>
  <c r="E5224" i="5" s="1"/>
  <c r="E5225" i="5" s="1"/>
  <c r="E5226" i="5" s="1"/>
  <c r="E5227" i="5" s="1"/>
  <c r="E5228" i="5" s="1"/>
  <c r="E5229" i="5" s="1"/>
  <c r="E5230" i="5" s="1"/>
  <c r="E5231" i="5" s="1"/>
  <c r="E5232" i="5" s="1"/>
  <c r="E5233" i="5" s="1"/>
  <c r="E5234" i="5" s="1"/>
  <c r="E5235" i="5" s="1"/>
  <c r="E5236" i="5" s="1"/>
  <c r="E5237" i="5" s="1"/>
  <c r="E5238" i="5" s="1"/>
  <c r="E5239" i="5" s="1"/>
  <c r="E5240" i="5" s="1"/>
  <c r="E5241" i="5" s="1"/>
  <c r="E5242" i="5" s="1"/>
  <c r="E5243" i="5" s="1"/>
  <c r="E5244" i="5" s="1"/>
  <c r="E5245" i="5" s="1"/>
  <c r="E5246" i="5" s="1"/>
  <c r="E5247" i="5" s="1"/>
  <c r="E5248" i="5" s="1"/>
  <c r="E5249" i="5" s="1"/>
  <c r="E5250" i="5" s="1"/>
  <c r="E5251" i="5" s="1"/>
  <c r="E5252" i="5" s="1"/>
  <c r="E5253" i="5" s="1"/>
  <c r="E5254" i="5" s="1"/>
  <c r="E5255" i="5" s="1"/>
  <c r="E5256" i="5" s="1"/>
  <c r="E5257" i="5" s="1"/>
  <c r="E5258" i="5" s="1"/>
  <c r="E5259" i="5" s="1"/>
  <c r="E5260" i="5" s="1"/>
  <c r="E5261" i="5" s="1"/>
  <c r="E5262" i="5" s="1"/>
  <c r="E5263" i="5" s="1"/>
  <c r="E5264" i="5" s="1"/>
  <c r="E5265" i="5" s="1"/>
  <c r="E5266" i="5" s="1"/>
  <c r="E5267" i="5" s="1"/>
  <c r="E5268" i="5" s="1"/>
  <c r="E5269" i="5" s="1"/>
  <c r="E5270" i="5" s="1"/>
  <c r="E5271" i="5" s="1"/>
  <c r="E5272" i="5" s="1"/>
  <c r="E5273" i="5" s="1"/>
  <c r="E5274" i="5" s="1"/>
  <c r="E5275" i="5" s="1"/>
  <c r="E5276" i="5" s="1"/>
  <c r="E5277" i="5" s="1"/>
  <c r="E5278" i="5" s="1"/>
  <c r="E5279" i="5" s="1"/>
  <c r="E5280" i="5" s="1"/>
  <c r="E5281" i="5" s="1"/>
  <c r="E5282" i="5" s="1"/>
  <c r="E5283" i="5" s="1"/>
  <c r="E5284" i="5" s="1"/>
  <c r="E5285" i="5" s="1"/>
  <c r="E5286" i="5" s="1"/>
  <c r="E5287" i="5" s="1"/>
  <c r="E5288" i="5" s="1"/>
  <c r="E5289" i="5" s="1"/>
  <c r="E5290" i="5" s="1"/>
  <c r="E5291" i="5" s="1"/>
  <c r="E5292" i="5" s="1"/>
  <c r="E5293" i="5" s="1"/>
  <c r="E5294" i="5" s="1"/>
  <c r="E5295" i="5" s="1"/>
  <c r="E5296" i="5" s="1"/>
  <c r="E5297" i="5" s="1"/>
  <c r="E5298" i="5" s="1"/>
  <c r="E5299" i="5" s="1"/>
  <c r="E5300" i="5" s="1"/>
  <c r="E5301" i="5" s="1"/>
  <c r="E5302" i="5" s="1"/>
  <c r="E5303" i="5" s="1"/>
  <c r="E5304" i="5" s="1"/>
  <c r="E5305" i="5" s="1"/>
  <c r="E5306" i="5" s="1"/>
  <c r="E5307" i="5" s="1"/>
  <c r="E5308" i="5" s="1"/>
  <c r="E5309" i="5" s="1"/>
  <c r="E5310" i="5" s="1"/>
  <c r="E5311" i="5" s="1"/>
  <c r="E5312" i="5" s="1"/>
  <c r="E5313" i="5" s="1"/>
  <c r="E5314" i="5" s="1"/>
  <c r="E5315" i="5" s="1"/>
  <c r="E5316" i="5" s="1"/>
  <c r="E5317" i="5" s="1"/>
  <c r="E5318" i="5" s="1"/>
  <c r="E5319" i="5" s="1"/>
  <c r="E5320" i="5" s="1"/>
  <c r="E5321" i="5" s="1"/>
  <c r="E5322" i="5" s="1"/>
  <c r="E5323" i="5" s="1"/>
  <c r="E5324" i="5" s="1"/>
  <c r="E5325" i="5" s="1"/>
  <c r="E5326" i="5" s="1"/>
  <c r="E5327" i="5" s="1"/>
  <c r="E5328" i="5" s="1"/>
  <c r="E5329" i="5" s="1"/>
  <c r="E5330" i="5" s="1"/>
  <c r="E5331" i="5" s="1"/>
  <c r="E5332" i="5" s="1"/>
  <c r="E5333" i="5" s="1"/>
  <c r="E5334" i="5" s="1"/>
  <c r="E5335" i="5" s="1"/>
  <c r="E5336" i="5" s="1"/>
  <c r="E5337" i="5" s="1"/>
  <c r="E5338" i="5" s="1"/>
  <c r="E5339" i="5" s="1"/>
  <c r="E5340" i="5" s="1"/>
  <c r="E5341" i="5" s="1"/>
  <c r="E5342" i="5" s="1"/>
  <c r="E5343" i="5" s="1"/>
  <c r="E5344" i="5" s="1"/>
  <c r="E5345" i="5" s="1"/>
  <c r="E5346" i="5" s="1"/>
  <c r="E5347" i="5" s="1"/>
  <c r="E5348" i="5" s="1"/>
  <c r="E5349" i="5" s="1"/>
  <c r="E5350" i="5" s="1"/>
  <c r="E5351" i="5" s="1"/>
  <c r="E5352" i="5" s="1"/>
  <c r="E5353" i="5" s="1"/>
  <c r="E5354" i="5" s="1"/>
  <c r="E5355" i="5" s="1"/>
  <c r="E5356" i="5" s="1"/>
  <c r="E5357" i="5" s="1"/>
  <c r="E5358" i="5" s="1"/>
  <c r="E5359" i="5" s="1"/>
  <c r="E5360" i="5" s="1"/>
  <c r="E5361" i="5" s="1"/>
  <c r="E5362" i="5" s="1"/>
  <c r="E5363" i="5" s="1"/>
  <c r="E5364" i="5" s="1"/>
  <c r="E5365" i="5" s="1"/>
  <c r="E5366" i="5" s="1"/>
  <c r="E5367" i="5" s="1"/>
  <c r="E5368" i="5" s="1"/>
  <c r="E5369" i="5" s="1"/>
  <c r="E5370" i="5" s="1"/>
  <c r="E5371" i="5" s="1"/>
  <c r="E5372" i="5" s="1"/>
  <c r="E5373" i="5" s="1"/>
  <c r="E5374" i="5" s="1"/>
  <c r="E5375" i="5" s="1"/>
  <c r="E5376" i="5" s="1"/>
  <c r="E5377" i="5" s="1"/>
  <c r="E5378" i="5" s="1"/>
  <c r="E5379" i="5" s="1"/>
  <c r="E5380" i="5" s="1"/>
  <c r="E5381" i="5" s="1"/>
  <c r="E5382" i="5" s="1"/>
  <c r="E5383" i="5" s="1"/>
  <c r="E5384" i="5" s="1"/>
  <c r="E5385" i="5" s="1"/>
  <c r="E5386" i="5" s="1"/>
  <c r="E5387" i="5" s="1"/>
  <c r="E5388" i="5" s="1"/>
  <c r="E5389" i="5" s="1"/>
  <c r="E5390" i="5" s="1"/>
  <c r="E5391" i="5" s="1"/>
  <c r="E5392" i="5" s="1"/>
  <c r="E5393" i="5" s="1"/>
  <c r="E5394" i="5" s="1"/>
  <c r="E5395" i="5" s="1"/>
  <c r="E5396" i="5" s="1"/>
  <c r="E5397" i="5" s="1"/>
  <c r="E5398" i="5" s="1"/>
  <c r="E5399" i="5" s="1"/>
  <c r="E5400" i="5" s="1"/>
  <c r="E5401" i="5" s="1"/>
  <c r="E5402" i="5" s="1"/>
  <c r="E5403" i="5" s="1"/>
  <c r="E5404" i="5" s="1"/>
  <c r="E5405" i="5" s="1"/>
  <c r="E5406" i="5" s="1"/>
  <c r="E5407" i="5" s="1"/>
  <c r="E5408" i="5" s="1"/>
  <c r="E5409" i="5" s="1"/>
  <c r="E5410" i="5" s="1"/>
  <c r="E5411" i="5" s="1"/>
  <c r="E5412" i="5" s="1"/>
  <c r="E5413" i="5" s="1"/>
  <c r="E5414" i="5" s="1"/>
  <c r="E5415" i="5" s="1"/>
  <c r="E5416" i="5" s="1"/>
  <c r="E5417" i="5" s="1"/>
  <c r="E5418" i="5" s="1"/>
  <c r="E5419" i="5" s="1"/>
  <c r="E5420" i="5" s="1"/>
  <c r="E5421" i="5" s="1"/>
  <c r="E5422" i="5" s="1"/>
  <c r="E5423" i="5" s="1"/>
  <c r="E5424" i="5" s="1"/>
  <c r="E5425" i="5" s="1"/>
  <c r="E5426" i="5" s="1"/>
  <c r="E5427" i="5" s="1"/>
  <c r="E5428" i="5" s="1"/>
  <c r="E5429" i="5" s="1"/>
  <c r="E5430" i="5" s="1"/>
  <c r="E5431" i="5" s="1"/>
  <c r="E5432" i="5" s="1"/>
  <c r="E5433" i="5" s="1"/>
  <c r="E5434" i="5" s="1"/>
  <c r="E5435" i="5" s="1"/>
  <c r="E5436" i="5" s="1"/>
  <c r="E5437" i="5" s="1"/>
  <c r="E5438" i="5" s="1"/>
  <c r="E5439" i="5" s="1"/>
  <c r="E5440" i="5" s="1"/>
  <c r="E5441" i="5" s="1"/>
  <c r="E5442" i="5" s="1"/>
  <c r="E5443" i="5" s="1"/>
  <c r="E5444" i="5" s="1"/>
  <c r="E5445" i="5" s="1"/>
  <c r="E5446" i="5" s="1"/>
  <c r="E5447" i="5" s="1"/>
  <c r="E5448" i="5" s="1"/>
  <c r="E5449" i="5" s="1"/>
  <c r="E5450" i="5" s="1"/>
  <c r="E5451" i="5" s="1"/>
  <c r="E5452" i="5" s="1"/>
  <c r="E5453" i="5" s="1"/>
  <c r="E5454" i="5" s="1"/>
  <c r="E5455" i="5" s="1"/>
  <c r="E5456" i="5" s="1"/>
  <c r="E5457" i="5" s="1"/>
  <c r="E5458" i="5" s="1"/>
  <c r="E5459" i="5" s="1"/>
  <c r="E5460" i="5" s="1"/>
  <c r="E5461" i="5" s="1"/>
  <c r="E5462" i="5" s="1"/>
  <c r="E5463" i="5" s="1"/>
  <c r="E5464" i="5" s="1"/>
  <c r="E5465" i="5" s="1"/>
  <c r="E5466" i="5" s="1"/>
  <c r="E5467" i="5" s="1"/>
  <c r="E5468" i="5" s="1"/>
  <c r="E5469" i="5" s="1"/>
  <c r="E5470" i="5" s="1"/>
  <c r="E5471" i="5" s="1"/>
  <c r="E5472" i="5" s="1"/>
  <c r="E5473" i="5" s="1"/>
  <c r="E5474" i="5" s="1"/>
  <c r="E5475" i="5" s="1"/>
  <c r="E5476" i="5" s="1"/>
  <c r="E5477" i="5" s="1"/>
  <c r="E5478" i="5" s="1"/>
  <c r="E5479" i="5" s="1"/>
  <c r="E5480" i="5" s="1"/>
  <c r="E5481" i="5" s="1"/>
  <c r="E5482" i="5" s="1"/>
  <c r="E5483" i="5" s="1"/>
  <c r="E5484" i="5" s="1"/>
  <c r="E5485" i="5" s="1"/>
  <c r="E5486" i="5" s="1"/>
  <c r="E5487" i="5" s="1"/>
  <c r="E5488" i="5" s="1"/>
  <c r="E5489" i="5" s="1"/>
  <c r="E5490" i="5" s="1"/>
  <c r="E5491" i="5" s="1"/>
  <c r="E5492" i="5" s="1"/>
  <c r="E5493" i="5" s="1"/>
  <c r="E5494" i="5" s="1"/>
  <c r="E5495" i="5" s="1"/>
  <c r="E5496" i="5" s="1"/>
  <c r="E5497" i="5" s="1"/>
  <c r="E5498" i="5" s="1"/>
  <c r="E5499" i="5" s="1"/>
  <c r="E5500" i="5" s="1"/>
  <c r="E5501" i="5" s="1"/>
  <c r="E5502" i="5" s="1"/>
  <c r="E5503" i="5" s="1"/>
  <c r="E5504" i="5" s="1"/>
  <c r="E5505" i="5" s="1"/>
  <c r="E5506" i="5" s="1"/>
  <c r="E5507" i="5" s="1"/>
  <c r="E5508" i="5" s="1"/>
  <c r="E5509" i="5" s="1"/>
  <c r="E5510" i="5" s="1"/>
  <c r="E5511" i="5" s="1"/>
  <c r="E5512" i="5" s="1"/>
  <c r="E5513" i="5" s="1"/>
  <c r="E5514" i="5" s="1"/>
  <c r="E5515" i="5" s="1"/>
  <c r="E5516" i="5" s="1"/>
  <c r="E5517" i="5" s="1"/>
  <c r="E5518" i="5" s="1"/>
  <c r="E5519" i="5" s="1"/>
  <c r="E5520" i="5" s="1"/>
  <c r="E5521" i="5" s="1"/>
  <c r="E5522" i="5" s="1"/>
  <c r="E5523" i="5" s="1"/>
  <c r="E5524" i="5" s="1"/>
  <c r="E5525" i="5" s="1"/>
  <c r="E5526" i="5" s="1"/>
  <c r="E5527" i="5" s="1"/>
  <c r="E5528" i="5" s="1"/>
  <c r="E5529" i="5" s="1"/>
  <c r="E5530" i="5" s="1"/>
  <c r="E5531" i="5" s="1"/>
  <c r="E5532" i="5" s="1"/>
  <c r="E5533" i="5" s="1"/>
  <c r="E5534" i="5" s="1"/>
  <c r="E5535" i="5" s="1"/>
  <c r="E5536" i="5" s="1"/>
  <c r="E5537" i="5" s="1"/>
  <c r="E5538" i="5" s="1"/>
  <c r="E5539" i="5" s="1"/>
  <c r="E5540" i="5" s="1"/>
  <c r="E5541" i="5" s="1"/>
  <c r="E5542" i="5" s="1"/>
  <c r="E5543" i="5" s="1"/>
  <c r="E5544" i="5" s="1"/>
  <c r="E5545" i="5" s="1"/>
  <c r="E5546" i="5" s="1"/>
  <c r="E5547" i="5" s="1"/>
  <c r="E5548" i="5" s="1"/>
  <c r="E5549" i="5" s="1"/>
  <c r="E5550" i="5" s="1"/>
  <c r="E5551" i="5" s="1"/>
  <c r="E5552" i="5" s="1"/>
  <c r="E5553" i="5" s="1"/>
  <c r="E5554" i="5" s="1"/>
  <c r="E5555" i="5" s="1"/>
  <c r="E5556" i="5" s="1"/>
  <c r="E5557" i="5" s="1"/>
  <c r="E5558" i="5" s="1"/>
  <c r="E5559" i="5" s="1"/>
  <c r="E5560" i="5" s="1"/>
  <c r="E5561" i="5" s="1"/>
  <c r="E5562" i="5" s="1"/>
  <c r="E5563" i="5" s="1"/>
  <c r="E5564" i="5" s="1"/>
  <c r="E5565" i="5" s="1"/>
  <c r="E5566" i="5" s="1"/>
  <c r="E5567" i="5" s="1"/>
  <c r="E5568" i="5" s="1"/>
  <c r="E5569" i="5" s="1"/>
  <c r="E5570" i="5" s="1"/>
  <c r="E5571" i="5" s="1"/>
  <c r="E5572" i="5" s="1"/>
  <c r="E5573" i="5" s="1"/>
  <c r="E5574" i="5" s="1"/>
  <c r="E5575" i="5" s="1"/>
  <c r="E5576" i="5" s="1"/>
  <c r="E5577" i="5" s="1"/>
  <c r="E5578" i="5" s="1"/>
  <c r="E5579" i="5" s="1"/>
  <c r="E5580" i="5" s="1"/>
  <c r="E5581" i="5" s="1"/>
  <c r="E5582" i="5" s="1"/>
  <c r="E5583" i="5" s="1"/>
  <c r="E5584" i="5" s="1"/>
  <c r="E5585" i="5" s="1"/>
  <c r="E5586" i="5" s="1"/>
  <c r="E5587" i="5" s="1"/>
  <c r="E5588" i="5" s="1"/>
  <c r="E5589" i="5" s="1"/>
  <c r="E5590" i="5" s="1"/>
  <c r="E5591" i="5" s="1"/>
  <c r="E5592" i="5" s="1"/>
  <c r="E5593" i="5" s="1"/>
  <c r="E5594" i="5" s="1"/>
  <c r="E5595" i="5" s="1"/>
  <c r="E5596" i="5" s="1"/>
  <c r="E5597" i="5" s="1"/>
  <c r="E5598" i="5" s="1"/>
  <c r="E5599" i="5" s="1"/>
  <c r="E5600" i="5" s="1"/>
  <c r="E5601" i="5" s="1"/>
  <c r="E5602" i="5" s="1"/>
  <c r="E5603" i="5" s="1"/>
  <c r="E5604" i="5" s="1"/>
  <c r="E5605" i="5" s="1"/>
  <c r="E5606" i="5" s="1"/>
  <c r="E5607" i="5" s="1"/>
  <c r="E5608" i="5" s="1"/>
  <c r="E5609" i="5" s="1"/>
  <c r="E5610" i="5" s="1"/>
  <c r="E5611" i="5" s="1"/>
  <c r="E5612" i="5" s="1"/>
  <c r="E5613" i="5" s="1"/>
  <c r="E5614" i="5" s="1"/>
  <c r="E5615" i="5" s="1"/>
  <c r="E5616" i="5" s="1"/>
  <c r="E5617" i="5" s="1"/>
  <c r="E5618" i="5" s="1"/>
  <c r="E5619" i="5" s="1"/>
  <c r="E5620" i="5" s="1"/>
  <c r="E5621" i="5" s="1"/>
  <c r="E5622" i="5" s="1"/>
  <c r="E5623" i="5" s="1"/>
  <c r="E5624" i="5" s="1"/>
  <c r="E5625" i="5" s="1"/>
  <c r="E5626" i="5" s="1"/>
  <c r="E5627" i="5" s="1"/>
  <c r="E5628" i="5" s="1"/>
  <c r="E5629" i="5" s="1"/>
  <c r="E5630" i="5" s="1"/>
  <c r="E5631" i="5" s="1"/>
  <c r="E5632" i="5" s="1"/>
  <c r="E5633" i="5" s="1"/>
  <c r="E5634" i="5" s="1"/>
  <c r="E5635" i="5" s="1"/>
  <c r="E5636" i="5" s="1"/>
  <c r="E5637" i="5" s="1"/>
  <c r="E5638" i="5" s="1"/>
  <c r="E5639" i="5" s="1"/>
  <c r="E5640" i="5" s="1"/>
  <c r="E5641" i="5" s="1"/>
  <c r="E5642" i="5" s="1"/>
  <c r="E5643" i="5" s="1"/>
  <c r="E5644" i="5" s="1"/>
  <c r="E5645" i="5" s="1"/>
  <c r="E5646" i="5" s="1"/>
  <c r="E5647" i="5" s="1"/>
  <c r="E5648" i="5" s="1"/>
  <c r="E5649" i="5" s="1"/>
  <c r="E5650" i="5" s="1"/>
  <c r="E5651" i="5" s="1"/>
  <c r="E5652" i="5" s="1"/>
  <c r="E5653" i="5" s="1"/>
  <c r="E5654" i="5" s="1"/>
  <c r="E5655" i="5" s="1"/>
  <c r="E5656" i="5" s="1"/>
  <c r="E5657" i="5" s="1"/>
  <c r="E5658" i="5" s="1"/>
  <c r="E5659" i="5" s="1"/>
  <c r="E5660" i="5" s="1"/>
  <c r="E5661" i="5" s="1"/>
  <c r="E5662" i="5" s="1"/>
  <c r="E5663" i="5" s="1"/>
  <c r="E5664" i="5" s="1"/>
  <c r="E5665" i="5" s="1"/>
  <c r="E5666" i="5" s="1"/>
  <c r="E5667" i="5" s="1"/>
  <c r="E5668" i="5" s="1"/>
  <c r="E5669" i="5" s="1"/>
  <c r="E5670" i="5" s="1"/>
  <c r="E5671" i="5" s="1"/>
  <c r="E5672" i="5" s="1"/>
  <c r="E5673" i="5" s="1"/>
  <c r="E5674" i="5" s="1"/>
  <c r="E5675" i="5" s="1"/>
  <c r="E5676" i="5" s="1"/>
  <c r="E5677" i="5" s="1"/>
  <c r="E5678" i="5" s="1"/>
  <c r="E5679" i="5" s="1"/>
  <c r="E5680" i="5" s="1"/>
  <c r="E5681" i="5" s="1"/>
  <c r="E5682" i="5" s="1"/>
  <c r="E5683" i="5" s="1"/>
  <c r="E5684" i="5" s="1"/>
  <c r="E5685" i="5" s="1"/>
  <c r="E5686" i="5" s="1"/>
  <c r="E5687" i="5" s="1"/>
  <c r="E5688" i="5" s="1"/>
  <c r="E5689" i="5" s="1"/>
  <c r="E5690" i="5" s="1"/>
  <c r="E5691" i="5" s="1"/>
  <c r="E5692" i="5" s="1"/>
  <c r="E5693" i="5" s="1"/>
  <c r="E5694" i="5" s="1"/>
  <c r="E5695" i="5" s="1"/>
  <c r="E5696" i="5" s="1"/>
  <c r="E5697" i="5" s="1"/>
  <c r="E5698" i="5" s="1"/>
  <c r="E5699" i="5" s="1"/>
  <c r="E5700" i="5" s="1"/>
  <c r="E5701" i="5" s="1"/>
  <c r="E5702" i="5" s="1"/>
  <c r="E5703" i="5" s="1"/>
  <c r="E5704" i="5" s="1"/>
  <c r="E5705" i="5" s="1"/>
  <c r="E5706" i="5" s="1"/>
  <c r="E5707" i="5" s="1"/>
  <c r="E5708" i="5" s="1"/>
  <c r="E5709" i="5" s="1"/>
  <c r="E5710" i="5" s="1"/>
  <c r="E5711" i="5" s="1"/>
  <c r="E5712" i="5" s="1"/>
  <c r="E5713" i="5" s="1"/>
  <c r="E5714" i="5" s="1"/>
  <c r="E5715" i="5" s="1"/>
  <c r="E5716" i="5" s="1"/>
  <c r="E5717" i="5" s="1"/>
  <c r="E5718" i="5" s="1"/>
  <c r="E5719" i="5" s="1"/>
  <c r="E5720" i="5" s="1"/>
  <c r="E5721" i="5" s="1"/>
  <c r="E5722" i="5" s="1"/>
  <c r="E5723" i="5" s="1"/>
  <c r="E5724" i="5" s="1"/>
  <c r="E5725" i="5" s="1"/>
  <c r="E5726" i="5" s="1"/>
  <c r="E5727" i="5" s="1"/>
  <c r="E5728" i="5" s="1"/>
  <c r="E5729" i="5" s="1"/>
  <c r="E5730" i="5" s="1"/>
  <c r="E5731" i="5" s="1"/>
  <c r="E5732" i="5" s="1"/>
  <c r="E5733" i="5" s="1"/>
  <c r="E5734" i="5" s="1"/>
  <c r="E5735" i="5" s="1"/>
  <c r="E5736" i="5" s="1"/>
  <c r="E5737" i="5" s="1"/>
  <c r="E5738" i="5" s="1"/>
  <c r="E5739" i="5" s="1"/>
  <c r="E5740" i="5" s="1"/>
  <c r="E5741" i="5" s="1"/>
  <c r="E5742" i="5" s="1"/>
  <c r="E5743" i="5" s="1"/>
  <c r="E5744" i="5" s="1"/>
  <c r="E5745" i="5" s="1"/>
  <c r="E5746" i="5" s="1"/>
  <c r="E5747" i="5" s="1"/>
  <c r="E5748" i="5" s="1"/>
  <c r="E5749" i="5" s="1"/>
  <c r="E5750" i="5" s="1"/>
  <c r="E5751" i="5" s="1"/>
  <c r="E5752" i="5" s="1"/>
  <c r="E5753" i="5" s="1"/>
  <c r="E5754" i="5" s="1"/>
  <c r="E5755" i="5" s="1"/>
  <c r="E5756" i="5" s="1"/>
  <c r="E5757" i="5" s="1"/>
  <c r="E5758" i="5" s="1"/>
  <c r="E5759" i="5" s="1"/>
  <c r="E5760" i="5" s="1"/>
  <c r="E5761" i="5" s="1"/>
  <c r="E5762" i="5" s="1"/>
  <c r="E5763" i="5" s="1"/>
  <c r="E5764" i="5" s="1"/>
  <c r="E5765" i="5" s="1"/>
  <c r="E5766" i="5" s="1"/>
  <c r="E5767" i="5" s="1"/>
  <c r="E5768" i="5" s="1"/>
  <c r="E5769" i="5" s="1"/>
  <c r="E5770" i="5" s="1"/>
  <c r="E5771" i="5" s="1"/>
  <c r="E5772" i="5" s="1"/>
  <c r="E5773" i="5" s="1"/>
  <c r="E5774" i="5" s="1"/>
  <c r="E5775" i="5" s="1"/>
  <c r="E5776" i="5" s="1"/>
  <c r="E5777" i="5" s="1"/>
  <c r="E5778" i="5" s="1"/>
  <c r="E5779" i="5" s="1"/>
  <c r="E5780" i="5" s="1"/>
  <c r="E5781" i="5" s="1"/>
  <c r="E5782" i="5" s="1"/>
  <c r="E5783" i="5" s="1"/>
  <c r="E5784" i="5" s="1"/>
  <c r="E5785" i="5" s="1"/>
  <c r="E5786" i="5" s="1"/>
  <c r="E5787" i="5" s="1"/>
  <c r="E5788" i="5" s="1"/>
  <c r="E5789" i="5" s="1"/>
  <c r="E5790" i="5" s="1"/>
  <c r="E5791" i="5" s="1"/>
  <c r="E5792" i="5" s="1"/>
  <c r="E5793" i="5" s="1"/>
  <c r="E5794" i="5" s="1"/>
  <c r="E5795" i="5" s="1"/>
  <c r="E5796" i="5" s="1"/>
  <c r="E5797" i="5" s="1"/>
  <c r="E5798" i="5" s="1"/>
  <c r="E5799" i="5" s="1"/>
  <c r="E5800" i="5" s="1"/>
  <c r="E5801" i="5" s="1"/>
  <c r="E5802" i="5" s="1"/>
  <c r="E5803" i="5" s="1"/>
  <c r="E5804" i="5" s="1"/>
  <c r="E5805" i="5" s="1"/>
  <c r="E5806" i="5" s="1"/>
  <c r="E5807" i="5" s="1"/>
  <c r="E5808" i="5" s="1"/>
  <c r="E5809" i="5" s="1"/>
  <c r="E5810" i="5" s="1"/>
  <c r="E5811" i="5" s="1"/>
  <c r="E5812" i="5" s="1"/>
  <c r="E5813" i="5" s="1"/>
  <c r="E5814" i="5" s="1"/>
  <c r="E5815" i="5" s="1"/>
  <c r="E5816" i="5" s="1"/>
  <c r="E5817" i="5" s="1"/>
  <c r="E5818" i="5" s="1"/>
  <c r="E5819" i="5" s="1"/>
  <c r="E5820" i="5" s="1"/>
  <c r="E5821" i="5" s="1"/>
  <c r="E5822" i="5" s="1"/>
  <c r="E5823" i="5" s="1"/>
  <c r="E5824" i="5" s="1"/>
  <c r="E5825" i="5" s="1"/>
  <c r="E5826" i="5" s="1"/>
  <c r="E5827" i="5" s="1"/>
  <c r="E5828" i="5" s="1"/>
  <c r="E5829" i="5" s="1"/>
  <c r="E5830" i="5" s="1"/>
  <c r="E5831" i="5" s="1"/>
  <c r="E5832" i="5" s="1"/>
  <c r="E5833" i="5" s="1"/>
  <c r="E5834" i="5" s="1"/>
  <c r="E5835" i="5" s="1"/>
  <c r="E5836" i="5" s="1"/>
  <c r="E5837" i="5" s="1"/>
  <c r="E5838" i="5" s="1"/>
  <c r="E5839" i="5" s="1"/>
  <c r="E5840" i="5" s="1"/>
  <c r="E5841" i="5" s="1"/>
  <c r="E5842" i="5" s="1"/>
  <c r="E5843" i="5" s="1"/>
  <c r="E5844" i="5" s="1"/>
  <c r="E5845" i="5" s="1"/>
  <c r="E5846" i="5" s="1"/>
  <c r="E5847" i="5" s="1"/>
  <c r="E5848" i="5" s="1"/>
  <c r="E5849" i="5" s="1"/>
  <c r="E5850" i="5" s="1"/>
  <c r="E5851" i="5" s="1"/>
  <c r="E5852" i="5" s="1"/>
  <c r="E5853" i="5" s="1"/>
  <c r="E5854" i="5" s="1"/>
  <c r="E5855" i="5" s="1"/>
  <c r="E5856" i="5" s="1"/>
  <c r="E5857" i="5" s="1"/>
  <c r="E5858" i="5" s="1"/>
  <c r="E5859" i="5" s="1"/>
  <c r="E5860" i="5" s="1"/>
  <c r="E5861" i="5" s="1"/>
  <c r="E5862" i="5" s="1"/>
  <c r="E5863" i="5" s="1"/>
  <c r="E5864" i="5" s="1"/>
  <c r="E5865" i="5" s="1"/>
  <c r="E5866" i="5" s="1"/>
  <c r="E5867" i="5" s="1"/>
  <c r="E5868" i="5" s="1"/>
  <c r="E5869" i="5" s="1"/>
  <c r="E5870" i="5" s="1"/>
  <c r="E5871" i="5" s="1"/>
  <c r="E5872" i="5" s="1"/>
  <c r="E5873" i="5" s="1"/>
  <c r="E5874" i="5" s="1"/>
  <c r="E5875" i="5" s="1"/>
  <c r="E5876" i="5" s="1"/>
  <c r="E5877" i="5" s="1"/>
  <c r="E5878" i="5" s="1"/>
  <c r="E5879" i="5" s="1"/>
  <c r="E5880" i="5" s="1"/>
  <c r="E5881" i="5" s="1"/>
  <c r="E5882" i="5" s="1"/>
  <c r="E5883" i="5" s="1"/>
  <c r="E5884" i="5" s="1"/>
  <c r="E5885" i="5" s="1"/>
  <c r="E5886" i="5" s="1"/>
  <c r="E5887" i="5" s="1"/>
  <c r="E5888" i="5" s="1"/>
  <c r="E5889" i="5" s="1"/>
  <c r="E5890" i="5" s="1"/>
  <c r="E5891" i="5" s="1"/>
  <c r="E5892" i="5" s="1"/>
  <c r="E5893" i="5" s="1"/>
  <c r="E5894" i="5" s="1"/>
  <c r="E5895" i="5" s="1"/>
  <c r="E5896" i="5" s="1"/>
  <c r="E5897" i="5" s="1"/>
  <c r="E5898" i="5" s="1"/>
  <c r="E5899" i="5" s="1"/>
  <c r="E5900" i="5" s="1"/>
  <c r="E5901" i="5" s="1"/>
  <c r="E5902" i="5" s="1"/>
  <c r="E5903" i="5" s="1"/>
  <c r="E5904" i="5" s="1"/>
  <c r="E5905" i="5" s="1"/>
  <c r="E5906" i="5" s="1"/>
  <c r="E5907" i="5" s="1"/>
  <c r="E5908" i="5" s="1"/>
  <c r="E5909" i="5" s="1"/>
  <c r="E5910" i="5" s="1"/>
  <c r="E5911" i="5" s="1"/>
  <c r="E5912" i="5" s="1"/>
  <c r="E5913" i="5" s="1"/>
  <c r="E5914" i="5" s="1"/>
  <c r="E5915" i="5" s="1"/>
  <c r="E5916" i="5" s="1"/>
  <c r="E5917" i="5" s="1"/>
  <c r="E5918" i="5" s="1"/>
  <c r="E5919" i="5" s="1"/>
  <c r="E5920" i="5" s="1"/>
  <c r="E5921" i="5" s="1"/>
  <c r="E5922" i="5" s="1"/>
  <c r="E5923" i="5" s="1"/>
  <c r="E5924" i="5" s="1"/>
  <c r="E5925" i="5" s="1"/>
  <c r="E5926" i="5" s="1"/>
  <c r="E5927" i="5" s="1"/>
  <c r="E5928" i="5" s="1"/>
  <c r="E5929" i="5" s="1"/>
  <c r="E5930" i="5" s="1"/>
  <c r="E5931" i="5" s="1"/>
  <c r="E5932" i="5" s="1"/>
  <c r="E5933" i="5" s="1"/>
  <c r="E5934" i="5" s="1"/>
  <c r="E5935" i="5" s="1"/>
  <c r="E5936" i="5" s="1"/>
  <c r="E5937" i="5" s="1"/>
  <c r="E5938" i="5" s="1"/>
  <c r="E5939" i="5" s="1"/>
  <c r="E5940" i="5" s="1"/>
  <c r="E5941" i="5" s="1"/>
  <c r="E5942" i="5" s="1"/>
  <c r="E5943" i="5" s="1"/>
  <c r="E5944" i="5" s="1"/>
  <c r="E5945" i="5" s="1"/>
  <c r="E5946" i="5" s="1"/>
  <c r="E5947" i="5" s="1"/>
  <c r="E5948" i="5" s="1"/>
  <c r="E5949" i="5" s="1"/>
  <c r="E5950" i="5" s="1"/>
  <c r="E5951" i="5" s="1"/>
  <c r="E5952" i="5" s="1"/>
  <c r="E5953" i="5" s="1"/>
  <c r="E5954" i="5" s="1"/>
  <c r="E5955" i="5" s="1"/>
  <c r="E5956" i="5" s="1"/>
  <c r="E5957" i="5" s="1"/>
  <c r="E5958" i="5" s="1"/>
  <c r="E5959" i="5" s="1"/>
  <c r="E5960" i="5" s="1"/>
  <c r="E5961" i="5" s="1"/>
  <c r="E5962" i="5" s="1"/>
  <c r="E5963" i="5" s="1"/>
  <c r="E5964" i="5" s="1"/>
  <c r="E5965" i="5" s="1"/>
  <c r="E5966" i="5" s="1"/>
  <c r="E5967" i="5" s="1"/>
  <c r="E5968" i="5" s="1"/>
  <c r="E5969" i="5" s="1"/>
  <c r="E5970" i="5" s="1"/>
  <c r="E5971" i="5" s="1"/>
  <c r="E5972" i="5" s="1"/>
  <c r="E5973" i="5" s="1"/>
  <c r="E5974" i="5" s="1"/>
  <c r="E5975" i="5" s="1"/>
  <c r="E5976" i="5" s="1"/>
  <c r="E5977" i="5" s="1"/>
  <c r="E5978" i="5" s="1"/>
  <c r="E5979" i="5" s="1"/>
  <c r="E5980" i="5" s="1"/>
  <c r="E5981" i="5" s="1"/>
  <c r="E5982" i="5" s="1"/>
  <c r="E5983" i="5" s="1"/>
  <c r="E5984" i="5" s="1"/>
  <c r="E5985" i="5" s="1"/>
  <c r="E5986" i="5" s="1"/>
  <c r="E5987" i="5" s="1"/>
  <c r="E5988" i="5" s="1"/>
  <c r="E5989" i="5" s="1"/>
  <c r="E5990" i="5" s="1"/>
  <c r="E5991" i="5" s="1"/>
  <c r="E5992" i="5" s="1"/>
  <c r="E5993" i="5" s="1"/>
  <c r="E5994" i="5" s="1"/>
  <c r="E5995" i="5" s="1"/>
  <c r="E5996" i="5" s="1"/>
  <c r="E5997" i="5" s="1"/>
  <c r="E5998" i="5" s="1"/>
  <c r="E5999" i="5" s="1"/>
  <c r="E6000" i="5" s="1"/>
  <c r="E6001" i="5" s="1"/>
  <c r="E6002" i="5" s="1"/>
  <c r="E6003" i="5" s="1"/>
  <c r="E6004" i="5" s="1"/>
  <c r="E6005" i="5" s="1"/>
  <c r="E6006" i="5" s="1"/>
  <c r="E6007" i="5" s="1"/>
  <c r="E6008" i="5" s="1"/>
  <c r="E6009" i="5" s="1"/>
  <c r="E6010" i="5" s="1"/>
  <c r="E6011" i="5" s="1"/>
  <c r="E6012" i="5" s="1"/>
  <c r="E6013" i="5" s="1"/>
  <c r="E6014" i="5" s="1"/>
  <c r="E6015" i="5" s="1"/>
  <c r="E6016" i="5" s="1"/>
  <c r="E6017" i="5" s="1"/>
  <c r="E6018" i="5" s="1"/>
  <c r="E6019" i="5" s="1"/>
  <c r="E6020" i="5" s="1"/>
  <c r="E6021" i="5" s="1"/>
  <c r="E6022" i="5" s="1"/>
  <c r="E6023" i="5" s="1"/>
  <c r="E6024" i="5" s="1"/>
  <c r="E6025" i="5" s="1"/>
  <c r="E6026" i="5" s="1"/>
  <c r="E6027" i="5" s="1"/>
  <c r="E6028" i="5" s="1"/>
  <c r="E6029" i="5" s="1"/>
  <c r="E6030" i="5" s="1"/>
  <c r="E6031" i="5" s="1"/>
  <c r="E6032" i="5" s="1"/>
  <c r="E6033" i="5" s="1"/>
  <c r="E6034" i="5" s="1"/>
  <c r="E6035" i="5" s="1"/>
  <c r="E6036" i="5" s="1"/>
  <c r="E6037" i="5" s="1"/>
  <c r="E6038" i="5" s="1"/>
  <c r="E6039" i="5" s="1"/>
  <c r="E6040" i="5" s="1"/>
  <c r="E6041" i="5" s="1"/>
  <c r="E6042" i="5" s="1"/>
  <c r="E6043" i="5" s="1"/>
  <c r="E6044" i="5" s="1"/>
  <c r="E6045" i="5" s="1"/>
  <c r="E6046" i="5" s="1"/>
  <c r="E6047" i="5" s="1"/>
  <c r="E6048" i="5" s="1"/>
  <c r="E6049" i="5" s="1"/>
  <c r="E6050" i="5" s="1"/>
  <c r="E6051" i="5" s="1"/>
  <c r="E6052" i="5" s="1"/>
  <c r="E6053" i="5" s="1"/>
  <c r="E6054" i="5" s="1"/>
  <c r="E6055" i="5" s="1"/>
  <c r="E6056" i="5" s="1"/>
  <c r="E6057" i="5" s="1"/>
  <c r="E6058" i="5" s="1"/>
  <c r="E6059" i="5" s="1"/>
  <c r="E6060" i="5" s="1"/>
  <c r="E6061" i="5" s="1"/>
  <c r="E6062" i="5" s="1"/>
  <c r="E6063" i="5" s="1"/>
  <c r="E6064" i="5" s="1"/>
  <c r="E6065" i="5" s="1"/>
  <c r="E6066" i="5" s="1"/>
  <c r="E6067" i="5" s="1"/>
  <c r="E6068" i="5" s="1"/>
  <c r="E6069" i="5" s="1"/>
  <c r="E6070" i="5" s="1"/>
  <c r="E6071" i="5" s="1"/>
  <c r="E6072" i="5" s="1"/>
  <c r="E6073" i="5" s="1"/>
  <c r="E6074" i="5" s="1"/>
  <c r="E6075" i="5" s="1"/>
  <c r="E6076" i="5" s="1"/>
  <c r="E6077" i="5" s="1"/>
  <c r="E6078" i="5" s="1"/>
  <c r="E6079" i="5" s="1"/>
  <c r="E6080" i="5" s="1"/>
  <c r="E6081" i="5" s="1"/>
  <c r="E6082" i="5" s="1"/>
  <c r="E6083" i="5" s="1"/>
  <c r="E6084" i="5" s="1"/>
  <c r="E6085" i="5" s="1"/>
  <c r="E6086" i="5" s="1"/>
  <c r="E6087" i="5" s="1"/>
  <c r="E6088" i="5" s="1"/>
  <c r="E6089" i="5" s="1"/>
  <c r="E6090" i="5" s="1"/>
  <c r="E6091" i="5" s="1"/>
  <c r="E6092" i="5" s="1"/>
  <c r="E6093" i="5" s="1"/>
  <c r="E6094" i="5" s="1"/>
  <c r="E6095" i="5" s="1"/>
  <c r="E6096" i="5" s="1"/>
  <c r="E6097" i="5" s="1"/>
  <c r="E6098" i="5" s="1"/>
  <c r="E6099" i="5" s="1"/>
  <c r="E6100" i="5" s="1"/>
  <c r="E6101" i="5" s="1"/>
  <c r="E6102" i="5" s="1"/>
  <c r="E6103" i="5" s="1"/>
  <c r="E6104" i="5" s="1"/>
  <c r="E6105" i="5" s="1"/>
  <c r="E6106" i="5" s="1"/>
  <c r="E6107" i="5" s="1"/>
  <c r="E6108" i="5" s="1"/>
  <c r="E6109" i="5" s="1"/>
  <c r="E6110" i="5" s="1"/>
  <c r="E6111" i="5" s="1"/>
  <c r="E6112" i="5" s="1"/>
  <c r="E6113" i="5" s="1"/>
  <c r="E6114" i="5" s="1"/>
  <c r="E6115" i="5" s="1"/>
  <c r="E6116" i="5" s="1"/>
  <c r="E6117" i="5" s="1"/>
  <c r="E6118" i="5" s="1"/>
  <c r="E6119" i="5" s="1"/>
  <c r="E6120" i="5" s="1"/>
  <c r="E6121" i="5" s="1"/>
  <c r="E6122" i="5" s="1"/>
  <c r="E6123" i="5" s="1"/>
  <c r="E6124" i="5" s="1"/>
  <c r="E6125" i="5" s="1"/>
  <c r="E6126" i="5" s="1"/>
  <c r="E6127" i="5" s="1"/>
  <c r="E6128" i="5" s="1"/>
  <c r="E6129" i="5" s="1"/>
  <c r="E6130" i="5" s="1"/>
  <c r="E6131" i="5" s="1"/>
  <c r="E6132" i="5" s="1"/>
  <c r="E6133" i="5" s="1"/>
  <c r="E6134" i="5" s="1"/>
  <c r="E6135" i="5" s="1"/>
  <c r="E6136" i="5" s="1"/>
  <c r="E6137" i="5" s="1"/>
  <c r="E6138" i="5" s="1"/>
  <c r="E6139" i="5" s="1"/>
  <c r="E6140" i="5" s="1"/>
  <c r="E6141" i="5" s="1"/>
  <c r="E6142" i="5" s="1"/>
  <c r="E6143" i="5" s="1"/>
  <c r="E6144" i="5" s="1"/>
  <c r="E6145" i="5" s="1"/>
  <c r="E6146" i="5" s="1"/>
  <c r="E6147" i="5" s="1"/>
  <c r="E6148" i="5" s="1"/>
  <c r="E6149" i="5" s="1"/>
  <c r="E6150" i="5" s="1"/>
  <c r="E6151" i="5" s="1"/>
  <c r="E6152" i="5" s="1"/>
  <c r="E6153" i="5" s="1"/>
  <c r="E6154" i="5" s="1"/>
  <c r="E6155" i="5" s="1"/>
  <c r="E6156" i="5" s="1"/>
  <c r="E6157" i="5" s="1"/>
  <c r="E6158" i="5" s="1"/>
  <c r="E6159" i="5" s="1"/>
  <c r="E6160" i="5" s="1"/>
  <c r="E6161" i="5" s="1"/>
  <c r="E6162" i="5" s="1"/>
  <c r="E6163" i="5" s="1"/>
  <c r="E6164" i="5" s="1"/>
  <c r="E6165" i="5" s="1"/>
  <c r="E6166" i="5" s="1"/>
  <c r="E6167" i="5" s="1"/>
  <c r="E6168" i="5" s="1"/>
  <c r="E6169" i="5" s="1"/>
  <c r="E6170" i="5" s="1"/>
  <c r="E6171" i="5" s="1"/>
  <c r="E6172" i="5" s="1"/>
  <c r="E6173" i="5" s="1"/>
  <c r="E6174" i="5" s="1"/>
  <c r="E6175" i="5" s="1"/>
  <c r="E6176" i="5" s="1"/>
  <c r="E6177" i="5" s="1"/>
  <c r="E6178" i="5" s="1"/>
  <c r="E6179" i="5" s="1"/>
  <c r="E6180" i="5" s="1"/>
  <c r="E6181" i="5" s="1"/>
  <c r="E6182" i="5" s="1"/>
  <c r="E6183" i="5" s="1"/>
  <c r="E6184" i="5" s="1"/>
  <c r="E6185" i="5" s="1"/>
  <c r="E6186" i="5" s="1"/>
  <c r="E6187" i="5" s="1"/>
  <c r="E6188" i="5" s="1"/>
  <c r="E6189" i="5" s="1"/>
  <c r="E6190" i="5" s="1"/>
  <c r="E6191" i="5" s="1"/>
  <c r="E6192" i="5" s="1"/>
  <c r="E6193" i="5" s="1"/>
  <c r="E6194" i="5" s="1"/>
  <c r="E6195" i="5" s="1"/>
  <c r="E6196" i="5" s="1"/>
  <c r="E6197" i="5" s="1"/>
  <c r="E6198" i="5" s="1"/>
  <c r="E6199" i="5" s="1"/>
  <c r="E6200" i="5" s="1"/>
  <c r="E6201" i="5" s="1"/>
  <c r="E6202" i="5" s="1"/>
  <c r="E6203" i="5" s="1"/>
  <c r="E6204" i="5" s="1"/>
  <c r="E6205" i="5" s="1"/>
  <c r="E6206" i="5" s="1"/>
  <c r="E6207" i="5" s="1"/>
  <c r="E6208" i="5" s="1"/>
  <c r="E6209" i="5" s="1"/>
  <c r="E6210" i="5" s="1"/>
  <c r="E6211" i="5" s="1"/>
  <c r="E6212" i="5" s="1"/>
  <c r="E6213" i="5" s="1"/>
  <c r="E6214" i="5" s="1"/>
  <c r="E6215" i="5" s="1"/>
  <c r="E6216" i="5" s="1"/>
  <c r="E6217" i="5" s="1"/>
  <c r="E6218" i="5" s="1"/>
  <c r="E6219" i="5" s="1"/>
  <c r="E6220" i="5" s="1"/>
  <c r="E6221" i="5" s="1"/>
  <c r="E6222" i="5" s="1"/>
  <c r="E6223" i="5" s="1"/>
  <c r="E6224" i="5" s="1"/>
  <c r="E6225" i="5" s="1"/>
  <c r="E6226" i="5" s="1"/>
  <c r="E6227" i="5" s="1"/>
  <c r="E6228" i="5" s="1"/>
  <c r="E6229" i="5" s="1"/>
  <c r="E6230" i="5" s="1"/>
  <c r="E6231" i="5" s="1"/>
  <c r="E6232" i="5" s="1"/>
  <c r="E6233" i="5" s="1"/>
  <c r="E6234" i="5" s="1"/>
  <c r="E6235" i="5" s="1"/>
  <c r="E6236" i="5" s="1"/>
  <c r="E6237" i="5" s="1"/>
  <c r="E6238" i="5" s="1"/>
  <c r="E6239" i="5" s="1"/>
  <c r="E6240" i="5" s="1"/>
  <c r="E6241" i="5" s="1"/>
  <c r="E6242" i="5" s="1"/>
  <c r="E6243" i="5" s="1"/>
  <c r="E6244" i="5" s="1"/>
  <c r="E6245" i="5" s="1"/>
  <c r="E6246" i="5" s="1"/>
  <c r="E6247" i="5" s="1"/>
  <c r="E6248" i="5" s="1"/>
  <c r="E6249" i="5" s="1"/>
  <c r="E6250" i="5" s="1"/>
  <c r="E6251" i="5" s="1"/>
  <c r="E6252" i="5" s="1"/>
  <c r="E6253" i="5" s="1"/>
  <c r="E6254" i="5" s="1"/>
  <c r="E6255" i="5" s="1"/>
  <c r="E6256" i="5" s="1"/>
  <c r="E6257" i="5" s="1"/>
  <c r="E6258" i="5" s="1"/>
  <c r="E6259" i="5" s="1"/>
  <c r="E6260" i="5" s="1"/>
  <c r="E6261" i="5" s="1"/>
  <c r="E6262" i="5" s="1"/>
  <c r="E6263" i="5" s="1"/>
  <c r="E6264" i="5" s="1"/>
  <c r="E6265" i="5" s="1"/>
  <c r="E6266" i="5" s="1"/>
  <c r="E6267" i="5" s="1"/>
  <c r="E6268" i="5" s="1"/>
  <c r="E6269" i="5" s="1"/>
  <c r="E6270" i="5" s="1"/>
  <c r="E6271" i="5" s="1"/>
  <c r="E6272" i="5" s="1"/>
  <c r="E6273" i="5" s="1"/>
  <c r="E6274" i="5" s="1"/>
  <c r="E6275" i="5" s="1"/>
  <c r="E6276" i="5" s="1"/>
  <c r="E6277" i="5" s="1"/>
  <c r="E6278" i="5" s="1"/>
  <c r="E6279" i="5" s="1"/>
  <c r="E6280" i="5" s="1"/>
  <c r="E6281" i="5" s="1"/>
  <c r="E6282" i="5" s="1"/>
  <c r="E6283" i="5" s="1"/>
  <c r="E6284" i="5" s="1"/>
  <c r="E6285" i="5" s="1"/>
  <c r="E6286" i="5" s="1"/>
  <c r="E6287" i="5" s="1"/>
  <c r="E6288" i="5" s="1"/>
  <c r="E6289" i="5" s="1"/>
  <c r="E6290" i="5" s="1"/>
  <c r="E6291" i="5" s="1"/>
  <c r="E6292" i="5" s="1"/>
  <c r="E6293" i="5" s="1"/>
  <c r="E6294" i="5" s="1"/>
  <c r="E6295" i="5" s="1"/>
  <c r="E6296" i="5" s="1"/>
  <c r="E6297" i="5" s="1"/>
  <c r="E6298" i="5" s="1"/>
  <c r="E6299" i="5" s="1"/>
  <c r="E6300" i="5" s="1"/>
  <c r="E6301" i="5" s="1"/>
  <c r="E6302" i="5" s="1"/>
  <c r="E6303" i="5" s="1"/>
  <c r="E6304" i="5" s="1"/>
  <c r="E6305" i="5" s="1"/>
  <c r="E6306" i="5" s="1"/>
  <c r="E6307" i="5" s="1"/>
  <c r="E6308" i="5" s="1"/>
  <c r="E6309" i="5" s="1"/>
  <c r="E6310" i="5" s="1"/>
  <c r="E6311" i="5" s="1"/>
  <c r="E6312" i="5" s="1"/>
  <c r="E6313" i="5" s="1"/>
  <c r="E6314" i="5" s="1"/>
  <c r="E6315" i="5" s="1"/>
  <c r="E6316" i="5" s="1"/>
  <c r="E6317" i="5" s="1"/>
  <c r="E6318" i="5" s="1"/>
  <c r="E6319" i="5" s="1"/>
  <c r="E6320" i="5" s="1"/>
  <c r="E6321" i="5" s="1"/>
  <c r="E6322" i="5" s="1"/>
  <c r="E6323" i="5" s="1"/>
  <c r="E6324" i="5" s="1"/>
  <c r="E6325" i="5" s="1"/>
  <c r="E6326" i="5" s="1"/>
  <c r="E6327" i="5" s="1"/>
  <c r="E6328" i="5" s="1"/>
  <c r="E6329" i="5" s="1"/>
  <c r="E6330" i="5" s="1"/>
  <c r="E6331" i="5" s="1"/>
  <c r="E6332" i="5" s="1"/>
  <c r="E6333" i="5" s="1"/>
  <c r="E6334" i="5" s="1"/>
  <c r="E6335" i="5" s="1"/>
  <c r="E6336" i="5" s="1"/>
  <c r="E6337" i="5" s="1"/>
  <c r="E6338" i="5" s="1"/>
  <c r="E6339" i="5" s="1"/>
  <c r="E6340" i="5" s="1"/>
  <c r="E6341" i="5" s="1"/>
  <c r="E6342" i="5" s="1"/>
  <c r="E6343" i="5" s="1"/>
  <c r="E6344" i="5" s="1"/>
  <c r="E6345" i="5" s="1"/>
  <c r="E6346" i="5" s="1"/>
  <c r="E6347" i="5" s="1"/>
  <c r="E6348" i="5" s="1"/>
  <c r="E6349" i="5" s="1"/>
  <c r="E6350" i="5" s="1"/>
  <c r="E6351" i="5" s="1"/>
  <c r="E6352" i="5" s="1"/>
  <c r="E6353" i="5" s="1"/>
  <c r="E6354" i="5" s="1"/>
  <c r="E6355" i="5" s="1"/>
  <c r="E6356" i="5" s="1"/>
  <c r="E6357" i="5" s="1"/>
  <c r="E6358" i="5" s="1"/>
  <c r="E6359" i="5" s="1"/>
  <c r="E6360" i="5" s="1"/>
  <c r="E6361" i="5" s="1"/>
  <c r="E6362" i="5" s="1"/>
  <c r="E6363" i="5" s="1"/>
  <c r="E6364" i="5" s="1"/>
  <c r="E6365" i="5" s="1"/>
  <c r="E6366" i="5" s="1"/>
  <c r="E6367" i="5" s="1"/>
  <c r="E6368" i="5" s="1"/>
  <c r="E6369" i="5" s="1"/>
  <c r="E6370" i="5" s="1"/>
  <c r="E6371" i="5" s="1"/>
  <c r="E6372" i="5" s="1"/>
  <c r="E6373" i="5" s="1"/>
  <c r="E6374" i="5" s="1"/>
  <c r="E6375" i="5" s="1"/>
  <c r="E6376" i="5" s="1"/>
  <c r="E6377" i="5" s="1"/>
  <c r="E6378" i="5" s="1"/>
  <c r="E6379" i="5" s="1"/>
  <c r="E6380" i="5" s="1"/>
  <c r="E6381" i="5" s="1"/>
  <c r="E6382" i="5" s="1"/>
  <c r="E6383" i="5" s="1"/>
  <c r="E6384" i="5" s="1"/>
  <c r="E6385" i="5" s="1"/>
  <c r="E6386" i="5" s="1"/>
  <c r="E6387" i="5" s="1"/>
  <c r="E6388" i="5" s="1"/>
  <c r="E6389" i="5" s="1"/>
  <c r="E6390" i="5" s="1"/>
  <c r="E6391" i="5" s="1"/>
  <c r="E6392" i="5" s="1"/>
  <c r="E6393" i="5" s="1"/>
  <c r="E6394" i="5" s="1"/>
  <c r="E6395" i="5" s="1"/>
  <c r="E6396" i="5" s="1"/>
  <c r="E6397" i="5" s="1"/>
  <c r="E6398" i="5" s="1"/>
  <c r="E6399" i="5" s="1"/>
  <c r="E6400" i="5" s="1"/>
  <c r="E6401" i="5" s="1"/>
  <c r="E6402" i="5" s="1"/>
  <c r="E6403" i="5" s="1"/>
  <c r="E6404" i="5" s="1"/>
  <c r="E6405" i="5" s="1"/>
  <c r="E6406" i="5" s="1"/>
  <c r="E6407" i="5" s="1"/>
  <c r="E6408" i="5" s="1"/>
  <c r="E6409" i="5" s="1"/>
  <c r="E6410" i="5" s="1"/>
  <c r="E6411" i="5" s="1"/>
  <c r="E6412" i="5" s="1"/>
  <c r="E6413" i="5" s="1"/>
  <c r="E6414" i="5" s="1"/>
  <c r="E6415" i="5" s="1"/>
  <c r="E6416" i="5" s="1"/>
  <c r="E6417" i="5" s="1"/>
  <c r="E6418" i="5" s="1"/>
  <c r="E6419" i="5" s="1"/>
  <c r="E6420" i="5" s="1"/>
  <c r="E6421" i="5" s="1"/>
  <c r="E6422" i="5" s="1"/>
  <c r="E6423" i="5" s="1"/>
  <c r="E6424" i="5" s="1"/>
  <c r="E6425" i="5" s="1"/>
  <c r="E6426" i="5" s="1"/>
  <c r="E6427" i="5" s="1"/>
  <c r="E6428" i="5" s="1"/>
  <c r="E6429" i="5" s="1"/>
  <c r="E6430" i="5" s="1"/>
  <c r="E6431" i="5" s="1"/>
  <c r="E6432" i="5" s="1"/>
  <c r="E6433" i="5" s="1"/>
  <c r="E6434" i="5" s="1"/>
  <c r="E6435" i="5" s="1"/>
  <c r="E6436" i="5" s="1"/>
  <c r="E6437" i="5" s="1"/>
  <c r="E6438" i="5" s="1"/>
  <c r="E6439" i="5" s="1"/>
  <c r="E6440" i="5" s="1"/>
  <c r="E6441" i="5" s="1"/>
  <c r="E6442" i="5" s="1"/>
  <c r="E6443" i="5" s="1"/>
  <c r="E6444" i="5" s="1"/>
  <c r="E6445" i="5" s="1"/>
  <c r="E6446" i="5" s="1"/>
  <c r="E6447" i="5" s="1"/>
  <c r="E6448" i="5" s="1"/>
  <c r="E6449" i="5" s="1"/>
  <c r="E6450" i="5" s="1"/>
  <c r="E6451" i="5" s="1"/>
  <c r="E6452" i="5" s="1"/>
  <c r="E6453" i="5" s="1"/>
  <c r="E6454" i="5" s="1"/>
  <c r="E6455" i="5" s="1"/>
  <c r="E6456" i="5" s="1"/>
  <c r="E6457" i="5" s="1"/>
  <c r="E6458" i="5" s="1"/>
  <c r="E6459" i="5" s="1"/>
  <c r="E6460" i="5" s="1"/>
  <c r="E6461" i="5" s="1"/>
  <c r="E6462" i="5" s="1"/>
  <c r="E6463" i="5" s="1"/>
  <c r="E6464" i="5" s="1"/>
  <c r="E6465" i="5" s="1"/>
  <c r="E6466" i="5" s="1"/>
  <c r="E6467" i="5" s="1"/>
  <c r="E6468" i="5" s="1"/>
  <c r="E6469" i="5" s="1"/>
  <c r="E6470" i="5" s="1"/>
  <c r="E6471" i="5" s="1"/>
  <c r="E6472" i="5" s="1"/>
  <c r="E6473" i="5" s="1"/>
  <c r="E6474" i="5" s="1"/>
  <c r="E6475" i="5" s="1"/>
  <c r="E6476" i="5" s="1"/>
  <c r="E6477" i="5" s="1"/>
  <c r="E6478" i="5" s="1"/>
  <c r="E6479" i="5" s="1"/>
  <c r="E6480" i="5" s="1"/>
  <c r="E6481" i="5" s="1"/>
  <c r="E6482" i="5" s="1"/>
  <c r="E6483" i="5" s="1"/>
  <c r="E6484" i="5" s="1"/>
  <c r="E6485" i="5" s="1"/>
  <c r="E6486" i="5" s="1"/>
  <c r="E6487" i="5" s="1"/>
  <c r="E6488" i="5" s="1"/>
  <c r="E6489" i="5" s="1"/>
  <c r="E6490" i="5" s="1"/>
  <c r="E6491" i="5" s="1"/>
  <c r="E6492" i="5" s="1"/>
  <c r="E6493" i="5" s="1"/>
  <c r="E6494" i="5" s="1"/>
  <c r="E6495" i="5" s="1"/>
  <c r="E6496" i="5" s="1"/>
  <c r="E6497" i="5" s="1"/>
  <c r="E6498" i="5" s="1"/>
  <c r="E6499" i="5" s="1"/>
  <c r="E6500" i="5" s="1"/>
  <c r="E6501" i="5" s="1"/>
  <c r="E6502" i="5" s="1"/>
  <c r="E6503" i="5" s="1"/>
  <c r="E6504" i="5" s="1"/>
  <c r="E6505" i="5" s="1"/>
  <c r="E6506" i="5" s="1"/>
  <c r="E6507" i="5" s="1"/>
  <c r="E6508" i="5" s="1"/>
  <c r="E6509" i="5" s="1"/>
  <c r="E6510" i="5" s="1"/>
  <c r="E6511" i="5" s="1"/>
  <c r="E6512" i="5" s="1"/>
  <c r="E6513" i="5" s="1"/>
  <c r="E6514" i="5" s="1"/>
  <c r="E6515" i="5" s="1"/>
  <c r="E6516" i="5" s="1"/>
  <c r="E6517" i="5" s="1"/>
  <c r="E6518" i="5" s="1"/>
  <c r="E6519" i="5" s="1"/>
  <c r="E6520" i="5" s="1"/>
  <c r="E6521" i="5" s="1"/>
  <c r="E6522" i="5" s="1"/>
  <c r="E6523" i="5" s="1"/>
  <c r="E6524" i="5" s="1"/>
  <c r="E6525" i="5" s="1"/>
  <c r="E6526" i="5" s="1"/>
  <c r="E6527" i="5" s="1"/>
  <c r="E6528" i="5" s="1"/>
  <c r="E6529" i="5" s="1"/>
  <c r="E6530" i="5" s="1"/>
  <c r="E6531" i="5" s="1"/>
  <c r="E6532" i="5" s="1"/>
  <c r="E6533" i="5" s="1"/>
  <c r="E6534" i="5" s="1"/>
  <c r="E6535" i="5" s="1"/>
  <c r="E6536" i="5" s="1"/>
  <c r="E6537" i="5" s="1"/>
  <c r="E6538" i="5" s="1"/>
  <c r="E6539" i="5" s="1"/>
  <c r="E6540" i="5" s="1"/>
  <c r="E6541" i="5" s="1"/>
  <c r="E6542" i="5" s="1"/>
  <c r="E6543" i="5" s="1"/>
  <c r="E6544" i="5" s="1"/>
  <c r="E6545" i="5" s="1"/>
  <c r="E6546" i="5" s="1"/>
  <c r="E6547" i="5" s="1"/>
  <c r="E6548" i="5" s="1"/>
  <c r="E6549" i="5" s="1"/>
  <c r="E6550" i="5" s="1"/>
  <c r="E6551" i="5" s="1"/>
  <c r="E6552" i="5" s="1"/>
  <c r="E6553" i="5" s="1"/>
  <c r="E6554" i="5" s="1"/>
  <c r="E6555" i="5" s="1"/>
  <c r="E6556" i="5" s="1"/>
  <c r="E6557" i="5" s="1"/>
  <c r="E6558" i="5" s="1"/>
  <c r="E6559" i="5" s="1"/>
  <c r="E6560" i="5" s="1"/>
  <c r="E6561" i="5" s="1"/>
  <c r="E6562" i="5" s="1"/>
  <c r="E6563" i="5" s="1"/>
  <c r="E6564" i="5" s="1"/>
  <c r="E6565" i="5" s="1"/>
  <c r="E6566" i="5" s="1"/>
  <c r="E6567" i="5" s="1"/>
  <c r="E6568" i="5" s="1"/>
  <c r="E6569" i="5" s="1"/>
  <c r="E6570" i="5" s="1"/>
  <c r="E6571" i="5" s="1"/>
  <c r="E6572" i="5" s="1"/>
  <c r="E6573" i="5" s="1"/>
  <c r="E6574" i="5" s="1"/>
  <c r="E6575" i="5" s="1"/>
  <c r="E6576" i="5" s="1"/>
  <c r="E6577" i="5" s="1"/>
  <c r="E6578" i="5" s="1"/>
  <c r="E6579" i="5" s="1"/>
  <c r="E6580" i="5" s="1"/>
  <c r="E6581" i="5" s="1"/>
  <c r="E6582" i="5" s="1"/>
  <c r="E6583" i="5" s="1"/>
  <c r="E6584" i="5" s="1"/>
  <c r="E6585" i="5" s="1"/>
  <c r="E6586" i="5" s="1"/>
  <c r="E6587" i="5" s="1"/>
  <c r="E6588" i="5" s="1"/>
  <c r="E6589" i="5" s="1"/>
  <c r="E6590" i="5" s="1"/>
  <c r="E6591" i="5" s="1"/>
  <c r="E6592" i="5" s="1"/>
  <c r="E6593" i="5" s="1"/>
  <c r="E6594" i="5" s="1"/>
  <c r="E6595" i="5" s="1"/>
  <c r="E6596" i="5" s="1"/>
  <c r="E6597" i="5" s="1"/>
  <c r="E6598" i="5" s="1"/>
  <c r="E6599" i="5" s="1"/>
  <c r="E6600" i="5" s="1"/>
  <c r="E6601" i="5" s="1"/>
  <c r="E6602" i="5" s="1"/>
  <c r="E6603" i="5" s="1"/>
  <c r="E6604" i="5" s="1"/>
  <c r="E6605" i="5" s="1"/>
  <c r="E6606" i="5" s="1"/>
  <c r="E6607" i="5" s="1"/>
  <c r="E6608" i="5" s="1"/>
  <c r="E6609" i="5" s="1"/>
  <c r="E6610" i="5" s="1"/>
  <c r="E6611" i="5" s="1"/>
  <c r="E6612" i="5" s="1"/>
  <c r="E6613" i="5" s="1"/>
  <c r="E6614" i="5" s="1"/>
  <c r="E6615" i="5" s="1"/>
  <c r="E6616" i="5" s="1"/>
  <c r="E6617" i="5" s="1"/>
  <c r="E6618" i="5" s="1"/>
  <c r="E6619" i="5" s="1"/>
  <c r="E6620" i="5" s="1"/>
  <c r="E6621" i="5" s="1"/>
  <c r="E6622" i="5" s="1"/>
  <c r="E6623" i="5" s="1"/>
  <c r="E6624" i="5" s="1"/>
  <c r="E6625" i="5" s="1"/>
  <c r="E6626" i="5" s="1"/>
  <c r="E6627" i="5" s="1"/>
  <c r="E6628" i="5" s="1"/>
  <c r="E6629" i="5" s="1"/>
  <c r="E6630" i="5" s="1"/>
  <c r="E6631" i="5" s="1"/>
  <c r="E6632" i="5" s="1"/>
  <c r="E6633" i="5" s="1"/>
  <c r="E6634" i="5" s="1"/>
  <c r="E6635" i="5" s="1"/>
  <c r="E6636" i="5" s="1"/>
  <c r="E6637" i="5" s="1"/>
  <c r="E6638" i="5" s="1"/>
  <c r="E6639" i="5" s="1"/>
  <c r="E6640" i="5" s="1"/>
  <c r="E6641" i="5" s="1"/>
  <c r="E6642" i="5" s="1"/>
  <c r="E6643" i="5" s="1"/>
  <c r="E6644" i="5" s="1"/>
  <c r="E6645" i="5" s="1"/>
  <c r="E6646" i="5" s="1"/>
  <c r="E6647" i="5" s="1"/>
  <c r="E6648" i="5" s="1"/>
  <c r="E6649" i="5" s="1"/>
  <c r="E6650" i="5" s="1"/>
  <c r="E6651" i="5" s="1"/>
  <c r="E6652" i="5" s="1"/>
  <c r="E6653" i="5" s="1"/>
  <c r="E6654" i="5" s="1"/>
  <c r="E6655" i="5" s="1"/>
  <c r="E6656" i="5" s="1"/>
  <c r="E6657" i="5" s="1"/>
  <c r="E6658" i="5" s="1"/>
  <c r="E6659" i="5" s="1"/>
  <c r="E6660" i="5" s="1"/>
  <c r="E6661" i="5" s="1"/>
  <c r="E6662" i="5" s="1"/>
  <c r="E6663" i="5" s="1"/>
  <c r="E6664" i="5" s="1"/>
  <c r="E6665" i="5" s="1"/>
  <c r="E6666" i="5" s="1"/>
  <c r="E6667" i="5" s="1"/>
  <c r="E6668" i="5" s="1"/>
  <c r="E6669" i="5" s="1"/>
  <c r="E6670" i="5" s="1"/>
  <c r="E6671" i="5" s="1"/>
  <c r="E6672" i="5" s="1"/>
  <c r="E6673" i="5" s="1"/>
  <c r="E6674" i="5" s="1"/>
  <c r="E6675" i="5" s="1"/>
  <c r="E6676" i="5" s="1"/>
  <c r="E6677" i="5" s="1"/>
  <c r="E6678" i="5" s="1"/>
  <c r="E6679" i="5" s="1"/>
  <c r="E6680" i="5" s="1"/>
  <c r="E6681" i="5" s="1"/>
  <c r="E6682" i="5" s="1"/>
  <c r="E6683" i="5" s="1"/>
  <c r="E6684" i="5" s="1"/>
  <c r="E6685" i="5" s="1"/>
  <c r="E6686" i="5" s="1"/>
  <c r="E6687" i="5" s="1"/>
  <c r="E6688" i="5" s="1"/>
  <c r="E6689" i="5" s="1"/>
  <c r="E6690" i="5" s="1"/>
  <c r="E6691" i="5" s="1"/>
  <c r="E6692" i="5" s="1"/>
  <c r="E6693" i="5" s="1"/>
  <c r="E6694" i="5" s="1"/>
  <c r="E6695" i="5" s="1"/>
  <c r="E6696" i="5" s="1"/>
  <c r="E6697" i="5" s="1"/>
  <c r="E6698" i="5" s="1"/>
  <c r="E6699" i="5" s="1"/>
  <c r="E6700" i="5" s="1"/>
  <c r="E6701" i="5" s="1"/>
  <c r="E6702" i="5" s="1"/>
  <c r="E6703" i="5" s="1"/>
  <c r="E6704" i="5" s="1"/>
  <c r="E6705" i="5" s="1"/>
  <c r="E6706" i="5" s="1"/>
  <c r="E6707" i="5" s="1"/>
  <c r="E6708" i="5" s="1"/>
  <c r="E6709" i="5" s="1"/>
  <c r="E6710" i="5" s="1"/>
  <c r="E6711" i="5" s="1"/>
  <c r="E6712" i="5" s="1"/>
  <c r="E6713" i="5" s="1"/>
  <c r="E6714" i="5" s="1"/>
  <c r="E6715" i="5" s="1"/>
  <c r="E6716" i="5" s="1"/>
  <c r="E6717" i="5" s="1"/>
  <c r="E6718" i="5" s="1"/>
  <c r="E6719" i="5" s="1"/>
  <c r="E6720" i="5" s="1"/>
  <c r="E6721" i="5" s="1"/>
  <c r="E6722" i="5" s="1"/>
  <c r="E6723" i="5" s="1"/>
  <c r="E6724" i="5" s="1"/>
  <c r="E6725" i="5" s="1"/>
  <c r="E6726" i="5" s="1"/>
  <c r="E6727" i="5" s="1"/>
  <c r="E6728" i="5" s="1"/>
  <c r="E6729" i="5" s="1"/>
  <c r="E6730" i="5" s="1"/>
  <c r="E6731" i="5" s="1"/>
  <c r="E6732" i="5" s="1"/>
  <c r="E6733" i="5" s="1"/>
  <c r="E6734" i="5" s="1"/>
  <c r="E6735" i="5" s="1"/>
  <c r="E6736" i="5" s="1"/>
  <c r="E6737" i="5" s="1"/>
  <c r="E6738" i="5" s="1"/>
  <c r="E6739" i="5" s="1"/>
  <c r="E6740" i="5" s="1"/>
  <c r="E6741" i="5" s="1"/>
  <c r="E6742" i="5" s="1"/>
  <c r="E6743" i="5" s="1"/>
  <c r="E6744" i="5" s="1"/>
  <c r="E6745" i="5" s="1"/>
  <c r="E6746" i="5" s="1"/>
  <c r="E6747" i="5" s="1"/>
  <c r="E6748" i="5" s="1"/>
  <c r="E6749" i="5" s="1"/>
  <c r="E6750" i="5" s="1"/>
  <c r="E6751" i="5" s="1"/>
  <c r="E6752" i="5" s="1"/>
  <c r="E6753" i="5" s="1"/>
  <c r="E6754" i="5" s="1"/>
  <c r="E6755" i="5" s="1"/>
  <c r="E6756" i="5" s="1"/>
  <c r="E6757" i="5" s="1"/>
  <c r="E6758" i="5" s="1"/>
  <c r="E6759" i="5" s="1"/>
  <c r="E6760" i="5" s="1"/>
  <c r="E6761" i="5" s="1"/>
  <c r="E6762" i="5" s="1"/>
  <c r="E6763" i="5" s="1"/>
  <c r="E6764" i="5" s="1"/>
  <c r="E6765" i="5" s="1"/>
  <c r="E6766" i="5" s="1"/>
  <c r="E6767" i="5" s="1"/>
  <c r="E6768" i="5" s="1"/>
  <c r="E6769" i="5" s="1"/>
  <c r="E6770" i="5" s="1"/>
  <c r="E6771" i="5" s="1"/>
  <c r="E6772" i="5" s="1"/>
  <c r="E6773" i="5" s="1"/>
  <c r="E6774" i="5" s="1"/>
  <c r="E6775" i="5" s="1"/>
  <c r="E6776" i="5" s="1"/>
  <c r="E6777" i="5" s="1"/>
  <c r="E6778" i="5" s="1"/>
  <c r="E6779" i="5" s="1"/>
  <c r="E6780" i="5" s="1"/>
  <c r="E6781" i="5" s="1"/>
  <c r="E6782" i="5" s="1"/>
  <c r="E6783" i="5" s="1"/>
  <c r="E6784" i="5" s="1"/>
  <c r="E6785" i="5" s="1"/>
  <c r="E6786" i="5" s="1"/>
  <c r="E6787" i="5" s="1"/>
  <c r="E6788" i="5" s="1"/>
  <c r="E6789" i="5" s="1"/>
  <c r="E6790" i="5" s="1"/>
  <c r="E6791" i="5" s="1"/>
  <c r="E6792" i="5" s="1"/>
  <c r="E6793" i="5" s="1"/>
  <c r="E6794" i="5" s="1"/>
  <c r="E6795" i="5" s="1"/>
  <c r="E6796" i="5" s="1"/>
  <c r="E6797" i="5" s="1"/>
  <c r="E6798" i="5" s="1"/>
  <c r="E6799" i="5" s="1"/>
  <c r="E6800" i="5" s="1"/>
  <c r="E6801" i="5" s="1"/>
  <c r="E6802" i="5" s="1"/>
  <c r="E6803" i="5" s="1"/>
  <c r="E6804" i="5" s="1"/>
  <c r="E6805" i="5" s="1"/>
  <c r="E6806" i="5" s="1"/>
  <c r="E6807" i="5" s="1"/>
  <c r="E6808" i="5" s="1"/>
  <c r="E6809" i="5" s="1"/>
  <c r="E6810" i="5" s="1"/>
  <c r="E6811" i="5" s="1"/>
  <c r="E6812" i="5" s="1"/>
  <c r="E6813" i="5" s="1"/>
  <c r="E6814" i="5" s="1"/>
  <c r="E6815" i="5" s="1"/>
  <c r="E6816" i="5" s="1"/>
  <c r="E6817" i="5" s="1"/>
  <c r="E6818" i="5" s="1"/>
  <c r="E6819" i="5" s="1"/>
  <c r="E6820" i="5" s="1"/>
  <c r="E6821" i="5" s="1"/>
  <c r="E6822" i="5" s="1"/>
  <c r="E6823" i="5" s="1"/>
  <c r="E6824" i="5" s="1"/>
  <c r="E6825" i="5" s="1"/>
  <c r="E6826" i="5" s="1"/>
  <c r="E6827" i="5" s="1"/>
  <c r="E6828" i="5" s="1"/>
  <c r="E6829" i="5" s="1"/>
  <c r="E6830" i="5" s="1"/>
  <c r="E6831" i="5" s="1"/>
  <c r="E6832" i="5" s="1"/>
  <c r="E6833" i="5" s="1"/>
  <c r="E6834" i="5" s="1"/>
  <c r="E6835" i="5" s="1"/>
  <c r="E6836" i="5" s="1"/>
  <c r="E6837" i="5" s="1"/>
  <c r="E6838" i="5" s="1"/>
  <c r="E6839" i="5" s="1"/>
  <c r="E6840" i="5" s="1"/>
  <c r="E6841" i="5" s="1"/>
  <c r="E6842" i="5" s="1"/>
  <c r="E6843" i="5" s="1"/>
  <c r="E6844" i="5" s="1"/>
  <c r="E6845" i="5" s="1"/>
  <c r="E6846" i="5" s="1"/>
  <c r="E6847" i="5" s="1"/>
  <c r="E6848" i="5" s="1"/>
  <c r="E6849" i="5" s="1"/>
  <c r="E6850" i="5" s="1"/>
  <c r="E6851" i="5" s="1"/>
  <c r="E6852" i="5" s="1"/>
  <c r="E6853" i="5" s="1"/>
  <c r="E6854" i="5" s="1"/>
  <c r="E6855" i="5" s="1"/>
  <c r="E6856" i="5" s="1"/>
  <c r="E6857" i="5" s="1"/>
  <c r="E6858" i="5" s="1"/>
  <c r="E6859" i="5" s="1"/>
  <c r="E6860" i="5" s="1"/>
  <c r="E6861" i="5" s="1"/>
  <c r="E6862" i="5" s="1"/>
  <c r="E6863" i="5" s="1"/>
  <c r="E6864" i="5" s="1"/>
  <c r="E6865" i="5" s="1"/>
  <c r="E6866" i="5" s="1"/>
  <c r="E6867" i="5" s="1"/>
  <c r="E6868" i="5" s="1"/>
  <c r="E6869" i="5" s="1"/>
  <c r="E6870" i="5" s="1"/>
  <c r="E6871" i="5" s="1"/>
  <c r="E6872" i="5" s="1"/>
  <c r="E6873" i="5" s="1"/>
  <c r="E6874" i="5" s="1"/>
  <c r="E6875" i="5" s="1"/>
  <c r="E6876" i="5" s="1"/>
  <c r="E6877" i="5" s="1"/>
  <c r="E6878" i="5" s="1"/>
  <c r="E6879" i="5" s="1"/>
  <c r="E6880" i="5" s="1"/>
  <c r="E6881" i="5" s="1"/>
  <c r="E6882" i="5" s="1"/>
  <c r="E6883" i="5" s="1"/>
  <c r="E6884" i="5" s="1"/>
  <c r="E6885" i="5" s="1"/>
  <c r="E6886" i="5" s="1"/>
  <c r="E6887" i="5" s="1"/>
  <c r="E6888" i="5" s="1"/>
  <c r="E6889" i="5" s="1"/>
  <c r="E6890" i="5" s="1"/>
  <c r="E6891" i="5" s="1"/>
  <c r="E6892" i="5" s="1"/>
  <c r="E6893" i="5" s="1"/>
  <c r="E6894" i="5" s="1"/>
  <c r="E6895" i="5" s="1"/>
  <c r="E6896" i="5" s="1"/>
  <c r="E6897" i="5" s="1"/>
  <c r="E6898" i="5" s="1"/>
  <c r="E6899" i="5" s="1"/>
  <c r="E6900" i="5" s="1"/>
  <c r="E6901" i="5" s="1"/>
  <c r="E6902" i="5" s="1"/>
  <c r="E6903" i="5" s="1"/>
  <c r="E6904" i="5" s="1"/>
  <c r="E6905" i="5" s="1"/>
  <c r="E6906" i="5" s="1"/>
  <c r="E6907" i="5" s="1"/>
  <c r="E6908" i="5" s="1"/>
  <c r="E6909" i="5" s="1"/>
  <c r="E6910" i="5" s="1"/>
  <c r="E6911" i="5" s="1"/>
  <c r="E6912" i="5" s="1"/>
  <c r="E6913" i="5" s="1"/>
  <c r="E6914" i="5" s="1"/>
  <c r="E6915" i="5" s="1"/>
  <c r="E6916" i="5" s="1"/>
  <c r="E6917" i="5" s="1"/>
  <c r="E6918" i="5" s="1"/>
  <c r="E6919" i="5" s="1"/>
  <c r="E6920" i="5" s="1"/>
  <c r="E6921" i="5" s="1"/>
  <c r="E6922" i="5" s="1"/>
  <c r="E6923" i="5" s="1"/>
  <c r="E6924" i="5" s="1"/>
  <c r="E6925" i="5" s="1"/>
  <c r="E6926" i="5" s="1"/>
  <c r="E6927" i="5" s="1"/>
  <c r="E6928" i="5" s="1"/>
  <c r="E6929" i="5" s="1"/>
  <c r="E6930" i="5" s="1"/>
  <c r="E6931" i="5" s="1"/>
  <c r="E6932" i="5" s="1"/>
  <c r="E6933" i="5" s="1"/>
  <c r="E6934" i="5" s="1"/>
  <c r="E6935" i="5" s="1"/>
  <c r="E6936" i="5" s="1"/>
  <c r="E6937" i="5" s="1"/>
  <c r="E6938" i="5" s="1"/>
  <c r="E6939" i="5" s="1"/>
  <c r="E6940" i="5" s="1"/>
  <c r="E6941" i="5" s="1"/>
  <c r="E6942" i="5" s="1"/>
  <c r="E6943" i="5" s="1"/>
  <c r="E6944" i="5" s="1"/>
  <c r="E6945" i="5" s="1"/>
  <c r="E6946" i="5" s="1"/>
  <c r="E6947" i="5" s="1"/>
  <c r="E6948" i="5" s="1"/>
  <c r="E6949" i="5" s="1"/>
  <c r="E6950" i="5" s="1"/>
  <c r="E6951" i="5" s="1"/>
  <c r="E6952" i="5" s="1"/>
  <c r="E6953" i="5" s="1"/>
  <c r="E6954" i="5" s="1"/>
  <c r="E6955" i="5" s="1"/>
  <c r="E6956" i="5" s="1"/>
  <c r="E6957" i="5" s="1"/>
  <c r="E6958" i="5" s="1"/>
  <c r="E6959" i="5" s="1"/>
  <c r="E6960" i="5" s="1"/>
  <c r="E6961" i="5" s="1"/>
  <c r="E6962" i="5" s="1"/>
  <c r="E6963" i="5" s="1"/>
  <c r="E6964" i="5" s="1"/>
  <c r="E6965" i="5" s="1"/>
  <c r="E6966" i="5" s="1"/>
  <c r="E6967" i="5" s="1"/>
  <c r="E6968" i="5" s="1"/>
  <c r="E6969" i="5" s="1"/>
  <c r="E6970" i="5" s="1"/>
  <c r="E6971" i="5" s="1"/>
  <c r="E6972" i="5" s="1"/>
  <c r="E6973" i="5" s="1"/>
  <c r="E6974" i="5" s="1"/>
  <c r="E6975" i="5" s="1"/>
  <c r="E6976" i="5" s="1"/>
  <c r="E6977" i="5" s="1"/>
  <c r="E6978" i="5" s="1"/>
  <c r="E6979" i="5" s="1"/>
  <c r="E6980" i="5" s="1"/>
  <c r="E6981" i="5" s="1"/>
  <c r="E6982" i="5" s="1"/>
  <c r="E6983" i="5" s="1"/>
  <c r="E6984" i="5" s="1"/>
  <c r="E6985" i="5" s="1"/>
  <c r="E6986" i="5" s="1"/>
  <c r="E6987" i="5" s="1"/>
  <c r="E6988" i="5" s="1"/>
  <c r="E6989" i="5" s="1"/>
  <c r="E6990" i="5" s="1"/>
  <c r="E6991" i="5" s="1"/>
  <c r="E6992" i="5" s="1"/>
  <c r="E6993" i="5" s="1"/>
  <c r="E6994" i="5" s="1"/>
  <c r="E6995" i="5" s="1"/>
  <c r="E6996" i="5" s="1"/>
  <c r="E6997" i="5" s="1"/>
  <c r="E6998" i="5" s="1"/>
  <c r="E6999" i="5" s="1"/>
  <c r="E7000" i="5" s="1"/>
  <c r="E7001" i="5" s="1"/>
  <c r="E7002" i="5" s="1"/>
  <c r="E7003" i="5" s="1"/>
  <c r="E7004" i="5" s="1"/>
  <c r="E7005" i="5" s="1"/>
  <c r="E7006" i="5" s="1"/>
  <c r="E7007" i="5" s="1"/>
  <c r="E7008" i="5" s="1"/>
  <c r="E7009" i="5" s="1"/>
  <c r="E7010" i="5" s="1"/>
  <c r="E7011" i="5" s="1"/>
  <c r="E7012" i="5" s="1"/>
  <c r="E7013" i="5" s="1"/>
  <c r="E7014" i="5" s="1"/>
  <c r="E7015" i="5" s="1"/>
  <c r="E7016" i="5" s="1"/>
  <c r="E7017" i="5" s="1"/>
  <c r="E7018" i="5" s="1"/>
  <c r="E7019" i="5" s="1"/>
  <c r="E7020" i="5" s="1"/>
  <c r="E7021" i="5" s="1"/>
  <c r="E7022" i="5" s="1"/>
  <c r="E7023" i="5" s="1"/>
  <c r="E7024" i="5" s="1"/>
  <c r="E7025" i="5" s="1"/>
  <c r="E7026" i="5" s="1"/>
  <c r="E7027" i="5" s="1"/>
  <c r="E7028" i="5" s="1"/>
  <c r="E7029" i="5" s="1"/>
  <c r="E7030" i="5" s="1"/>
  <c r="E7031" i="5" s="1"/>
  <c r="E7032" i="5" s="1"/>
  <c r="E7033" i="5" s="1"/>
  <c r="E7034" i="5" s="1"/>
  <c r="E7035" i="5" s="1"/>
  <c r="E7036" i="5" s="1"/>
  <c r="E7037" i="5" s="1"/>
  <c r="E7038" i="5" s="1"/>
  <c r="E7039" i="5" s="1"/>
  <c r="E7040" i="5" s="1"/>
  <c r="E7041" i="5" s="1"/>
  <c r="E7042" i="5" s="1"/>
  <c r="E7043" i="5" s="1"/>
  <c r="E7044" i="5" s="1"/>
  <c r="E7045" i="5" s="1"/>
  <c r="E7046" i="5" s="1"/>
  <c r="E7047" i="5" s="1"/>
  <c r="E7048" i="5" s="1"/>
  <c r="E7049" i="5" s="1"/>
  <c r="E7050" i="5" s="1"/>
  <c r="E7051" i="5" s="1"/>
  <c r="E7052" i="5" s="1"/>
  <c r="E7053" i="5" s="1"/>
  <c r="E7054" i="5" s="1"/>
  <c r="E7055" i="5" s="1"/>
  <c r="E7056" i="5" s="1"/>
  <c r="E7057" i="5" s="1"/>
  <c r="E7058" i="5" s="1"/>
  <c r="E7059" i="5" s="1"/>
  <c r="E7060" i="5" s="1"/>
  <c r="E7061" i="5" s="1"/>
  <c r="E7062" i="5" s="1"/>
  <c r="E7063" i="5" s="1"/>
  <c r="E7064" i="5" s="1"/>
  <c r="E7065" i="5" s="1"/>
  <c r="E7066" i="5" s="1"/>
  <c r="E7067" i="5" s="1"/>
  <c r="E7068" i="5" s="1"/>
  <c r="E7069" i="5" s="1"/>
  <c r="E7070" i="5" s="1"/>
  <c r="E7071" i="5" s="1"/>
  <c r="E7072" i="5" s="1"/>
  <c r="E7073" i="5" s="1"/>
  <c r="E7074" i="5" s="1"/>
  <c r="E7075" i="5" s="1"/>
  <c r="E7076" i="5" s="1"/>
  <c r="E7077" i="5" s="1"/>
  <c r="E7078" i="5" s="1"/>
  <c r="E7079" i="5" s="1"/>
  <c r="E7080" i="5" s="1"/>
  <c r="E7081" i="5" s="1"/>
  <c r="E7082" i="5" s="1"/>
  <c r="E7083" i="5" s="1"/>
  <c r="E7084" i="5" s="1"/>
  <c r="E7085" i="5" s="1"/>
  <c r="E7086" i="5" s="1"/>
  <c r="E7087" i="5" s="1"/>
  <c r="E7088" i="5" s="1"/>
  <c r="E7089" i="5" s="1"/>
  <c r="E7090" i="5" s="1"/>
  <c r="E7091" i="5" s="1"/>
  <c r="E7092" i="5" s="1"/>
  <c r="E7093" i="5" s="1"/>
  <c r="E7094" i="5" s="1"/>
  <c r="E7095" i="5" s="1"/>
  <c r="E7096" i="5" s="1"/>
  <c r="E7097" i="5" s="1"/>
  <c r="E7098" i="5" s="1"/>
  <c r="E7099" i="5" s="1"/>
  <c r="E7100" i="5" s="1"/>
  <c r="E7101" i="5" s="1"/>
  <c r="E7102" i="5" s="1"/>
  <c r="E7103" i="5" s="1"/>
  <c r="E7104" i="5" s="1"/>
  <c r="E7105" i="5" s="1"/>
  <c r="E7106" i="5" s="1"/>
  <c r="E7107" i="5" s="1"/>
  <c r="E7108" i="5" s="1"/>
  <c r="E7109" i="5" s="1"/>
  <c r="E7110" i="5" s="1"/>
  <c r="E7111" i="5" s="1"/>
  <c r="E7112" i="5" s="1"/>
  <c r="E7113" i="5" s="1"/>
  <c r="E7114" i="5" s="1"/>
  <c r="E7115" i="5" s="1"/>
  <c r="E7116" i="5" s="1"/>
  <c r="E7117" i="5" s="1"/>
  <c r="E7118" i="5" s="1"/>
  <c r="E7119" i="5" s="1"/>
  <c r="E7120" i="5" s="1"/>
  <c r="E7121" i="5" s="1"/>
  <c r="E7122" i="5" s="1"/>
  <c r="E7123" i="5" s="1"/>
  <c r="E7124" i="5" s="1"/>
  <c r="E7125" i="5" s="1"/>
  <c r="E7126" i="5" s="1"/>
  <c r="E7127" i="5" s="1"/>
  <c r="E7128" i="5" s="1"/>
  <c r="E7129" i="5" s="1"/>
  <c r="E7130" i="5" s="1"/>
  <c r="E7131" i="5" s="1"/>
  <c r="E7132" i="5" s="1"/>
  <c r="E7133" i="5" s="1"/>
  <c r="E7134" i="5" s="1"/>
  <c r="E7135" i="5" s="1"/>
  <c r="E7136" i="5" s="1"/>
  <c r="E7137" i="5" s="1"/>
  <c r="E7138" i="5" s="1"/>
  <c r="E7139" i="5" s="1"/>
  <c r="E7140" i="5" s="1"/>
  <c r="E7141" i="5" s="1"/>
  <c r="E7142" i="5" s="1"/>
  <c r="E7143" i="5" s="1"/>
  <c r="E7144" i="5" s="1"/>
  <c r="E7145" i="5" s="1"/>
  <c r="E7146" i="5" s="1"/>
  <c r="E7147" i="5" s="1"/>
  <c r="E7148" i="5" s="1"/>
  <c r="E7149" i="5" s="1"/>
  <c r="E7150" i="5" s="1"/>
  <c r="E7151" i="5" s="1"/>
  <c r="E7152" i="5" s="1"/>
  <c r="E7153" i="5" s="1"/>
  <c r="E7154" i="5" s="1"/>
  <c r="E7155" i="5" s="1"/>
  <c r="E7156" i="5" s="1"/>
  <c r="E7157" i="5" s="1"/>
  <c r="E7158" i="5" s="1"/>
  <c r="E7159" i="5" s="1"/>
  <c r="E7160" i="5" s="1"/>
  <c r="E7161" i="5" s="1"/>
  <c r="E7162" i="5" s="1"/>
  <c r="E7163" i="5" s="1"/>
  <c r="E7164" i="5" s="1"/>
  <c r="E7165" i="5" s="1"/>
  <c r="E7166" i="5" s="1"/>
  <c r="E7167" i="5" s="1"/>
  <c r="E7168" i="5" s="1"/>
  <c r="E7169" i="5" s="1"/>
  <c r="E7170" i="5" s="1"/>
  <c r="E7171" i="5" s="1"/>
  <c r="E7172" i="5" s="1"/>
  <c r="E7173" i="5" s="1"/>
  <c r="E7174" i="5" s="1"/>
  <c r="E7175" i="5" s="1"/>
  <c r="E7176" i="5" s="1"/>
  <c r="E7177" i="5" s="1"/>
  <c r="E7178" i="5" s="1"/>
  <c r="E7179" i="5" s="1"/>
  <c r="E7180" i="5" s="1"/>
  <c r="E7181" i="5" s="1"/>
  <c r="E7182" i="5" s="1"/>
  <c r="E7183" i="5" s="1"/>
  <c r="E7184" i="5" s="1"/>
  <c r="E7185" i="5" s="1"/>
  <c r="E7186" i="5" s="1"/>
  <c r="E7187" i="5" s="1"/>
  <c r="E7188" i="5" s="1"/>
  <c r="E7189" i="5" s="1"/>
  <c r="E7190" i="5" s="1"/>
  <c r="E7191" i="5" s="1"/>
  <c r="E7192" i="5" s="1"/>
  <c r="E7193" i="5" s="1"/>
  <c r="E7194" i="5" s="1"/>
  <c r="E7195" i="5" s="1"/>
  <c r="E7196" i="5" s="1"/>
  <c r="E7197" i="5" s="1"/>
  <c r="E7198" i="5" s="1"/>
  <c r="E7199" i="5" s="1"/>
  <c r="E7200" i="5" s="1"/>
  <c r="E7201" i="5" s="1"/>
  <c r="E7202" i="5" s="1"/>
  <c r="E7203" i="5" s="1"/>
  <c r="E7204" i="5" s="1"/>
  <c r="E7205" i="5" s="1"/>
  <c r="E7206" i="5" s="1"/>
  <c r="E7207" i="5" s="1"/>
  <c r="E7208" i="5" s="1"/>
  <c r="E7209" i="5" s="1"/>
  <c r="E7210" i="5" s="1"/>
  <c r="E7211" i="5" s="1"/>
  <c r="E7212" i="5" s="1"/>
  <c r="E7213" i="5" s="1"/>
  <c r="E7214" i="5" s="1"/>
  <c r="E7215" i="5" s="1"/>
  <c r="E7216" i="5" s="1"/>
  <c r="E7217" i="5" s="1"/>
  <c r="E7218" i="5" s="1"/>
  <c r="E7219" i="5" s="1"/>
  <c r="E7220" i="5" s="1"/>
  <c r="E7221" i="5" s="1"/>
  <c r="E7222" i="5" s="1"/>
  <c r="E7223" i="5" s="1"/>
  <c r="E7224" i="5" s="1"/>
  <c r="E7225" i="5" s="1"/>
  <c r="E7226" i="5" s="1"/>
  <c r="E7227" i="5" s="1"/>
  <c r="E7228" i="5" s="1"/>
  <c r="E7229" i="5" s="1"/>
  <c r="E7230" i="5" s="1"/>
  <c r="E7231" i="5" s="1"/>
  <c r="E7232" i="5" s="1"/>
  <c r="E7233" i="5" s="1"/>
  <c r="E7234" i="5" s="1"/>
  <c r="E7235" i="5" s="1"/>
  <c r="E7236" i="5" s="1"/>
  <c r="E7237" i="5" s="1"/>
  <c r="E7238" i="5" s="1"/>
  <c r="E7239" i="5" s="1"/>
  <c r="E7240" i="5" s="1"/>
  <c r="E7241" i="5" s="1"/>
  <c r="E7242" i="5" s="1"/>
  <c r="E7243" i="5" s="1"/>
  <c r="E7244" i="5" s="1"/>
  <c r="E7245" i="5" s="1"/>
  <c r="E7246" i="5" s="1"/>
  <c r="E7247" i="5" s="1"/>
  <c r="E7248" i="5" s="1"/>
  <c r="E7249" i="5" s="1"/>
  <c r="E7250" i="5" s="1"/>
  <c r="E7251" i="5" s="1"/>
  <c r="E7252" i="5" s="1"/>
  <c r="E7253" i="5" s="1"/>
  <c r="E7254" i="5" s="1"/>
  <c r="E7255" i="5" s="1"/>
  <c r="E7256" i="5" s="1"/>
  <c r="E7257" i="5" s="1"/>
  <c r="E7258" i="5" s="1"/>
  <c r="E7259" i="5" s="1"/>
  <c r="E7260" i="5" s="1"/>
  <c r="E7261" i="5" s="1"/>
  <c r="E7262" i="5" s="1"/>
  <c r="E7263" i="5" s="1"/>
  <c r="E7264" i="5" s="1"/>
  <c r="E7265" i="5" s="1"/>
  <c r="E7266" i="5" s="1"/>
  <c r="E7267" i="5" s="1"/>
  <c r="E7268" i="5" s="1"/>
  <c r="E7269" i="5" s="1"/>
  <c r="E7270" i="5" s="1"/>
  <c r="E7271" i="5" s="1"/>
  <c r="E7272" i="5" s="1"/>
  <c r="E7273" i="5" s="1"/>
  <c r="E7274" i="5" s="1"/>
  <c r="E7275" i="5" s="1"/>
  <c r="E7276" i="5" s="1"/>
  <c r="E7277" i="5" s="1"/>
  <c r="E7278" i="5" s="1"/>
  <c r="E7279" i="5" s="1"/>
  <c r="E7280" i="5" s="1"/>
  <c r="E7281" i="5" s="1"/>
  <c r="E7282" i="5" s="1"/>
  <c r="E7283" i="5" s="1"/>
  <c r="E7284" i="5" s="1"/>
  <c r="E7285" i="5" s="1"/>
  <c r="E7286" i="5" s="1"/>
  <c r="E7287" i="5" s="1"/>
  <c r="E7288" i="5" s="1"/>
  <c r="E7289" i="5" s="1"/>
  <c r="E7290" i="5" s="1"/>
  <c r="E7291" i="5" s="1"/>
  <c r="E7292" i="5" s="1"/>
  <c r="E7293" i="5" s="1"/>
  <c r="E7294" i="5" s="1"/>
  <c r="E7295" i="5" s="1"/>
  <c r="E7296" i="5" s="1"/>
  <c r="E7297" i="5" s="1"/>
  <c r="E7298" i="5" s="1"/>
  <c r="E7299" i="5" s="1"/>
  <c r="E7300" i="5" s="1"/>
  <c r="E7301" i="5" s="1"/>
  <c r="E7302" i="5" s="1"/>
  <c r="E7303" i="5" s="1"/>
  <c r="E7304" i="5" s="1"/>
  <c r="E7305" i="5" s="1"/>
  <c r="E7306" i="5" s="1"/>
  <c r="E7307" i="5" s="1"/>
  <c r="E7308" i="5" s="1"/>
  <c r="E7309" i="5" s="1"/>
  <c r="E7310" i="5" s="1"/>
  <c r="E7311" i="5" s="1"/>
  <c r="E7312" i="5" s="1"/>
  <c r="E7313" i="5" s="1"/>
  <c r="E7314" i="5" s="1"/>
  <c r="E7315" i="5" s="1"/>
  <c r="E7316" i="5" s="1"/>
  <c r="E7317" i="5" s="1"/>
  <c r="E7318" i="5" s="1"/>
  <c r="E7319" i="5" s="1"/>
  <c r="E7320" i="5" s="1"/>
  <c r="E7321" i="5" s="1"/>
  <c r="E7322" i="5" s="1"/>
  <c r="E7323" i="5" s="1"/>
  <c r="E7324" i="5" s="1"/>
  <c r="E7325" i="5" s="1"/>
  <c r="E7326" i="5" s="1"/>
  <c r="E7327" i="5" s="1"/>
  <c r="E7328" i="5" s="1"/>
  <c r="E7329" i="5" s="1"/>
  <c r="E7330" i="5" s="1"/>
  <c r="E7331" i="5" s="1"/>
  <c r="E7332" i="5" s="1"/>
  <c r="E7333" i="5" s="1"/>
  <c r="E7334" i="5" s="1"/>
  <c r="E7335" i="5" s="1"/>
  <c r="E7336" i="5" s="1"/>
  <c r="E7337" i="5" s="1"/>
  <c r="E7338" i="5" s="1"/>
  <c r="E7339" i="5" s="1"/>
  <c r="E7340" i="5" s="1"/>
  <c r="E7341" i="5" s="1"/>
  <c r="E7342" i="5" s="1"/>
  <c r="E7343" i="5" s="1"/>
  <c r="E7344" i="5" s="1"/>
  <c r="E7345" i="5" s="1"/>
  <c r="E7346" i="5" s="1"/>
  <c r="E7347" i="5" s="1"/>
  <c r="E7348" i="5" s="1"/>
  <c r="E7349" i="5" s="1"/>
  <c r="E7350" i="5" s="1"/>
  <c r="E7351" i="5" s="1"/>
  <c r="E7352" i="5" s="1"/>
  <c r="E7353" i="5" s="1"/>
  <c r="E7354" i="5" s="1"/>
  <c r="E7355" i="5" s="1"/>
  <c r="E7356" i="5" s="1"/>
  <c r="E7357" i="5" s="1"/>
  <c r="E7358" i="5" s="1"/>
  <c r="E7359" i="5" s="1"/>
  <c r="E7360" i="5" s="1"/>
  <c r="E7361" i="5" s="1"/>
  <c r="E7362" i="5" s="1"/>
  <c r="E7363" i="5" s="1"/>
  <c r="E7364" i="5" s="1"/>
  <c r="E7365" i="5" s="1"/>
  <c r="E7366" i="5" s="1"/>
  <c r="E7367" i="5" s="1"/>
  <c r="E7368" i="5" s="1"/>
  <c r="E7369" i="5" s="1"/>
  <c r="E7370" i="5" s="1"/>
  <c r="E7371" i="5" s="1"/>
  <c r="E7372" i="5" s="1"/>
  <c r="E7373" i="5" s="1"/>
  <c r="E7374" i="5" s="1"/>
  <c r="E7375" i="5" s="1"/>
  <c r="E7376" i="5" s="1"/>
  <c r="E7377" i="5" s="1"/>
  <c r="E7378" i="5" s="1"/>
  <c r="E7379" i="5" s="1"/>
  <c r="E7380" i="5" s="1"/>
  <c r="E7381" i="5" s="1"/>
  <c r="E7382" i="5" s="1"/>
  <c r="E7383" i="5" s="1"/>
  <c r="E7384" i="5" s="1"/>
  <c r="E7385" i="5" s="1"/>
  <c r="E7386" i="5" s="1"/>
  <c r="E7387" i="5" s="1"/>
  <c r="E7388" i="5" s="1"/>
  <c r="E7389" i="5" s="1"/>
  <c r="E7390" i="5" s="1"/>
  <c r="E7391" i="5" s="1"/>
  <c r="E7392" i="5" s="1"/>
  <c r="E7393" i="5" s="1"/>
  <c r="E7394" i="5" s="1"/>
  <c r="E7395" i="5" s="1"/>
  <c r="E7396" i="5" s="1"/>
  <c r="E7397" i="5" s="1"/>
  <c r="E7398" i="5" s="1"/>
  <c r="E7399" i="5" s="1"/>
  <c r="E7400" i="5" s="1"/>
  <c r="E7401" i="5" s="1"/>
  <c r="E7402" i="5" s="1"/>
  <c r="E7403" i="5" s="1"/>
  <c r="E7404" i="5" s="1"/>
  <c r="E7405" i="5" s="1"/>
  <c r="E7406" i="5" s="1"/>
  <c r="E7407" i="5" s="1"/>
  <c r="E7408" i="5" s="1"/>
  <c r="E7409" i="5" s="1"/>
  <c r="E7410" i="5" s="1"/>
  <c r="E7411" i="5" s="1"/>
  <c r="E7412" i="5" s="1"/>
  <c r="E7413" i="5" s="1"/>
  <c r="E7414" i="5" s="1"/>
  <c r="E7415" i="5" s="1"/>
  <c r="E7416" i="5" s="1"/>
  <c r="E7417" i="5" s="1"/>
  <c r="E7418" i="5" s="1"/>
  <c r="E7419" i="5" s="1"/>
  <c r="E7420" i="5" s="1"/>
  <c r="E7421" i="5" s="1"/>
  <c r="E7422" i="5" s="1"/>
  <c r="E7423" i="5" s="1"/>
  <c r="E7424" i="5" s="1"/>
  <c r="E7425" i="5" s="1"/>
  <c r="E7426" i="5" s="1"/>
  <c r="E7427" i="5" s="1"/>
  <c r="E7428" i="5" s="1"/>
  <c r="E7429" i="5" s="1"/>
  <c r="E7430" i="5" s="1"/>
  <c r="E7431" i="5" s="1"/>
  <c r="E7432" i="5" s="1"/>
  <c r="E7433" i="5" s="1"/>
  <c r="E7434" i="5" s="1"/>
  <c r="E7435" i="5" s="1"/>
  <c r="E7436" i="5" s="1"/>
  <c r="E7437" i="5" s="1"/>
  <c r="E7438" i="5" s="1"/>
  <c r="E7439" i="5" s="1"/>
  <c r="E7440" i="5" s="1"/>
  <c r="E7441" i="5" s="1"/>
  <c r="E7442" i="5" s="1"/>
  <c r="E7443" i="5" s="1"/>
  <c r="E7444" i="5" s="1"/>
  <c r="E7445" i="5" s="1"/>
  <c r="E7446" i="5" s="1"/>
  <c r="E7447" i="5" s="1"/>
  <c r="E7448" i="5" s="1"/>
  <c r="E7449" i="5" s="1"/>
  <c r="E7450" i="5" s="1"/>
  <c r="E7451" i="5" s="1"/>
  <c r="E7452" i="5" s="1"/>
  <c r="E7453" i="5" s="1"/>
  <c r="E7454" i="5" s="1"/>
  <c r="E7455" i="5" s="1"/>
  <c r="E7456" i="5" s="1"/>
  <c r="E7457" i="5" s="1"/>
  <c r="E7458" i="5" s="1"/>
  <c r="E7459" i="5" s="1"/>
  <c r="E7460" i="5" s="1"/>
  <c r="E7461" i="5" s="1"/>
  <c r="E7462" i="5" s="1"/>
  <c r="E7463" i="5" s="1"/>
  <c r="E7464" i="5" s="1"/>
  <c r="E7465" i="5" s="1"/>
  <c r="E7466" i="5" s="1"/>
  <c r="E7467" i="5" s="1"/>
  <c r="E7468" i="5" s="1"/>
  <c r="E7469" i="5" s="1"/>
  <c r="E7470" i="5" s="1"/>
  <c r="E7471" i="5" s="1"/>
  <c r="E7472" i="5" s="1"/>
  <c r="E7473" i="5" s="1"/>
  <c r="E7474" i="5" s="1"/>
  <c r="E7475" i="5" s="1"/>
  <c r="E7476" i="5" s="1"/>
  <c r="E7477" i="5" s="1"/>
  <c r="E7478" i="5" s="1"/>
  <c r="E7479" i="5" s="1"/>
  <c r="E7480" i="5" s="1"/>
  <c r="E7481" i="5" s="1"/>
  <c r="E7482" i="5" s="1"/>
  <c r="E7483" i="5" s="1"/>
  <c r="E7484" i="5" s="1"/>
  <c r="E7485" i="5" s="1"/>
  <c r="E7486" i="5" s="1"/>
  <c r="E7487" i="5" s="1"/>
  <c r="E7488" i="5" s="1"/>
  <c r="E7489" i="5" s="1"/>
  <c r="E7490" i="5" s="1"/>
  <c r="E7491" i="5" s="1"/>
  <c r="E7492" i="5" s="1"/>
  <c r="E7493" i="5" s="1"/>
  <c r="E7494" i="5" s="1"/>
  <c r="E7495" i="5" s="1"/>
  <c r="E7496" i="5" s="1"/>
  <c r="E7497" i="5" s="1"/>
  <c r="E7498" i="5" s="1"/>
  <c r="E7499" i="5" s="1"/>
  <c r="E7500" i="5" s="1"/>
  <c r="E7501" i="5" s="1"/>
  <c r="E7502" i="5" s="1"/>
  <c r="E7503" i="5" s="1"/>
  <c r="E7504" i="5" s="1"/>
  <c r="E7505" i="5" s="1"/>
  <c r="E7506" i="5" s="1"/>
  <c r="E7507" i="5" s="1"/>
  <c r="E7508" i="5" s="1"/>
  <c r="E7509" i="5" s="1"/>
  <c r="E7510" i="5" s="1"/>
  <c r="E7511" i="5" s="1"/>
  <c r="E7512" i="5" s="1"/>
  <c r="E7513" i="5" s="1"/>
  <c r="E7514" i="5" s="1"/>
  <c r="E7515" i="5" s="1"/>
  <c r="E7516" i="5" s="1"/>
  <c r="E7517" i="5" s="1"/>
  <c r="E7518" i="5" s="1"/>
  <c r="E7519" i="5" s="1"/>
  <c r="E7520" i="5" s="1"/>
  <c r="E7521" i="5" s="1"/>
  <c r="E7522" i="5" s="1"/>
  <c r="E7523" i="5" s="1"/>
  <c r="E7524" i="5" s="1"/>
  <c r="E7525" i="5" s="1"/>
  <c r="E7526" i="5" s="1"/>
  <c r="E7527" i="5" s="1"/>
  <c r="E7528" i="5" s="1"/>
  <c r="E7529" i="5" s="1"/>
  <c r="E7530" i="5" s="1"/>
  <c r="E7531" i="5" s="1"/>
  <c r="E7532" i="5" s="1"/>
  <c r="E7533" i="5" s="1"/>
  <c r="E7534" i="5" s="1"/>
  <c r="E7535" i="5" s="1"/>
  <c r="E7536" i="5" s="1"/>
  <c r="E7537" i="5" s="1"/>
  <c r="E7538" i="5" s="1"/>
  <c r="E7539" i="5" s="1"/>
  <c r="E7540" i="5" s="1"/>
  <c r="E7541" i="5" s="1"/>
  <c r="E7542" i="5" s="1"/>
  <c r="E7543" i="5" s="1"/>
  <c r="E7544" i="5" s="1"/>
  <c r="E7545" i="5" s="1"/>
  <c r="E7546" i="5" s="1"/>
  <c r="E7547" i="5" s="1"/>
  <c r="E7548" i="5" s="1"/>
  <c r="E7549" i="5" s="1"/>
  <c r="E7550" i="5" s="1"/>
  <c r="E7551" i="5" s="1"/>
  <c r="E7552" i="5" s="1"/>
  <c r="E7553" i="5" s="1"/>
  <c r="E7554" i="5" s="1"/>
  <c r="E7555" i="5" s="1"/>
  <c r="E7556" i="5" s="1"/>
  <c r="E7557" i="5" s="1"/>
  <c r="E7558" i="5" s="1"/>
  <c r="E7559" i="5" s="1"/>
  <c r="E7560" i="5" s="1"/>
  <c r="E7561" i="5" s="1"/>
  <c r="E7562" i="5" s="1"/>
  <c r="E7563" i="5" s="1"/>
  <c r="E7564" i="5" s="1"/>
  <c r="E7565" i="5" s="1"/>
  <c r="E7566" i="5" s="1"/>
  <c r="E7567" i="5" s="1"/>
  <c r="E7568" i="5" s="1"/>
  <c r="E7569" i="5" s="1"/>
  <c r="E7570" i="5" s="1"/>
  <c r="E7571" i="5" s="1"/>
  <c r="E7572" i="5" s="1"/>
  <c r="E7573" i="5" s="1"/>
  <c r="E7574" i="5" s="1"/>
  <c r="E7575" i="5" s="1"/>
  <c r="E7576" i="5" s="1"/>
  <c r="E7577" i="5" s="1"/>
  <c r="E7578" i="5" s="1"/>
  <c r="E7579" i="5" s="1"/>
  <c r="E7580" i="5" s="1"/>
  <c r="E7581" i="5" s="1"/>
  <c r="E7582" i="5" s="1"/>
  <c r="E7583" i="5" s="1"/>
  <c r="E7584" i="5" s="1"/>
  <c r="E7585" i="5" s="1"/>
  <c r="E7586" i="5" s="1"/>
  <c r="E7587" i="5" s="1"/>
  <c r="E7588" i="5" s="1"/>
  <c r="E7589" i="5" s="1"/>
  <c r="E7590" i="5" s="1"/>
  <c r="E7591" i="5" s="1"/>
  <c r="E7592" i="5" s="1"/>
  <c r="E7593" i="5" s="1"/>
  <c r="E7594" i="5" s="1"/>
  <c r="E7595" i="5" s="1"/>
  <c r="E7596" i="5" s="1"/>
  <c r="E7597" i="5" s="1"/>
  <c r="E7598" i="5" s="1"/>
  <c r="E7599" i="5" s="1"/>
  <c r="E7600" i="5" s="1"/>
  <c r="E7601" i="5" s="1"/>
  <c r="E7602" i="5" s="1"/>
  <c r="E7603" i="5" s="1"/>
  <c r="E7604" i="5" s="1"/>
  <c r="E7605" i="5" s="1"/>
  <c r="E7606" i="5" s="1"/>
  <c r="E7607" i="5" s="1"/>
  <c r="E7608" i="5" s="1"/>
  <c r="E7609" i="5" s="1"/>
  <c r="E7610" i="5" s="1"/>
  <c r="E7611" i="5" s="1"/>
  <c r="E7612" i="5" s="1"/>
  <c r="E7613" i="5" s="1"/>
  <c r="E7614" i="5" s="1"/>
  <c r="E7615" i="5" s="1"/>
  <c r="E7616" i="5" s="1"/>
  <c r="E7617" i="5" s="1"/>
  <c r="E7618" i="5" s="1"/>
  <c r="E7619" i="5" s="1"/>
  <c r="E7620" i="5" s="1"/>
  <c r="E7621" i="5" s="1"/>
  <c r="E7622" i="5" s="1"/>
  <c r="E7623" i="5" s="1"/>
  <c r="E7624" i="5" s="1"/>
  <c r="E7625" i="5" s="1"/>
  <c r="E7626" i="5" s="1"/>
  <c r="E7627" i="5" s="1"/>
  <c r="E7628" i="5" s="1"/>
  <c r="E7629" i="5" s="1"/>
  <c r="E7630" i="5" s="1"/>
  <c r="E7631" i="5" s="1"/>
  <c r="E7632" i="5" s="1"/>
  <c r="E7633" i="5" s="1"/>
  <c r="E7634" i="5" s="1"/>
  <c r="E7635" i="5" s="1"/>
  <c r="E7636" i="5" s="1"/>
  <c r="E7637" i="5" s="1"/>
  <c r="E7638" i="5" s="1"/>
  <c r="E7639" i="5" s="1"/>
  <c r="E7640" i="5" s="1"/>
  <c r="E7641" i="5" s="1"/>
  <c r="E7642" i="5" s="1"/>
  <c r="E7643" i="5" s="1"/>
  <c r="E7644" i="5" s="1"/>
  <c r="E7645" i="5" s="1"/>
  <c r="E7646" i="5" s="1"/>
  <c r="E7647" i="5" s="1"/>
  <c r="E7648" i="5" s="1"/>
  <c r="E7649" i="5" s="1"/>
  <c r="E7650" i="5" s="1"/>
  <c r="E7651" i="5" s="1"/>
  <c r="E7652" i="5" s="1"/>
  <c r="E7653" i="5" s="1"/>
  <c r="E7654" i="5" s="1"/>
  <c r="E7655" i="5" s="1"/>
  <c r="E7656" i="5" s="1"/>
  <c r="E7657" i="5" s="1"/>
  <c r="E7658" i="5" s="1"/>
  <c r="E7659" i="5" s="1"/>
  <c r="E7660" i="5" s="1"/>
  <c r="E7661" i="5" s="1"/>
  <c r="E7662" i="5" s="1"/>
  <c r="E7663" i="5" s="1"/>
  <c r="E7664" i="5" s="1"/>
  <c r="E7665" i="5" s="1"/>
  <c r="E7666" i="5" s="1"/>
  <c r="E7667" i="5" s="1"/>
  <c r="E7668" i="5" s="1"/>
  <c r="E7669" i="5" s="1"/>
  <c r="E7670" i="5" s="1"/>
  <c r="E7671" i="5" s="1"/>
  <c r="E7672" i="5" s="1"/>
  <c r="E7673" i="5" s="1"/>
  <c r="E7674" i="5" s="1"/>
  <c r="E7675" i="5" s="1"/>
  <c r="E7676" i="5" s="1"/>
  <c r="E7677" i="5" s="1"/>
  <c r="E7678" i="5" s="1"/>
  <c r="E7679" i="5" s="1"/>
  <c r="E7680" i="5" s="1"/>
  <c r="E7681" i="5" s="1"/>
  <c r="E7682" i="5" s="1"/>
  <c r="E7683" i="5" s="1"/>
  <c r="E7684" i="5" s="1"/>
  <c r="E7685" i="5" s="1"/>
  <c r="E7686" i="5" s="1"/>
  <c r="E7687" i="5" s="1"/>
  <c r="E7688" i="5" s="1"/>
  <c r="E7689" i="5" s="1"/>
  <c r="E7690" i="5" s="1"/>
  <c r="E7691" i="5" s="1"/>
  <c r="E7692" i="5" s="1"/>
  <c r="E7693" i="5" s="1"/>
  <c r="E7694" i="5" s="1"/>
  <c r="E7695" i="5" s="1"/>
  <c r="E7696" i="5" s="1"/>
  <c r="E7697" i="5" s="1"/>
  <c r="E7698" i="5" s="1"/>
  <c r="E7699" i="5" s="1"/>
  <c r="E7700" i="5" s="1"/>
  <c r="E7701" i="5" s="1"/>
  <c r="E7702" i="5" s="1"/>
  <c r="E7703" i="5" s="1"/>
  <c r="E7704" i="5" s="1"/>
  <c r="E7705" i="5" s="1"/>
  <c r="E7706" i="5" s="1"/>
  <c r="E7707" i="5" s="1"/>
  <c r="E7708" i="5" s="1"/>
  <c r="E7709" i="5" s="1"/>
  <c r="E7710" i="5" s="1"/>
  <c r="E7711" i="5" s="1"/>
  <c r="E7712" i="5" s="1"/>
  <c r="E7713" i="5" s="1"/>
  <c r="E7714" i="5" s="1"/>
  <c r="E7715" i="5" s="1"/>
  <c r="E7716" i="5" s="1"/>
  <c r="E7717" i="5" s="1"/>
  <c r="E7718" i="5" s="1"/>
  <c r="E7719" i="5" s="1"/>
  <c r="E7720" i="5" s="1"/>
  <c r="E7721" i="5" s="1"/>
  <c r="E7722" i="5" s="1"/>
  <c r="E7723" i="5" s="1"/>
  <c r="E7724" i="5" s="1"/>
  <c r="E7725" i="5" s="1"/>
  <c r="E7726" i="5" s="1"/>
  <c r="E7727" i="5" s="1"/>
  <c r="E7728" i="5" s="1"/>
  <c r="E7729" i="5" s="1"/>
  <c r="E7730" i="5" s="1"/>
  <c r="E7731" i="5" s="1"/>
  <c r="E7732" i="5" s="1"/>
  <c r="E7733" i="5" s="1"/>
  <c r="E7734" i="5" s="1"/>
  <c r="E7735" i="5" s="1"/>
  <c r="E7736" i="5" s="1"/>
  <c r="E7737" i="5" s="1"/>
  <c r="E7738" i="5" s="1"/>
  <c r="E7739" i="5" s="1"/>
  <c r="E7740" i="5" s="1"/>
  <c r="E7741" i="5" s="1"/>
  <c r="E7742" i="5" s="1"/>
  <c r="E7743" i="5" s="1"/>
  <c r="E7744" i="5" s="1"/>
  <c r="E7745" i="5" s="1"/>
  <c r="E7746" i="5" s="1"/>
  <c r="E7747" i="5" s="1"/>
  <c r="E7748" i="5" s="1"/>
  <c r="E7749" i="5" s="1"/>
  <c r="E7750" i="5" s="1"/>
  <c r="E7751" i="5" s="1"/>
  <c r="E7752" i="5" s="1"/>
  <c r="E7753" i="5" s="1"/>
  <c r="E7754" i="5" s="1"/>
  <c r="E7755" i="5" s="1"/>
  <c r="E7756" i="5" s="1"/>
  <c r="E7757" i="5" s="1"/>
  <c r="E7758" i="5" s="1"/>
  <c r="E7759" i="5" s="1"/>
  <c r="E7760" i="5" s="1"/>
  <c r="E7761" i="5" s="1"/>
  <c r="E7762" i="5" s="1"/>
  <c r="E7763" i="5" s="1"/>
  <c r="E7764" i="5" s="1"/>
  <c r="E7765" i="5" s="1"/>
  <c r="E7766" i="5" s="1"/>
  <c r="E7767" i="5" s="1"/>
  <c r="E7768" i="5" s="1"/>
  <c r="E7769" i="5" s="1"/>
  <c r="E7770" i="5" s="1"/>
  <c r="E7771" i="5" s="1"/>
  <c r="E7772" i="5" s="1"/>
  <c r="E7773" i="5" s="1"/>
  <c r="E7774" i="5" s="1"/>
  <c r="E7775" i="5" s="1"/>
  <c r="E7776" i="5" s="1"/>
  <c r="E7777" i="5" s="1"/>
  <c r="E7778" i="5" s="1"/>
  <c r="E7779" i="5" s="1"/>
  <c r="E7780" i="5" s="1"/>
  <c r="E7781" i="5" s="1"/>
  <c r="E7782" i="5" s="1"/>
  <c r="E7783" i="5" s="1"/>
  <c r="E7784" i="5" s="1"/>
  <c r="E7785" i="5" s="1"/>
  <c r="E7786" i="5" s="1"/>
  <c r="E7787" i="5" s="1"/>
  <c r="E7788" i="5" s="1"/>
  <c r="E7789" i="5" s="1"/>
  <c r="E7790" i="5" s="1"/>
  <c r="E7791" i="5" s="1"/>
  <c r="E7792" i="5" s="1"/>
  <c r="E7793" i="5" s="1"/>
  <c r="E7794" i="5" s="1"/>
  <c r="E7795" i="5" s="1"/>
  <c r="E7796" i="5" s="1"/>
  <c r="E7797" i="5" s="1"/>
  <c r="E7798" i="5" s="1"/>
  <c r="E7799" i="5" s="1"/>
  <c r="E7800" i="5" s="1"/>
  <c r="E7801" i="5" s="1"/>
  <c r="E7802" i="5" s="1"/>
  <c r="E7803" i="5" s="1"/>
  <c r="E7804" i="5" s="1"/>
  <c r="E7805" i="5" s="1"/>
  <c r="E7806" i="5" s="1"/>
  <c r="E7807" i="5" s="1"/>
  <c r="E7808" i="5" s="1"/>
  <c r="E7809" i="5" s="1"/>
  <c r="E7810" i="5" s="1"/>
  <c r="E7811" i="5" s="1"/>
  <c r="E7812" i="5" s="1"/>
  <c r="E7813" i="5" s="1"/>
  <c r="E7814" i="5" s="1"/>
  <c r="E7815" i="5" s="1"/>
  <c r="E7816" i="5" s="1"/>
  <c r="E7817" i="5" s="1"/>
  <c r="E7818" i="5" s="1"/>
  <c r="E7819" i="5" s="1"/>
  <c r="E7820" i="5" s="1"/>
  <c r="E7821" i="5" s="1"/>
  <c r="E7822" i="5" s="1"/>
  <c r="E7823" i="5" s="1"/>
  <c r="E7824" i="5" s="1"/>
  <c r="E7825" i="5" s="1"/>
  <c r="E7826" i="5" s="1"/>
  <c r="E7827" i="5" s="1"/>
  <c r="E7828" i="5" s="1"/>
  <c r="E7829" i="5" s="1"/>
  <c r="E7830" i="5" s="1"/>
  <c r="E7831" i="5" s="1"/>
  <c r="E7832" i="5" s="1"/>
  <c r="E7833" i="5" s="1"/>
  <c r="E7834" i="5" s="1"/>
  <c r="E7835" i="5" s="1"/>
  <c r="E7836" i="5" s="1"/>
  <c r="E7837" i="5" s="1"/>
  <c r="E7838" i="5" s="1"/>
  <c r="E7839" i="5" s="1"/>
  <c r="E7840" i="5" s="1"/>
  <c r="E7841" i="5" s="1"/>
  <c r="E7842" i="5" s="1"/>
  <c r="E7843" i="5" s="1"/>
  <c r="E7844" i="5" s="1"/>
  <c r="E7845" i="5" s="1"/>
  <c r="E7846" i="5" s="1"/>
  <c r="E7847" i="5" s="1"/>
  <c r="E7848" i="5" s="1"/>
  <c r="E7849" i="5" s="1"/>
  <c r="E7850" i="5" s="1"/>
  <c r="E7851" i="5" s="1"/>
  <c r="E7852" i="5" s="1"/>
  <c r="E7853" i="5" s="1"/>
  <c r="E7854" i="5" s="1"/>
  <c r="E7855" i="5" s="1"/>
  <c r="E7856" i="5" s="1"/>
  <c r="E7857" i="5" s="1"/>
  <c r="E7858" i="5" s="1"/>
  <c r="E7859" i="5" s="1"/>
  <c r="E7860" i="5" s="1"/>
  <c r="E7861" i="5" s="1"/>
  <c r="E7862" i="5" s="1"/>
  <c r="E7863" i="5" s="1"/>
  <c r="E7864" i="5" s="1"/>
  <c r="E7865" i="5" s="1"/>
  <c r="E7866" i="5" s="1"/>
  <c r="E7867" i="5" s="1"/>
  <c r="E7868" i="5" s="1"/>
  <c r="E7869" i="5" s="1"/>
  <c r="E7870" i="5" s="1"/>
  <c r="E7871" i="5" s="1"/>
  <c r="E7872" i="5" s="1"/>
  <c r="E7873" i="5" s="1"/>
  <c r="E7874" i="5" s="1"/>
  <c r="E7875" i="5" s="1"/>
  <c r="E7876" i="5" s="1"/>
  <c r="E7877" i="5" s="1"/>
  <c r="E7878" i="5" s="1"/>
  <c r="E7879" i="5" s="1"/>
  <c r="E7880" i="5" s="1"/>
  <c r="E7881" i="5" s="1"/>
  <c r="E7882" i="5" s="1"/>
  <c r="E7883" i="5" s="1"/>
  <c r="E7884" i="5" s="1"/>
  <c r="E7885" i="5" s="1"/>
  <c r="E7886" i="5" s="1"/>
  <c r="E7887" i="5" s="1"/>
  <c r="E7888" i="5" s="1"/>
  <c r="E7889" i="5" s="1"/>
  <c r="E7890" i="5" s="1"/>
  <c r="E7891" i="5" s="1"/>
  <c r="E7892" i="5" s="1"/>
  <c r="E7893" i="5" s="1"/>
  <c r="E7894" i="5" s="1"/>
  <c r="E7895" i="5" s="1"/>
  <c r="E7896" i="5" s="1"/>
  <c r="E7897" i="5" s="1"/>
  <c r="E7898" i="5" s="1"/>
  <c r="E7899" i="5" s="1"/>
  <c r="E7900" i="5" s="1"/>
  <c r="E7901" i="5" s="1"/>
  <c r="E7902" i="5" s="1"/>
  <c r="E7903" i="5" s="1"/>
  <c r="E7904" i="5" s="1"/>
  <c r="E7905" i="5" s="1"/>
  <c r="E7906" i="5" s="1"/>
  <c r="E7907" i="5" s="1"/>
  <c r="E7908" i="5" s="1"/>
  <c r="E7909" i="5" s="1"/>
  <c r="E7910" i="5" s="1"/>
  <c r="E7911" i="5" s="1"/>
  <c r="E7912" i="5" s="1"/>
  <c r="E7913" i="5" s="1"/>
  <c r="E7914" i="5" s="1"/>
  <c r="E7915" i="5" s="1"/>
  <c r="E7916" i="5" s="1"/>
  <c r="E7917" i="5" s="1"/>
  <c r="E7918" i="5" s="1"/>
  <c r="E7919" i="5" s="1"/>
  <c r="E7920" i="5" s="1"/>
  <c r="E7921" i="5" s="1"/>
  <c r="E7922" i="5" s="1"/>
  <c r="E7923" i="5" s="1"/>
  <c r="E7924" i="5" s="1"/>
  <c r="E7925" i="5" s="1"/>
  <c r="E7926" i="5" s="1"/>
  <c r="E7927" i="5" s="1"/>
  <c r="E7928" i="5" s="1"/>
  <c r="E7929" i="5" s="1"/>
  <c r="E7930" i="5" s="1"/>
  <c r="E7931" i="5" s="1"/>
  <c r="E7932" i="5" s="1"/>
  <c r="E7933" i="5" s="1"/>
  <c r="E7934" i="5" s="1"/>
  <c r="E7935" i="5" s="1"/>
  <c r="E7936" i="5" s="1"/>
  <c r="E7937" i="5" s="1"/>
  <c r="E7938" i="5" s="1"/>
  <c r="E7939" i="5" s="1"/>
  <c r="E7940" i="5" s="1"/>
  <c r="E7941" i="5" s="1"/>
  <c r="E7942" i="5" s="1"/>
  <c r="E7943" i="5" s="1"/>
  <c r="E7944" i="5" s="1"/>
  <c r="E7945" i="5" s="1"/>
  <c r="E7946" i="5" s="1"/>
  <c r="E7947" i="5" s="1"/>
  <c r="E7948" i="5" s="1"/>
  <c r="E7949" i="5" s="1"/>
  <c r="E7950" i="5" s="1"/>
  <c r="E7951" i="5" s="1"/>
  <c r="E7952" i="5" s="1"/>
  <c r="E7953" i="5" s="1"/>
  <c r="E7954" i="5" s="1"/>
  <c r="E7955" i="5" s="1"/>
  <c r="E7956" i="5" s="1"/>
  <c r="E7957" i="5" s="1"/>
  <c r="E7958" i="5" s="1"/>
  <c r="E7959" i="5" s="1"/>
  <c r="E7960" i="5" s="1"/>
  <c r="E7961" i="5" s="1"/>
  <c r="E7962" i="5" s="1"/>
  <c r="E7963" i="5" s="1"/>
  <c r="E7964" i="5" s="1"/>
  <c r="E7965" i="5" s="1"/>
  <c r="E7966" i="5" s="1"/>
  <c r="E7967" i="5" s="1"/>
  <c r="E7968" i="5" s="1"/>
  <c r="E7969" i="5" s="1"/>
  <c r="E7970" i="5" s="1"/>
  <c r="E7971" i="5" s="1"/>
  <c r="E7972" i="5" s="1"/>
  <c r="E7973" i="5" s="1"/>
  <c r="E7974" i="5" s="1"/>
  <c r="E7975" i="5" s="1"/>
  <c r="E7976" i="5" s="1"/>
  <c r="E7977" i="5" s="1"/>
  <c r="E7978" i="5" s="1"/>
  <c r="E7979" i="5" s="1"/>
  <c r="E7980" i="5" s="1"/>
  <c r="E7981" i="5" s="1"/>
  <c r="E7982" i="5" s="1"/>
  <c r="E7983" i="5" s="1"/>
  <c r="E7984" i="5" s="1"/>
  <c r="E7985" i="5" s="1"/>
  <c r="E7986" i="5" s="1"/>
  <c r="E7987" i="5" s="1"/>
  <c r="E7988" i="5" s="1"/>
  <c r="E7989" i="5" s="1"/>
  <c r="E7990" i="5" s="1"/>
  <c r="E7991" i="5" s="1"/>
  <c r="E7992" i="5" s="1"/>
  <c r="E7993" i="5" s="1"/>
  <c r="E7994" i="5" s="1"/>
  <c r="E7995" i="5" s="1"/>
  <c r="E7996" i="5" s="1"/>
  <c r="E7997" i="5" s="1"/>
  <c r="E7998" i="5" s="1"/>
  <c r="E7999" i="5" s="1"/>
  <c r="E8000" i="5" s="1"/>
  <c r="E8001" i="5" s="1"/>
  <c r="E8002" i="5" s="1"/>
  <c r="E8003" i="5" s="1"/>
  <c r="E8004" i="5" s="1"/>
  <c r="E8005" i="5" s="1"/>
  <c r="E8006" i="5" s="1"/>
  <c r="E8007" i="5" s="1"/>
  <c r="E8008" i="5" s="1"/>
  <c r="E8009" i="5" s="1"/>
  <c r="E8010" i="5" s="1"/>
  <c r="E8011" i="5" s="1"/>
  <c r="E8012" i="5" s="1"/>
  <c r="E8013" i="5" s="1"/>
  <c r="E8014" i="5" s="1"/>
  <c r="E8015" i="5" s="1"/>
  <c r="E8016" i="5" s="1"/>
  <c r="E8017" i="5" s="1"/>
  <c r="E8018" i="5" s="1"/>
  <c r="E8019" i="5" s="1"/>
  <c r="E8020" i="5" s="1"/>
  <c r="E8021" i="5" s="1"/>
  <c r="E8022" i="5" s="1"/>
  <c r="E8023" i="5" s="1"/>
  <c r="E8024" i="5" s="1"/>
  <c r="E8025" i="5" s="1"/>
  <c r="E8026" i="5" s="1"/>
  <c r="E8027" i="5" s="1"/>
  <c r="E8028" i="5" s="1"/>
  <c r="E8029" i="5" s="1"/>
  <c r="E8030" i="5" s="1"/>
  <c r="E8031" i="5" s="1"/>
  <c r="E8032" i="5" s="1"/>
  <c r="E8033" i="5" s="1"/>
  <c r="E8034" i="5" s="1"/>
  <c r="E8035" i="5" s="1"/>
  <c r="E8036" i="5" s="1"/>
  <c r="E8037" i="5" s="1"/>
  <c r="E8038" i="5" s="1"/>
  <c r="E8039" i="5" s="1"/>
  <c r="E8040" i="5" s="1"/>
  <c r="E8041" i="5" s="1"/>
  <c r="E8042" i="5" s="1"/>
  <c r="E8043" i="5" s="1"/>
  <c r="E8044" i="5" s="1"/>
  <c r="E8045" i="5" s="1"/>
  <c r="E8046" i="5" s="1"/>
  <c r="E8047" i="5" s="1"/>
  <c r="E8048" i="5" s="1"/>
  <c r="E8049" i="5" s="1"/>
  <c r="E8050" i="5" s="1"/>
  <c r="E8051" i="5" s="1"/>
  <c r="E8052" i="5" s="1"/>
  <c r="E8053" i="5" s="1"/>
  <c r="E8054" i="5" s="1"/>
  <c r="E8055" i="5" s="1"/>
  <c r="E8056" i="5" s="1"/>
  <c r="E8057" i="5" s="1"/>
  <c r="E8058" i="5" s="1"/>
  <c r="E8059" i="5" s="1"/>
  <c r="E8060" i="5" s="1"/>
  <c r="E8061" i="5" s="1"/>
  <c r="E8062" i="5" s="1"/>
  <c r="E8063" i="5" s="1"/>
  <c r="E8064" i="5" s="1"/>
  <c r="E8065" i="5" s="1"/>
  <c r="E8066" i="5" s="1"/>
  <c r="E8067" i="5" s="1"/>
  <c r="E8068" i="5" s="1"/>
  <c r="E8069" i="5" s="1"/>
  <c r="E8070" i="5" s="1"/>
  <c r="E8071" i="5" s="1"/>
  <c r="E8072" i="5" s="1"/>
  <c r="E8073" i="5" s="1"/>
  <c r="E8074" i="5" s="1"/>
  <c r="E8075" i="5" s="1"/>
  <c r="E8076" i="5" s="1"/>
  <c r="E8077" i="5" s="1"/>
  <c r="E8078" i="5" s="1"/>
  <c r="E8079" i="5" s="1"/>
  <c r="E8080" i="5" s="1"/>
  <c r="E8081" i="5" s="1"/>
  <c r="E8082" i="5" s="1"/>
  <c r="E8083" i="5" s="1"/>
  <c r="E8084" i="5" s="1"/>
  <c r="E8085" i="5" s="1"/>
  <c r="E8086" i="5" s="1"/>
  <c r="E8087" i="5" s="1"/>
  <c r="E8088" i="5" s="1"/>
  <c r="E8089" i="5" s="1"/>
  <c r="E8090" i="5" s="1"/>
  <c r="E8091" i="5" s="1"/>
  <c r="E8092" i="5" s="1"/>
  <c r="E8093" i="5" s="1"/>
  <c r="E8094" i="5" s="1"/>
  <c r="E8095" i="5" s="1"/>
  <c r="E8096" i="5" s="1"/>
  <c r="E8097" i="5" s="1"/>
  <c r="E8098" i="5" s="1"/>
  <c r="E8099" i="5" s="1"/>
  <c r="E8100" i="5" s="1"/>
  <c r="E8101" i="5" s="1"/>
  <c r="E8102" i="5" s="1"/>
  <c r="E8103" i="5" s="1"/>
  <c r="E8104" i="5" s="1"/>
  <c r="E8105" i="5" s="1"/>
  <c r="E8106" i="5" s="1"/>
  <c r="E8107" i="5" s="1"/>
  <c r="E8108" i="5" s="1"/>
  <c r="E8109" i="5" s="1"/>
  <c r="E8110" i="5" s="1"/>
  <c r="E8111" i="5" s="1"/>
  <c r="E8112" i="5" s="1"/>
  <c r="E8113" i="5" s="1"/>
  <c r="E8114" i="5" s="1"/>
  <c r="E8115" i="5" s="1"/>
  <c r="E8116" i="5" s="1"/>
  <c r="E8117" i="5" s="1"/>
  <c r="E8118" i="5" s="1"/>
  <c r="E8119" i="5" s="1"/>
  <c r="E8120" i="5" s="1"/>
  <c r="E8121" i="5" s="1"/>
  <c r="E8122" i="5" s="1"/>
  <c r="E8123" i="5" s="1"/>
  <c r="E8124" i="5" s="1"/>
  <c r="E8125" i="5" s="1"/>
  <c r="E8126" i="5" s="1"/>
  <c r="E8127" i="5" s="1"/>
  <c r="E8128" i="5" s="1"/>
  <c r="E8129" i="5" s="1"/>
  <c r="E8130" i="5" s="1"/>
  <c r="E8131" i="5" s="1"/>
  <c r="E8132" i="5" s="1"/>
  <c r="E8133" i="5" s="1"/>
  <c r="E8134" i="5" s="1"/>
  <c r="E8135" i="5" s="1"/>
  <c r="E8136" i="5" s="1"/>
  <c r="E8137" i="5" s="1"/>
  <c r="E8138" i="5" s="1"/>
  <c r="E8139" i="5" s="1"/>
  <c r="E8140" i="5" s="1"/>
  <c r="E8141" i="5" s="1"/>
  <c r="E8142" i="5" s="1"/>
  <c r="E8143" i="5" s="1"/>
  <c r="E8144" i="5" s="1"/>
  <c r="E8145" i="5" s="1"/>
  <c r="E8146" i="5" s="1"/>
  <c r="E8147" i="5" s="1"/>
  <c r="E8148" i="5" s="1"/>
  <c r="E8149" i="5" s="1"/>
  <c r="E8150" i="5" s="1"/>
  <c r="E8151" i="5" s="1"/>
  <c r="E8152" i="5" s="1"/>
  <c r="E8153" i="5" s="1"/>
  <c r="E8154" i="5" s="1"/>
  <c r="E8155" i="5" s="1"/>
  <c r="E8156" i="5" s="1"/>
  <c r="E8157" i="5" s="1"/>
  <c r="E8158" i="5" s="1"/>
  <c r="E8159" i="5" s="1"/>
  <c r="E8160" i="5" s="1"/>
  <c r="E8161" i="5" s="1"/>
  <c r="E8162" i="5" s="1"/>
  <c r="E8163" i="5" s="1"/>
  <c r="E8164" i="5" s="1"/>
  <c r="E8165" i="5" s="1"/>
  <c r="E8166" i="5" s="1"/>
  <c r="E8167" i="5" s="1"/>
  <c r="E8168" i="5" s="1"/>
  <c r="E8169" i="5" s="1"/>
  <c r="E8170" i="5" s="1"/>
  <c r="E8171" i="5" s="1"/>
  <c r="E8172" i="5" s="1"/>
  <c r="E8173" i="5" s="1"/>
  <c r="E8174" i="5" s="1"/>
  <c r="E8175" i="5" s="1"/>
  <c r="E8176" i="5" s="1"/>
  <c r="E8177" i="5" s="1"/>
  <c r="E8178" i="5" s="1"/>
  <c r="E8179" i="5" s="1"/>
  <c r="E8180" i="5" s="1"/>
  <c r="E8181" i="5" s="1"/>
  <c r="E8182" i="5" s="1"/>
  <c r="E8183" i="5" s="1"/>
  <c r="E8184" i="5" s="1"/>
  <c r="E8185" i="5" s="1"/>
  <c r="E8186" i="5" s="1"/>
  <c r="E8187" i="5" s="1"/>
  <c r="E8188" i="5" s="1"/>
  <c r="E8189" i="5" s="1"/>
  <c r="E8190" i="5" s="1"/>
  <c r="E8191" i="5" s="1"/>
  <c r="E8192" i="5" s="1"/>
  <c r="E8193" i="5" s="1"/>
  <c r="E8194" i="5" s="1"/>
  <c r="E8195" i="5" s="1"/>
  <c r="E8196" i="5" s="1"/>
  <c r="E8197" i="5" s="1"/>
  <c r="E8198" i="5" s="1"/>
  <c r="E8199" i="5" s="1"/>
  <c r="E8200" i="5" s="1"/>
  <c r="E8201" i="5" s="1"/>
  <c r="E8202" i="5" s="1"/>
  <c r="E8203" i="5" s="1"/>
  <c r="E8204" i="5" s="1"/>
  <c r="E8205" i="5" s="1"/>
  <c r="E8206" i="5" s="1"/>
  <c r="E8207" i="5" s="1"/>
  <c r="E8208" i="5" s="1"/>
  <c r="E8209" i="5" s="1"/>
  <c r="E8210" i="5" s="1"/>
  <c r="E8211" i="5" s="1"/>
  <c r="E8212" i="5" s="1"/>
  <c r="E8213" i="5" s="1"/>
  <c r="E8214" i="5" s="1"/>
  <c r="E8215" i="5" s="1"/>
  <c r="E8216" i="5" s="1"/>
  <c r="E8217" i="5" s="1"/>
  <c r="E8218" i="5" s="1"/>
  <c r="E8219" i="5" s="1"/>
  <c r="E8220" i="5" s="1"/>
  <c r="E8221" i="5" s="1"/>
  <c r="E8222" i="5" s="1"/>
  <c r="E8223" i="5" s="1"/>
  <c r="E8224" i="5" s="1"/>
  <c r="E8225" i="5" s="1"/>
  <c r="E8226" i="5" s="1"/>
  <c r="E8227" i="5" s="1"/>
  <c r="E8228" i="5" s="1"/>
  <c r="E8229" i="5" s="1"/>
  <c r="E8230" i="5" s="1"/>
  <c r="E8231" i="5" s="1"/>
  <c r="E8232" i="5" s="1"/>
  <c r="E8233" i="5" s="1"/>
  <c r="E8234" i="5" s="1"/>
  <c r="E8235" i="5" s="1"/>
  <c r="E8236" i="5" s="1"/>
  <c r="E8237" i="5" s="1"/>
  <c r="E8238" i="5" s="1"/>
  <c r="E8239" i="5" s="1"/>
  <c r="E8240" i="5" s="1"/>
  <c r="E8241" i="5" s="1"/>
  <c r="E8242" i="5" s="1"/>
  <c r="E8243" i="5" s="1"/>
  <c r="E8244" i="5" s="1"/>
  <c r="E8245" i="5" s="1"/>
  <c r="E8246" i="5" s="1"/>
  <c r="E8247" i="5" s="1"/>
  <c r="E8248" i="5" s="1"/>
  <c r="E8249" i="5" s="1"/>
  <c r="E8250" i="5" s="1"/>
  <c r="E8251" i="5" s="1"/>
  <c r="E8252" i="5" s="1"/>
  <c r="E8253" i="5" s="1"/>
  <c r="E8254" i="5" s="1"/>
  <c r="E8255" i="5" s="1"/>
  <c r="E8256" i="5" s="1"/>
  <c r="E8257" i="5" s="1"/>
  <c r="E8258" i="5" s="1"/>
  <c r="E8259" i="5" s="1"/>
  <c r="E8260" i="5" s="1"/>
  <c r="E8261" i="5" s="1"/>
  <c r="E8262" i="5" s="1"/>
  <c r="E8263" i="5" s="1"/>
  <c r="E8264" i="5" s="1"/>
  <c r="E8265" i="5" s="1"/>
  <c r="E8266" i="5" s="1"/>
  <c r="E8267" i="5" s="1"/>
  <c r="E8268" i="5" s="1"/>
  <c r="E8269" i="5" s="1"/>
  <c r="E8270" i="5" s="1"/>
  <c r="E8271" i="5" s="1"/>
  <c r="E8272" i="5" s="1"/>
  <c r="E8273" i="5" s="1"/>
  <c r="E8274" i="5" s="1"/>
  <c r="E8275" i="5" s="1"/>
  <c r="E8276" i="5" s="1"/>
  <c r="E8277" i="5" s="1"/>
  <c r="E8278" i="5" s="1"/>
  <c r="E8279" i="5" s="1"/>
  <c r="E8280" i="5" s="1"/>
  <c r="E8281" i="5" s="1"/>
  <c r="E8282" i="5" s="1"/>
  <c r="E8283" i="5" s="1"/>
  <c r="E8284" i="5" s="1"/>
  <c r="E8285" i="5" s="1"/>
  <c r="E8286" i="5" s="1"/>
  <c r="E8287" i="5" s="1"/>
  <c r="E8288" i="5" s="1"/>
  <c r="E8289" i="5" s="1"/>
  <c r="E8290" i="5" s="1"/>
  <c r="E8291" i="5" s="1"/>
  <c r="E8292" i="5" s="1"/>
  <c r="E8293" i="5" s="1"/>
  <c r="E8294" i="5" s="1"/>
  <c r="E8295" i="5" s="1"/>
  <c r="E8296" i="5" s="1"/>
  <c r="E8297" i="5" s="1"/>
  <c r="E8298" i="5" s="1"/>
  <c r="E8299" i="5" s="1"/>
  <c r="E8300" i="5" s="1"/>
  <c r="E8301" i="5" s="1"/>
  <c r="E8302" i="5" s="1"/>
  <c r="E8303" i="5" s="1"/>
  <c r="E8304" i="5" s="1"/>
  <c r="E8305" i="5" s="1"/>
  <c r="E8306" i="5" s="1"/>
  <c r="E8307" i="5" s="1"/>
  <c r="E8308" i="5" s="1"/>
  <c r="E8309" i="5" s="1"/>
  <c r="E8310" i="5" s="1"/>
  <c r="E8311" i="5" s="1"/>
  <c r="E8312" i="5" s="1"/>
  <c r="E8313" i="5" s="1"/>
  <c r="E8314" i="5" s="1"/>
  <c r="E8315" i="5" s="1"/>
  <c r="E8316" i="5" s="1"/>
  <c r="E8317" i="5" s="1"/>
  <c r="E8318" i="5" s="1"/>
  <c r="E8319" i="5" s="1"/>
  <c r="E8320" i="5" s="1"/>
  <c r="E8321" i="5" s="1"/>
  <c r="E8322" i="5" s="1"/>
  <c r="E8323" i="5" s="1"/>
  <c r="E8324" i="5" s="1"/>
  <c r="E8325" i="5" s="1"/>
  <c r="E8326" i="5" s="1"/>
  <c r="E8327" i="5" s="1"/>
  <c r="E8328" i="5" s="1"/>
  <c r="E8329" i="5" s="1"/>
  <c r="E8330" i="5" s="1"/>
  <c r="E8331" i="5" s="1"/>
  <c r="E8332" i="5" s="1"/>
  <c r="E8333" i="5" s="1"/>
  <c r="E8334" i="5" s="1"/>
  <c r="E8335" i="5" s="1"/>
  <c r="E8336" i="5" s="1"/>
  <c r="E8337" i="5" s="1"/>
  <c r="E8338" i="5" s="1"/>
  <c r="E8339" i="5" s="1"/>
  <c r="E8340" i="5" s="1"/>
  <c r="E8341" i="5" s="1"/>
  <c r="E8342" i="5" s="1"/>
  <c r="E8343" i="5" s="1"/>
  <c r="E8344" i="5" s="1"/>
  <c r="E8345" i="5" s="1"/>
  <c r="E8346" i="5" s="1"/>
  <c r="E8347" i="5" s="1"/>
  <c r="E8348" i="5" s="1"/>
  <c r="E8349" i="5" s="1"/>
  <c r="E8350" i="5" s="1"/>
  <c r="E8351" i="5" s="1"/>
  <c r="E8352" i="5" s="1"/>
  <c r="E8353" i="5" s="1"/>
  <c r="E8354" i="5" s="1"/>
  <c r="E8355" i="5" s="1"/>
  <c r="E8356" i="5" s="1"/>
  <c r="E8357" i="5" s="1"/>
  <c r="E8358" i="5" s="1"/>
  <c r="E8359" i="5" s="1"/>
  <c r="E8360" i="5" s="1"/>
  <c r="E8361" i="5" s="1"/>
  <c r="E8362" i="5" s="1"/>
  <c r="E8363" i="5" s="1"/>
  <c r="E8364" i="5" s="1"/>
  <c r="E8365" i="5" s="1"/>
  <c r="E8366" i="5" s="1"/>
  <c r="E8367" i="5" s="1"/>
  <c r="E8368" i="5" s="1"/>
  <c r="E8369" i="5" s="1"/>
  <c r="E8370" i="5" s="1"/>
  <c r="E8371" i="5" s="1"/>
  <c r="E8372" i="5" s="1"/>
  <c r="E8373" i="5" s="1"/>
  <c r="E8374" i="5" s="1"/>
  <c r="E8375" i="5" s="1"/>
  <c r="E8376" i="5" s="1"/>
  <c r="E8377" i="5" s="1"/>
  <c r="E8378" i="5" s="1"/>
  <c r="E8379" i="5" s="1"/>
  <c r="E8380" i="5" s="1"/>
  <c r="E8381" i="5" s="1"/>
  <c r="E8382" i="5" s="1"/>
  <c r="E8383" i="5" s="1"/>
  <c r="E8384" i="5" s="1"/>
  <c r="E8385" i="5" s="1"/>
  <c r="E8386" i="5" s="1"/>
  <c r="E8387" i="5" s="1"/>
  <c r="E8388" i="5" s="1"/>
  <c r="E8389" i="5" s="1"/>
  <c r="E8390" i="5" s="1"/>
  <c r="E8391" i="5" s="1"/>
  <c r="E8392" i="5" s="1"/>
  <c r="E8393" i="5" s="1"/>
  <c r="E8394" i="5" s="1"/>
  <c r="E8395" i="5" s="1"/>
  <c r="E8396" i="5" s="1"/>
  <c r="E8397" i="5" s="1"/>
  <c r="E8398" i="5" s="1"/>
  <c r="E8399" i="5" s="1"/>
  <c r="E8400" i="5" s="1"/>
  <c r="E8401" i="5" s="1"/>
  <c r="E8402" i="5" s="1"/>
  <c r="E8403" i="5" s="1"/>
  <c r="E8404" i="5" s="1"/>
  <c r="E8405" i="5" s="1"/>
  <c r="E8406" i="5" s="1"/>
  <c r="E8407" i="5" s="1"/>
  <c r="E8408" i="5" s="1"/>
  <c r="E8409" i="5" s="1"/>
  <c r="E8410" i="5" s="1"/>
  <c r="E8411" i="5" s="1"/>
  <c r="E8412" i="5" s="1"/>
  <c r="E8413" i="5" s="1"/>
  <c r="E8414" i="5" s="1"/>
  <c r="E8415" i="5" s="1"/>
  <c r="E8416" i="5" s="1"/>
  <c r="E8417" i="5" s="1"/>
  <c r="E8418" i="5" s="1"/>
  <c r="E8419" i="5" s="1"/>
  <c r="E8420" i="5" s="1"/>
  <c r="E8421" i="5" s="1"/>
  <c r="E8422" i="5" s="1"/>
  <c r="E8423" i="5" s="1"/>
  <c r="E8424" i="5" s="1"/>
  <c r="E8425" i="5" s="1"/>
  <c r="E8426" i="5" s="1"/>
  <c r="E8427" i="5" s="1"/>
  <c r="E8428" i="5" s="1"/>
  <c r="E8429" i="5" s="1"/>
  <c r="E8430" i="5" s="1"/>
  <c r="E8431" i="5" s="1"/>
  <c r="E8432" i="5" s="1"/>
  <c r="E8433" i="5" s="1"/>
  <c r="E8434" i="5" s="1"/>
  <c r="E8435" i="5" s="1"/>
  <c r="E8436" i="5" s="1"/>
  <c r="E8437" i="5" s="1"/>
  <c r="E8438" i="5" s="1"/>
  <c r="E8439" i="5" s="1"/>
  <c r="E8440" i="5" s="1"/>
  <c r="E8441" i="5" s="1"/>
  <c r="E8442" i="5" s="1"/>
  <c r="E8443" i="5" s="1"/>
  <c r="E8444" i="5" s="1"/>
  <c r="E8445" i="5" s="1"/>
  <c r="E8446" i="5" s="1"/>
  <c r="E8447" i="5" s="1"/>
  <c r="E8448" i="5" s="1"/>
  <c r="E8449" i="5" s="1"/>
  <c r="E8450" i="5" s="1"/>
  <c r="E8451" i="5" s="1"/>
  <c r="E8452" i="5" s="1"/>
  <c r="E8453" i="5" s="1"/>
  <c r="E8454" i="5" s="1"/>
  <c r="E8455" i="5" s="1"/>
  <c r="E8456" i="5" s="1"/>
  <c r="E8457" i="5" s="1"/>
  <c r="E8458" i="5" s="1"/>
  <c r="E8459" i="5" s="1"/>
  <c r="E8460" i="5" s="1"/>
  <c r="E8461" i="5" s="1"/>
  <c r="E8462" i="5" s="1"/>
  <c r="E8463" i="5" s="1"/>
  <c r="E8464" i="5" s="1"/>
  <c r="E8465" i="5" s="1"/>
  <c r="E8466" i="5" s="1"/>
  <c r="E8467" i="5" s="1"/>
  <c r="E8468" i="5" s="1"/>
  <c r="E8469" i="5" s="1"/>
  <c r="E8470" i="5" s="1"/>
  <c r="E8471" i="5" s="1"/>
  <c r="E8472" i="5" s="1"/>
  <c r="E8473" i="5" s="1"/>
  <c r="E8474" i="5" s="1"/>
  <c r="E8475" i="5" s="1"/>
  <c r="E8476" i="5" s="1"/>
  <c r="E8477" i="5" s="1"/>
  <c r="E8478" i="5" s="1"/>
  <c r="E8479" i="5" s="1"/>
  <c r="E8480" i="5" s="1"/>
  <c r="E8481" i="5" s="1"/>
  <c r="E8482" i="5" s="1"/>
  <c r="E8483" i="5" s="1"/>
  <c r="E8484" i="5" s="1"/>
  <c r="E8485" i="5" s="1"/>
  <c r="E8486" i="5" s="1"/>
  <c r="E8487" i="5" s="1"/>
  <c r="E8488" i="5" s="1"/>
  <c r="E8489" i="5" s="1"/>
  <c r="E8490" i="5" s="1"/>
  <c r="E8491" i="5" s="1"/>
  <c r="E8492" i="5" s="1"/>
  <c r="E8493" i="5" s="1"/>
  <c r="E8494" i="5" s="1"/>
  <c r="E8495" i="5" s="1"/>
  <c r="E8496" i="5" s="1"/>
  <c r="E8497" i="5" s="1"/>
  <c r="E8498" i="5" s="1"/>
  <c r="E8499" i="5" s="1"/>
  <c r="E8500" i="5" s="1"/>
  <c r="E8501" i="5" s="1"/>
  <c r="E8502" i="5" s="1"/>
  <c r="E8503" i="5" s="1"/>
  <c r="E8504" i="5" s="1"/>
  <c r="E8505" i="5" s="1"/>
  <c r="E8506" i="5" s="1"/>
  <c r="E8507" i="5" s="1"/>
  <c r="E8508" i="5" s="1"/>
  <c r="E8509" i="5" s="1"/>
  <c r="E8510" i="5" s="1"/>
  <c r="E8511" i="5" s="1"/>
  <c r="E8512" i="5" s="1"/>
  <c r="E8513" i="5" s="1"/>
  <c r="E8514" i="5" s="1"/>
  <c r="E8515" i="5" s="1"/>
  <c r="E8516" i="5" s="1"/>
  <c r="E8517" i="5" s="1"/>
  <c r="E8518" i="5" s="1"/>
  <c r="E8519" i="5" s="1"/>
  <c r="E8520" i="5" s="1"/>
  <c r="E8521" i="5" s="1"/>
  <c r="E8522" i="5" s="1"/>
  <c r="E8523" i="5" s="1"/>
  <c r="E8524" i="5" s="1"/>
  <c r="E8525" i="5" s="1"/>
  <c r="E8526" i="5" s="1"/>
  <c r="E8527" i="5" s="1"/>
  <c r="E8528" i="5" s="1"/>
  <c r="E8529" i="5" s="1"/>
  <c r="E8530" i="5" s="1"/>
  <c r="E8531" i="5" s="1"/>
  <c r="E8532" i="5" s="1"/>
  <c r="E8533" i="5" s="1"/>
  <c r="E8534" i="5" s="1"/>
  <c r="E8535" i="5" s="1"/>
  <c r="E8536" i="5" s="1"/>
  <c r="E8537" i="5" s="1"/>
  <c r="E8538" i="5" s="1"/>
  <c r="E8539" i="5" s="1"/>
  <c r="E8540" i="5" s="1"/>
  <c r="E8541" i="5" s="1"/>
  <c r="E8542" i="5" s="1"/>
  <c r="E8543" i="5" s="1"/>
  <c r="E8544" i="5" s="1"/>
  <c r="E8545" i="5" s="1"/>
  <c r="E8546" i="5" s="1"/>
  <c r="E8547" i="5" s="1"/>
  <c r="E8548" i="5" s="1"/>
  <c r="E8549" i="5" s="1"/>
  <c r="E8550" i="5" s="1"/>
  <c r="E8551" i="5" s="1"/>
  <c r="E8552" i="5" s="1"/>
  <c r="E8553" i="5" s="1"/>
  <c r="E8554" i="5" s="1"/>
  <c r="E8555" i="5" s="1"/>
  <c r="E8556" i="5" s="1"/>
  <c r="E8557" i="5" s="1"/>
  <c r="E8558" i="5" s="1"/>
  <c r="E8559" i="5" s="1"/>
  <c r="E8560" i="5" s="1"/>
  <c r="E8561" i="5" s="1"/>
  <c r="E8562" i="5" s="1"/>
  <c r="E8563" i="5" s="1"/>
  <c r="E8564" i="5" s="1"/>
  <c r="E8565" i="5" s="1"/>
  <c r="E8566" i="5" s="1"/>
  <c r="E8567" i="5" s="1"/>
  <c r="E8568" i="5" s="1"/>
  <c r="E8569" i="5" s="1"/>
  <c r="E8570" i="5" s="1"/>
  <c r="E8571" i="5" s="1"/>
  <c r="E8572" i="5" s="1"/>
  <c r="E8573" i="5" s="1"/>
  <c r="E8574" i="5" s="1"/>
  <c r="E8575" i="5" s="1"/>
  <c r="E8576" i="5" s="1"/>
  <c r="E8577" i="5" s="1"/>
  <c r="E8578" i="5" s="1"/>
  <c r="E8579" i="5" s="1"/>
  <c r="E8580" i="5" s="1"/>
  <c r="E8581" i="5" s="1"/>
  <c r="E8582" i="5" s="1"/>
  <c r="E8583" i="5" s="1"/>
  <c r="E8584" i="5" s="1"/>
  <c r="E8585" i="5" s="1"/>
  <c r="E8586" i="5" s="1"/>
  <c r="E8587" i="5" s="1"/>
  <c r="E8588" i="5" s="1"/>
  <c r="E8589" i="5" s="1"/>
  <c r="E8590" i="5" s="1"/>
  <c r="E8591" i="5" s="1"/>
  <c r="E8592" i="5" s="1"/>
  <c r="E8593" i="5" s="1"/>
  <c r="E8594" i="5" s="1"/>
  <c r="E8595" i="5" s="1"/>
  <c r="E8596" i="5" s="1"/>
  <c r="E8597" i="5" s="1"/>
  <c r="E8598" i="5" s="1"/>
  <c r="E8599" i="5" s="1"/>
  <c r="E8600" i="5" s="1"/>
  <c r="E8601" i="5" s="1"/>
  <c r="E8602" i="5" s="1"/>
  <c r="E8603" i="5" s="1"/>
  <c r="E8604" i="5" s="1"/>
  <c r="E8605" i="5" s="1"/>
  <c r="E8606" i="5" s="1"/>
  <c r="E8607" i="5" s="1"/>
  <c r="E8608" i="5" s="1"/>
  <c r="E8609" i="5" s="1"/>
  <c r="E8610" i="5" s="1"/>
  <c r="E8611" i="5" s="1"/>
  <c r="E8612" i="5" s="1"/>
  <c r="E8613" i="5" s="1"/>
  <c r="E8614" i="5" s="1"/>
  <c r="E8615" i="5" s="1"/>
  <c r="E8616" i="5" s="1"/>
  <c r="E8617" i="5" s="1"/>
  <c r="E8618" i="5" s="1"/>
  <c r="E8619" i="5" s="1"/>
  <c r="E8620" i="5" s="1"/>
  <c r="E8621" i="5" s="1"/>
  <c r="E8622" i="5" s="1"/>
  <c r="E8623" i="5" s="1"/>
  <c r="E8624" i="5" s="1"/>
  <c r="E8625" i="5" s="1"/>
  <c r="E8626" i="5" s="1"/>
  <c r="E8627" i="5" s="1"/>
  <c r="E8628" i="5" s="1"/>
  <c r="E8629" i="5" s="1"/>
  <c r="E8630" i="5" s="1"/>
  <c r="E8631" i="5" s="1"/>
  <c r="E8632" i="5" s="1"/>
  <c r="E8633" i="5" s="1"/>
  <c r="E8634" i="5" s="1"/>
  <c r="E8635" i="5" s="1"/>
  <c r="E8636" i="5" s="1"/>
  <c r="E8637" i="5" s="1"/>
  <c r="E8638" i="5" s="1"/>
  <c r="E8639" i="5" s="1"/>
  <c r="E8640" i="5" s="1"/>
  <c r="E8641" i="5" s="1"/>
  <c r="E8642" i="5" s="1"/>
  <c r="E8643" i="5" s="1"/>
  <c r="E8644" i="5" s="1"/>
  <c r="E8645" i="5" s="1"/>
  <c r="E8646" i="5" s="1"/>
  <c r="E8647" i="5" s="1"/>
  <c r="E8648" i="5" s="1"/>
  <c r="E8649" i="5" s="1"/>
  <c r="E8650" i="5" s="1"/>
  <c r="E8651" i="5" s="1"/>
  <c r="E8652" i="5" s="1"/>
  <c r="E8653" i="5" s="1"/>
  <c r="E8654" i="5" s="1"/>
  <c r="E8655" i="5" s="1"/>
  <c r="E8656" i="5" s="1"/>
  <c r="E8657" i="5" s="1"/>
  <c r="E8658" i="5" s="1"/>
  <c r="E8659" i="5" s="1"/>
  <c r="E8660" i="5" s="1"/>
  <c r="E8661" i="5" s="1"/>
  <c r="E8662" i="5" s="1"/>
  <c r="E8663" i="5" s="1"/>
  <c r="E8664" i="5" s="1"/>
  <c r="E8665" i="5" s="1"/>
  <c r="E8666" i="5" s="1"/>
  <c r="E8667" i="5" s="1"/>
  <c r="E8668" i="5" s="1"/>
  <c r="E8669" i="5" s="1"/>
  <c r="E8670" i="5" s="1"/>
  <c r="E8671" i="5" s="1"/>
  <c r="E8672" i="5" s="1"/>
  <c r="E8673" i="5" s="1"/>
  <c r="E8674" i="5" s="1"/>
  <c r="E8675" i="5" s="1"/>
  <c r="E8676" i="5" s="1"/>
  <c r="E8677" i="5" s="1"/>
  <c r="E8678" i="5" s="1"/>
  <c r="E8679" i="5" s="1"/>
  <c r="E8680" i="5" s="1"/>
  <c r="E8681" i="5" s="1"/>
  <c r="E8682" i="5" s="1"/>
  <c r="E8683" i="5" s="1"/>
  <c r="E8684" i="5" s="1"/>
  <c r="E8685" i="5" s="1"/>
  <c r="E8686" i="5" s="1"/>
  <c r="E8687" i="5" s="1"/>
  <c r="E8688" i="5" s="1"/>
  <c r="E8689" i="5" s="1"/>
  <c r="E8690" i="5" s="1"/>
  <c r="E8691" i="5" s="1"/>
  <c r="E8692" i="5" s="1"/>
  <c r="E8693" i="5" s="1"/>
  <c r="E8694" i="5" s="1"/>
  <c r="E8695" i="5" s="1"/>
  <c r="E8696" i="5" s="1"/>
  <c r="E8697" i="5" s="1"/>
  <c r="E8698" i="5" s="1"/>
  <c r="E8699" i="5" s="1"/>
  <c r="E8700" i="5" s="1"/>
  <c r="E8701" i="5" s="1"/>
  <c r="E8702" i="5" s="1"/>
  <c r="E8703" i="5" s="1"/>
  <c r="E8704" i="5" s="1"/>
  <c r="E8705" i="5" s="1"/>
  <c r="E8706" i="5" s="1"/>
  <c r="E8707" i="5" s="1"/>
  <c r="E8708" i="5" s="1"/>
  <c r="E8709" i="5" s="1"/>
  <c r="E8710" i="5" s="1"/>
  <c r="E8711" i="5" s="1"/>
  <c r="E8712" i="5" s="1"/>
  <c r="E8713" i="5" s="1"/>
  <c r="E8714" i="5" s="1"/>
  <c r="E8715" i="5" s="1"/>
  <c r="E8716" i="5" s="1"/>
  <c r="E8717" i="5" s="1"/>
  <c r="E8718" i="5" s="1"/>
  <c r="E8719" i="5" s="1"/>
  <c r="E8720" i="5" s="1"/>
  <c r="E8721" i="5" s="1"/>
  <c r="E8722" i="5" s="1"/>
  <c r="E8723" i="5" s="1"/>
  <c r="E8724" i="5" s="1"/>
  <c r="E8725" i="5" s="1"/>
  <c r="E8726" i="5" s="1"/>
  <c r="E8727" i="5" s="1"/>
  <c r="E8728" i="5" s="1"/>
  <c r="E8729" i="5" s="1"/>
  <c r="E8730" i="5" s="1"/>
  <c r="E8731" i="5" s="1"/>
  <c r="E8732" i="5" s="1"/>
  <c r="E8733" i="5" s="1"/>
  <c r="E8734" i="5" s="1"/>
  <c r="E8735" i="5" s="1"/>
  <c r="E8736" i="5" s="1"/>
  <c r="E8737" i="5" s="1"/>
  <c r="E8738" i="5" s="1"/>
  <c r="E8739" i="5" s="1"/>
  <c r="E8740" i="5" s="1"/>
  <c r="E8741" i="5" s="1"/>
  <c r="E8742" i="5" s="1"/>
  <c r="E8743" i="5" s="1"/>
  <c r="E8744" i="5" s="1"/>
  <c r="E8745" i="5" s="1"/>
  <c r="E8746" i="5" s="1"/>
  <c r="E8747" i="5" s="1"/>
  <c r="E8748" i="5" s="1"/>
  <c r="E8749" i="5" s="1"/>
  <c r="E8750" i="5" s="1"/>
  <c r="E8751" i="5" s="1"/>
  <c r="E8752" i="5" s="1"/>
  <c r="E8753" i="5" s="1"/>
  <c r="E8754" i="5" s="1"/>
  <c r="E8755" i="5" s="1"/>
  <c r="E8756" i="5" s="1"/>
  <c r="E8757" i="5" s="1"/>
  <c r="E8758" i="5" s="1"/>
  <c r="E8759" i="5" s="1"/>
  <c r="E8760" i="5" s="1"/>
  <c r="E8761" i="5" s="1"/>
  <c r="E8762" i="5" s="1"/>
  <c r="E8763" i="5" s="1"/>
  <c r="E8764" i="5" s="1"/>
  <c r="E8765" i="5" s="1"/>
  <c r="E8766" i="5" s="1"/>
  <c r="E8767" i="5" s="1"/>
  <c r="E8768" i="5" s="1"/>
  <c r="E8769" i="5" s="1"/>
  <c r="E8770" i="5" s="1"/>
  <c r="E8771" i="5" s="1"/>
  <c r="E8772" i="5" s="1"/>
  <c r="E8773" i="5" s="1"/>
  <c r="E8774" i="5" s="1"/>
  <c r="E8775" i="5" s="1"/>
  <c r="E8776" i="5" s="1"/>
  <c r="E8777" i="5" s="1"/>
  <c r="E8778" i="5" s="1"/>
  <c r="E8779" i="5" s="1"/>
  <c r="E8780" i="5" s="1"/>
  <c r="E8781" i="5" s="1"/>
  <c r="E8782" i="5" s="1"/>
  <c r="E8783" i="5" s="1"/>
  <c r="E8784" i="5" s="1"/>
  <c r="E8785" i="5" s="1"/>
  <c r="E8786" i="5" s="1"/>
  <c r="E8787" i="5" s="1"/>
  <c r="E8788" i="5" s="1"/>
  <c r="E8789" i="5" s="1"/>
  <c r="E8790" i="5" s="1"/>
  <c r="E8791" i="5" s="1"/>
  <c r="E8792" i="5" s="1"/>
  <c r="E8793" i="5" s="1"/>
  <c r="E8794" i="5" s="1"/>
  <c r="E8795" i="5" s="1"/>
  <c r="E8796" i="5" s="1"/>
  <c r="E8797" i="5" s="1"/>
  <c r="E8798" i="5" s="1"/>
  <c r="E8799" i="5" s="1"/>
  <c r="E8800" i="5" s="1"/>
  <c r="E8801" i="5" s="1"/>
  <c r="E8802" i="5" s="1"/>
  <c r="E8803" i="5" s="1"/>
  <c r="E8804" i="5" s="1"/>
  <c r="E8805" i="5" s="1"/>
  <c r="E8806" i="5" s="1"/>
  <c r="E8807" i="5" s="1"/>
  <c r="E8808" i="5" s="1"/>
  <c r="E8809" i="5" s="1"/>
  <c r="E8810" i="5" s="1"/>
  <c r="E8811" i="5" s="1"/>
  <c r="E8812" i="5" s="1"/>
  <c r="E8813" i="5" s="1"/>
  <c r="E8814" i="5" s="1"/>
  <c r="E8815" i="5" s="1"/>
  <c r="E8816" i="5" s="1"/>
  <c r="E8817" i="5" s="1"/>
  <c r="E8818" i="5" s="1"/>
  <c r="E8819" i="5" s="1"/>
  <c r="E8820" i="5" s="1"/>
  <c r="E8821" i="5" s="1"/>
  <c r="E8822" i="5" s="1"/>
  <c r="E8823" i="5" s="1"/>
  <c r="E8824" i="5" s="1"/>
  <c r="E8825" i="5" s="1"/>
  <c r="E8826" i="5" s="1"/>
  <c r="E8827" i="5" s="1"/>
  <c r="E8828" i="5" s="1"/>
  <c r="E8829" i="5" s="1"/>
  <c r="E8830" i="5" s="1"/>
  <c r="E8831" i="5" s="1"/>
  <c r="E8832" i="5" s="1"/>
  <c r="E8833" i="5" s="1"/>
  <c r="E8834" i="5" s="1"/>
  <c r="E8835" i="5" s="1"/>
  <c r="E8836" i="5" s="1"/>
  <c r="E8837" i="5" s="1"/>
  <c r="E8838" i="5" s="1"/>
  <c r="E8839" i="5" s="1"/>
  <c r="E8840" i="5" s="1"/>
  <c r="E8841" i="5" s="1"/>
  <c r="E8842" i="5" s="1"/>
  <c r="E8843" i="5" s="1"/>
  <c r="E8844" i="5" s="1"/>
  <c r="E8845" i="5" s="1"/>
  <c r="E8846" i="5" s="1"/>
  <c r="E8847" i="5" s="1"/>
  <c r="E8848" i="5" s="1"/>
  <c r="E8849" i="5" s="1"/>
  <c r="E8850" i="5" s="1"/>
  <c r="E8851" i="5" s="1"/>
  <c r="E8852" i="5" s="1"/>
  <c r="E8853" i="5" s="1"/>
  <c r="E8854" i="5" s="1"/>
  <c r="E8855" i="5" s="1"/>
  <c r="E8856" i="5" s="1"/>
  <c r="E8857" i="5" s="1"/>
  <c r="E8858" i="5" s="1"/>
  <c r="E8859" i="5" s="1"/>
  <c r="E8860" i="5" s="1"/>
  <c r="E8861" i="5" s="1"/>
  <c r="E8862" i="5" s="1"/>
  <c r="E8863" i="5" s="1"/>
  <c r="E8864" i="5" s="1"/>
  <c r="E8865" i="5" s="1"/>
  <c r="E8866" i="5" s="1"/>
  <c r="E8867" i="5" s="1"/>
  <c r="E8868" i="5" s="1"/>
  <c r="E8869" i="5" s="1"/>
  <c r="E8870" i="5" s="1"/>
  <c r="E8871" i="5" s="1"/>
  <c r="E8872" i="5" s="1"/>
  <c r="E8873" i="5" s="1"/>
  <c r="E8874" i="5" s="1"/>
  <c r="E8875" i="5" s="1"/>
  <c r="E8876" i="5" s="1"/>
  <c r="E8877" i="5" s="1"/>
  <c r="E8878" i="5" s="1"/>
  <c r="E8879" i="5" s="1"/>
  <c r="E8880" i="5" s="1"/>
  <c r="E8881" i="5" s="1"/>
  <c r="E8882" i="5" s="1"/>
  <c r="E8883" i="5" s="1"/>
  <c r="E8884" i="5" s="1"/>
  <c r="E8885" i="5" s="1"/>
  <c r="E8886" i="5" s="1"/>
  <c r="E8887" i="5" s="1"/>
  <c r="E8888" i="5" s="1"/>
  <c r="E8889" i="5" s="1"/>
  <c r="E8890" i="5" s="1"/>
  <c r="E8891" i="5" s="1"/>
  <c r="E8892" i="5" s="1"/>
  <c r="E8893" i="5" s="1"/>
  <c r="E8894" i="5" s="1"/>
  <c r="E8895" i="5" s="1"/>
  <c r="E8896" i="5" s="1"/>
  <c r="E8897" i="5" s="1"/>
  <c r="E8898" i="5" s="1"/>
  <c r="E8899" i="5" s="1"/>
  <c r="E8900" i="5" s="1"/>
  <c r="E8901" i="5" s="1"/>
  <c r="E8902" i="5" s="1"/>
  <c r="E8903" i="5" s="1"/>
  <c r="E8904" i="5" s="1"/>
  <c r="E8905" i="5" s="1"/>
  <c r="E8906" i="5" s="1"/>
  <c r="E8907" i="5" s="1"/>
  <c r="E8908" i="5" s="1"/>
  <c r="E8909" i="5" s="1"/>
  <c r="E8910" i="5" s="1"/>
  <c r="E8911" i="5" s="1"/>
  <c r="E8912" i="5" s="1"/>
  <c r="E8913" i="5" s="1"/>
  <c r="E8914" i="5" s="1"/>
  <c r="E8915" i="5" s="1"/>
  <c r="E8916" i="5" s="1"/>
  <c r="E8917" i="5" s="1"/>
  <c r="E8918" i="5" s="1"/>
  <c r="E8919" i="5" s="1"/>
  <c r="E8920" i="5" s="1"/>
  <c r="E8921" i="5" s="1"/>
  <c r="E8922" i="5" s="1"/>
  <c r="E8923" i="5" s="1"/>
  <c r="E8924" i="5" s="1"/>
  <c r="E8925" i="5" s="1"/>
  <c r="E8926" i="5" s="1"/>
  <c r="E8927" i="5" s="1"/>
  <c r="E8928" i="5" s="1"/>
  <c r="E8929" i="5" s="1"/>
  <c r="E8930" i="5" s="1"/>
  <c r="E8931" i="5" s="1"/>
  <c r="E8932" i="5" s="1"/>
  <c r="E8933" i="5" s="1"/>
  <c r="E8934" i="5" s="1"/>
  <c r="E8935" i="5" s="1"/>
  <c r="E8936" i="5" s="1"/>
  <c r="E8937" i="5" s="1"/>
  <c r="E8938" i="5" s="1"/>
  <c r="E8939" i="5" s="1"/>
  <c r="E8940" i="5" s="1"/>
  <c r="E8941" i="5" s="1"/>
  <c r="E8942" i="5" s="1"/>
  <c r="E8943" i="5" s="1"/>
  <c r="E8944" i="5" s="1"/>
  <c r="E8945" i="5" s="1"/>
  <c r="E8946" i="5" s="1"/>
  <c r="E8947" i="5" s="1"/>
  <c r="E8948" i="5" s="1"/>
  <c r="E8949" i="5" s="1"/>
  <c r="E8950" i="5" s="1"/>
  <c r="E8951" i="5" s="1"/>
  <c r="E8952" i="5" s="1"/>
  <c r="E8953" i="5" s="1"/>
  <c r="E8954" i="5" s="1"/>
  <c r="E8955" i="5" s="1"/>
  <c r="E8956" i="5" s="1"/>
  <c r="E8957" i="5" s="1"/>
  <c r="E8958" i="5" s="1"/>
  <c r="E8959" i="5" s="1"/>
  <c r="E8960" i="5" s="1"/>
  <c r="E8961" i="5" s="1"/>
  <c r="E8962" i="5" s="1"/>
  <c r="E8963" i="5" s="1"/>
  <c r="E8964" i="5" s="1"/>
  <c r="E8965" i="5" s="1"/>
  <c r="E8966" i="5" s="1"/>
  <c r="E8967" i="5" s="1"/>
  <c r="E8968" i="5" s="1"/>
  <c r="E8969" i="5" s="1"/>
  <c r="E8970" i="5" s="1"/>
  <c r="E8971" i="5" s="1"/>
  <c r="E8972" i="5" s="1"/>
  <c r="E8973" i="5" s="1"/>
  <c r="E8974" i="5" s="1"/>
  <c r="E8975" i="5" s="1"/>
  <c r="E8976" i="5" s="1"/>
  <c r="E8977" i="5" s="1"/>
  <c r="E8978" i="5" s="1"/>
  <c r="E8979" i="5" s="1"/>
  <c r="E8980" i="5" s="1"/>
  <c r="E8981" i="5" s="1"/>
  <c r="E8982" i="5" s="1"/>
  <c r="E8983" i="5" s="1"/>
  <c r="E8984" i="5" s="1"/>
  <c r="E8985" i="5" s="1"/>
  <c r="E8986" i="5" s="1"/>
  <c r="E8987" i="5" s="1"/>
  <c r="E8988" i="5" s="1"/>
  <c r="E8989" i="5" s="1"/>
  <c r="E8990" i="5" s="1"/>
  <c r="E8991" i="5" s="1"/>
  <c r="E8992" i="5" s="1"/>
  <c r="E8993" i="5" s="1"/>
  <c r="E8994" i="5" s="1"/>
  <c r="E8995" i="5" s="1"/>
  <c r="E8996" i="5" s="1"/>
  <c r="E8997" i="5" s="1"/>
  <c r="E8998" i="5" s="1"/>
  <c r="E8999" i="5" s="1"/>
  <c r="E9000" i="5" s="1"/>
  <c r="E9001" i="5" s="1"/>
  <c r="E9002" i="5" s="1"/>
  <c r="E9003" i="5" s="1"/>
  <c r="E9004" i="5" s="1"/>
  <c r="E9005" i="5" s="1"/>
  <c r="E9006" i="5" s="1"/>
  <c r="E9007" i="5" s="1"/>
  <c r="E9008" i="5" s="1"/>
  <c r="E9009" i="5" s="1"/>
  <c r="E9010" i="5" s="1"/>
  <c r="E9011" i="5" s="1"/>
  <c r="E9012" i="5" s="1"/>
  <c r="E9013" i="5" s="1"/>
  <c r="E9014" i="5" s="1"/>
  <c r="E9015" i="5" s="1"/>
  <c r="E9016" i="5" s="1"/>
  <c r="E9017" i="5" s="1"/>
  <c r="E9018" i="5" s="1"/>
  <c r="E9019" i="5" s="1"/>
  <c r="E9020" i="5" s="1"/>
  <c r="E9021" i="5" s="1"/>
  <c r="E9022" i="5" s="1"/>
  <c r="E9023" i="5" s="1"/>
  <c r="E9024" i="5" s="1"/>
  <c r="E9025" i="5" s="1"/>
  <c r="E9026" i="5" s="1"/>
  <c r="E9027" i="5" s="1"/>
  <c r="E9028" i="5" s="1"/>
  <c r="E9029" i="5" s="1"/>
  <c r="E9030" i="5" s="1"/>
  <c r="E9031" i="5" s="1"/>
  <c r="E9032" i="5" s="1"/>
  <c r="E9033" i="5" s="1"/>
  <c r="E9034" i="5" s="1"/>
  <c r="E9035" i="5" s="1"/>
  <c r="E9036" i="5" s="1"/>
  <c r="E9037" i="5" s="1"/>
  <c r="E9038" i="5" s="1"/>
  <c r="E9039" i="5" s="1"/>
  <c r="E9040" i="5" s="1"/>
  <c r="E9041" i="5" s="1"/>
  <c r="E9042" i="5" s="1"/>
  <c r="E9043" i="5" s="1"/>
  <c r="E9044" i="5" s="1"/>
  <c r="E9045" i="5" s="1"/>
  <c r="E9046" i="5" s="1"/>
  <c r="E9047" i="5" s="1"/>
  <c r="E9048" i="5" s="1"/>
  <c r="E9049" i="5" s="1"/>
  <c r="E9050" i="5" s="1"/>
  <c r="E9051" i="5" s="1"/>
  <c r="E9052" i="5" s="1"/>
  <c r="E9053" i="5" s="1"/>
  <c r="E9054" i="5" s="1"/>
  <c r="E9055" i="5" s="1"/>
  <c r="E9056" i="5" s="1"/>
  <c r="E9057" i="5" s="1"/>
  <c r="E9058" i="5" s="1"/>
  <c r="E9059" i="5" s="1"/>
  <c r="E9060" i="5" s="1"/>
  <c r="E9061" i="5" s="1"/>
  <c r="E9062" i="5" s="1"/>
  <c r="E9063" i="5" s="1"/>
  <c r="E9064" i="5" s="1"/>
  <c r="E9065" i="5" s="1"/>
  <c r="E9066" i="5" s="1"/>
  <c r="E9067" i="5" s="1"/>
  <c r="E9068" i="5" s="1"/>
  <c r="E9069" i="5" s="1"/>
  <c r="E9070" i="5" s="1"/>
  <c r="E9071" i="5" s="1"/>
  <c r="E9072" i="5" s="1"/>
  <c r="E9073" i="5" s="1"/>
  <c r="E9074" i="5" s="1"/>
  <c r="E9075" i="5" s="1"/>
  <c r="E9076" i="5" s="1"/>
  <c r="E9077" i="5" s="1"/>
  <c r="E9078" i="5" s="1"/>
  <c r="E9079" i="5" s="1"/>
  <c r="E9080" i="5" s="1"/>
  <c r="E9081" i="5" s="1"/>
  <c r="E9082" i="5" s="1"/>
  <c r="E9083" i="5" s="1"/>
  <c r="E9084" i="5" s="1"/>
  <c r="E9085" i="5" s="1"/>
  <c r="E9086" i="5" s="1"/>
  <c r="E9087" i="5" s="1"/>
  <c r="E9088" i="5" s="1"/>
  <c r="E9089" i="5" s="1"/>
  <c r="E9090" i="5" s="1"/>
  <c r="E9091" i="5" s="1"/>
  <c r="E9092" i="5" s="1"/>
  <c r="E9093" i="5" s="1"/>
  <c r="E9094" i="5" s="1"/>
  <c r="E9095" i="5" s="1"/>
  <c r="E9096" i="5" s="1"/>
  <c r="E9097" i="5" s="1"/>
  <c r="E9098" i="5" s="1"/>
  <c r="E9099" i="5" s="1"/>
  <c r="E9100" i="5" s="1"/>
  <c r="E9101" i="5" s="1"/>
  <c r="E9102" i="5" s="1"/>
  <c r="E9103" i="5" s="1"/>
  <c r="E9104" i="5" s="1"/>
  <c r="E9105" i="5" s="1"/>
  <c r="E9106" i="5" s="1"/>
  <c r="E9107" i="5" s="1"/>
  <c r="E9108" i="5" s="1"/>
  <c r="E9109" i="5" s="1"/>
  <c r="E9110" i="5" s="1"/>
  <c r="E9111" i="5" s="1"/>
  <c r="E9112" i="5" s="1"/>
  <c r="E9113" i="5" s="1"/>
  <c r="E9114" i="5" s="1"/>
  <c r="E9115" i="5" s="1"/>
  <c r="E9116" i="5" s="1"/>
  <c r="E9117" i="5" s="1"/>
  <c r="E9118" i="5" s="1"/>
  <c r="E9119" i="5" s="1"/>
  <c r="E9120" i="5" s="1"/>
  <c r="E9121" i="5" s="1"/>
  <c r="E9122" i="5" s="1"/>
  <c r="E9123" i="5" s="1"/>
  <c r="E9124" i="5" s="1"/>
  <c r="E9125" i="5" s="1"/>
  <c r="E9126" i="5" s="1"/>
  <c r="E9127" i="5" s="1"/>
  <c r="E9128" i="5" s="1"/>
  <c r="E9129" i="5" s="1"/>
  <c r="E9130" i="5" s="1"/>
  <c r="E9131" i="5" s="1"/>
  <c r="E9132" i="5" s="1"/>
  <c r="E9133" i="5" s="1"/>
  <c r="E9134" i="5" s="1"/>
  <c r="E9135" i="5" s="1"/>
  <c r="E9136" i="5" s="1"/>
  <c r="E9137" i="5" s="1"/>
  <c r="E9138" i="5" s="1"/>
  <c r="E9139" i="5" s="1"/>
  <c r="E9140" i="5" s="1"/>
  <c r="E9141" i="5" s="1"/>
  <c r="E9142" i="5" s="1"/>
  <c r="E9143" i="5" s="1"/>
  <c r="E9144" i="5" s="1"/>
  <c r="E9145" i="5" s="1"/>
  <c r="E9146" i="5" s="1"/>
  <c r="E9147" i="5" s="1"/>
  <c r="E9148" i="5" s="1"/>
  <c r="E9149" i="5" s="1"/>
  <c r="E9150" i="5" s="1"/>
  <c r="E9151" i="5" s="1"/>
  <c r="E9152" i="5" s="1"/>
  <c r="E9153" i="5" s="1"/>
  <c r="E9154" i="5" s="1"/>
  <c r="E9155" i="5" s="1"/>
  <c r="E9156" i="5" s="1"/>
  <c r="E9157" i="5" s="1"/>
  <c r="E9158" i="5" s="1"/>
  <c r="E9159" i="5" s="1"/>
  <c r="E9160" i="5" s="1"/>
  <c r="E9161" i="5" s="1"/>
  <c r="E9162" i="5" s="1"/>
  <c r="E9163" i="5" s="1"/>
  <c r="E9164" i="5" s="1"/>
  <c r="E9165" i="5" s="1"/>
  <c r="E9166" i="5" s="1"/>
  <c r="E9167" i="5" s="1"/>
  <c r="E9168" i="5" s="1"/>
  <c r="E9169" i="5" s="1"/>
  <c r="E9170" i="5" s="1"/>
  <c r="E9171" i="5" s="1"/>
  <c r="E9172" i="5" s="1"/>
  <c r="E9173" i="5" s="1"/>
  <c r="E9174" i="5" s="1"/>
  <c r="E9175" i="5" s="1"/>
  <c r="E9176" i="5" s="1"/>
  <c r="E9177" i="5" s="1"/>
  <c r="E9178" i="5" s="1"/>
  <c r="E9179" i="5" s="1"/>
  <c r="E9180" i="5" s="1"/>
  <c r="E9181" i="5" s="1"/>
  <c r="E9182" i="5" s="1"/>
  <c r="E9183" i="5" s="1"/>
  <c r="E9184" i="5" s="1"/>
  <c r="E9185" i="5" s="1"/>
  <c r="E9186" i="5" s="1"/>
  <c r="E9187" i="5" s="1"/>
  <c r="E9188" i="5" s="1"/>
  <c r="E9189" i="5" s="1"/>
  <c r="E9190" i="5" s="1"/>
  <c r="E9191" i="5" s="1"/>
  <c r="E9192" i="5" s="1"/>
  <c r="E9193" i="5" s="1"/>
  <c r="E9194" i="5" s="1"/>
  <c r="E9195" i="5" s="1"/>
  <c r="E9196" i="5" s="1"/>
  <c r="E9197" i="5" s="1"/>
  <c r="E9198" i="5" s="1"/>
  <c r="E9199" i="5" s="1"/>
  <c r="E9200" i="5" s="1"/>
  <c r="E9201" i="5" s="1"/>
  <c r="E9202" i="5" s="1"/>
  <c r="E9203" i="5" s="1"/>
  <c r="E9204" i="5" s="1"/>
  <c r="E9205" i="5" s="1"/>
  <c r="E9206" i="5" s="1"/>
  <c r="E9207" i="5" s="1"/>
  <c r="E9208" i="5" s="1"/>
  <c r="E9209" i="5" s="1"/>
  <c r="E9210" i="5" s="1"/>
  <c r="E9211" i="5" s="1"/>
  <c r="E9212" i="5" s="1"/>
  <c r="E9213" i="5" s="1"/>
  <c r="E9214" i="5" s="1"/>
  <c r="E9215" i="5" s="1"/>
  <c r="E9216" i="5" s="1"/>
  <c r="E9217" i="5" s="1"/>
  <c r="E9218" i="5" s="1"/>
  <c r="E9219" i="5" s="1"/>
  <c r="E9220" i="5" s="1"/>
  <c r="E9221" i="5" s="1"/>
  <c r="E9222" i="5" s="1"/>
  <c r="E9223" i="5" s="1"/>
  <c r="E9224" i="5" s="1"/>
  <c r="E9225" i="5" s="1"/>
  <c r="E9226" i="5" s="1"/>
  <c r="E9227" i="5" s="1"/>
  <c r="E9228" i="5" s="1"/>
  <c r="E9229" i="5" s="1"/>
  <c r="E9230" i="5" s="1"/>
  <c r="E9231" i="5" s="1"/>
  <c r="E9232" i="5" s="1"/>
  <c r="E9233" i="5" s="1"/>
  <c r="E9234" i="5" s="1"/>
  <c r="E9235" i="5" s="1"/>
  <c r="E9236" i="5" s="1"/>
  <c r="E9237" i="5" s="1"/>
  <c r="E9238" i="5" s="1"/>
  <c r="E9239" i="5" s="1"/>
  <c r="E9240" i="5" s="1"/>
  <c r="E9241" i="5" s="1"/>
  <c r="E9242" i="5" s="1"/>
  <c r="E9243" i="5" s="1"/>
  <c r="E9244" i="5" s="1"/>
  <c r="E9245" i="5" s="1"/>
  <c r="E9246" i="5" s="1"/>
  <c r="E9247" i="5" s="1"/>
  <c r="E9248" i="5" s="1"/>
  <c r="E9249" i="5" s="1"/>
  <c r="E9250" i="5" s="1"/>
  <c r="E9251" i="5" s="1"/>
  <c r="E9252" i="5" s="1"/>
  <c r="E9253" i="5" s="1"/>
  <c r="E9254" i="5" s="1"/>
  <c r="E9255" i="5" s="1"/>
  <c r="E9256" i="5" s="1"/>
  <c r="E9257" i="5" s="1"/>
  <c r="E9258" i="5" s="1"/>
  <c r="E9259" i="5" s="1"/>
  <c r="E9260" i="5" s="1"/>
  <c r="E9261" i="5" s="1"/>
  <c r="E9262" i="5" s="1"/>
  <c r="E9263" i="5" s="1"/>
  <c r="E9264" i="5" s="1"/>
  <c r="E9265" i="5" s="1"/>
  <c r="E9266" i="5" s="1"/>
  <c r="E9267" i="5" s="1"/>
  <c r="E9268" i="5" s="1"/>
  <c r="E9269" i="5" s="1"/>
  <c r="E9270" i="5" s="1"/>
  <c r="E9271" i="5" s="1"/>
  <c r="E9272" i="5" s="1"/>
  <c r="E9273" i="5" s="1"/>
  <c r="E9274" i="5" s="1"/>
  <c r="E9275" i="5" s="1"/>
  <c r="E9276" i="5" s="1"/>
  <c r="E9277" i="5" s="1"/>
  <c r="E9278" i="5" s="1"/>
  <c r="E9279" i="5" s="1"/>
  <c r="E9280" i="5" s="1"/>
  <c r="E9281" i="5" s="1"/>
  <c r="E9282" i="5" s="1"/>
  <c r="E9283" i="5" s="1"/>
  <c r="E9284" i="5" s="1"/>
  <c r="E9285" i="5" s="1"/>
  <c r="E9286" i="5" s="1"/>
  <c r="E9287" i="5" s="1"/>
  <c r="E9288" i="5" s="1"/>
  <c r="E9289" i="5" s="1"/>
  <c r="E9290" i="5" s="1"/>
  <c r="E9291" i="5" s="1"/>
  <c r="E9292" i="5" s="1"/>
  <c r="E9293" i="5" s="1"/>
  <c r="E9294" i="5" s="1"/>
  <c r="E9295" i="5" s="1"/>
  <c r="E9296" i="5" s="1"/>
  <c r="E9297" i="5" s="1"/>
  <c r="E9298" i="5" s="1"/>
  <c r="E9299" i="5" s="1"/>
  <c r="E9300" i="5" s="1"/>
  <c r="E9301" i="5" s="1"/>
  <c r="E9302" i="5" s="1"/>
  <c r="E9303" i="5" s="1"/>
  <c r="E9304" i="5" s="1"/>
  <c r="E9305" i="5" s="1"/>
  <c r="E9306" i="5" s="1"/>
  <c r="E9307" i="5" s="1"/>
  <c r="E9308" i="5" s="1"/>
  <c r="E9309" i="5" s="1"/>
  <c r="E9310" i="5" s="1"/>
  <c r="E9311" i="5" s="1"/>
  <c r="E9312" i="5" s="1"/>
  <c r="E9313" i="5" s="1"/>
  <c r="E9314" i="5" s="1"/>
  <c r="E9315" i="5" s="1"/>
  <c r="E9316" i="5" s="1"/>
  <c r="E9317" i="5" s="1"/>
  <c r="E9318" i="5" s="1"/>
  <c r="E9319" i="5" s="1"/>
  <c r="E9320" i="5" s="1"/>
  <c r="E9321" i="5" s="1"/>
  <c r="E9322" i="5" s="1"/>
  <c r="E9323" i="5" s="1"/>
  <c r="E9324" i="5" s="1"/>
  <c r="E9325" i="5" s="1"/>
  <c r="E9326" i="5" s="1"/>
  <c r="E9327" i="5" s="1"/>
  <c r="E9328" i="5" s="1"/>
  <c r="E9329" i="5" s="1"/>
  <c r="E9330" i="5" s="1"/>
  <c r="E9331" i="5" s="1"/>
  <c r="E9332" i="5" s="1"/>
  <c r="E9333" i="5" s="1"/>
  <c r="E9334" i="5" s="1"/>
  <c r="E9335" i="5" s="1"/>
  <c r="E9336" i="5" s="1"/>
  <c r="E9337" i="5" s="1"/>
  <c r="E9338" i="5" s="1"/>
  <c r="E9339" i="5" s="1"/>
  <c r="E9340" i="5" s="1"/>
  <c r="E9341" i="5" s="1"/>
  <c r="E9342" i="5" s="1"/>
  <c r="E9343" i="5" s="1"/>
  <c r="E9344" i="5" s="1"/>
  <c r="E9345" i="5" s="1"/>
  <c r="E9346" i="5" s="1"/>
  <c r="E9347" i="5" s="1"/>
  <c r="E9348" i="5" s="1"/>
  <c r="E9349" i="5" s="1"/>
  <c r="E9350" i="5" s="1"/>
  <c r="E9351" i="5" s="1"/>
  <c r="E9352" i="5" s="1"/>
  <c r="E9353" i="5" s="1"/>
  <c r="E9354" i="5" s="1"/>
  <c r="E9355" i="5" s="1"/>
  <c r="E9356" i="5" s="1"/>
  <c r="E9357" i="5" s="1"/>
  <c r="E9358" i="5" s="1"/>
  <c r="E9359" i="5" s="1"/>
  <c r="E9360" i="5" s="1"/>
  <c r="E9361" i="5" s="1"/>
  <c r="E9362" i="5" s="1"/>
  <c r="E9363" i="5" s="1"/>
  <c r="E9364" i="5" s="1"/>
  <c r="E9365" i="5" s="1"/>
  <c r="E9366" i="5" s="1"/>
  <c r="E9367" i="5" s="1"/>
  <c r="E9368" i="5" s="1"/>
  <c r="E9369" i="5" s="1"/>
  <c r="E9370" i="5" s="1"/>
  <c r="E9371" i="5" s="1"/>
  <c r="E9372" i="5" s="1"/>
  <c r="E9373" i="5" s="1"/>
  <c r="E9374" i="5" s="1"/>
  <c r="E9375" i="5" s="1"/>
  <c r="E9376" i="5" s="1"/>
  <c r="E9377" i="5" s="1"/>
  <c r="E9378" i="5" s="1"/>
  <c r="E9379" i="5" s="1"/>
  <c r="E9380" i="5" s="1"/>
  <c r="E9381" i="5" s="1"/>
  <c r="E9382" i="5" s="1"/>
  <c r="E9383" i="5" s="1"/>
  <c r="E9384" i="5" s="1"/>
  <c r="E9385" i="5" s="1"/>
  <c r="E9386" i="5" s="1"/>
  <c r="E9387" i="5" s="1"/>
  <c r="E9388" i="5" s="1"/>
  <c r="E9389" i="5" s="1"/>
  <c r="E9390" i="5" s="1"/>
  <c r="E9391" i="5" s="1"/>
  <c r="E9392" i="5" s="1"/>
  <c r="E9393" i="5" s="1"/>
  <c r="E9394" i="5" s="1"/>
  <c r="E9395" i="5" s="1"/>
  <c r="E9396" i="5" s="1"/>
  <c r="E9397" i="5" s="1"/>
  <c r="E9398" i="5" s="1"/>
  <c r="E9399" i="5" s="1"/>
  <c r="E9400" i="5" s="1"/>
  <c r="E9401" i="5" s="1"/>
  <c r="E9402" i="5" s="1"/>
  <c r="E9403" i="5" s="1"/>
  <c r="E9404" i="5" s="1"/>
  <c r="E9405" i="5" s="1"/>
  <c r="E9406" i="5" s="1"/>
  <c r="E9407" i="5" s="1"/>
  <c r="E9408" i="5" s="1"/>
  <c r="E9409" i="5" s="1"/>
  <c r="E9410" i="5" s="1"/>
  <c r="E9411" i="5" s="1"/>
  <c r="E9412" i="5" s="1"/>
  <c r="E9413" i="5" s="1"/>
  <c r="E9414" i="5" s="1"/>
  <c r="E9415" i="5" s="1"/>
  <c r="E9416" i="5" s="1"/>
  <c r="E9417" i="5" s="1"/>
  <c r="E9418" i="5" s="1"/>
  <c r="E9419" i="5" s="1"/>
  <c r="E9420" i="5" s="1"/>
  <c r="E9421" i="5" s="1"/>
  <c r="E9422" i="5" s="1"/>
  <c r="E9423" i="5" s="1"/>
  <c r="E9424" i="5" s="1"/>
  <c r="E9425" i="5" s="1"/>
  <c r="E9426" i="5" s="1"/>
  <c r="E9427" i="5" s="1"/>
  <c r="E9428" i="5" s="1"/>
  <c r="A3" i="5"/>
  <c r="A2" i="5"/>
  <c r="J21" i="3" l="1"/>
  <c r="I21" i="3"/>
</calcChain>
</file>

<file path=xl/sharedStrings.xml><?xml version="1.0" encoding="utf-8"?>
<sst xmlns="http://schemas.openxmlformats.org/spreadsheetml/2006/main" count="18915" uniqueCount="63">
  <si>
    <t>Name</t>
  </si>
  <si>
    <t>inder</t>
  </si>
  <si>
    <t>om</t>
  </si>
  <si>
    <t>karan</t>
  </si>
  <si>
    <t>prakash</t>
  </si>
  <si>
    <t>mohan</t>
  </si>
  <si>
    <t>Workbook_Event</t>
  </si>
  <si>
    <t>Activate</t>
  </si>
  <si>
    <t>Addinstall</t>
  </si>
  <si>
    <t>Adduninstall</t>
  </si>
  <si>
    <t>Before Close</t>
  </si>
  <si>
    <t>Before Print</t>
  </si>
  <si>
    <t>Before save</t>
  </si>
  <si>
    <t>DeActivate</t>
  </si>
  <si>
    <t>NewSheet</t>
  </si>
  <si>
    <t>Open</t>
  </si>
  <si>
    <t>Pivot Table Close Connection</t>
  </si>
  <si>
    <t>Pivot Table Open Connection</t>
  </si>
  <si>
    <t>SheetActivate</t>
  </si>
  <si>
    <t>SheetBeforeDoubleClick</t>
  </si>
  <si>
    <t>SheetBefore Right Click</t>
  </si>
  <si>
    <t>SheetCalculate</t>
  </si>
  <si>
    <t>SheetChange</t>
  </si>
  <si>
    <t>sheetDactivate</t>
  </si>
  <si>
    <t>SheetFollowHyperlink</t>
  </si>
  <si>
    <t>SheetPivotTable Update</t>
  </si>
  <si>
    <t>SheetSelection Change</t>
  </si>
  <si>
    <t>WindowActivate</t>
  </si>
  <si>
    <t>WindowDactivate</t>
  </si>
  <si>
    <t>WindowResize</t>
  </si>
  <si>
    <t>y</t>
  </si>
  <si>
    <t>Private Sub Workbook_Open()</t>
  </si>
  <si>
    <t>Types of Procedure</t>
  </si>
  <si>
    <t>Scope</t>
  </si>
  <si>
    <t>Class</t>
  </si>
  <si>
    <t>Raj</t>
  </si>
  <si>
    <t>deepak</t>
  </si>
  <si>
    <t>Mukesh</t>
  </si>
  <si>
    <t>Sonu</t>
  </si>
  <si>
    <t>Sanjeet</t>
  </si>
  <si>
    <t>ByRef</t>
  </si>
  <si>
    <t>ByValue</t>
  </si>
  <si>
    <t>Deepak</t>
  </si>
  <si>
    <t>Sr No.</t>
  </si>
  <si>
    <t>Region</t>
  </si>
  <si>
    <t xml:space="preserve">Product </t>
  </si>
  <si>
    <t>Grand_Total</t>
  </si>
  <si>
    <t>Date</t>
  </si>
  <si>
    <t>GC</t>
  </si>
  <si>
    <t>Tech</t>
  </si>
  <si>
    <t>IN</t>
  </si>
  <si>
    <t>ANZ</t>
  </si>
  <si>
    <t>Apps</t>
  </si>
  <si>
    <t>KR</t>
  </si>
  <si>
    <t>OFM</t>
  </si>
  <si>
    <t>ASEAN</t>
  </si>
  <si>
    <t>Systems</t>
  </si>
  <si>
    <t>Other</t>
  </si>
  <si>
    <t>Row Labels</t>
  </si>
  <si>
    <t>Grand Total</t>
  </si>
  <si>
    <t>Sum of Grand_Total</t>
  </si>
  <si>
    <t>Yes</t>
  </si>
  <si>
    <t>sds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</si>
</sst>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[$-409]d\-mmm\-yy;@"/>
    <numFmt numFmtId="165" formatCode="_(* #,##0_);_(* \(#,##0\);_(* &quot;-&quot;??_);_(@_)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mbria"/>
      <family val="1"/>
      <scheme val="major"/>
    </font>
    <font>
      <sz val="11"/>
      <name val="Cambria"/>
      <family val="1"/>
      <scheme val="major"/>
    </font>
  </fonts>
  <fills count="4">
    <fill>
      <patternFill patternType="none"/>
    </fill>
    <fill>
      <patternFill patternType="gray125"/>
    </fill>
    <fill>
      <patternFill patternType="solid">
        <fgColor theme="6"/>
      </patternFill>
    </fill>
    <fill>
      <patternFill patternType="solid">
        <fgColor rgb="FFFF0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</borders>
  <cellStyleXfs count="3">
    <xf numFmtId="0" fontId="0" fillId="0" borderId="0"/>
    <xf numFmtId="0" fontId="3" fillId="2" borderId="0" applyNumberFormat="0" applyBorder="0" applyAlignment="0" applyProtection="0"/>
    <xf numFmtId="43" fontId="4" fillId="0" borderId="0" applyFont="0" applyFill="0" applyBorder="0" applyAlignment="0" applyProtection="0"/>
  </cellStyleXfs>
  <cellXfs count="16">
    <xf numFmtId="0" fontId="0" fillId="0" borderId="0" xfId="0"/>
    <xf numFmtId="0" fontId="1" fillId="2" borderId="0" xfId="1" applyFont="1" applyAlignment="1">
      <alignment horizontal="center"/>
    </xf>
    <xf numFmtId="0" fontId="0" fillId="0" borderId="1" xfId="0" applyBorder="1"/>
    <xf numFmtId="0" fontId="2" fillId="0" borderId="1" xfId="0" applyFont="1" applyBorder="1"/>
    <xf numFmtId="0" fontId="2" fillId="0" borderId="0" xfId="0" applyFont="1"/>
    <xf numFmtId="0" fontId="5" fillId="3" borderId="2" xfId="0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3" fontId="5" fillId="3" borderId="2" xfId="0" applyNumberFormat="1" applyFont="1" applyFill="1" applyBorder="1" applyAlignment="1">
      <alignment horizontal="center" vertical="center" wrapText="1"/>
    </xf>
    <xf numFmtId="3" fontId="5" fillId="3" borderId="3" xfId="0" applyNumberFormat="1" applyFont="1" applyFill="1" applyBorder="1" applyAlignment="1">
      <alignment horizontal="center" vertical="center" wrapText="1"/>
    </xf>
    <xf numFmtId="0" fontId="6" fillId="0" borderId="4" xfId="0" applyFont="1" applyBorder="1"/>
    <xf numFmtId="1" fontId="6" fillId="0" borderId="2" xfId="0" applyNumberFormat="1" applyFont="1" applyBorder="1"/>
    <xf numFmtId="165" fontId="6" fillId="0" borderId="5" xfId="2" applyNumberFormat="1" applyFont="1" applyBorder="1" applyAlignment="1">
      <alignment horizontal="center"/>
    </xf>
    <xf numFmtId="15" fontId="0" fillId="0" borderId="1" xfId="0" applyNumberForma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3">
    <cellStyle name="Accent3" xfId="1" builtinId="37"/>
    <cellStyle name="Comma" xfId="2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247650</xdr:colOff>
      <xdr:row>2</xdr:row>
      <xdr:rowOff>85726</xdr:rowOff>
    </xdr:from>
    <xdr:to>
      <xdr:col>10</xdr:col>
      <xdr:colOff>66190</xdr:colOff>
      <xdr:row>5</xdr:row>
      <xdr:rowOff>47625</xdr:rowOff>
    </xdr:to>
    <xdr:cxnSp macro="">
      <xdr:nvCxnSpPr>
        <xdr:cNvPr id="2" name="Straight Arrow Connector 1"/>
        <xdr:cNvCxnSpPr/>
      </xdr:nvCxnSpPr>
      <xdr:spPr>
        <a:xfrm flipV="1">
          <a:off x="5724525" y="466726"/>
          <a:ext cx="1647340" cy="533399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314325</xdr:colOff>
      <xdr:row>5</xdr:row>
      <xdr:rowOff>142875</xdr:rowOff>
    </xdr:from>
    <xdr:to>
      <xdr:col>8</xdr:col>
      <xdr:colOff>171450</xdr:colOff>
      <xdr:row>11</xdr:row>
      <xdr:rowOff>38100</xdr:rowOff>
    </xdr:to>
    <xdr:cxnSp macro="">
      <xdr:nvCxnSpPr>
        <xdr:cNvPr id="4" name="Straight Arrow Connector 3"/>
        <xdr:cNvCxnSpPr/>
      </xdr:nvCxnSpPr>
      <xdr:spPr>
        <a:xfrm>
          <a:off x="4572000" y="1095375"/>
          <a:ext cx="1685925" cy="103822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133350</xdr:colOff>
      <xdr:row>5</xdr:row>
      <xdr:rowOff>95250</xdr:rowOff>
    </xdr:from>
    <xdr:to>
      <xdr:col>6</xdr:col>
      <xdr:colOff>407477</xdr:colOff>
      <xdr:row>16</xdr:row>
      <xdr:rowOff>106551</xdr:rowOff>
    </xdr:to>
    <xdr:cxnSp macro="">
      <xdr:nvCxnSpPr>
        <xdr:cNvPr id="6" name="Straight Arrow Connector 5"/>
        <xdr:cNvCxnSpPr/>
      </xdr:nvCxnSpPr>
      <xdr:spPr>
        <a:xfrm flipH="1">
          <a:off x="3781425" y="1047750"/>
          <a:ext cx="1493327" cy="2106801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ismail - [2010]" refreshedDate="42247.910143634261" createdVersion="4" refreshedVersion="4" minRefreshableVersion="3" recordCount="9427">
  <cacheSource type="worksheet">
    <worksheetSource ref="A1:E9428" sheet="Data"/>
  </cacheSource>
  <cacheFields count="5">
    <cacheField name="Sr No." numFmtId="0">
      <sharedItems containsSemiMixedTypes="0" containsString="0" containsNumber="1" containsInteger="1" minValue="1" maxValue="9427"/>
    </cacheField>
    <cacheField name="Region" numFmtId="0">
      <sharedItems count="5">
        <s v="GC"/>
        <s v="IN"/>
        <s v="ANZ"/>
        <s v="KR"/>
        <s v="ASEAN"/>
      </sharedItems>
    </cacheField>
    <cacheField name="Product " numFmtId="1">
      <sharedItems/>
    </cacheField>
    <cacheField name="Grand_Total" numFmtId="165">
      <sharedItems containsSemiMixedTypes="0" containsString="0" containsNumber="1" minValue="0" maxValue="19553.52778230406"/>
    </cacheField>
    <cacheField name="Date" numFmtId="15">
      <sharedItems containsSemiMixedTypes="0" containsNonDate="0" containsDate="1" containsString="0" minDate="2013-06-15T00:00:00" maxDate="2039-04-07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427">
  <r>
    <n v="1"/>
    <x v="0"/>
    <s v="Tech"/>
    <n v="24.49645717806531"/>
    <d v="2013-06-15T00:00:00"/>
  </r>
  <r>
    <n v="2"/>
    <x v="1"/>
    <s v="Tech"/>
    <n v="551.14638447971777"/>
    <d v="2013-06-16T00:00:00"/>
  </r>
  <r>
    <n v="3"/>
    <x v="2"/>
    <s v="Tech"/>
    <n v="158.84782378481412"/>
    <d v="2013-06-17T00:00:00"/>
  </r>
  <r>
    <n v="4"/>
    <x v="0"/>
    <s v="Tech"/>
    <n v="9.0264941466420208"/>
    <d v="2013-06-18T00:00:00"/>
  </r>
  <r>
    <n v="5"/>
    <x v="1"/>
    <s v="Tech"/>
    <n v="832.4406415343916"/>
    <d v="2013-06-19T00:00:00"/>
  </r>
  <r>
    <n v="6"/>
    <x v="0"/>
    <s v="Tech"/>
    <n v="35"/>
    <d v="2013-06-20T00:00:00"/>
  </r>
  <r>
    <n v="7"/>
    <x v="1"/>
    <s v="Tech"/>
    <n v="66.137566137566139"/>
    <d v="2013-06-21T00:00:00"/>
  </r>
  <r>
    <n v="8"/>
    <x v="1"/>
    <s v="Tech"/>
    <n v="19.841269841269842"/>
    <d v="2013-06-22T00:00:00"/>
  </r>
  <r>
    <n v="9"/>
    <x v="1"/>
    <s v="Apps"/>
    <n v="44.091710758377424"/>
    <d v="2013-06-23T00:00:00"/>
  </r>
  <r>
    <n v="10"/>
    <x v="0"/>
    <s v="Tech"/>
    <n v="20.682523267838675"/>
    <d v="2013-06-24T00:00:00"/>
  </r>
  <r>
    <n v="11"/>
    <x v="3"/>
    <s v="OFM"/>
    <n v="137.37899200454268"/>
    <d v="2013-06-25T00:00:00"/>
  </r>
  <r>
    <n v="12"/>
    <x v="3"/>
    <s v="OFM"/>
    <n v="91.585994669695125"/>
    <d v="2013-06-26T00:00:00"/>
  </r>
  <r>
    <n v="13"/>
    <x v="0"/>
    <s v="Apps"/>
    <n v="7.7017868145409736"/>
    <d v="2013-06-27T00:00:00"/>
  </r>
  <r>
    <n v="14"/>
    <x v="3"/>
    <s v="OFM"/>
    <n v="91.585994669695125"/>
    <d v="2013-06-28T00:00:00"/>
  </r>
  <r>
    <n v="15"/>
    <x v="3"/>
    <s v="OFM"/>
    <n v="73.2687957357561"/>
    <d v="2013-06-29T00:00:00"/>
  </r>
  <r>
    <n v="16"/>
    <x v="0"/>
    <s v="OFM"/>
    <n v="34.470872113064452"/>
    <d v="2013-06-30T00:00:00"/>
  </r>
  <r>
    <n v="17"/>
    <x v="3"/>
    <s v="Tech"/>
    <n v="24.72821856081768"/>
    <d v="2013-07-01T00:00:00"/>
  </r>
  <r>
    <n v="18"/>
    <x v="3"/>
    <s v="Tech"/>
    <n v="20.148918827332928"/>
    <d v="2013-07-02T00:00:00"/>
  </r>
  <r>
    <n v="19"/>
    <x v="3"/>
    <s v="Tech"/>
    <n v="357.05596820134269"/>
    <d v="2013-07-03T00:00:00"/>
  </r>
  <r>
    <n v="20"/>
    <x v="3"/>
    <s v="Tech"/>
    <n v="256.44078507514632"/>
    <d v="2013-07-04T00:00:00"/>
  </r>
  <r>
    <n v="21"/>
    <x v="0"/>
    <s v="Apps"/>
    <n v="154.03573629081947"/>
    <d v="2013-07-05T00:00:00"/>
  </r>
  <r>
    <n v="22"/>
    <x v="0"/>
    <s v="Apps"/>
    <n v="92.421441774491683"/>
    <d v="2013-07-06T00:00:00"/>
  </r>
  <r>
    <n v="23"/>
    <x v="4"/>
    <s v="Apps"/>
    <n v="29.330291673456088"/>
    <d v="2013-07-07T00:00:00"/>
  </r>
  <r>
    <n v="24"/>
    <x v="1"/>
    <s v="OFM"/>
    <n v="110.22927689594357"/>
    <d v="2013-07-08T00:00:00"/>
  </r>
  <r>
    <n v="25"/>
    <x v="1"/>
    <s v="Tech"/>
    <n v="97.001763668430343"/>
    <d v="2013-07-09T00:00:00"/>
  </r>
  <r>
    <n v="26"/>
    <x v="1"/>
    <s v="Tech"/>
    <n v="330.68783068783068"/>
    <d v="2013-07-10T00:00:00"/>
  </r>
  <r>
    <n v="27"/>
    <x v="2"/>
    <s v="OFM"/>
    <n v="69.893042465318231"/>
    <d v="2013-07-11T00:00:00"/>
  </r>
  <r>
    <n v="28"/>
    <x v="2"/>
    <s v="OFM"/>
    <n v="69.893042465318231"/>
    <d v="2013-07-12T00:00:00"/>
  </r>
  <r>
    <n v="29"/>
    <x v="2"/>
    <s v="OFM"/>
    <n v="69.893042465318231"/>
    <d v="2013-07-13T00:00:00"/>
  </r>
  <r>
    <n v="30"/>
    <x v="1"/>
    <s v="OFM"/>
    <n v="110.22927689594357"/>
    <d v="2013-07-14T00:00:00"/>
  </r>
  <r>
    <n v="31"/>
    <x v="2"/>
    <s v="Tech"/>
    <n v="105.89854918987609"/>
    <d v="2013-07-15T00:00:00"/>
  </r>
  <r>
    <n v="32"/>
    <x v="0"/>
    <s v="Tech"/>
    <n v="12.848020762401553"/>
    <d v="2013-07-16T00:00:00"/>
  </r>
  <r>
    <n v="33"/>
    <x v="1"/>
    <s v="OFM"/>
    <n v="55.114638447971785"/>
    <d v="2013-07-17T00:00:00"/>
  </r>
  <r>
    <n v="34"/>
    <x v="1"/>
    <s v="Tech"/>
    <n v="237.5"/>
    <d v="2013-07-18T00:00:00"/>
  </r>
  <r>
    <n v="35"/>
    <x v="1"/>
    <s v="OFM"/>
    <n v="251.53730158730158"/>
    <d v="2013-07-19T00:00:00"/>
  </r>
  <r>
    <n v="36"/>
    <x v="1"/>
    <s v="OFM"/>
    <n v="35.273368606701936"/>
    <d v="2013-07-20T00:00:00"/>
  </r>
  <r>
    <n v="37"/>
    <x v="4"/>
    <s v="Apps"/>
    <n v="100"/>
    <d v="2013-07-21T00:00:00"/>
  </r>
  <r>
    <n v="38"/>
    <x v="1"/>
    <s v="OFM"/>
    <n v="96.5"/>
    <d v="2013-07-22T00:00:00"/>
  </r>
  <r>
    <n v="39"/>
    <x v="2"/>
    <s v="Tech"/>
    <n v="211.79709837975219"/>
    <d v="2013-07-23T00:00:00"/>
  </r>
  <r>
    <n v="40"/>
    <x v="1"/>
    <s v="Tech"/>
    <n v="2.8880070546737215"/>
    <d v="2013-07-24T00:00:00"/>
  </r>
  <r>
    <n v="41"/>
    <x v="1"/>
    <s v="Tech"/>
    <n v="110.22927689594357"/>
    <d v="2013-07-25T00:00:00"/>
  </r>
  <r>
    <n v="42"/>
    <x v="1"/>
    <s v="OFM"/>
    <n v="11.958289241622575"/>
    <d v="2013-07-26T00:00:00"/>
  </r>
  <r>
    <n v="43"/>
    <x v="1"/>
    <s v="Tech"/>
    <n v="396.82539682539681"/>
    <d v="2013-07-27T00:00:00"/>
  </r>
  <r>
    <n v="44"/>
    <x v="4"/>
    <s v="Apps"/>
    <n v="19.084243115528761"/>
    <d v="2013-07-28T00:00:00"/>
  </r>
  <r>
    <n v="45"/>
    <x v="1"/>
    <s v="Tech"/>
    <n v="36.067019400352734"/>
    <d v="2013-07-29T00:00:00"/>
  </r>
  <r>
    <n v="46"/>
    <x v="4"/>
    <s v="Tech"/>
    <n v="114"/>
    <d v="2013-07-30T00:00:00"/>
  </r>
  <r>
    <n v="47"/>
    <x v="1"/>
    <s v="Tech"/>
    <n v="19.841269841269842"/>
    <d v="2013-07-31T00:00:00"/>
  </r>
  <r>
    <n v="48"/>
    <x v="1"/>
    <s v="Systems"/>
    <n v="551.14638447971777"/>
    <d v="2013-08-01T00:00:00"/>
  </r>
  <r>
    <n v="49"/>
    <x v="2"/>
    <s v="Tech"/>
    <n v="211.79709837975219"/>
    <d v="2013-08-02T00:00:00"/>
  </r>
  <r>
    <n v="50"/>
    <x v="2"/>
    <s v="Apps"/>
    <n v="52.949274594938046"/>
    <d v="2013-08-03T00:00:00"/>
  </r>
  <r>
    <n v="51"/>
    <x v="3"/>
    <s v="Tech"/>
    <n v="57.864031432313382"/>
    <d v="2013-08-04T00:00:00"/>
  </r>
  <r>
    <n v="52"/>
    <x v="3"/>
    <s v="Tech"/>
    <n v="59.530896535301828"/>
    <d v="2013-08-05T00:00:00"/>
  </r>
  <r>
    <n v="53"/>
    <x v="3"/>
    <s v="Tech"/>
    <n v="45.792997334847563"/>
    <d v="2013-08-06T00:00:00"/>
  </r>
  <r>
    <n v="54"/>
    <x v="3"/>
    <s v="Tech"/>
    <n v="64.110196268786581"/>
    <d v="2013-08-07T00:00:00"/>
  </r>
  <r>
    <n v="55"/>
    <x v="3"/>
    <s v="Tech"/>
    <n v="91.585994669695125"/>
    <d v="2013-08-08T00:00:00"/>
  </r>
  <r>
    <n v="56"/>
    <x v="1"/>
    <s v="OFM"/>
    <n v="88.183421516754848"/>
    <d v="2013-08-09T00:00:00"/>
  </r>
  <r>
    <n v="57"/>
    <x v="1"/>
    <s v="OFM"/>
    <n v="158.73015873015873"/>
    <d v="2013-08-10T00:00:00"/>
  </r>
  <r>
    <n v="58"/>
    <x v="4"/>
    <s v="Apps"/>
    <n v="6.2115817521936876"/>
    <d v="2013-08-11T00:00:00"/>
  </r>
  <r>
    <n v="59"/>
    <x v="1"/>
    <s v="Tech"/>
    <n v="19.841269841269842"/>
    <d v="2013-08-12T00:00:00"/>
  </r>
  <r>
    <n v="60"/>
    <x v="1"/>
    <s v="Tech"/>
    <n v="50"/>
    <d v="2013-08-13T00:00:00"/>
  </r>
  <r>
    <n v="61"/>
    <x v="1"/>
    <s v="Apps"/>
    <n v="50"/>
    <d v="2013-08-14T00:00:00"/>
  </r>
  <r>
    <n v="62"/>
    <x v="1"/>
    <s v="Tech"/>
    <n v="66.137566137566139"/>
    <d v="2013-08-15T00:00:00"/>
  </r>
  <r>
    <n v="63"/>
    <x v="0"/>
    <s v="Apps"/>
    <n v="12.322858903265558"/>
    <d v="2013-08-16T00:00:00"/>
  </r>
  <r>
    <n v="64"/>
    <x v="4"/>
    <s v="Tech"/>
    <n v="19"/>
    <d v="2013-08-17T00:00:00"/>
  </r>
  <r>
    <n v="65"/>
    <x v="1"/>
    <s v="Tech"/>
    <n v="661.37566137566137"/>
    <d v="2013-08-18T00:00:00"/>
  </r>
  <r>
    <n v="66"/>
    <x v="1"/>
    <s v="OFM"/>
    <n v="196.95011904761904"/>
    <d v="2013-08-19T00:00:00"/>
  </r>
  <r>
    <n v="67"/>
    <x v="1"/>
    <s v="Tech"/>
    <n v="617.28395061728395"/>
    <d v="2013-08-20T00:00:00"/>
  </r>
  <r>
    <n v="68"/>
    <x v="1"/>
    <s v="Tech"/>
    <n v="200.0570987654321"/>
    <d v="2013-08-21T00:00:00"/>
  </r>
  <r>
    <n v="69"/>
    <x v="1"/>
    <s v="Tech"/>
    <n v="165.34391534391534"/>
    <d v="2013-08-22T00:00:00"/>
  </r>
  <r>
    <n v="70"/>
    <x v="1"/>
    <s v="Apps"/>
    <n v="165.34391534391534"/>
    <d v="2013-08-23T00:00:00"/>
  </r>
  <r>
    <n v="71"/>
    <x v="1"/>
    <s v="Tech"/>
    <n v="10.822310405643739"/>
    <d v="2013-08-24T00:00:00"/>
  </r>
  <r>
    <n v="72"/>
    <x v="1"/>
    <s v="OFM"/>
    <n v="70.546737213403873"/>
    <d v="2013-08-25T00:00:00"/>
  </r>
  <r>
    <n v="73"/>
    <x v="1"/>
    <s v="OFM"/>
    <n v="66.137566137566139"/>
    <d v="2013-08-26T00:00:00"/>
  </r>
  <r>
    <n v="74"/>
    <x v="1"/>
    <s v="Tech"/>
    <n v="72.162257495590836"/>
    <d v="2013-08-27T00:00:00"/>
  </r>
  <r>
    <n v="75"/>
    <x v="0"/>
    <s v="Tech"/>
    <n v="275.76697690451562"/>
    <d v="2013-08-28T00:00:00"/>
  </r>
  <r>
    <n v="76"/>
    <x v="0"/>
    <s v="Systems"/>
    <n v="172.35436056532231"/>
    <d v="2013-08-29T00:00:00"/>
  </r>
  <r>
    <n v="77"/>
    <x v="0"/>
    <s v="OFM"/>
    <n v="41.365046535677351"/>
    <d v="2013-08-30T00:00:00"/>
  </r>
  <r>
    <n v="78"/>
    <x v="3"/>
    <s v="Tech"/>
    <n v="91.585994669695125"/>
    <d v="2013-08-31T00:00:00"/>
  </r>
  <r>
    <n v="79"/>
    <x v="3"/>
    <s v="Tech"/>
    <n v="31.139238187696343"/>
    <d v="2013-09-01T00:00:00"/>
  </r>
  <r>
    <n v="80"/>
    <x v="3"/>
    <s v="Tech"/>
    <n v="36.63439786787805"/>
    <d v="2013-09-02T00:00:00"/>
  </r>
  <r>
    <n v="81"/>
    <x v="3"/>
    <s v="OFM"/>
    <n v="13.737899200454269"/>
    <d v="2013-09-03T00:00:00"/>
  </r>
  <r>
    <n v="82"/>
    <x v="3"/>
    <s v="Tech"/>
    <n v="64.110196268786581"/>
    <d v="2013-09-04T00:00:00"/>
  </r>
  <r>
    <n v="83"/>
    <x v="0"/>
    <s v="Tech"/>
    <n v="3.8508934072704868"/>
    <d v="2013-09-05T00:00:00"/>
  </r>
  <r>
    <n v="84"/>
    <x v="0"/>
    <s v="Tech"/>
    <n v="123.22858903265558"/>
    <d v="2013-09-06T00:00:00"/>
  </r>
  <r>
    <n v="85"/>
    <x v="3"/>
    <s v="Tech"/>
    <n v="33.886818027787193"/>
    <d v="2013-09-07T00:00:00"/>
  </r>
  <r>
    <n v="86"/>
    <x v="3"/>
    <s v="Tech"/>
    <n v="32.05509813439329"/>
    <d v="2013-09-08T00:00:00"/>
  </r>
  <r>
    <n v="87"/>
    <x v="3"/>
    <s v="Tech"/>
    <n v="11.906179307060365"/>
    <d v="2013-09-09T00:00:00"/>
  </r>
  <r>
    <n v="88"/>
    <x v="3"/>
    <s v="Tech"/>
    <n v="30.223378240999391"/>
    <d v="2013-09-10T00:00:00"/>
  </r>
  <r>
    <n v="89"/>
    <x v="3"/>
    <s v="OFM"/>
    <n v="183.17198933939025"/>
    <d v="2013-09-11T00:00:00"/>
  </r>
  <r>
    <n v="90"/>
    <x v="3"/>
    <s v="Tech"/>
    <n v="21.940340883072164"/>
    <d v="2013-09-12T00:00:00"/>
  </r>
  <r>
    <n v="91"/>
    <x v="3"/>
    <s v="Tech"/>
    <n v="76.822332328940263"/>
    <d v="2013-09-13T00:00:00"/>
  </r>
  <r>
    <n v="92"/>
    <x v="3"/>
    <s v="Tech"/>
    <n v="73.2687957357561"/>
    <d v="2013-09-14T00:00:00"/>
  </r>
  <r>
    <n v="93"/>
    <x v="3"/>
    <s v="Tech"/>
    <n v="12.682324818888697"/>
    <d v="2013-09-15T00:00:00"/>
  </r>
  <r>
    <n v="94"/>
    <x v="0"/>
    <s v="Apps"/>
    <n v="123.22858903265558"/>
    <d v="2013-09-16T00:00:00"/>
  </r>
  <r>
    <n v="95"/>
    <x v="0"/>
    <s v="Tech"/>
    <n v="1.9077325939617993"/>
    <d v="2013-09-17T00:00:00"/>
  </r>
  <r>
    <n v="96"/>
    <x v="0"/>
    <s v="Tech"/>
    <n v="24.598890942698706"/>
    <d v="2013-09-18T00:00:00"/>
  </r>
  <r>
    <n v="97"/>
    <x v="0"/>
    <s v="Tech"/>
    <n v="1.8052988293284042"/>
    <d v="2013-09-19T00:00:00"/>
  </r>
  <r>
    <n v="98"/>
    <x v="4"/>
    <s v="Apps"/>
    <n v="4.2"/>
    <d v="2013-09-20T00:00:00"/>
  </r>
  <r>
    <n v="99"/>
    <x v="1"/>
    <s v="Tech"/>
    <n v="30"/>
    <d v="2013-09-21T00:00:00"/>
  </r>
  <r>
    <n v="100"/>
    <x v="4"/>
    <s v="Systems"/>
    <n v="350"/>
    <d v="2013-09-22T00:00:00"/>
  </r>
  <r>
    <n v="101"/>
    <x v="2"/>
    <s v="OFM"/>
    <n v="264.74637297469025"/>
    <d v="2013-09-23T00:00:00"/>
  </r>
  <r>
    <n v="102"/>
    <x v="4"/>
    <s v="Tech"/>
    <n v="65.178425941013529"/>
    <d v="2013-09-24T00:00:00"/>
  </r>
  <r>
    <n v="103"/>
    <x v="1"/>
    <s v="Tech"/>
    <n v="39.682539682539684"/>
    <d v="2013-09-25T00:00:00"/>
  </r>
  <r>
    <n v="104"/>
    <x v="1"/>
    <s v="Tech"/>
    <n v="55.114638447971785"/>
    <d v="2013-09-26T00:00:00"/>
  </r>
  <r>
    <n v="105"/>
    <x v="1"/>
    <s v="Tech"/>
    <n v="66.137566137566139"/>
    <d v="2013-09-27T00:00:00"/>
  </r>
  <r>
    <n v="106"/>
    <x v="2"/>
    <s v="Tech"/>
    <n v="81.030710639332298"/>
    <d v="2013-09-28T00:00:00"/>
  </r>
  <r>
    <n v="107"/>
    <x v="0"/>
    <s v="Tech"/>
    <n v="277.26432532347508"/>
    <d v="2013-09-29T00:00:00"/>
  </r>
  <r>
    <n v="108"/>
    <x v="2"/>
    <s v="Apps"/>
    <n v="32.412284255732921"/>
    <d v="2013-09-30T00:00:00"/>
  </r>
  <r>
    <n v="109"/>
    <x v="1"/>
    <s v="Tech"/>
    <n v="33.06878306878307"/>
    <d v="2013-10-01T00:00:00"/>
  </r>
  <r>
    <n v="110"/>
    <x v="1"/>
    <s v="Apps"/>
    <n v="110.22927689594357"/>
    <d v="2013-10-02T00:00:00"/>
  </r>
  <r>
    <n v="111"/>
    <x v="1"/>
    <s v="OFM"/>
    <n v="220.45855379188714"/>
    <d v="2013-10-03T00:00:00"/>
  </r>
  <r>
    <n v="112"/>
    <x v="1"/>
    <s v="Apps"/>
    <n v="11.022927689594356"/>
    <d v="2013-10-04T00:00:00"/>
  </r>
  <r>
    <n v="113"/>
    <x v="1"/>
    <s v="Tech"/>
    <n v="24.250440917107586"/>
    <d v="2013-10-05T00:00:00"/>
  </r>
  <r>
    <n v="114"/>
    <x v="1"/>
    <s v="Tech"/>
    <n v="440.91710758377428"/>
    <d v="2013-10-06T00:00:00"/>
  </r>
  <r>
    <n v="115"/>
    <x v="1"/>
    <s v="Tech"/>
    <n v="308.64197530864197"/>
    <d v="2013-10-07T00:00:00"/>
  </r>
  <r>
    <n v="116"/>
    <x v="1"/>
    <s v="Tech"/>
    <n v="116.84303350970018"/>
    <d v="2013-10-08T00:00:00"/>
  </r>
  <r>
    <n v="117"/>
    <x v="4"/>
    <s v="Apps"/>
    <n v="160.48788316482106"/>
    <d v="2013-10-09T00:00:00"/>
  </r>
  <r>
    <n v="118"/>
    <x v="2"/>
    <s v="Tech"/>
    <n v="95.308694270888495"/>
    <d v="2013-10-10T00:00:00"/>
  </r>
  <r>
    <n v="119"/>
    <x v="2"/>
    <s v="Tech"/>
    <n v="105.89854918987609"/>
    <d v="2013-10-11T00:00:00"/>
  </r>
  <r>
    <n v="120"/>
    <x v="2"/>
    <s v="Apps"/>
    <n v="22.23869532987398"/>
    <d v="2013-10-12T00:00:00"/>
  </r>
  <r>
    <n v="121"/>
    <x v="4"/>
    <s v="Apps"/>
    <n v="80.243941582410528"/>
    <d v="2013-10-13T00:00:00"/>
  </r>
  <r>
    <n v="122"/>
    <x v="4"/>
    <s v="Apps"/>
    <n v="586.60583346912176"/>
    <d v="2013-10-14T00:00:00"/>
  </r>
  <r>
    <n v="123"/>
    <x v="1"/>
    <s v="Tech"/>
    <n v="27"/>
    <d v="2013-10-15T00:00:00"/>
  </r>
  <r>
    <n v="124"/>
    <x v="1"/>
    <s v="Tech"/>
    <n v="27"/>
    <d v="2013-10-16T00:00:00"/>
  </r>
  <r>
    <n v="125"/>
    <x v="1"/>
    <s v="Tech"/>
    <n v="27"/>
    <d v="2013-10-17T00:00:00"/>
  </r>
  <r>
    <n v="126"/>
    <x v="1"/>
    <s v="Apps"/>
    <n v="44.091710758377424"/>
    <d v="2013-10-18T00:00:00"/>
  </r>
  <r>
    <n v="127"/>
    <x v="1"/>
    <s v="Tech"/>
    <n v="3.7477954144620811"/>
    <d v="2013-10-19T00:00:00"/>
  </r>
  <r>
    <n v="128"/>
    <x v="1"/>
    <s v="Tech"/>
    <n v="88.183421516754848"/>
    <d v="2013-10-20T00:00:00"/>
  </r>
  <r>
    <n v="129"/>
    <x v="1"/>
    <s v="Tech"/>
    <n v="88.183421516754848"/>
    <d v="2013-10-21T00:00:00"/>
  </r>
  <r>
    <n v="130"/>
    <x v="1"/>
    <s v="Tech"/>
    <n v="88.183421516754848"/>
    <d v="2013-10-22T00:00:00"/>
  </r>
  <r>
    <n v="131"/>
    <x v="0"/>
    <s v="Tech"/>
    <n v="77.017868145409736"/>
    <d v="2013-10-23T00:00:00"/>
  </r>
  <r>
    <n v="132"/>
    <x v="1"/>
    <s v="Apps"/>
    <n v="44.091710758377424"/>
    <d v="2013-10-24T00:00:00"/>
  </r>
  <r>
    <n v="133"/>
    <x v="4"/>
    <s v="Systems"/>
    <n v="350"/>
    <d v="2013-10-25T00:00:00"/>
  </r>
  <r>
    <n v="134"/>
    <x v="1"/>
    <s v="Apps"/>
    <n v="154.32098765432099"/>
    <d v="2013-10-26T00:00:00"/>
  </r>
  <r>
    <n v="135"/>
    <x v="3"/>
    <s v="Tech"/>
    <n v="91.585994669695125"/>
    <d v="2013-10-27T00:00:00"/>
  </r>
  <r>
    <n v="136"/>
    <x v="1"/>
    <s v="Tech"/>
    <n v="40"/>
    <d v="2013-10-28T00:00:00"/>
  </r>
  <r>
    <n v="137"/>
    <x v="1"/>
    <s v="Tech"/>
    <n v="110.22927689594357"/>
    <d v="2013-10-29T00:00:00"/>
  </r>
  <r>
    <n v="138"/>
    <x v="1"/>
    <s v="Tech"/>
    <n v="33.06878306878307"/>
    <d v="2013-10-30T00:00:00"/>
  </r>
  <r>
    <n v="139"/>
    <x v="1"/>
    <s v="Tech"/>
    <n v="391.73677248677251"/>
    <d v="2013-10-31T00:00:00"/>
  </r>
  <r>
    <n v="140"/>
    <x v="1"/>
    <s v="Tech"/>
    <n v="330.68783068783068"/>
    <d v="2013-11-01T00:00:00"/>
  </r>
  <r>
    <n v="141"/>
    <x v="0"/>
    <s v="Tech"/>
    <n v="55.153395380903135"/>
    <d v="2013-11-02T00:00:00"/>
  </r>
  <r>
    <n v="142"/>
    <x v="0"/>
    <s v="Tech"/>
    <n v="59.871776752791234"/>
    <d v="2013-11-03T00:00:00"/>
  </r>
  <r>
    <n v="143"/>
    <x v="0"/>
    <s v="Apps"/>
    <n v="68.941744226128904"/>
    <d v="2013-11-04T00:00:00"/>
  </r>
  <r>
    <n v="144"/>
    <x v="1"/>
    <s v="Apps"/>
    <n v="165.34391534391534"/>
    <d v="2013-11-05T00:00:00"/>
  </r>
  <r>
    <n v="145"/>
    <x v="1"/>
    <s v="Apps"/>
    <n v="22.045855379188712"/>
    <d v="2013-11-06T00:00:00"/>
  </r>
  <r>
    <n v="146"/>
    <x v="1"/>
    <s v="Tech"/>
    <n v="132.27513227513228"/>
    <d v="2013-11-07T00:00:00"/>
  </r>
  <r>
    <n v="147"/>
    <x v="1"/>
    <s v="OFM"/>
    <n v="220.45855379188714"/>
    <d v="2013-11-08T00:00:00"/>
  </r>
  <r>
    <n v="148"/>
    <x v="4"/>
    <s v="Apps"/>
    <n v="34.463000000000001"/>
    <d v="2013-11-09T00:00:00"/>
  </r>
  <r>
    <n v="149"/>
    <x v="1"/>
    <s v="Tech"/>
    <n v="5.511463844797178"/>
    <d v="2013-11-10T00:00:00"/>
  </r>
  <r>
    <n v="150"/>
    <x v="4"/>
    <s v="OFM"/>
    <n v="1400"/>
    <d v="2013-11-11T00:00:00"/>
  </r>
  <r>
    <n v="151"/>
    <x v="1"/>
    <s v="OFM"/>
    <n v="72.001763668430328"/>
    <d v="2013-11-12T00:00:00"/>
  </r>
  <r>
    <n v="152"/>
    <x v="0"/>
    <s v="Tech"/>
    <n v="68.545902649414671"/>
    <d v="2013-11-13T00:00:00"/>
  </r>
  <r>
    <n v="153"/>
    <x v="3"/>
    <s v="Tech"/>
    <n v="61.864507679485655"/>
    <d v="2013-11-14T00:00:00"/>
  </r>
  <r>
    <n v="154"/>
    <x v="3"/>
    <s v="OFM"/>
    <n v="45.792997334847563"/>
    <d v="2013-11-15T00:00:00"/>
  </r>
  <r>
    <n v="155"/>
    <x v="3"/>
    <s v="OFM"/>
    <n v="27.475798400908538"/>
    <d v="2013-11-16T00:00:00"/>
  </r>
  <r>
    <n v="156"/>
    <x v="0"/>
    <s v="Apps"/>
    <n v="68.941744226128904"/>
    <d v="2013-11-17T00:00:00"/>
  </r>
  <r>
    <n v="157"/>
    <x v="0"/>
    <s v="Apps"/>
    <n v="51.706308169596689"/>
    <d v="2013-11-18T00:00:00"/>
  </r>
  <r>
    <n v="158"/>
    <x v="1"/>
    <s v="Tech"/>
    <n v="587.60515873015868"/>
    <d v="2013-11-19T00:00:00"/>
  </r>
  <r>
    <n v="159"/>
    <x v="4"/>
    <s v="Tech"/>
    <n v="486.78"/>
    <d v="2013-11-20T00:00:00"/>
  </r>
  <r>
    <n v="160"/>
    <x v="4"/>
    <s v="Apps"/>
    <n v="91.882207010612404"/>
    <d v="2013-11-21T00:00:00"/>
  </r>
  <r>
    <n v="161"/>
    <x v="4"/>
    <s v="Apps"/>
    <n v="52.832269031102129"/>
    <d v="2013-11-22T00:00:00"/>
  </r>
  <r>
    <n v="162"/>
    <x v="4"/>
    <s v="Apps"/>
    <n v="91.882207010612404"/>
    <d v="2013-11-23T00:00:00"/>
  </r>
  <r>
    <n v="163"/>
    <x v="2"/>
    <s v="Apps"/>
    <n v="52.949274594938046"/>
    <d v="2013-11-24T00:00:00"/>
  </r>
  <r>
    <n v="164"/>
    <x v="4"/>
    <s v="Tech"/>
    <n v="1.8"/>
    <d v="2013-11-25T00:00:00"/>
  </r>
  <r>
    <n v="165"/>
    <x v="1"/>
    <s v="Tech"/>
    <n v="391.73677248677251"/>
    <d v="2013-11-26T00:00:00"/>
  </r>
  <r>
    <n v="166"/>
    <x v="1"/>
    <s v="Tech"/>
    <n v="391.73721340388005"/>
    <d v="2013-11-27T00:00:00"/>
  </r>
  <r>
    <n v="167"/>
    <x v="1"/>
    <s v="Tech"/>
    <n v="60"/>
    <d v="2013-11-28T00:00:00"/>
  </r>
  <r>
    <n v="168"/>
    <x v="2"/>
    <s v="Tech"/>
    <n v="52.949274594938046"/>
    <d v="2013-11-29T00:00:00"/>
  </r>
  <r>
    <n v="169"/>
    <x v="4"/>
    <s v="OFM"/>
    <n v="68.911655257959296"/>
    <d v="2013-11-30T00:00:00"/>
  </r>
  <r>
    <n v="170"/>
    <x v="4"/>
    <s v="OFM"/>
    <n v="68.911655257959296"/>
    <d v="2013-12-01T00:00:00"/>
  </r>
  <r>
    <n v="171"/>
    <x v="1"/>
    <s v="OFM"/>
    <n v="66.137566137566139"/>
    <d v="2013-12-02T00:00:00"/>
  </r>
  <r>
    <n v="172"/>
    <x v="4"/>
    <s v="Tech"/>
    <n v="200"/>
    <d v="2013-12-03T00:00:00"/>
  </r>
  <r>
    <n v="173"/>
    <x v="4"/>
    <s v="OFM"/>
    <n v="50"/>
    <d v="2013-12-04T00:00:00"/>
  </r>
  <r>
    <n v="174"/>
    <x v="1"/>
    <s v="Apps"/>
    <n v="6.6137566137566139"/>
    <d v="2013-12-05T00:00:00"/>
  </r>
  <r>
    <n v="175"/>
    <x v="1"/>
    <s v="Apps"/>
    <n v="165.34391534391534"/>
    <d v="2013-12-06T00:00:00"/>
  </r>
  <r>
    <n v="176"/>
    <x v="4"/>
    <s v="Apps"/>
    <n v="7.6649828906631914"/>
    <d v="2013-12-07T00:00:00"/>
  </r>
  <r>
    <n v="177"/>
    <x v="1"/>
    <s v="Apps"/>
    <n v="132.27513227513228"/>
    <d v="2013-12-08T00:00:00"/>
  </r>
  <r>
    <n v="178"/>
    <x v="1"/>
    <s v="Tech"/>
    <n v="110.22927689594357"/>
    <d v="2013-12-09T00:00:00"/>
  </r>
  <r>
    <n v="179"/>
    <x v="1"/>
    <s v="OFM"/>
    <n v="132.27513227513228"/>
    <d v="2013-12-10T00:00:00"/>
  </r>
  <r>
    <n v="180"/>
    <x v="1"/>
    <s v="Apps"/>
    <n v="44.091710758377424"/>
    <d v="2013-12-11T00:00:00"/>
  </r>
  <r>
    <n v="181"/>
    <x v="2"/>
    <s v="Apps"/>
    <n v="105.89854918987609"/>
    <d v="2013-12-12T00:00:00"/>
  </r>
  <r>
    <n v="182"/>
    <x v="4"/>
    <s v="OFM"/>
    <n v="50"/>
    <d v="2013-12-13T00:00:00"/>
  </r>
  <r>
    <n v="183"/>
    <x v="1"/>
    <s v="Apps"/>
    <n v="66.137566137566139"/>
    <d v="2013-12-14T00:00:00"/>
  </r>
  <r>
    <n v="184"/>
    <x v="0"/>
    <s v="Tech"/>
    <n v="108.41089279558773"/>
    <d v="2013-12-15T00:00:00"/>
  </r>
  <r>
    <n v="185"/>
    <x v="1"/>
    <s v="Tech"/>
    <n v="158.73015873015873"/>
    <d v="2013-12-16T00:00:00"/>
  </r>
  <r>
    <n v="186"/>
    <x v="1"/>
    <s v="Tech"/>
    <n v="44.091710758377424"/>
    <d v="2013-12-17T00:00:00"/>
  </r>
  <r>
    <n v="187"/>
    <x v="1"/>
    <s v="Apps"/>
    <n v="132.27513227513228"/>
    <d v="2013-12-18T00:00:00"/>
  </r>
  <r>
    <n v="188"/>
    <x v="0"/>
    <s v="Tech"/>
    <n v="104.06896817545258"/>
    <d v="2013-12-19T00:00:00"/>
  </r>
  <r>
    <n v="189"/>
    <x v="1"/>
    <s v="Tech"/>
    <n v="60"/>
    <d v="2013-12-20T00:00:00"/>
  </r>
  <r>
    <n v="190"/>
    <x v="1"/>
    <s v="Tech"/>
    <n v="70"/>
    <d v="2013-12-21T00:00:00"/>
  </r>
  <r>
    <n v="191"/>
    <x v="1"/>
    <s v="Tech"/>
    <n v="14.589109347442681"/>
    <d v="2013-12-22T00:00:00"/>
  </r>
  <r>
    <n v="192"/>
    <x v="4"/>
    <s v="Apps"/>
    <n v="130"/>
    <d v="2013-12-23T00:00:00"/>
  </r>
  <r>
    <n v="193"/>
    <x v="1"/>
    <s v="Tech"/>
    <n v="110.22927689594357"/>
    <d v="2013-12-24T00:00:00"/>
  </r>
  <r>
    <n v="194"/>
    <x v="1"/>
    <s v="Apps"/>
    <n v="17.636684303350968"/>
    <d v="2013-12-25T00:00:00"/>
  </r>
  <r>
    <n v="195"/>
    <x v="0"/>
    <s v="Tech"/>
    <n v="27.726432532347506"/>
    <d v="2013-12-26T00:00:00"/>
  </r>
  <r>
    <n v="196"/>
    <x v="1"/>
    <s v="Tech"/>
    <n v="55.114638447971785"/>
    <d v="2013-12-27T00:00:00"/>
  </r>
  <r>
    <n v="197"/>
    <x v="1"/>
    <s v="Tech"/>
    <n v="11.022927689594356"/>
    <d v="2013-12-28T00:00:00"/>
  </r>
  <r>
    <n v="198"/>
    <x v="4"/>
    <s v="Tech"/>
    <n v="47.5"/>
    <d v="2013-12-29T00:00:00"/>
  </r>
  <r>
    <n v="199"/>
    <x v="2"/>
    <s v="OFM"/>
    <n v="105.89854918987609"/>
    <d v="2013-12-30T00:00:00"/>
  </r>
  <r>
    <n v="200"/>
    <x v="4"/>
    <s v="Apps"/>
    <n v="15"/>
    <d v="2013-12-31T00:00:00"/>
  </r>
  <r>
    <n v="201"/>
    <x v="1"/>
    <s v="Tech"/>
    <n v="110.22927689594357"/>
    <d v="2014-01-01T00:00:00"/>
  </r>
  <r>
    <n v="202"/>
    <x v="1"/>
    <s v="Tech"/>
    <n v="27.557319223985893"/>
    <d v="2014-01-02T00:00:00"/>
  </r>
  <r>
    <n v="203"/>
    <x v="0"/>
    <s v="Apps"/>
    <n v="138.63216266173754"/>
    <d v="2014-01-03T00:00:00"/>
  </r>
  <r>
    <n v="204"/>
    <x v="0"/>
    <s v="OFM"/>
    <n v="15.403573629081947"/>
    <d v="2014-01-04T00:00:00"/>
  </r>
  <r>
    <n v="205"/>
    <x v="3"/>
    <s v="Tech"/>
    <n v="64.110196268786581"/>
    <d v="2014-01-05T00:00:00"/>
  </r>
  <r>
    <n v="206"/>
    <x v="3"/>
    <s v="Tech"/>
    <n v="36.63439786787805"/>
    <d v="2014-01-06T00:00:00"/>
  </r>
  <r>
    <n v="207"/>
    <x v="3"/>
    <s v="Tech"/>
    <n v="123.64109280408842"/>
    <d v="2014-01-07T00:00:00"/>
  </r>
  <r>
    <n v="208"/>
    <x v="3"/>
    <s v="Tech"/>
    <n v="195.07816864645059"/>
    <d v="2014-01-08T00:00:00"/>
  </r>
  <r>
    <n v="209"/>
    <x v="2"/>
    <s v="Apps"/>
    <n v="6.3539129513925658"/>
    <d v="2014-01-09T00:00:00"/>
  </r>
  <r>
    <n v="210"/>
    <x v="2"/>
    <s v="Tech"/>
    <n v="79.423911892407062"/>
    <d v="2014-01-10T00:00:00"/>
  </r>
  <r>
    <n v="211"/>
    <x v="3"/>
    <s v="Tech"/>
    <n v="54.951596801817075"/>
    <d v="2014-01-11T00:00:00"/>
  </r>
  <r>
    <n v="212"/>
    <x v="3"/>
    <s v="Tech"/>
    <n v="73.2687957357561"/>
    <d v="2014-01-12T00:00:00"/>
  </r>
  <r>
    <n v="213"/>
    <x v="3"/>
    <s v="Tech"/>
    <n v="109.90319360363415"/>
    <d v="2014-01-13T00:00:00"/>
  </r>
  <r>
    <n v="214"/>
    <x v="3"/>
    <s v="Tech"/>
    <n v="457.92997334847558"/>
    <d v="2014-01-14T00:00:00"/>
  </r>
  <r>
    <n v="215"/>
    <x v="3"/>
    <s v="Tech"/>
    <n v="54.951596801817075"/>
    <d v="2014-01-15T00:00:00"/>
  </r>
  <r>
    <n v="216"/>
    <x v="3"/>
    <s v="Tech"/>
    <n v="54.951596801817075"/>
    <d v="2014-01-16T00:00:00"/>
  </r>
  <r>
    <n v="217"/>
    <x v="3"/>
    <s v="Tech"/>
    <n v="54.951596801817075"/>
    <d v="2014-01-17T00:00:00"/>
  </r>
  <r>
    <n v="218"/>
    <x v="4"/>
    <s v="Tech"/>
    <n v="30.875"/>
    <d v="2014-01-18T00:00:00"/>
  </r>
  <r>
    <n v="219"/>
    <x v="0"/>
    <s v="Apps"/>
    <n v="154.03573629081947"/>
    <d v="2014-01-19T00:00:00"/>
  </r>
  <r>
    <n v="220"/>
    <x v="0"/>
    <s v="Tech"/>
    <n v="63.154651879235985"/>
    <d v="2014-01-20T00:00:00"/>
  </r>
  <r>
    <n v="221"/>
    <x v="0"/>
    <s v="Tech"/>
    <n v="34.470872113064452"/>
    <d v="2014-01-21T00:00:00"/>
  </r>
  <r>
    <n v="222"/>
    <x v="4"/>
    <s v="Tech"/>
    <n v="4.8146364949446312"/>
    <d v="2014-01-22T00:00:00"/>
  </r>
  <r>
    <n v="223"/>
    <x v="4"/>
    <s v="Apps"/>
    <n v="51.688000000000002"/>
    <d v="2014-01-23T00:00:00"/>
  </r>
  <r>
    <n v="224"/>
    <x v="1"/>
    <s v="Tech"/>
    <n v="22.045855379188712"/>
    <d v="2014-01-24T00:00:00"/>
  </r>
  <r>
    <n v="225"/>
    <x v="1"/>
    <s v="Tech"/>
    <n v="360.271164021164"/>
    <d v="2014-01-25T00:00:00"/>
  </r>
  <r>
    <n v="226"/>
    <x v="1"/>
    <s v="Tech"/>
    <n v="40"/>
    <d v="2014-01-26T00:00:00"/>
  </r>
  <r>
    <n v="227"/>
    <x v="1"/>
    <s v="Tech"/>
    <n v="22.045855379188712"/>
    <d v="2014-01-27T00:00:00"/>
  </r>
  <r>
    <n v="228"/>
    <x v="1"/>
    <s v="Apps"/>
    <n v="165.34391534391534"/>
    <d v="2014-01-28T00:00:00"/>
  </r>
  <r>
    <n v="229"/>
    <x v="1"/>
    <s v="Apps"/>
    <n v="110.22927689594357"/>
    <d v="2014-01-29T00:00:00"/>
  </r>
  <r>
    <n v="230"/>
    <x v="2"/>
    <s v="Tech"/>
    <n v="105.89854918987609"/>
    <d v="2014-01-30T00:00:00"/>
  </r>
  <r>
    <n v="231"/>
    <x v="2"/>
    <s v="Apps"/>
    <n v="211.79709837975219"/>
    <d v="2014-01-31T00:00:00"/>
  </r>
  <r>
    <n v="232"/>
    <x v="2"/>
    <s v="Apps"/>
    <n v="105.89854918987609"/>
    <d v="2014-02-01T00:00:00"/>
  </r>
  <r>
    <n v="233"/>
    <x v="1"/>
    <s v="Tech"/>
    <n v="293.80257936507934"/>
    <d v="2014-02-02T00:00:00"/>
  </r>
  <r>
    <n v="234"/>
    <x v="4"/>
    <s v="Apps"/>
    <n v="68.911655257959296"/>
    <d v="2014-02-03T00:00:00"/>
  </r>
  <r>
    <n v="235"/>
    <x v="1"/>
    <s v="Tech"/>
    <n v="1410.9347442680776"/>
    <d v="2014-02-04T00:00:00"/>
  </r>
  <r>
    <n v="236"/>
    <x v="1"/>
    <s v="Apps"/>
    <n v="77.160493827160494"/>
    <d v="2014-02-05T00:00:00"/>
  </r>
  <r>
    <n v="237"/>
    <x v="0"/>
    <s v="Apps"/>
    <n v="308.07147258163894"/>
    <d v="2014-02-06T00:00:00"/>
  </r>
  <r>
    <n v="238"/>
    <x v="1"/>
    <s v="Tech"/>
    <n v="110.22927689594357"/>
    <d v="2014-02-07T00:00:00"/>
  </r>
  <r>
    <n v="239"/>
    <x v="1"/>
    <s v="Tech"/>
    <n v="77.160493827160494"/>
    <d v="2014-02-08T00:00:00"/>
  </r>
  <r>
    <n v="240"/>
    <x v="1"/>
    <s v="Apps"/>
    <n v="77.160493827160494"/>
    <d v="2014-02-09T00:00:00"/>
  </r>
  <r>
    <n v="241"/>
    <x v="1"/>
    <s v="Tech"/>
    <n v="195.86838624338625"/>
    <d v="2014-02-10T00:00:00"/>
  </r>
  <r>
    <n v="242"/>
    <x v="1"/>
    <s v="Tech"/>
    <n v="6.6137566137566139"/>
    <d v="2014-02-11T00:00:00"/>
  </r>
  <r>
    <n v="243"/>
    <x v="2"/>
    <s v="Tech"/>
    <n v="127.0782590278513"/>
    <d v="2014-02-12T00:00:00"/>
  </r>
  <r>
    <n v="244"/>
    <x v="1"/>
    <s v="Tech"/>
    <n v="30"/>
    <d v="2014-02-13T00:00:00"/>
  </r>
  <r>
    <n v="245"/>
    <x v="1"/>
    <s v="Tech"/>
    <n v="220.45855379188714"/>
    <d v="2014-02-14T00:00:00"/>
  </r>
  <r>
    <n v="246"/>
    <x v="1"/>
    <s v="Tech"/>
    <n v="330.68783068783068"/>
    <d v="2014-02-15T00:00:00"/>
  </r>
  <r>
    <n v="247"/>
    <x v="1"/>
    <s v="Tech"/>
    <n v="220.45855379188714"/>
    <d v="2014-02-16T00:00:00"/>
  </r>
  <r>
    <n v="248"/>
    <x v="1"/>
    <s v="Tech"/>
    <n v="11.022927689594356"/>
    <d v="2014-02-17T00:00:00"/>
  </r>
  <r>
    <n v="249"/>
    <x v="4"/>
    <s v="Apps"/>
    <n v="26.071370376405412"/>
    <d v="2014-02-18T00:00:00"/>
  </r>
  <r>
    <n v="250"/>
    <x v="1"/>
    <s v="Tech"/>
    <n v="195.86838624338625"/>
    <d v="2014-02-19T00:00:00"/>
  </r>
  <r>
    <n v="251"/>
    <x v="1"/>
    <s v="Tech"/>
    <n v="92.592592592592595"/>
    <d v="2014-02-20T00:00:00"/>
  </r>
  <r>
    <n v="252"/>
    <x v="1"/>
    <s v="Tech"/>
    <n v="22.045855379188712"/>
    <d v="2014-02-21T00:00:00"/>
  </r>
  <r>
    <n v="253"/>
    <x v="0"/>
    <s v="Systems"/>
    <n v="192.72031143602331"/>
    <d v="2014-02-22T00:00:00"/>
  </r>
  <r>
    <n v="254"/>
    <x v="0"/>
    <s v="Apps"/>
    <n v="64.24010381200776"/>
    <d v="2014-02-23T00:00:00"/>
  </r>
  <r>
    <n v="255"/>
    <x v="0"/>
    <s v="Apps"/>
    <n v="3.8544062287204657"/>
    <d v="2014-02-24T00:00:00"/>
  </r>
  <r>
    <n v="256"/>
    <x v="1"/>
    <s v="OFM"/>
    <n v="176.3668430335097"/>
    <d v="2014-02-25T00:00:00"/>
  </r>
  <r>
    <n v="257"/>
    <x v="1"/>
    <s v="Apps"/>
    <n v="66.137566137566139"/>
    <d v="2014-02-26T00:00:00"/>
  </r>
  <r>
    <n v="258"/>
    <x v="1"/>
    <s v="Apps"/>
    <n v="66.137566137566139"/>
    <d v="2014-02-27T00:00:00"/>
  </r>
  <r>
    <n v="259"/>
    <x v="4"/>
    <s v="Tech"/>
    <n v="308.21426930674875"/>
    <d v="2014-02-28T00:00:00"/>
  </r>
  <r>
    <n v="260"/>
    <x v="0"/>
    <s v="Tech"/>
    <n v="23.105360443622921"/>
    <d v="2014-03-01T00:00:00"/>
  </r>
  <r>
    <n v="261"/>
    <x v="1"/>
    <s v="Apps"/>
    <n v="110.22927689594357"/>
    <d v="2014-03-02T00:00:00"/>
  </r>
  <r>
    <n v="262"/>
    <x v="1"/>
    <s v="Tech"/>
    <n v="61.57"/>
    <d v="2014-03-03T00:00:00"/>
  </r>
  <r>
    <n v="263"/>
    <x v="0"/>
    <s v="Systems"/>
    <n v="192.72031143602331"/>
    <d v="2014-03-04T00:00:00"/>
  </r>
  <r>
    <n v="264"/>
    <x v="0"/>
    <s v="OFM"/>
    <n v="462.10720887245844"/>
    <d v="2014-03-05T00:00:00"/>
  </r>
  <r>
    <n v="265"/>
    <x v="4"/>
    <s v="Tech"/>
    <n v="65.808090446639511"/>
    <d v="2014-03-06T00:00:00"/>
  </r>
  <r>
    <n v="266"/>
    <x v="1"/>
    <s v="Tech"/>
    <n v="154.32098765432099"/>
    <d v="2014-03-07T00:00:00"/>
  </r>
  <r>
    <n v="267"/>
    <x v="4"/>
    <s v="Tech"/>
    <n v="70"/>
    <d v="2014-03-08T00:00:00"/>
  </r>
  <r>
    <n v="268"/>
    <x v="1"/>
    <s v="Apps"/>
    <n v="50"/>
    <d v="2014-03-09T00:00:00"/>
  </r>
  <r>
    <n v="269"/>
    <x v="1"/>
    <s v="Tech"/>
    <n v="61.75"/>
    <d v="2014-03-10T00:00:00"/>
  </r>
  <r>
    <n v="270"/>
    <x v="1"/>
    <s v="OFM"/>
    <n v="88.183421516754848"/>
    <d v="2014-03-11T00:00:00"/>
  </r>
  <r>
    <n v="271"/>
    <x v="1"/>
    <s v="Apps"/>
    <n v="88.183421516754848"/>
    <d v="2014-03-12T00:00:00"/>
  </r>
  <r>
    <n v="272"/>
    <x v="1"/>
    <s v="Tech"/>
    <n v="27.557319223985893"/>
    <d v="2014-03-13T00:00:00"/>
  </r>
  <r>
    <n v="273"/>
    <x v="1"/>
    <s v="Apps"/>
    <n v="33.06878306878307"/>
    <d v="2014-03-14T00:00:00"/>
  </r>
  <r>
    <n v="274"/>
    <x v="2"/>
    <s v="Apps"/>
    <n v="52.949274594938046"/>
    <d v="2014-03-15T00:00:00"/>
  </r>
  <r>
    <n v="275"/>
    <x v="2"/>
    <s v="Apps"/>
    <n v="52.949274594938046"/>
    <d v="2014-03-16T00:00:00"/>
  </r>
  <r>
    <n v="276"/>
    <x v="2"/>
    <s v="Tech"/>
    <n v="105.89854918987609"/>
    <d v="2014-03-17T00:00:00"/>
  </r>
  <r>
    <n v="277"/>
    <x v="2"/>
    <s v="Systems"/>
    <n v="3706.4492216456633"/>
    <d v="2014-03-18T00:00:00"/>
  </r>
  <r>
    <n v="278"/>
    <x v="1"/>
    <s v="Apps"/>
    <n v="59.523809523809526"/>
    <d v="2014-03-19T00:00:00"/>
  </r>
  <r>
    <n v="279"/>
    <x v="1"/>
    <s v="Apps"/>
    <n v="99.206349206349202"/>
    <d v="2014-03-20T00:00:00"/>
  </r>
  <r>
    <n v="280"/>
    <x v="1"/>
    <s v="Apps"/>
    <n v="49.603174603174601"/>
    <d v="2014-03-21T00:00:00"/>
  </r>
  <r>
    <n v="281"/>
    <x v="1"/>
    <s v="Apps"/>
    <n v="11.022927689594356"/>
    <d v="2014-03-22T00:00:00"/>
  </r>
  <r>
    <n v="282"/>
    <x v="0"/>
    <s v="Apps"/>
    <n v="77.017868145409736"/>
    <d v="2014-03-23T00:00:00"/>
  </r>
  <r>
    <n v="283"/>
    <x v="3"/>
    <s v="Tech"/>
    <n v="24.389069211536174"/>
    <d v="2014-03-24T00:00:00"/>
  </r>
  <r>
    <n v="284"/>
    <x v="2"/>
    <s v="Tech"/>
    <n v="21.179709837975221"/>
    <d v="2014-03-25T00:00:00"/>
  </r>
  <r>
    <n v="285"/>
    <x v="0"/>
    <s v="Apps"/>
    <n v="3.0807147258163893E-2"/>
    <d v="2014-03-26T00:00:00"/>
  </r>
  <r>
    <n v="286"/>
    <x v="1"/>
    <s v="Tech"/>
    <n v="440.91710758377428"/>
    <d v="2014-03-27T00:00:00"/>
  </r>
  <r>
    <n v="287"/>
    <x v="1"/>
    <s v="OFM"/>
    <n v="33.06878306878307"/>
    <d v="2014-03-28T00:00:00"/>
  </r>
  <r>
    <n v="288"/>
    <x v="0"/>
    <s v="Tech"/>
    <n v="182.68052988293283"/>
    <d v="2014-03-29T00:00:00"/>
  </r>
  <r>
    <n v="289"/>
    <x v="4"/>
    <s v="Tech"/>
    <n v="70"/>
    <d v="2014-03-30T00:00:00"/>
  </r>
  <r>
    <n v="290"/>
    <x v="0"/>
    <s v="Systems"/>
    <n v="256.96041524803104"/>
    <d v="2014-03-31T00:00:00"/>
  </r>
  <r>
    <n v="291"/>
    <x v="4"/>
    <s v="Tech"/>
    <n v="70"/>
    <d v="2014-04-01T00:00:00"/>
  </r>
  <r>
    <n v="292"/>
    <x v="0"/>
    <s v="Tech"/>
    <n v="21.841635296082639"/>
    <d v="2014-04-02T00:00:00"/>
  </r>
  <r>
    <n v="293"/>
    <x v="1"/>
    <s v="OFM"/>
    <n v="132.27513227513228"/>
    <d v="2014-04-03T00:00:00"/>
  </r>
  <r>
    <n v="294"/>
    <x v="2"/>
    <s v="Tech"/>
    <n v="158.84782378481412"/>
    <d v="2014-04-04T00:00:00"/>
  </r>
  <r>
    <n v="295"/>
    <x v="2"/>
    <s v="Systems"/>
    <n v="3706.4492216456633"/>
    <d v="2014-04-05T00:00:00"/>
  </r>
  <r>
    <n v="296"/>
    <x v="4"/>
    <s v="Apps"/>
    <n v="191.30913768548723"/>
    <d v="2014-04-06T00:00:00"/>
  </r>
  <r>
    <n v="297"/>
    <x v="0"/>
    <s v="Apps"/>
    <n v="256.96041524803104"/>
    <d v="2014-04-07T00:00:00"/>
  </r>
  <r>
    <n v="298"/>
    <x v="0"/>
    <s v="Apps"/>
    <n v="256.96041524803104"/>
    <d v="2014-04-08T00:00:00"/>
  </r>
  <r>
    <n v="299"/>
    <x v="2"/>
    <s v="Tech"/>
    <n v="529.49274594938049"/>
    <d v="2014-04-09T00:00:00"/>
  </r>
  <r>
    <n v="300"/>
    <x v="0"/>
    <s v="Apps"/>
    <n v="256.96041524803104"/>
    <d v="2014-04-10T00:00:00"/>
  </r>
  <r>
    <n v="301"/>
    <x v="0"/>
    <s v="Apps"/>
    <n v="256.96041524803104"/>
    <d v="2014-04-11T00:00:00"/>
  </r>
  <r>
    <n v="302"/>
    <x v="0"/>
    <s v="Apps"/>
    <n v="256.96041524803104"/>
    <d v="2014-04-12T00:00:00"/>
  </r>
  <r>
    <n v="303"/>
    <x v="0"/>
    <s v="Apps"/>
    <n v="256.96041524803104"/>
    <d v="2014-04-13T00:00:00"/>
  </r>
  <r>
    <n v="304"/>
    <x v="0"/>
    <s v="Apps"/>
    <n v="256.96041524803104"/>
    <d v="2014-04-14T00:00:00"/>
  </r>
  <r>
    <n v="305"/>
    <x v="0"/>
    <s v="Tech"/>
    <n v="61.614294516327789"/>
    <d v="2014-04-15T00:00:00"/>
  </r>
  <r>
    <n v="306"/>
    <x v="0"/>
    <s v="Tech"/>
    <n v="26.186075169439309"/>
    <d v="2014-04-16T00:00:00"/>
  </r>
  <r>
    <n v="307"/>
    <x v="4"/>
    <s v="OFM"/>
    <n v="57.182999999999993"/>
    <d v="2014-04-17T00:00:00"/>
  </r>
  <r>
    <n v="308"/>
    <x v="2"/>
    <s v="OFM"/>
    <n v="222.9164460446892"/>
    <d v="2014-04-18T00:00:00"/>
  </r>
  <r>
    <n v="309"/>
    <x v="0"/>
    <s v="Tech"/>
    <n v="3.7776284039986208"/>
    <d v="2014-04-19T00:00:00"/>
  </r>
  <r>
    <n v="310"/>
    <x v="0"/>
    <s v="Tech"/>
    <n v="24.129610479145121"/>
    <d v="2014-04-20T00:00:00"/>
  </r>
  <r>
    <n v="311"/>
    <x v="3"/>
    <s v="Tech"/>
    <n v="183.17198933939025"/>
    <d v="2014-04-21T00:00:00"/>
  </r>
  <r>
    <n v="312"/>
    <x v="3"/>
    <s v="Tech"/>
    <n v="183.17198933939025"/>
    <d v="2014-04-22T00:00:00"/>
  </r>
  <r>
    <n v="313"/>
    <x v="0"/>
    <s v="Tech"/>
    <n v="107.82501540357363"/>
    <d v="2014-04-23T00:00:00"/>
  </r>
  <r>
    <n v="314"/>
    <x v="0"/>
    <s v="OFM"/>
    <n v="154.03573629081947"/>
    <d v="2014-04-24T00:00:00"/>
  </r>
  <r>
    <n v="315"/>
    <x v="0"/>
    <s v="Apps"/>
    <n v="12.322858903265558"/>
    <d v="2014-04-25T00:00:00"/>
  </r>
  <r>
    <n v="316"/>
    <x v="0"/>
    <s v="OFM"/>
    <n v="55.47412199630314"/>
    <d v="2014-04-26T00:00:00"/>
  </r>
  <r>
    <n v="317"/>
    <x v="0"/>
    <s v="Apps"/>
    <n v="163.12199630314234"/>
    <d v="2014-04-27T00:00:00"/>
  </r>
  <r>
    <n v="318"/>
    <x v="2"/>
    <s v="OFM"/>
    <n v="95.838187016837864"/>
    <d v="2014-04-28T00:00:00"/>
  </r>
  <r>
    <n v="319"/>
    <x v="0"/>
    <s v="Apps"/>
    <n v="256.96041524803104"/>
    <d v="2014-04-29T00:00:00"/>
  </r>
  <r>
    <n v="320"/>
    <x v="0"/>
    <s v="Apps"/>
    <n v="256.96041524803104"/>
    <d v="2014-04-30T00:00:00"/>
  </r>
  <r>
    <n v="321"/>
    <x v="0"/>
    <s v="Apps"/>
    <n v="256.96041524803104"/>
    <d v="2014-05-01T00:00:00"/>
  </r>
  <r>
    <n v="322"/>
    <x v="0"/>
    <s v="Apps"/>
    <n v="256.96041524803104"/>
    <d v="2014-05-02T00:00:00"/>
  </r>
  <r>
    <n v="323"/>
    <x v="1"/>
    <s v="Apps"/>
    <n v="44.091710758377424"/>
    <d v="2014-05-03T00:00:00"/>
  </r>
  <r>
    <n v="324"/>
    <x v="1"/>
    <s v="Apps"/>
    <n v="44.091710758377424"/>
    <d v="2014-05-04T00:00:00"/>
  </r>
  <r>
    <n v="325"/>
    <x v="3"/>
    <s v="Tech"/>
    <n v="91.585994669695125"/>
    <d v="2014-05-05T00:00:00"/>
  </r>
  <r>
    <n v="326"/>
    <x v="3"/>
    <s v="OFM"/>
    <n v="18.317198933939025"/>
    <d v="2014-05-06T00:00:00"/>
  </r>
  <r>
    <n v="327"/>
    <x v="0"/>
    <s v="Apps"/>
    <n v="256.96041524803104"/>
    <d v="2014-05-07T00:00:00"/>
  </r>
  <r>
    <n v="328"/>
    <x v="0"/>
    <s v="Apps"/>
    <n v="256.96041524803104"/>
    <d v="2014-05-08T00:00:00"/>
  </r>
  <r>
    <n v="329"/>
    <x v="0"/>
    <s v="OFM"/>
    <n v="154.03573629081947"/>
    <d v="2014-05-09T00:00:00"/>
  </r>
  <r>
    <n v="330"/>
    <x v="1"/>
    <s v="Tech"/>
    <n v="119.48853615520282"/>
    <d v="2014-05-10T00:00:00"/>
  </r>
  <r>
    <n v="331"/>
    <x v="1"/>
    <s v="Tech"/>
    <n v="48.963844797178126"/>
    <d v="2014-05-11T00:00:00"/>
  </r>
  <r>
    <n v="332"/>
    <x v="1"/>
    <s v="Apps"/>
    <n v="176.3668430335097"/>
    <d v="2014-05-12T00:00:00"/>
  </r>
  <r>
    <n v="333"/>
    <x v="4"/>
    <s v="Apps"/>
    <n v="80.243941582410528"/>
    <d v="2014-05-13T00:00:00"/>
  </r>
  <r>
    <n v="334"/>
    <x v="2"/>
    <s v="Tech"/>
    <n v="42.359419675950441"/>
    <d v="2014-05-14T00:00:00"/>
  </r>
  <r>
    <n v="335"/>
    <x v="2"/>
    <s v="OFM"/>
    <n v="31.769564756962826"/>
    <d v="2014-05-15T00:00:00"/>
  </r>
  <r>
    <n v="336"/>
    <x v="2"/>
    <s v="Apps"/>
    <n v="52.949274594938046"/>
    <d v="2014-05-16T00:00:00"/>
  </r>
  <r>
    <n v="337"/>
    <x v="1"/>
    <s v="OFM"/>
    <n v="79.365079365079367"/>
    <d v="2014-05-17T00:00:00"/>
  </r>
  <r>
    <n v="338"/>
    <x v="2"/>
    <s v="OFM"/>
    <n v="127.0782590278513"/>
    <d v="2014-05-18T00:00:00"/>
  </r>
  <r>
    <n v="339"/>
    <x v="3"/>
    <s v="OFM"/>
    <n v="27.475798400908538"/>
    <d v="2014-05-19T00:00:00"/>
  </r>
  <r>
    <n v="340"/>
    <x v="3"/>
    <s v="OFM"/>
    <n v="9.1585994669695125"/>
    <d v="2014-05-20T00:00:00"/>
  </r>
  <r>
    <n v="341"/>
    <x v="2"/>
    <s v="Apps"/>
    <n v="158.84782378481412"/>
    <d v="2014-05-21T00:00:00"/>
  </r>
  <r>
    <n v="342"/>
    <x v="2"/>
    <s v="Apps"/>
    <n v="158.84782378481412"/>
    <d v="2014-05-22T00:00:00"/>
  </r>
  <r>
    <n v="343"/>
    <x v="0"/>
    <s v="Tech"/>
    <n v="16.890727335401586"/>
    <d v="2014-05-23T00:00:00"/>
  </r>
  <r>
    <n v="344"/>
    <x v="4"/>
    <s v="OFM"/>
    <n v="16.337999999999997"/>
    <d v="2014-05-24T00:00:00"/>
  </r>
  <r>
    <n v="345"/>
    <x v="2"/>
    <s v="OFM"/>
    <n v="52.949274594938046"/>
    <d v="2014-05-25T00:00:00"/>
  </r>
  <r>
    <n v="346"/>
    <x v="2"/>
    <s v="Tech"/>
    <n v="52.949274594938046"/>
    <d v="2014-05-26T00:00:00"/>
  </r>
  <r>
    <n v="347"/>
    <x v="1"/>
    <s v="Tech"/>
    <n v="88.183421516754848"/>
    <d v="2014-05-27T00:00:00"/>
  </r>
  <r>
    <n v="348"/>
    <x v="1"/>
    <s v="OFM"/>
    <n v="123.4567901234568"/>
    <d v="2014-05-28T00:00:00"/>
  </r>
  <r>
    <n v="349"/>
    <x v="1"/>
    <s v="Tech"/>
    <n v="132.27513227513228"/>
    <d v="2014-05-29T00:00:00"/>
  </r>
  <r>
    <n v="350"/>
    <x v="1"/>
    <s v="Apps"/>
    <n v="66.137566137566139"/>
    <d v="2014-05-30T00:00:00"/>
  </r>
  <r>
    <n v="351"/>
    <x v="0"/>
    <s v="Tech"/>
    <n v="37.430683918669132"/>
    <d v="2014-05-31T00:00:00"/>
  </r>
  <r>
    <n v="352"/>
    <x v="4"/>
    <s v="Tech"/>
    <n v="3.2097576632964211"/>
    <d v="2014-06-01T00:00:00"/>
  </r>
  <r>
    <n v="353"/>
    <x v="4"/>
    <s v="Apps"/>
    <n v="3.4906114588348585"/>
    <d v="2014-06-02T00:00:00"/>
  </r>
  <r>
    <n v="354"/>
    <x v="3"/>
    <s v="OFM"/>
    <n v="18.317198933939025"/>
    <d v="2014-06-03T00:00:00"/>
  </r>
  <r>
    <n v="355"/>
    <x v="1"/>
    <s v="Apps"/>
    <n v="44.091710758377424"/>
    <d v="2014-06-04T00:00:00"/>
  </r>
  <r>
    <n v="356"/>
    <x v="2"/>
    <s v="Tech"/>
    <n v="40.515355319666149"/>
    <d v="2014-06-05T00:00:00"/>
  </r>
  <r>
    <n v="357"/>
    <x v="2"/>
    <s v="Systems"/>
    <n v="810.30710639332301"/>
    <d v="2014-06-06T00:00:00"/>
  </r>
  <r>
    <n v="358"/>
    <x v="1"/>
    <s v="Tech"/>
    <n v="110.22927689594357"/>
    <d v="2014-06-07T00:00:00"/>
  </r>
  <r>
    <n v="359"/>
    <x v="4"/>
    <s v="Tech"/>
    <n v="0.65"/>
    <d v="2014-06-08T00:00:00"/>
  </r>
  <r>
    <n v="360"/>
    <x v="2"/>
    <s v="Apps"/>
    <n v="16.20614212786646"/>
    <d v="2014-06-09T00:00:00"/>
  </r>
  <r>
    <n v="361"/>
    <x v="2"/>
    <s v="Apps"/>
    <n v="105.89854918987609"/>
    <d v="2014-06-10T00:00:00"/>
  </r>
  <r>
    <n v="362"/>
    <x v="1"/>
    <s v="Tech"/>
    <n v="0.05"/>
    <d v="2014-06-11T00:00:00"/>
  </r>
  <r>
    <n v="363"/>
    <x v="4"/>
    <s v="Tech"/>
    <n v="65.178425941013529"/>
    <d v="2014-06-12T00:00:00"/>
  </r>
  <r>
    <n v="364"/>
    <x v="2"/>
    <s v="Apps"/>
    <n v="52.949274594938046"/>
    <d v="2014-06-13T00:00:00"/>
  </r>
  <r>
    <n v="365"/>
    <x v="2"/>
    <s v="Tech"/>
    <n v="74.294141479620762"/>
    <d v="2014-06-14T00:00:00"/>
  </r>
  <r>
    <n v="366"/>
    <x v="1"/>
    <s v="Tech"/>
    <n v="370.5"/>
    <d v="2014-06-15T00:00:00"/>
  </r>
  <r>
    <n v="367"/>
    <x v="0"/>
    <s v="Tech"/>
    <n v="17.235436056532226"/>
    <d v="2014-06-16T00:00:00"/>
  </r>
  <r>
    <n v="368"/>
    <x v="0"/>
    <s v="Tech"/>
    <n v="26.859301324630941"/>
    <d v="2014-06-17T00:00:00"/>
  </r>
  <r>
    <n v="369"/>
    <x v="0"/>
    <s v="Tech"/>
    <n v="6.1481633754320146"/>
    <d v="2014-06-18T00:00:00"/>
  </r>
  <r>
    <n v="370"/>
    <x v="0"/>
    <s v="Tech"/>
    <n v="26.859301324630941"/>
    <d v="2014-06-19T00:00:00"/>
  </r>
  <r>
    <n v="371"/>
    <x v="0"/>
    <s v="Tech"/>
    <n v="17.235436056532226"/>
    <d v="2014-06-20T00:00:00"/>
  </r>
  <r>
    <n v="372"/>
    <x v="4"/>
    <s v="Apps"/>
    <n v="82.372809413189259"/>
    <d v="2014-06-21T00:00:00"/>
  </r>
  <r>
    <n v="373"/>
    <x v="1"/>
    <s v="Apps"/>
    <n v="88.183421516754848"/>
    <d v="2014-06-22T00:00:00"/>
  </r>
  <r>
    <n v="374"/>
    <x v="0"/>
    <s v="Apps"/>
    <n v="1232.2858903265558"/>
    <d v="2014-06-23T00:00:00"/>
  </r>
  <r>
    <n v="375"/>
    <x v="1"/>
    <s v="OFM"/>
    <n v="6.6137566137566139"/>
    <d v="2014-06-24T00:00:00"/>
  </r>
  <r>
    <n v="376"/>
    <x v="2"/>
    <s v="Tech"/>
    <n v="317.69564756962825"/>
    <d v="2014-06-25T00:00:00"/>
  </r>
  <r>
    <n v="377"/>
    <x v="2"/>
    <s v="Tech"/>
    <n v="529.49274594938049"/>
    <d v="2014-06-26T00:00:00"/>
  </r>
  <r>
    <n v="378"/>
    <x v="4"/>
    <s v="Tech"/>
    <n v="12"/>
    <d v="2014-06-27T00:00:00"/>
  </r>
  <r>
    <n v="379"/>
    <x v="1"/>
    <s v="Other"/>
    <n v="110.22927689594357"/>
    <d v="2014-06-28T00:00:00"/>
  </r>
  <r>
    <n v="380"/>
    <x v="1"/>
    <s v="Tech"/>
    <n v="154.32098765432099"/>
    <d v="2014-06-29T00:00:00"/>
  </r>
  <r>
    <n v="381"/>
    <x v="4"/>
    <s v="Apps"/>
    <n v="197.4242713399185"/>
    <d v="2014-06-30T00:00:00"/>
  </r>
  <r>
    <n v="382"/>
    <x v="3"/>
    <s v="Tech"/>
    <n v="87.739382893567921"/>
    <d v="2014-07-01T00:00:00"/>
  </r>
  <r>
    <n v="383"/>
    <x v="3"/>
    <s v="Tech"/>
    <n v="73.2687957357561"/>
    <d v="2014-07-02T00:00:00"/>
  </r>
  <r>
    <n v="384"/>
    <x v="3"/>
    <s v="Tech"/>
    <n v="9.1585994669695116E-7"/>
    <d v="2014-07-03T00:00:00"/>
  </r>
  <r>
    <n v="385"/>
    <x v="3"/>
    <s v="Tech"/>
    <n v="9.1585994669695116E-7"/>
    <d v="2014-07-04T00:00:00"/>
  </r>
  <r>
    <n v="386"/>
    <x v="0"/>
    <s v="Tech"/>
    <n v="137.88348845225781"/>
    <d v="2014-07-05T00:00:00"/>
  </r>
  <r>
    <n v="387"/>
    <x v="3"/>
    <s v="Tech"/>
    <n v="183.17198933939025"/>
    <d v="2014-07-06T00:00:00"/>
  </r>
  <r>
    <n v="388"/>
    <x v="0"/>
    <s v="OFM"/>
    <n v="9.2421441774491679"/>
    <d v="2014-07-07T00:00:00"/>
  </r>
  <r>
    <n v="389"/>
    <x v="1"/>
    <s v="Tech"/>
    <n v="10.45494841519664"/>
    <d v="2014-07-08T00:00:00"/>
  </r>
  <r>
    <n v="390"/>
    <x v="0"/>
    <s v="Tech"/>
    <n v="4.529698199992291"/>
    <d v="2014-07-09T00:00:00"/>
  </r>
  <r>
    <n v="391"/>
    <x v="4"/>
    <s v="Apps"/>
    <n v="329.04045223319753"/>
    <d v="2014-07-10T00:00:00"/>
  </r>
  <r>
    <n v="392"/>
    <x v="4"/>
    <s v="Apps"/>
    <n v="39.049937979510275"/>
    <d v="2014-07-11T00:00:00"/>
  </r>
  <r>
    <n v="393"/>
    <x v="4"/>
    <s v="Apps"/>
    <n v="91.882207010612404"/>
    <d v="2014-07-12T00:00:00"/>
  </r>
  <r>
    <n v="394"/>
    <x v="1"/>
    <s v="Apps"/>
    <n v="132.27513227513228"/>
    <d v="2014-07-13T00:00:00"/>
  </r>
  <r>
    <n v="395"/>
    <x v="1"/>
    <s v="Tech"/>
    <n v="70.546737213403873"/>
    <d v="2014-07-14T00:00:00"/>
  </r>
  <r>
    <n v="396"/>
    <x v="1"/>
    <s v="Apps"/>
    <n v="132.27513227513228"/>
    <d v="2014-07-15T00:00:00"/>
  </r>
  <r>
    <n v="397"/>
    <x v="4"/>
    <s v="Apps"/>
    <n v="263.23236178655804"/>
    <d v="2014-07-16T00:00:00"/>
  </r>
  <r>
    <n v="398"/>
    <x v="0"/>
    <s v="Systems"/>
    <n v="19.27203114360233"/>
    <d v="2014-07-17T00:00:00"/>
  </r>
  <r>
    <n v="399"/>
    <x v="4"/>
    <s v="Apps"/>
    <n v="329.04045223319753"/>
    <d v="2014-07-18T00:00:00"/>
  </r>
  <r>
    <n v="400"/>
    <x v="4"/>
    <s v="Apps"/>
    <n v="131.61618089327902"/>
    <d v="2014-07-19T00:00:00"/>
  </r>
  <r>
    <n v="401"/>
    <x v="1"/>
    <s v="Apps"/>
    <n v="132.27513227513228"/>
    <d v="2014-07-20T00:00:00"/>
  </r>
  <r>
    <n v="402"/>
    <x v="4"/>
    <s v="Apps"/>
    <n v="658.08090446639505"/>
    <d v="2014-07-21T00:00:00"/>
  </r>
  <r>
    <n v="403"/>
    <x v="4"/>
    <s v="Apps"/>
    <n v="329.04045223319753"/>
    <d v="2014-07-22T00:00:00"/>
  </r>
  <r>
    <n v="404"/>
    <x v="1"/>
    <s v="Tech"/>
    <n v="220.45855379188714"/>
    <d v="2014-07-23T00:00:00"/>
  </r>
  <r>
    <n v="405"/>
    <x v="4"/>
    <s v="Tech"/>
    <n v="97.767638911520294"/>
    <d v="2014-07-24T00:00:00"/>
  </r>
  <r>
    <n v="406"/>
    <x v="2"/>
    <s v="OFM"/>
    <n v="52.949274594938046"/>
    <d v="2014-07-25T00:00:00"/>
  </r>
  <r>
    <n v="407"/>
    <x v="2"/>
    <s v="OFM"/>
    <n v="52.949274594938046"/>
    <d v="2014-07-26T00:00:00"/>
  </r>
  <r>
    <n v="408"/>
    <x v="1"/>
    <s v="Tech"/>
    <n v="33.06878306878307"/>
    <d v="2014-07-27T00:00:00"/>
  </r>
  <r>
    <n v="409"/>
    <x v="1"/>
    <s v="Tech"/>
    <n v="136.68430335097003"/>
    <d v="2014-07-28T00:00:00"/>
  </r>
  <r>
    <n v="410"/>
    <x v="0"/>
    <s v="Tech"/>
    <n v="10.341261633919338"/>
    <d v="2014-07-29T00:00:00"/>
  </r>
  <r>
    <n v="411"/>
    <x v="4"/>
    <s v="Tech"/>
    <n v="260.71370376405412"/>
    <d v="2014-07-30T00:00:00"/>
  </r>
  <r>
    <n v="412"/>
    <x v="1"/>
    <s v="Tech"/>
    <n v="39.682539682539684"/>
    <d v="2014-07-31T00:00:00"/>
  </r>
  <r>
    <n v="413"/>
    <x v="1"/>
    <s v="Tech"/>
    <n v="14.690123456790122"/>
    <d v="2014-08-01T00:00:00"/>
  </r>
  <r>
    <n v="414"/>
    <x v="1"/>
    <s v="Tech"/>
    <n v="734.5064594356262"/>
    <d v="2014-08-02T00:00:00"/>
  </r>
  <r>
    <n v="415"/>
    <x v="2"/>
    <s v="Apps"/>
    <n v="105.89854918987609"/>
    <d v="2014-08-03T00:00:00"/>
  </r>
  <r>
    <n v="416"/>
    <x v="1"/>
    <s v="Apps"/>
    <n v="28.659611992945326"/>
    <d v="2014-08-04T00:00:00"/>
  </r>
  <r>
    <n v="417"/>
    <x v="0"/>
    <s v="Tech"/>
    <n v="25.696041524803107"/>
    <d v="2014-08-05T00:00:00"/>
  </r>
  <r>
    <n v="418"/>
    <x v="1"/>
    <s v="Tech"/>
    <n v="10.45494841519664"/>
    <d v="2014-08-06T00:00:00"/>
  </r>
  <r>
    <n v="419"/>
    <x v="1"/>
    <s v="Tech"/>
    <n v="132.27513227513228"/>
    <d v="2014-08-07T00:00:00"/>
  </r>
  <r>
    <n v="420"/>
    <x v="0"/>
    <s v="Tech"/>
    <n v="583.30014261303052"/>
    <d v="2014-08-08T00:00:00"/>
  </r>
  <r>
    <n v="421"/>
    <x v="4"/>
    <s v="Apps"/>
    <n v="100"/>
    <d v="2014-08-09T00:00:00"/>
  </r>
  <r>
    <n v="422"/>
    <x v="1"/>
    <s v="Tech"/>
    <n v="11.022927689594356"/>
    <d v="2014-08-10T00:00:00"/>
  </r>
  <r>
    <n v="423"/>
    <x v="1"/>
    <s v="Tech"/>
    <n v="66.137566137566139"/>
    <d v="2014-08-11T00:00:00"/>
  </r>
  <r>
    <n v="424"/>
    <x v="4"/>
    <s v="Tech"/>
    <n v="17.5"/>
    <d v="2014-08-12T00:00:00"/>
  </r>
  <r>
    <n v="425"/>
    <x v="4"/>
    <s v="Tech"/>
    <n v="0.35"/>
    <d v="2014-08-13T00:00:00"/>
  </r>
  <r>
    <n v="426"/>
    <x v="4"/>
    <s v="Apps"/>
    <n v="47.5"/>
    <d v="2014-08-14T00:00:00"/>
  </r>
  <r>
    <n v="427"/>
    <x v="4"/>
    <s v="Tech"/>
    <n v="39.107055564608117"/>
    <d v="2014-08-15T00:00:00"/>
  </r>
  <r>
    <n v="428"/>
    <x v="1"/>
    <s v="Tech"/>
    <n v="132.27513227513228"/>
    <d v="2014-08-16T00:00:00"/>
  </r>
  <r>
    <n v="429"/>
    <x v="4"/>
    <s v="Tech"/>
    <n v="102.73808976891625"/>
    <d v="2014-08-17T00:00:00"/>
  </r>
  <r>
    <n v="430"/>
    <x v="2"/>
    <s v="Apps"/>
    <n v="79.423911892407062"/>
    <d v="2014-08-18T00:00:00"/>
  </r>
  <r>
    <n v="431"/>
    <x v="1"/>
    <s v="Tech"/>
    <n v="195.868430335097"/>
    <d v="2014-08-19T00:00:00"/>
  </r>
  <r>
    <n v="432"/>
    <x v="4"/>
    <s v="Tech"/>
    <n v="81.473032426266911"/>
    <d v="2014-08-20T00:00:00"/>
  </r>
  <r>
    <n v="433"/>
    <x v="4"/>
    <s v="Tech"/>
    <n v="125.34046951807782"/>
    <d v="2014-08-21T00:00:00"/>
  </r>
  <r>
    <n v="434"/>
    <x v="4"/>
    <s v="Tech"/>
    <n v="80"/>
    <d v="2014-08-22T00:00:00"/>
  </r>
  <r>
    <n v="435"/>
    <x v="3"/>
    <s v="OFM"/>
    <n v="54.951596801817075"/>
    <d v="2014-08-23T00:00:00"/>
  </r>
  <r>
    <n v="436"/>
    <x v="3"/>
    <s v="OFM"/>
    <n v="183.17198933939025"/>
    <d v="2014-08-24T00:00:00"/>
  </r>
  <r>
    <n v="437"/>
    <x v="0"/>
    <s v="Tech"/>
    <n v="46.210720887245841"/>
    <d v="2014-08-25T00:00:00"/>
  </r>
  <r>
    <n v="438"/>
    <x v="0"/>
    <s v="Tech"/>
    <n v="462.10720887245844"/>
    <d v="2014-08-26T00:00:00"/>
  </r>
  <r>
    <n v="439"/>
    <x v="1"/>
    <s v="Tech"/>
    <n v="176.3668430335097"/>
    <d v="2014-08-27T00:00:00"/>
  </r>
  <r>
    <n v="440"/>
    <x v="0"/>
    <s v="Apps"/>
    <n v="154.03573629081947"/>
    <d v="2014-08-28T00:00:00"/>
  </r>
  <r>
    <n v="441"/>
    <x v="0"/>
    <s v="Tech"/>
    <n v="61.614294516327789"/>
    <d v="2014-08-29T00:00:00"/>
  </r>
  <r>
    <n v="442"/>
    <x v="0"/>
    <s v="OFM"/>
    <n v="77.017868145409736"/>
    <d v="2014-08-30T00:00:00"/>
  </r>
  <r>
    <n v="443"/>
    <x v="0"/>
    <s v="Apps"/>
    <n v="231.05360443622922"/>
    <d v="2014-08-31T00:00:00"/>
  </r>
  <r>
    <n v="444"/>
    <x v="3"/>
    <s v="OFM"/>
    <n v="28.849588320953963"/>
    <d v="2014-09-01T00:00:00"/>
  </r>
  <r>
    <n v="445"/>
    <x v="3"/>
    <s v="OFM"/>
    <n v="107.15561376354329"/>
    <d v="2014-09-02T00:00:00"/>
  </r>
  <r>
    <n v="446"/>
    <x v="3"/>
    <s v="OFM"/>
    <n v="54.951596801817075"/>
    <d v="2014-09-03T00:00:00"/>
  </r>
  <r>
    <n v="447"/>
    <x v="3"/>
    <s v="Tech"/>
    <n v="36.63439786787805"/>
    <d v="2014-09-04T00:00:00"/>
  </r>
  <r>
    <n v="448"/>
    <x v="3"/>
    <s v="Tech"/>
    <n v="64.110196268786581"/>
    <d v="2014-09-05T00:00:00"/>
  </r>
  <r>
    <n v="449"/>
    <x v="3"/>
    <s v="Tech"/>
    <n v="45.792997334847563"/>
    <d v="2014-09-06T00:00:00"/>
  </r>
  <r>
    <n v="450"/>
    <x v="3"/>
    <s v="Tech"/>
    <n v="119.06179307060366"/>
    <d v="2014-09-07T00:00:00"/>
  </r>
  <r>
    <n v="451"/>
    <x v="3"/>
    <s v="Tech"/>
    <n v="59.530896535301828"/>
    <d v="2014-09-08T00:00:00"/>
  </r>
  <r>
    <n v="452"/>
    <x v="3"/>
    <s v="Tech"/>
    <n v="412.13697601362799"/>
    <d v="2014-09-09T00:00:00"/>
  </r>
  <r>
    <n v="453"/>
    <x v="3"/>
    <s v="Tech"/>
    <n v="178.52766354969"/>
    <d v="2014-09-10T00:00:00"/>
  </r>
  <r>
    <n v="454"/>
    <x v="3"/>
    <s v="Tech"/>
    <n v="45.792997334847563"/>
    <d v="2014-09-11T00:00:00"/>
  </r>
  <r>
    <n v="455"/>
    <x v="3"/>
    <s v="OFM"/>
    <n v="27.475798400908538"/>
    <d v="2014-09-12T00:00:00"/>
  </r>
  <r>
    <n v="456"/>
    <x v="0"/>
    <s v="OFM"/>
    <n v="34.470872113064452"/>
    <d v="2014-09-13T00:00:00"/>
  </r>
  <r>
    <n v="457"/>
    <x v="1"/>
    <s v="Apps"/>
    <n v="44.091710758377424"/>
    <d v="2014-09-14T00:00:00"/>
  </r>
  <r>
    <n v="458"/>
    <x v="1"/>
    <s v="Tech"/>
    <n v="238.95061728395061"/>
    <d v="2014-09-15T00:00:00"/>
  </r>
  <r>
    <n v="459"/>
    <x v="1"/>
    <s v="Apps"/>
    <n v="61.85295414462081"/>
    <d v="2014-09-16T00:00:00"/>
  </r>
  <r>
    <n v="460"/>
    <x v="1"/>
    <s v="Tech"/>
    <n v="18.04052028218695"/>
    <d v="2014-09-17T00:00:00"/>
  </r>
  <r>
    <n v="461"/>
    <x v="2"/>
    <s v="Apps"/>
    <n v="16.20614212786646"/>
    <d v="2014-09-18T00:00:00"/>
  </r>
  <r>
    <n v="462"/>
    <x v="4"/>
    <s v="Tech"/>
    <n v="35"/>
    <d v="2014-09-19T00:00:00"/>
  </r>
  <r>
    <n v="463"/>
    <x v="1"/>
    <s v="Apps"/>
    <n v="44.091710758377424"/>
    <d v="2014-09-20T00:00:00"/>
  </r>
  <r>
    <n v="464"/>
    <x v="1"/>
    <s v="Apps"/>
    <n v="351.24338624338623"/>
    <d v="2014-09-21T00:00:00"/>
  </r>
  <r>
    <n v="465"/>
    <x v="4"/>
    <s v="Apps"/>
    <n v="98.118950627342358"/>
    <d v="2014-09-22T00:00:00"/>
  </r>
  <r>
    <n v="466"/>
    <x v="4"/>
    <s v="OFM"/>
    <n v="35"/>
    <d v="2014-09-23T00:00:00"/>
  </r>
  <r>
    <n v="467"/>
    <x v="0"/>
    <s v="Tech"/>
    <n v="103.41261633919338"/>
    <d v="2014-09-24T00:00:00"/>
  </r>
  <r>
    <n v="468"/>
    <x v="1"/>
    <s v="Tech"/>
    <n v="220.45855379188714"/>
    <d v="2014-09-25T00:00:00"/>
  </r>
  <r>
    <n v="469"/>
    <x v="0"/>
    <s v="Systems"/>
    <n v="160.6002595300194"/>
    <d v="2014-09-26T00:00:00"/>
  </r>
  <r>
    <n v="470"/>
    <x v="4"/>
    <s v="Apps"/>
    <n v="200"/>
    <d v="2014-09-27T00:00:00"/>
  </r>
  <r>
    <n v="471"/>
    <x v="1"/>
    <s v="Tech"/>
    <n v="24.483553791887125"/>
    <d v="2014-09-28T00:00:00"/>
  </r>
  <r>
    <n v="472"/>
    <x v="4"/>
    <s v="Tech"/>
    <n v="65.178425941013529"/>
    <d v="2014-09-29T00:00:00"/>
  </r>
  <r>
    <n v="473"/>
    <x v="0"/>
    <s v="Tech"/>
    <n v="1.1650585227345727"/>
    <d v="2014-09-30T00:00:00"/>
  </r>
  <r>
    <n v="474"/>
    <x v="4"/>
    <s v="Apps"/>
    <n v="80.243941582410528"/>
    <d v="2014-10-01T00:00:00"/>
  </r>
  <r>
    <n v="475"/>
    <x v="0"/>
    <s v="Tech"/>
    <n v="17.580144777662873"/>
    <d v="2014-10-02T00:00:00"/>
  </r>
  <r>
    <n v="476"/>
    <x v="0"/>
    <s v="Tech"/>
    <n v="9.6518441916580482"/>
    <d v="2014-10-03T00:00:00"/>
  </r>
  <r>
    <n v="477"/>
    <x v="0"/>
    <s v="Tech"/>
    <n v="2.8266115132712857"/>
    <d v="2014-10-04T00:00:00"/>
  </r>
  <r>
    <n v="478"/>
    <x v="1"/>
    <s v="Apps"/>
    <n v="205.57760141093476"/>
    <d v="2014-10-05T00:00:00"/>
  </r>
  <r>
    <n v="479"/>
    <x v="1"/>
    <s v="Tech"/>
    <n v="92.592592592592595"/>
    <d v="2014-10-06T00:00:00"/>
  </r>
  <r>
    <n v="480"/>
    <x v="0"/>
    <s v="Tech"/>
    <n v="9.5139607032057896"/>
    <d v="2014-10-07T00:00:00"/>
  </r>
  <r>
    <n v="481"/>
    <x v="4"/>
    <s v="Tech"/>
    <n v="10"/>
    <d v="2014-10-08T00:00:00"/>
  </r>
  <r>
    <n v="482"/>
    <x v="1"/>
    <s v="OFM"/>
    <n v="126.41093474426808"/>
    <d v="2014-10-09T00:00:00"/>
  </r>
  <r>
    <n v="483"/>
    <x v="1"/>
    <s v="Tech"/>
    <n v="44.091710758377424"/>
    <d v="2014-10-10T00:00:00"/>
  </r>
  <r>
    <n v="484"/>
    <x v="4"/>
    <s v="Tech"/>
    <n v="166.25"/>
    <d v="2014-10-11T00:00:00"/>
  </r>
  <r>
    <n v="485"/>
    <x v="4"/>
    <s v="Tech"/>
    <n v="166.25"/>
    <d v="2014-10-12T00:00:00"/>
  </r>
  <r>
    <n v="486"/>
    <x v="1"/>
    <s v="Tech"/>
    <n v="10.45494841519664"/>
    <d v="2014-10-13T00:00:00"/>
  </r>
  <r>
    <n v="487"/>
    <x v="1"/>
    <s v="Tech"/>
    <n v="25.352733686067019"/>
    <d v="2014-10-14T00:00:00"/>
  </r>
  <r>
    <n v="488"/>
    <x v="4"/>
    <s v="Tech"/>
    <n v="20"/>
    <d v="2014-10-15T00:00:00"/>
  </r>
  <r>
    <n v="489"/>
    <x v="0"/>
    <s v="Tech"/>
    <n v="46.210720887245841"/>
    <d v="2014-10-16T00:00:00"/>
  </r>
  <r>
    <n v="490"/>
    <x v="4"/>
    <s v="Apps"/>
    <n v="22.975000000000001"/>
    <d v="2014-10-17T00:00:00"/>
  </r>
  <r>
    <n v="491"/>
    <x v="1"/>
    <s v="Tech"/>
    <n v="167.54850088183423"/>
    <d v="2014-10-18T00:00:00"/>
  </r>
  <r>
    <n v="492"/>
    <x v="4"/>
    <s v="Tech"/>
    <n v="53.968392374158483"/>
    <d v="2014-10-19T00:00:00"/>
  </r>
  <r>
    <n v="493"/>
    <x v="1"/>
    <s v="Tech"/>
    <n v="587.60515873015868"/>
    <d v="2014-10-20T00:00:00"/>
  </r>
  <r>
    <n v="494"/>
    <x v="4"/>
    <s v="Tech"/>
    <n v="372.8518820270491"/>
    <d v="2014-10-21T00:00:00"/>
  </r>
  <r>
    <n v="495"/>
    <x v="2"/>
    <s v="Tech"/>
    <n v="465.95361643545482"/>
    <d v="2014-10-22T00:00:00"/>
  </r>
  <r>
    <n v="496"/>
    <x v="0"/>
    <s v="Tech"/>
    <n v="43.082385384350225"/>
    <d v="2014-10-23T00:00:00"/>
  </r>
  <r>
    <n v="497"/>
    <x v="0"/>
    <s v="OFM"/>
    <n v="9.2421441774491679"/>
    <d v="2014-10-24T00:00:00"/>
  </r>
  <r>
    <n v="498"/>
    <x v="3"/>
    <s v="Tech"/>
    <n v="100.74459413666463"/>
    <d v="2014-10-25T00:00:00"/>
  </r>
  <r>
    <n v="499"/>
    <x v="3"/>
    <s v="OFM"/>
    <n v="50.828665500471672"/>
    <d v="2014-10-26T00:00:00"/>
  </r>
  <r>
    <n v="500"/>
    <x v="2"/>
    <s v="OFM"/>
    <n v="105.89854918987609"/>
    <d v="2014-10-27T00:00:00"/>
  </r>
  <r>
    <n v="501"/>
    <x v="3"/>
    <s v="OFM"/>
    <n v="91.585994669695125"/>
    <d v="2014-10-28T00:00:00"/>
  </r>
  <r>
    <n v="502"/>
    <x v="0"/>
    <s v="Tech"/>
    <n v="77.017868145409736"/>
    <d v="2014-10-29T00:00:00"/>
  </r>
  <r>
    <n v="503"/>
    <x v="0"/>
    <s v="Tech"/>
    <n v="206.40788662969811"/>
    <d v="2014-10-30T00:00:00"/>
  </r>
  <r>
    <n v="504"/>
    <x v="1"/>
    <s v="Tech"/>
    <n v="220.45855379188714"/>
    <d v="2014-10-31T00:00:00"/>
  </r>
  <r>
    <n v="505"/>
    <x v="4"/>
    <s v="Tech"/>
    <n v="22"/>
    <d v="2014-11-01T00:00:00"/>
  </r>
  <r>
    <n v="506"/>
    <x v="0"/>
    <s v="Tech"/>
    <n v="202.99872804594455"/>
    <d v="2014-11-02T00:00:00"/>
  </r>
  <r>
    <n v="507"/>
    <x v="1"/>
    <s v="Tech"/>
    <n v="220.45855379188714"/>
    <d v="2014-11-03T00:00:00"/>
  </r>
  <r>
    <n v="508"/>
    <x v="1"/>
    <s v="Apps"/>
    <n v="33.06878306878307"/>
    <d v="2014-11-04T00:00:00"/>
  </r>
  <r>
    <n v="509"/>
    <x v="0"/>
    <s v="Tech"/>
    <n v="20.042912389346419"/>
    <d v="2014-11-05T00:00:00"/>
  </r>
  <r>
    <n v="510"/>
    <x v="1"/>
    <s v="Tech"/>
    <n v="661.37566137566137"/>
    <d v="2014-11-06T00:00:00"/>
  </r>
  <r>
    <n v="511"/>
    <x v="1"/>
    <s v="Apps"/>
    <n v="88.183421516754848"/>
    <d v="2014-11-07T00:00:00"/>
  </r>
  <r>
    <n v="512"/>
    <x v="2"/>
    <s v="Apps"/>
    <n v="129.64913702293168"/>
    <d v="2014-11-08T00:00:00"/>
  </r>
  <r>
    <n v="513"/>
    <x v="4"/>
    <s v="OFM"/>
    <n v="579.76927683489407"/>
    <d v="2014-11-09T00:00:00"/>
  </r>
  <r>
    <n v="514"/>
    <x v="1"/>
    <s v="Tech"/>
    <n v="18.04052028218695"/>
    <d v="2014-11-10T00:00:00"/>
  </r>
  <r>
    <n v="515"/>
    <x v="0"/>
    <s v="Tech"/>
    <n v="107.82501540357363"/>
    <d v="2014-11-11T00:00:00"/>
  </r>
  <r>
    <n v="516"/>
    <x v="0"/>
    <s v="Tech"/>
    <n v="1.747459303894235"/>
    <d v="2014-11-12T00:00:00"/>
  </r>
  <r>
    <n v="517"/>
    <x v="3"/>
    <s v="Tech"/>
    <n v="64.110196268786581"/>
    <d v="2014-11-13T00:00:00"/>
  </r>
  <r>
    <n v="518"/>
    <x v="1"/>
    <s v="Tech"/>
    <n v="5.9791446208112875"/>
    <d v="2014-11-14T00:00:00"/>
  </r>
  <r>
    <n v="519"/>
    <x v="4"/>
    <s v="Tech"/>
    <n v="23"/>
    <d v="2014-11-15T00:00:00"/>
  </r>
  <r>
    <n v="520"/>
    <x v="4"/>
    <s v="Apps"/>
    <n v="0"/>
    <d v="2014-11-16T00:00:00"/>
  </r>
  <r>
    <n v="521"/>
    <x v="0"/>
    <s v="Apps"/>
    <n v="385.08934072704869"/>
    <d v="2014-11-17T00:00:00"/>
  </r>
  <r>
    <n v="522"/>
    <x v="1"/>
    <s v="Tech"/>
    <n v="22.045855379188712"/>
    <d v="2014-11-18T00:00:00"/>
  </r>
  <r>
    <n v="523"/>
    <x v="1"/>
    <s v="Tech"/>
    <n v="22.045855379188712"/>
    <d v="2014-11-19T00:00:00"/>
  </r>
  <r>
    <n v="524"/>
    <x v="4"/>
    <s v="Apps"/>
    <n v="50"/>
    <d v="2014-11-20T00:00:00"/>
  </r>
  <r>
    <n v="525"/>
    <x v="1"/>
    <s v="Tech"/>
    <n v="66.137566137566139"/>
    <d v="2014-11-21T00:00:00"/>
  </r>
  <r>
    <n v="526"/>
    <x v="4"/>
    <s v="Apps"/>
    <n v="220"/>
    <d v="2014-11-22T00:00:00"/>
  </r>
  <r>
    <n v="527"/>
    <x v="4"/>
    <s v="Other"/>
    <n v="0.5"/>
    <d v="2014-11-23T00:00:00"/>
  </r>
  <r>
    <n v="528"/>
    <x v="0"/>
    <s v="Apps"/>
    <n v="6.8941744226128918"/>
    <d v="2014-11-24T00:00:00"/>
  </r>
  <r>
    <n v="529"/>
    <x v="0"/>
    <s v="Systems"/>
    <n v="154.17624914881864"/>
    <d v="2014-11-25T00:00:00"/>
  </r>
  <r>
    <n v="530"/>
    <x v="3"/>
    <s v="OFM"/>
    <n v="457.92997334847558"/>
    <d v="2014-11-26T00:00:00"/>
  </r>
  <r>
    <n v="531"/>
    <x v="3"/>
    <s v="Tech"/>
    <n v="32.05509813439329"/>
    <d v="2014-11-27T00:00:00"/>
  </r>
  <r>
    <n v="532"/>
    <x v="3"/>
    <s v="OFM"/>
    <n v="27.475798400908538"/>
    <d v="2014-11-28T00:00:00"/>
  </r>
  <r>
    <n v="533"/>
    <x v="0"/>
    <s v="Tech"/>
    <n v="1.2322858903265557"/>
    <d v="2014-11-29T00:00:00"/>
  </r>
  <r>
    <n v="534"/>
    <x v="0"/>
    <s v="Tech"/>
    <n v="230.75045289273189"/>
    <d v="2014-11-30T00:00:00"/>
  </r>
  <r>
    <n v="535"/>
    <x v="4"/>
    <s v="Apps"/>
    <n v="21.615289199246568"/>
    <d v="2014-12-01T00:00:00"/>
  </r>
  <r>
    <n v="536"/>
    <x v="4"/>
    <s v="Apps"/>
    <n v="12.423197960215004"/>
    <d v="2014-12-02T00:00:00"/>
  </r>
  <r>
    <n v="537"/>
    <x v="1"/>
    <s v="Tech"/>
    <n v="1911.6761904761906"/>
    <d v="2014-12-03T00:00:00"/>
  </r>
  <r>
    <n v="538"/>
    <x v="1"/>
    <s v="OFM"/>
    <n v="503.06172839506172"/>
    <d v="2014-12-04T00:00:00"/>
  </r>
  <r>
    <n v="539"/>
    <x v="4"/>
    <s v="Tech"/>
    <n v="36.584889146271642"/>
    <d v="2014-12-05T00:00:00"/>
  </r>
  <r>
    <n v="540"/>
    <x v="1"/>
    <s v="Apps"/>
    <n v="50"/>
    <d v="2014-12-06T00:00:00"/>
  </r>
  <r>
    <n v="541"/>
    <x v="2"/>
    <s v="OFM"/>
    <n v="370.64492216456637"/>
    <d v="2014-12-07T00:00:00"/>
  </r>
  <r>
    <n v="542"/>
    <x v="3"/>
    <s v="Tech"/>
    <n v="155.45092364475624"/>
    <d v="2014-12-08T00:00:00"/>
  </r>
  <r>
    <n v="543"/>
    <x v="1"/>
    <s v="Tech"/>
    <n v="11.855158730158729"/>
    <d v="2014-12-09T00:00:00"/>
  </r>
  <r>
    <n v="544"/>
    <x v="4"/>
    <s v="OFM"/>
    <n v="27.268240357469544"/>
    <d v="2014-12-10T00:00:00"/>
  </r>
  <r>
    <n v="545"/>
    <x v="1"/>
    <s v="Apps"/>
    <n v="55.114638447971785"/>
    <d v="2014-12-11T00:00:00"/>
  </r>
  <r>
    <n v="546"/>
    <x v="1"/>
    <s v="OFM"/>
    <n v="291.78225308641976"/>
    <d v="2014-12-12T00:00:00"/>
  </r>
  <r>
    <n v="547"/>
    <x v="1"/>
    <s v="Tech"/>
    <n v="186.28747795414461"/>
    <d v="2014-12-13T00:00:00"/>
  </r>
  <r>
    <n v="548"/>
    <x v="0"/>
    <s v="Tech"/>
    <n v="57.816093430806987"/>
    <d v="2014-12-14T00:00:00"/>
  </r>
  <r>
    <n v="549"/>
    <x v="2"/>
    <s v="Apps"/>
    <n v="52.949274594938046"/>
    <d v="2014-12-15T00:00:00"/>
  </r>
  <r>
    <n v="550"/>
    <x v="3"/>
    <s v="OFM"/>
    <n v="366.3439786787805"/>
    <d v="2014-12-16T00:00:00"/>
  </r>
  <r>
    <n v="551"/>
    <x v="4"/>
    <s v="Other"/>
    <n v="2.2970551752653098E-2"/>
    <d v="2014-12-17T00:00:00"/>
  </r>
  <r>
    <n v="552"/>
    <x v="2"/>
    <s v="OFM"/>
    <n v="180.02753362278938"/>
    <d v="2014-12-18T00:00:00"/>
  </r>
  <r>
    <n v="553"/>
    <x v="2"/>
    <s v="Apps"/>
    <n v="52.949274594938046"/>
    <d v="2014-12-19T00:00:00"/>
  </r>
  <r>
    <n v="554"/>
    <x v="2"/>
    <s v="Apps"/>
    <n v="52.949274594938046"/>
    <d v="2014-12-20T00:00:00"/>
  </r>
  <r>
    <n v="555"/>
    <x v="2"/>
    <s v="Apps"/>
    <n v="52.949274594938046"/>
    <d v="2014-12-21T00:00:00"/>
  </r>
  <r>
    <n v="556"/>
    <x v="1"/>
    <s v="Tech"/>
    <n v="551.14638447971777"/>
    <d v="2014-12-22T00:00:00"/>
  </r>
  <r>
    <n v="557"/>
    <x v="2"/>
    <s v="Apps"/>
    <n v="52.949274594938046"/>
    <d v="2014-12-23T00:00:00"/>
  </r>
  <r>
    <n v="558"/>
    <x v="2"/>
    <s v="Apps"/>
    <n v="52.949274594938046"/>
    <d v="2014-12-24T00:00:00"/>
  </r>
  <r>
    <n v="559"/>
    <x v="4"/>
    <s v="OFM"/>
    <n v="0.58499999999999996"/>
    <d v="2014-12-25T00:00:00"/>
  </r>
  <r>
    <n v="560"/>
    <x v="2"/>
    <s v="Apps"/>
    <n v="52.949274594938046"/>
    <d v="2014-12-26T00:00:00"/>
  </r>
  <r>
    <n v="561"/>
    <x v="2"/>
    <s v="Apps"/>
    <n v="52.949274594938046"/>
    <d v="2014-12-27T00:00:00"/>
  </r>
  <r>
    <n v="562"/>
    <x v="2"/>
    <s v="Apps"/>
    <n v="52.949274594938046"/>
    <d v="2014-12-28T00:00:00"/>
  </r>
  <r>
    <n v="563"/>
    <x v="2"/>
    <s v="Apps"/>
    <n v="52.949274594938046"/>
    <d v="2014-12-29T00:00:00"/>
  </r>
  <r>
    <n v="564"/>
    <x v="2"/>
    <s v="Apps"/>
    <n v="52.949274594938046"/>
    <d v="2014-12-30T00:00:00"/>
  </r>
  <r>
    <n v="565"/>
    <x v="2"/>
    <s v="Apps"/>
    <n v="52.949274594938046"/>
    <d v="2014-12-31T00:00:00"/>
  </r>
  <r>
    <n v="566"/>
    <x v="2"/>
    <s v="Apps"/>
    <n v="52.949274594938046"/>
    <d v="2015-01-01T00:00:00"/>
  </r>
  <r>
    <n v="567"/>
    <x v="4"/>
    <s v="Tech"/>
    <n v="1.1375"/>
    <d v="2015-01-02T00:00:00"/>
  </r>
  <r>
    <n v="568"/>
    <x v="4"/>
    <s v="Tech"/>
    <n v="5.2"/>
    <d v="2015-01-03T00:00:00"/>
  </r>
  <r>
    <n v="569"/>
    <x v="4"/>
    <s v="Tech"/>
    <n v="5.2"/>
    <d v="2015-01-04T00:00:00"/>
  </r>
  <r>
    <n v="570"/>
    <x v="0"/>
    <s v="Apps"/>
    <n v="154.03573629081947"/>
    <d v="2015-01-05T00:00:00"/>
  </r>
  <r>
    <n v="571"/>
    <x v="0"/>
    <s v="Apps"/>
    <n v="154.03573629081947"/>
    <d v="2015-01-06T00:00:00"/>
  </r>
  <r>
    <n v="572"/>
    <x v="0"/>
    <s v="Tech"/>
    <n v="411.13666439684971"/>
    <d v="2015-01-07T00:00:00"/>
  </r>
  <r>
    <n v="573"/>
    <x v="1"/>
    <s v="Apps"/>
    <n v="6.6137566137566139"/>
    <d v="2015-01-08T00:00:00"/>
  </r>
  <r>
    <n v="574"/>
    <x v="1"/>
    <s v="Apps"/>
    <n v="55.114638447971785"/>
    <d v="2015-01-09T00:00:00"/>
  </r>
  <r>
    <n v="575"/>
    <x v="0"/>
    <s v="OFM"/>
    <n v="20.682523267838675"/>
    <d v="2015-01-10T00:00:00"/>
  </r>
  <r>
    <n v="576"/>
    <x v="4"/>
    <s v="Apps"/>
    <n v="151.19999999999999"/>
    <d v="2015-01-11T00:00:00"/>
  </r>
  <r>
    <n v="577"/>
    <x v="4"/>
    <s v="Apps"/>
    <n v="30"/>
    <d v="2015-01-12T00:00:00"/>
  </r>
  <r>
    <n v="578"/>
    <x v="4"/>
    <s v="Tech"/>
    <n v="500"/>
    <d v="2015-01-13T00:00:00"/>
  </r>
  <r>
    <n v="579"/>
    <x v="4"/>
    <s v="Tech"/>
    <n v="5.6875"/>
    <d v="2015-01-14T00:00:00"/>
  </r>
  <r>
    <n v="580"/>
    <x v="4"/>
    <s v="Tech"/>
    <n v="325.89212970506765"/>
    <d v="2015-01-15T00:00:00"/>
  </r>
  <r>
    <n v="581"/>
    <x v="0"/>
    <s v="Tech"/>
    <n v="3.7538062261508616"/>
    <d v="2015-01-16T00:00:00"/>
  </r>
  <r>
    <n v="582"/>
    <x v="1"/>
    <s v="Apps"/>
    <n v="66.137566137566139"/>
    <d v="2015-01-17T00:00:00"/>
  </r>
  <r>
    <n v="583"/>
    <x v="1"/>
    <s v="Tech"/>
    <n v="44.091710758377424"/>
    <d v="2015-01-18T00:00:00"/>
  </r>
  <r>
    <n v="584"/>
    <x v="4"/>
    <s v="Tech"/>
    <n v="33.960297979033548"/>
    <d v="2015-01-19T00:00:00"/>
  </r>
  <r>
    <n v="585"/>
    <x v="4"/>
    <s v="Tech"/>
    <n v="2.2749999999999999"/>
    <d v="2015-01-20T00:00:00"/>
  </r>
  <r>
    <n v="586"/>
    <x v="2"/>
    <s v="OFM"/>
    <n v="52.949274594938046"/>
    <d v="2015-01-21T00:00:00"/>
  </r>
  <r>
    <n v="587"/>
    <x v="4"/>
    <s v="Tech"/>
    <n v="360.93721036336979"/>
    <d v="2015-01-22T00:00:00"/>
  </r>
  <r>
    <n v="588"/>
    <x v="0"/>
    <s v="Tech"/>
    <n v="10.341261633919338"/>
    <d v="2015-01-23T00:00:00"/>
  </r>
  <r>
    <n v="589"/>
    <x v="1"/>
    <s v="Apps"/>
    <n v="66.137566137566139"/>
    <d v="2015-01-24T00:00:00"/>
  </r>
  <r>
    <n v="590"/>
    <x v="1"/>
    <s v="Tech"/>
    <n v="264.55026455026456"/>
    <d v="2015-01-25T00:00:00"/>
  </r>
  <r>
    <n v="591"/>
    <x v="1"/>
    <s v="OFM"/>
    <n v="110.22927689594357"/>
    <d v="2015-01-26T00:00:00"/>
  </r>
  <r>
    <n v="592"/>
    <x v="0"/>
    <s v="OFM"/>
    <n v="6.4721904590597825"/>
    <d v="2015-01-27T00:00:00"/>
  </r>
  <r>
    <n v="593"/>
    <x v="1"/>
    <s v="Apps"/>
    <n v="66.137566137566139"/>
    <d v="2015-01-28T00:00:00"/>
  </r>
  <r>
    <n v="594"/>
    <x v="1"/>
    <s v="Tech"/>
    <n v="22.045855379188712"/>
    <d v="2015-01-29T00:00:00"/>
  </r>
  <r>
    <n v="595"/>
    <x v="1"/>
    <s v="Tech"/>
    <n v="110.22927689594357"/>
    <d v="2015-01-30T00:00:00"/>
  </r>
  <r>
    <n v="596"/>
    <x v="1"/>
    <s v="Apps"/>
    <n v="66.137566137566139"/>
    <d v="2015-01-31T00:00:00"/>
  </r>
  <r>
    <n v="597"/>
    <x v="1"/>
    <s v="Apps"/>
    <n v="66.137566137566139"/>
    <d v="2015-02-01T00:00:00"/>
  </r>
  <r>
    <n v="598"/>
    <x v="1"/>
    <s v="Apps"/>
    <n v="264.55026455026456"/>
    <d v="2015-02-02T00:00:00"/>
  </r>
  <r>
    <n v="599"/>
    <x v="3"/>
    <s v="OFM"/>
    <n v="91.585994669695125"/>
    <d v="2015-02-03T00:00:00"/>
  </r>
  <r>
    <n v="600"/>
    <x v="3"/>
    <s v="OFM"/>
    <n v="18.317198933939025"/>
    <d v="2015-02-04T00:00:00"/>
  </r>
  <r>
    <n v="601"/>
    <x v="3"/>
    <s v="Tech"/>
    <n v="137.37899200454268"/>
    <d v="2015-02-05T00:00:00"/>
  </r>
  <r>
    <n v="602"/>
    <x v="0"/>
    <s v="Tech"/>
    <n v="46.210720887245841"/>
    <d v="2015-02-06T00:00:00"/>
  </r>
  <r>
    <n v="603"/>
    <x v="0"/>
    <s v="Tech"/>
    <n v="385.08934072704869"/>
    <d v="2015-02-07T00:00:00"/>
  </r>
  <r>
    <n v="604"/>
    <x v="2"/>
    <s v="Apps"/>
    <n v="81.030710639332298"/>
    <d v="2015-02-08T00:00:00"/>
  </r>
  <r>
    <n v="605"/>
    <x v="1"/>
    <s v="Apps"/>
    <n v="19.841269841269842"/>
    <d v="2015-02-09T00:00:00"/>
  </r>
  <r>
    <n v="606"/>
    <x v="3"/>
    <s v="OFM"/>
    <n v="32.05509813439329"/>
    <d v="2015-02-10T00:00:00"/>
  </r>
  <r>
    <n v="607"/>
    <x v="3"/>
    <s v="Tech"/>
    <n v="732.687957357561"/>
    <d v="2015-02-11T00:00:00"/>
  </r>
  <r>
    <n v="608"/>
    <x v="0"/>
    <s v="Apps"/>
    <n v="344.70872113064462"/>
    <d v="2015-02-12T00:00:00"/>
  </r>
  <r>
    <n v="609"/>
    <x v="0"/>
    <s v="Apps"/>
    <n v="517.06308169596684"/>
    <d v="2015-02-13T00:00:00"/>
  </r>
  <r>
    <n v="610"/>
    <x v="1"/>
    <s v="Tech"/>
    <n v="60"/>
    <d v="2015-02-14T00:00:00"/>
  </r>
  <r>
    <n v="611"/>
    <x v="0"/>
    <s v="Tech"/>
    <n v="32.850293002412961"/>
    <d v="2015-02-15T00:00:00"/>
  </r>
  <r>
    <n v="612"/>
    <x v="1"/>
    <s v="Tech"/>
    <n v="661.37566137566137"/>
    <d v="2015-02-16T00:00:00"/>
  </r>
  <r>
    <n v="613"/>
    <x v="1"/>
    <s v="Apps"/>
    <n v="44.091710758377424"/>
    <d v="2015-02-17T00:00:00"/>
  </r>
  <r>
    <n v="614"/>
    <x v="1"/>
    <s v="OFM"/>
    <n v="6.6137566137566139"/>
    <d v="2015-02-18T00:00:00"/>
  </r>
  <r>
    <n v="615"/>
    <x v="4"/>
    <s v="Tech"/>
    <n v="98.118455271305194"/>
    <d v="2015-02-19T00:00:00"/>
  </r>
  <r>
    <n v="616"/>
    <x v="1"/>
    <s v="Tech"/>
    <n v="90"/>
    <d v="2015-02-20T00:00:00"/>
  </r>
  <r>
    <n v="617"/>
    <x v="4"/>
    <s v="Apps"/>
    <n v="300"/>
    <d v="2015-02-21T00:00:00"/>
  </r>
  <r>
    <n v="618"/>
    <x v="2"/>
    <s v="OFM"/>
    <n v="607.73032979499237"/>
    <d v="2015-02-22T00:00:00"/>
  </r>
  <r>
    <n v="619"/>
    <x v="1"/>
    <s v="Tech"/>
    <n v="587.60515873015868"/>
    <d v="2015-02-23T00:00:00"/>
  </r>
  <r>
    <n v="620"/>
    <x v="4"/>
    <s v="Tech"/>
    <n v="102.73808976891625"/>
    <d v="2015-02-24T00:00:00"/>
  </r>
  <r>
    <n v="621"/>
    <x v="1"/>
    <s v="Apps"/>
    <n v="44.091710758377424"/>
    <d v="2015-02-25T00:00:00"/>
  </r>
  <r>
    <n v="622"/>
    <x v="2"/>
    <s v="Apps"/>
    <n v="21.179709837975221"/>
    <d v="2015-02-26T00:00:00"/>
  </r>
  <r>
    <n v="623"/>
    <x v="2"/>
    <s v="Apps"/>
    <n v="31.769564756962826"/>
    <d v="2015-02-27T00:00:00"/>
  </r>
  <r>
    <n v="624"/>
    <x v="1"/>
    <s v="Tech"/>
    <n v="44.091710758377424"/>
    <d v="2015-02-28T00:00:00"/>
  </r>
  <r>
    <n v="625"/>
    <x v="4"/>
    <s v="Apps"/>
    <n v="48.883819455760147"/>
    <d v="2015-03-01T00:00:00"/>
  </r>
  <r>
    <n v="626"/>
    <x v="2"/>
    <s v="OFM"/>
    <n v="105.89854918987609"/>
    <d v="2015-03-02T00:00:00"/>
  </r>
  <r>
    <n v="627"/>
    <x v="1"/>
    <s v="Tech"/>
    <n v="391.73686067019401"/>
    <d v="2015-03-03T00:00:00"/>
  </r>
  <r>
    <n v="628"/>
    <x v="4"/>
    <s v="Apps"/>
    <n v="11.485275876326551"/>
    <d v="2015-03-04T00:00:00"/>
  </r>
  <r>
    <n v="629"/>
    <x v="0"/>
    <s v="Tech"/>
    <n v="12.848020762401553"/>
    <d v="2015-03-05T00:00:00"/>
  </r>
  <r>
    <n v="630"/>
    <x v="1"/>
    <s v="Apps"/>
    <n v="66.137566137566139"/>
    <d v="2015-03-06T00:00:00"/>
  </r>
  <r>
    <n v="631"/>
    <x v="1"/>
    <s v="Tech"/>
    <n v="462.96296296296299"/>
    <d v="2015-03-07T00:00:00"/>
  </r>
  <r>
    <n v="632"/>
    <x v="1"/>
    <s v="Tech"/>
    <n v="18.738977072310405"/>
    <d v="2015-03-08T00:00:00"/>
  </r>
  <r>
    <n v="633"/>
    <x v="0"/>
    <s v="OFM"/>
    <n v="89.340727048675291"/>
    <d v="2015-03-09T00:00:00"/>
  </r>
  <r>
    <n v="634"/>
    <x v="0"/>
    <s v="Apps"/>
    <n v="34.470872113064452"/>
    <d v="2015-03-10T00:00:00"/>
  </r>
  <r>
    <n v="635"/>
    <x v="0"/>
    <s v="Tech"/>
    <n v="18.958979662185452"/>
    <d v="2015-03-11T00:00:00"/>
  </r>
  <r>
    <n v="636"/>
    <x v="0"/>
    <s v="Tech"/>
    <n v="3.4470872113064459"/>
    <d v="2015-03-12T00:00:00"/>
  </r>
  <r>
    <n v="637"/>
    <x v="0"/>
    <s v="Tech"/>
    <n v="9.6518441916580482"/>
    <d v="2015-03-13T00:00:00"/>
  </r>
  <r>
    <n v="638"/>
    <x v="4"/>
    <s v="Tech"/>
    <n v="329.04045223319753"/>
    <d v="2015-03-14T00:00:00"/>
  </r>
  <r>
    <n v="639"/>
    <x v="0"/>
    <s v="Tech"/>
    <n v="34.470872113064452"/>
    <d v="2015-03-15T00:00:00"/>
  </r>
  <r>
    <n v="640"/>
    <x v="0"/>
    <s v="Tech"/>
    <n v="34.470872113064452"/>
    <d v="2015-03-16T00:00:00"/>
  </r>
  <r>
    <n v="641"/>
    <x v="0"/>
    <s v="Tech"/>
    <n v="20.682523267838675"/>
    <d v="2015-03-17T00:00:00"/>
  </r>
  <r>
    <n v="642"/>
    <x v="0"/>
    <s v="OFM"/>
    <n v="20.682523267838675"/>
    <d v="2015-03-18T00:00:00"/>
  </r>
  <r>
    <n v="643"/>
    <x v="0"/>
    <s v="OFM"/>
    <n v="3.4470872113064459"/>
    <d v="2015-03-19T00:00:00"/>
  </r>
  <r>
    <n v="644"/>
    <x v="0"/>
    <s v="Tech"/>
    <n v="9.5139607032057896"/>
    <d v="2015-03-20T00:00:00"/>
  </r>
  <r>
    <n v="645"/>
    <x v="0"/>
    <s v="Tech"/>
    <n v="15.167183729748361"/>
    <d v="2015-03-21T00:00:00"/>
  </r>
  <r>
    <n v="646"/>
    <x v="0"/>
    <s v="Tech"/>
    <n v="24.129610479145121"/>
    <d v="2015-03-22T00:00:00"/>
  </r>
  <r>
    <n v="647"/>
    <x v="0"/>
    <s v="Tech"/>
    <n v="17.235436056532226"/>
    <d v="2015-03-23T00:00:00"/>
  </r>
  <r>
    <n v="648"/>
    <x v="3"/>
    <s v="OFM"/>
    <n v="59.530896535301828"/>
    <d v="2015-03-24T00:00:00"/>
  </r>
  <r>
    <n v="649"/>
    <x v="0"/>
    <s v="Tech"/>
    <n v="9.2421441774491679"/>
    <d v="2015-03-25T00:00:00"/>
  </r>
  <r>
    <n v="650"/>
    <x v="0"/>
    <s v="OFM"/>
    <n v="34.470872113064452"/>
    <d v="2015-03-26T00:00:00"/>
  </r>
  <r>
    <n v="651"/>
    <x v="2"/>
    <s v="Tech"/>
    <n v="2117.970983797522"/>
    <d v="2015-03-27T00:00:00"/>
  </r>
  <r>
    <n v="652"/>
    <x v="4"/>
    <s v="Tech"/>
    <n v="5.6870000000000003"/>
    <d v="2015-03-28T00:00:00"/>
  </r>
  <r>
    <n v="653"/>
    <x v="1"/>
    <s v="Tech"/>
    <n v="97.934215167548501"/>
    <d v="2015-03-29T00:00:00"/>
  </r>
  <r>
    <n v="654"/>
    <x v="1"/>
    <s v="Tech"/>
    <n v="296.37985008818345"/>
    <d v="2015-03-30T00:00:00"/>
  </r>
  <r>
    <n v="655"/>
    <x v="1"/>
    <s v="Tech"/>
    <n v="36.0810405643739"/>
    <d v="2015-03-31T00:00:00"/>
  </r>
  <r>
    <n v="656"/>
    <x v="3"/>
    <s v="OFM"/>
    <n v="13.737899200454269"/>
    <d v="2015-04-01T00:00:00"/>
  </r>
  <r>
    <n v="657"/>
    <x v="3"/>
    <s v="Tech"/>
    <n v="109.90319360363415"/>
    <d v="2015-04-02T00:00:00"/>
  </r>
  <r>
    <n v="658"/>
    <x v="3"/>
    <s v="Tech"/>
    <n v="457.92997334847558"/>
    <d v="2015-04-03T00:00:00"/>
  </r>
  <r>
    <n v="659"/>
    <x v="2"/>
    <s v="Apps"/>
    <n v="211.79709837975219"/>
    <d v="2015-04-04T00:00:00"/>
  </r>
  <r>
    <n v="660"/>
    <x v="3"/>
    <s v="Tech"/>
    <n v="274.75798400908536"/>
    <d v="2015-04-05T00:00:00"/>
  </r>
  <r>
    <n v="661"/>
    <x v="0"/>
    <s v="Tech"/>
    <n v="7.5835918648741805"/>
    <d v="2015-04-06T00:00:00"/>
  </r>
  <r>
    <n v="662"/>
    <x v="1"/>
    <s v="Tech"/>
    <n v="121.25220458553792"/>
    <d v="2015-04-07T00:00:00"/>
  </r>
  <r>
    <n v="663"/>
    <x v="4"/>
    <s v="Apps"/>
    <n v="0"/>
    <d v="2015-04-08T00:00:00"/>
  </r>
  <r>
    <n v="664"/>
    <x v="1"/>
    <s v="Apps"/>
    <n v="55.114638447971785"/>
    <d v="2015-04-09T00:00:00"/>
  </r>
  <r>
    <n v="665"/>
    <x v="1"/>
    <s v="Apps"/>
    <n v="28.659611992945326"/>
    <d v="2015-04-10T00:00:00"/>
  </r>
  <r>
    <n v="666"/>
    <x v="1"/>
    <s v="Apps"/>
    <n v="44.091710758377424"/>
    <d v="2015-04-11T00:00:00"/>
  </r>
  <r>
    <n v="667"/>
    <x v="1"/>
    <s v="Tech"/>
    <n v="400.1141975308642"/>
    <d v="2015-04-12T00:00:00"/>
  </r>
  <r>
    <n v="668"/>
    <x v="1"/>
    <s v="Apps"/>
    <n v="44.091710758377424"/>
    <d v="2015-04-13T00:00:00"/>
  </r>
  <r>
    <n v="669"/>
    <x v="1"/>
    <s v="Tech"/>
    <n v="661.37566137566137"/>
    <d v="2015-04-14T00:00:00"/>
  </r>
  <r>
    <n v="670"/>
    <x v="4"/>
    <s v="Tech"/>
    <n v="372.8518820270491"/>
    <d v="2015-04-15T00:00:00"/>
  </r>
  <r>
    <n v="671"/>
    <x v="1"/>
    <s v="Tech"/>
    <n v="36.0810405643739"/>
    <d v="2015-04-16T00:00:00"/>
  </r>
  <r>
    <n v="672"/>
    <x v="1"/>
    <s v="Apps"/>
    <n v="304.11144179894183"/>
    <d v="2015-04-17T00:00:00"/>
  </r>
  <r>
    <n v="673"/>
    <x v="1"/>
    <s v="Tech"/>
    <n v="158.73015873015873"/>
    <d v="2015-04-18T00:00:00"/>
  </r>
  <r>
    <n v="674"/>
    <x v="1"/>
    <s v="Apps"/>
    <n v="110.22927689594357"/>
    <d v="2015-04-19T00:00:00"/>
  </r>
  <r>
    <n v="675"/>
    <x v="1"/>
    <s v="OFM"/>
    <n v="55.114638447971785"/>
    <d v="2015-04-20T00:00:00"/>
  </r>
  <r>
    <n v="676"/>
    <x v="1"/>
    <s v="Tech"/>
    <n v="2546.2918871252205"/>
    <d v="2015-04-21T00:00:00"/>
  </r>
  <r>
    <n v="677"/>
    <x v="0"/>
    <s v="Apps"/>
    <n v="38.508934072704868"/>
    <d v="2015-04-22T00:00:00"/>
  </r>
  <r>
    <n v="678"/>
    <x v="4"/>
    <s v="Apps"/>
    <n v="0"/>
    <d v="2015-04-23T00:00:00"/>
  </r>
  <r>
    <n v="679"/>
    <x v="1"/>
    <s v="Apps"/>
    <n v="36.265432098765437"/>
    <d v="2015-04-24T00:00:00"/>
  </r>
  <r>
    <n v="680"/>
    <x v="2"/>
    <s v="Apps"/>
    <n v="40.515355319666149"/>
    <d v="2015-04-25T00:00:00"/>
  </r>
  <r>
    <n v="681"/>
    <x v="0"/>
    <s v="Tech"/>
    <n v="86.177180282661155"/>
    <d v="2015-04-26T00:00:00"/>
  </r>
  <r>
    <n v="682"/>
    <x v="4"/>
    <s v="Tech"/>
    <n v="28.975000000000001"/>
    <d v="2015-04-27T00:00:00"/>
  </r>
  <r>
    <n v="683"/>
    <x v="2"/>
    <s v="Apps"/>
    <n v="4.4477390659747957"/>
    <d v="2015-04-28T00:00:00"/>
  </r>
  <r>
    <n v="684"/>
    <x v="1"/>
    <s v="Apps"/>
    <n v="33.06878306878307"/>
    <d v="2015-04-29T00:00:00"/>
  </r>
  <r>
    <n v="685"/>
    <x v="1"/>
    <s v="OFM"/>
    <n v="110.22927689594357"/>
    <d v="2015-04-30T00:00:00"/>
  </r>
  <r>
    <n v="686"/>
    <x v="1"/>
    <s v="Tech"/>
    <n v="26.455026455026456"/>
    <d v="2015-05-01T00:00:00"/>
  </r>
  <r>
    <n v="687"/>
    <x v="4"/>
    <s v="Tech"/>
    <n v="11.52"/>
    <d v="2015-05-02T00:00:00"/>
  </r>
  <r>
    <n v="688"/>
    <x v="1"/>
    <s v="Tech"/>
    <n v="661.37566137566137"/>
    <d v="2015-05-03T00:00:00"/>
  </r>
  <r>
    <n v="689"/>
    <x v="1"/>
    <s v="Apps"/>
    <n v="81.569664902998241"/>
    <d v="2015-05-04T00:00:00"/>
  </r>
  <r>
    <n v="690"/>
    <x v="0"/>
    <s v="Tech"/>
    <n v="192.54467036352435"/>
    <d v="2015-05-05T00:00:00"/>
  </r>
  <r>
    <n v="691"/>
    <x v="1"/>
    <s v="Tech"/>
    <n v="105.33979276895944"/>
    <d v="2015-05-06T00:00:00"/>
  </r>
  <r>
    <n v="692"/>
    <x v="1"/>
    <s v="Apps"/>
    <n v="44.091710758377424"/>
    <d v="2015-05-07T00:00:00"/>
  </r>
  <r>
    <n v="693"/>
    <x v="4"/>
    <s v="Tech"/>
    <n v="195.53527782304059"/>
    <d v="2015-05-08T00:00:00"/>
  </r>
  <r>
    <n v="694"/>
    <x v="1"/>
    <s v="Tech"/>
    <n v="35.56547619047619"/>
    <d v="2015-05-09T00:00:00"/>
  </r>
  <r>
    <n v="695"/>
    <x v="1"/>
    <s v="Apps"/>
    <n v="132.27513227513228"/>
    <d v="2015-05-10T00:00:00"/>
  </r>
  <r>
    <n v="696"/>
    <x v="1"/>
    <s v="Apps"/>
    <n v="88.183421516754848"/>
    <d v="2015-05-11T00:00:00"/>
  </r>
  <r>
    <n v="697"/>
    <x v="1"/>
    <s v="Tech"/>
    <n v="66.137566137566139"/>
    <d v="2015-05-12T00:00:00"/>
  </r>
  <r>
    <n v="698"/>
    <x v="1"/>
    <s v="OFM"/>
    <n v="352.73368606701939"/>
    <d v="2015-05-13T00:00:00"/>
  </r>
  <r>
    <n v="699"/>
    <x v="1"/>
    <s v="OFM"/>
    <n v="66.137566137566139"/>
    <d v="2015-05-14T00:00:00"/>
  </r>
  <r>
    <n v="700"/>
    <x v="0"/>
    <s v="Tech"/>
    <n v="202.99872804594455"/>
    <d v="2015-05-15T00:00:00"/>
  </r>
  <r>
    <n v="701"/>
    <x v="4"/>
    <s v="Tech"/>
    <n v="231.8"/>
    <d v="2015-05-16T00:00:00"/>
  </r>
  <r>
    <n v="702"/>
    <x v="4"/>
    <s v="Tech"/>
    <n v="231.8"/>
    <d v="2015-05-17T00:00:00"/>
  </r>
  <r>
    <n v="703"/>
    <x v="4"/>
    <s v="Tech"/>
    <n v="115.9"/>
    <d v="2015-05-18T00:00:00"/>
  </r>
  <r>
    <n v="704"/>
    <x v="4"/>
    <s v="Tech"/>
    <n v="231.8"/>
    <d v="2015-05-19T00:00:00"/>
  </r>
  <r>
    <n v="705"/>
    <x v="4"/>
    <s v="Tech"/>
    <n v="231.8"/>
    <d v="2015-05-20T00:00:00"/>
  </r>
  <r>
    <n v="706"/>
    <x v="4"/>
    <s v="Tech"/>
    <n v="231.8"/>
    <d v="2015-05-21T00:00:00"/>
  </r>
  <r>
    <n v="707"/>
    <x v="0"/>
    <s v="Tech"/>
    <n v="49.291435613062234"/>
    <d v="2015-05-22T00:00:00"/>
  </r>
  <r>
    <n v="708"/>
    <x v="0"/>
    <s v="Tech"/>
    <n v="61.614294516327789"/>
    <d v="2015-05-23T00:00:00"/>
  </r>
  <r>
    <n v="709"/>
    <x v="0"/>
    <s v="Apps"/>
    <n v="3.5428219346888473E-2"/>
    <d v="2015-05-24T00:00:00"/>
  </r>
  <r>
    <n v="710"/>
    <x v="0"/>
    <s v="Apps"/>
    <n v="12.322858903265558"/>
    <d v="2015-05-25T00:00:00"/>
  </r>
  <r>
    <n v="711"/>
    <x v="0"/>
    <s v="Tech"/>
    <n v="46.210720887245841"/>
    <d v="2015-05-26T00:00:00"/>
  </r>
  <r>
    <n v="712"/>
    <x v="0"/>
    <s v="Apps"/>
    <n v="184"/>
    <d v="2015-05-27T00:00:00"/>
  </r>
  <r>
    <n v="713"/>
    <x v="3"/>
    <s v="Tech"/>
    <n v="64.110196268786581"/>
    <d v="2015-05-28T00:00:00"/>
  </r>
  <r>
    <n v="714"/>
    <x v="0"/>
    <s v="Tech"/>
    <n v="25.853154084798344"/>
    <d v="2015-05-29T00:00:00"/>
  </r>
  <r>
    <n v="715"/>
    <x v="2"/>
    <s v="OFM"/>
    <n v="128.13724451975008"/>
    <d v="2015-05-30T00:00:00"/>
  </r>
  <r>
    <n v="716"/>
    <x v="1"/>
    <s v="Tech"/>
    <n v="195.86838624338625"/>
    <d v="2015-05-31T00:00:00"/>
  </r>
  <r>
    <n v="717"/>
    <x v="1"/>
    <s v="OFM"/>
    <n v="88.183421516754848"/>
    <d v="2015-06-01T00:00:00"/>
  </r>
  <r>
    <n v="718"/>
    <x v="4"/>
    <s v="OFM"/>
    <n v="1.6048788316482105"/>
    <d v="2015-06-02T00:00:00"/>
  </r>
  <r>
    <n v="719"/>
    <x v="1"/>
    <s v="Apps"/>
    <n v="55.114638447971785"/>
    <d v="2015-06-03T00:00:00"/>
  </r>
  <r>
    <n v="720"/>
    <x v="1"/>
    <s v="Tech"/>
    <n v="77.160493827160494"/>
    <d v="2015-06-04T00:00:00"/>
  </r>
  <r>
    <n v="721"/>
    <x v="1"/>
    <s v="Tech"/>
    <n v="13.227513227513228"/>
    <d v="2015-06-05T00:00:00"/>
  </r>
  <r>
    <n v="722"/>
    <x v="0"/>
    <s v="Tech"/>
    <n v="92.421441774491683"/>
    <d v="2015-06-06T00:00:00"/>
  </r>
  <r>
    <n v="723"/>
    <x v="2"/>
    <s v="OFM"/>
    <n v="64.824568511465841"/>
    <d v="2015-06-07T00:00:00"/>
  </r>
  <r>
    <n v="724"/>
    <x v="2"/>
    <s v="OFM"/>
    <n v="52.949274594938046"/>
    <d v="2015-06-08T00:00:00"/>
  </r>
  <r>
    <n v="725"/>
    <x v="1"/>
    <s v="Apps"/>
    <n v="44.091710758377424"/>
    <d v="2015-06-09T00:00:00"/>
  </r>
  <r>
    <n v="726"/>
    <x v="1"/>
    <s v="Tech"/>
    <n v="356.12522045855383"/>
    <d v="2015-06-10T00:00:00"/>
  </r>
  <r>
    <n v="727"/>
    <x v="0"/>
    <s v="Tech"/>
    <n v="12.75422268183385"/>
    <d v="2015-06-11T00:00:00"/>
  </r>
  <r>
    <n v="728"/>
    <x v="2"/>
    <s v="Tech"/>
    <n v="25.415651805570263"/>
    <d v="2015-06-12T00:00:00"/>
  </r>
  <r>
    <n v="729"/>
    <x v="1"/>
    <s v="Apps"/>
    <n v="66.137566137566139"/>
    <d v="2015-06-13T00:00:00"/>
  </r>
  <r>
    <n v="730"/>
    <x v="2"/>
    <s v="OFM"/>
    <n v="191.14688128772633"/>
    <d v="2015-06-14T00:00:00"/>
  </r>
  <r>
    <n v="731"/>
    <x v="2"/>
    <s v="Tech"/>
    <n v="52.949274594938046"/>
    <d v="2015-06-15T00:00:00"/>
  </r>
  <r>
    <n v="732"/>
    <x v="2"/>
    <s v="Tech"/>
    <n v="52.949274594938046"/>
    <d v="2015-06-16T00:00:00"/>
  </r>
  <r>
    <n v="733"/>
    <x v="2"/>
    <s v="OFM"/>
    <n v="52.949274594938046"/>
    <d v="2015-06-17T00:00:00"/>
  </r>
  <r>
    <n v="734"/>
    <x v="2"/>
    <s v="OFM"/>
    <n v="191.14688128772633"/>
    <d v="2015-06-18T00:00:00"/>
  </r>
  <r>
    <n v="735"/>
    <x v="2"/>
    <s v="OFM"/>
    <n v="148.25796886582651"/>
    <d v="2015-06-19T00:00:00"/>
  </r>
  <r>
    <n v="736"/>
    <x v="1"/>
    <s v="Apps"/>
    <n v="132.27513227513228"/>
    <d v="2015-06-20T00:00:00"/>
  </r>
  <r>
    <n v="737"/>
    <x v="1"/>
    <s v="Apps"/>
    <n v="154.32098765432099"/>
    <d v="2015-06-21T00:00:00"/>
  </r>
  <r>
    <n v="738"/>
    <x v="1"/>
    <s v="Tech"/>
    <n v="125.66137566137566"/>
    <d v="2015-06-22T00:00:00"/>
  </r>
  <r>
    <n v="739"/>
    <x v="2"/>
    <s v="OFM"/>
    <n v="63.539129513925651"/>
    <d v="2015-06-23T00:00:00"/>
  </r>
  <r>
    <n v="740"/>
    <x v="1"/>
    <s v="Tech"/>
    <n v="97.934303350970012"/>
    <d v="2015-06-24T00:00:00"/>
  </r>
  <r>
    <n v="741"/>
    <x v="4"/>
    <s v="Tech"/>
    <n v="49.21917384523254"/>
    <d v="2015-06-25T00:00:00"/>
  </r>
  <r>
    <n v="742"/>
    <x v="4"/>
    <s v="Tech"/>
    <n v="65.808090446639511"/>
    <d v="2015-06-26T00:00:00"/>
  </r>
  <r>
    <n v="743"/>
    <x v="4"/>
    <s v="Apps"/>
    <n v="0"/>
    <d v="2015-06-27T00:00:00"/>
  </r>
  <r>
    <n v="744"/>
    <x v="4"/>
    <s v="Tech"/>
    <n v="1106.2998084984567"/>
    <d v="2015-06-28T00:00:00"/>
  </r>
  <r>
    <n v="745"/>
    <x v="1"/>
    <s v="Tech"/>
    <n v="110.22927689594357"/>
    <d v="2015-06-29T00:00:00"/>
  </r>
  <r>
    <n v="746"/>
    <x v="1"/>
    <s v="Tech"/>
    <n v="1984.1269841269841"/>
    <d v="2015-06-30T00:00:00"/>
  </r>
  <r>
    <n v="747"/>
    <x v="4"/>
    <s v="Tech"/>
    <n v="197.4242713399185"/>
    <d v="2015-07-01T00:00:00"/>
  </r>
  <r>
    <n v="748"/>
    <x v="4"/>
    <s v="Tech"/>
    <n v="658.08090446639505"/>
    <d v="2015-07-02T00:00:00"/>
  </r>
  <r>
    <n v="749"/>
    <x v="0"/>
    <s v="Tech"/>
    <n v="13.098931402964494"/>
    <d v="2015-07-03T00:00:00"/>
  </r>
  <r>
    <n v="750"/>
    <x v="3"/>
    <s v="Tech"/>
    <n v="137.37899200454268"/>
    <d v="2015-07-04T00:00:00"/>
  </r>
  <r>
    <n v="751"/>
    <x v="0"/>
    <s v="OFM"/>
    <n v="55.153395380903135"/>
    <d v="2015-07-05T00:00:00"/>
  </r>
  <r>
    <n v="752"/>
    <x v="0"/>
    <s v="Tech"/>
    <n v="7.5835918648741805"/>
    <d v="2015-07-06T00:00:00"/>
  </r>
  <r>
    <n v="753"/>
    <x v="0"/>
    <s v="OFM"/>
    <n v="10.341261633919338"/>
    <d v="2015-07-07T00:00:00"/>
  </r>
  <r>
    <n v="754"/>
    <x v="0"/>
    <s v="Tech"/>
    <n v="77.017868145409736"/>
    <d v="2015-07-08T00:00:00"/>
  </r>
  <r>
    <n v="755"/>
    <x v="0"/>
    <s v="Tech"/>
    <n v="22.406066873491898"/>
    <d v="2015-07-09T00:00:00"/>
  </r>
  <r>
    <n v="756"/>
    <x v="0"/>
    <s v="Tech"/>
    <n v="77.017868145409736"/>
    <d v="2015-07-10T00:00:00"/>
  </r>
  <r>
    <n v="757"/>
    <x v="0"/>
    <s v="Tech"/>
    <n v="77.017868145409736"/>
    <d v="2015-07-11T00:00:00"/>
  </r>
  <r>
    <n v="758"/>
    <x v="0"/>
    <s v="Tech"/>
    <n v="21.371940710099963"/>
    <d v="2015-07-12T00:00:00"/>
  </r>
  <r>
    <n v="759"/>
    <x v="0"/>
    <s v="Tech"/>
    <n v="103.41261633919338"/>
    <d v="2015-07-13T00:00:00"/>
  </r>
  <r>
    <n v="760"/>
    <x v="0"/>
    <s v="Tech"/>
    <n v="149.41466420209488"/>
    <d v="2015-07-14T00:00:00"/>
  </r>
  <r>
    <n v="761"/>
    <x v="3"/>
    <s v="Tech"/>
    <n v="91.585994669695125"/>
    <d v="2015-07-15T00:00:00"/>
  </r>
  <r>
    <n v="762"/>
    <x v="3"/>
    <s v="Tech"/>
    <n v="164.85479040545121"/>
    <d v="2015-07-16T00:00:00"/>
  </r>
  <r>
    <n v="763"/>
    <x v="3"/>
    <s v="Tech"/>
    <n v="274.75798400908536"/>
    <d v="2015-07-17T00:00:00"/>
  </r>
  <r>
    <n v="764"/>
    <x v="0"/>
    <s v="OFM"/>
    <n v="6.8941744226128918"/>
    <d v="2015-07-18T00:00:00"/>
  </r>
  <r>
    <n v="765"/>
    <x v="0"/>
    <s v="Tech"/>
    <n v="20.682523267838675"/>
    <d v="2015-07-19T00:00:00"/>
  </r>
  <r>
    <n v="766"/>
    <x v="2"/>
    <s v="Apps"/>
    <n v="162.0614212786646"/>
    <d v="2015-07-20T00:00:00"/>
  </r>
  <r>
    <n v="767"/>
    <x v="1"/>
    <s v="Tech"/>
    <n v="36.081018518518519"/>
    <d v="2015-07-21T00:00:00"/>
  </r>
  <r>
    <n v="768"/>
    <x v="1"/>
    <s v="Tech"/>
    <n v="3.6081128747795415"/>
    <d v="2015-07-22T00:00:00"/>
  </r>
  <r>
    <n v="769"/>
    <x v="4"/>
    <s v="Apps"/>
    <n v="12.423197960215004"/>
    <d v="2015-07-23T00:00:00"/>
  </r>
  <r>
    <n v="770"/>
    <x v="4"/>
    <s v="Apps"/>
    <n v="53.120417141926026"/>
    <d v="2015-07-24T00:00:00"/>
  </r>
  <r>
    <n v="771"/>
    <x v="0"/>
    <s v="Tech"/>
    <n v="5.6621227499903641"/>
    <d v="2015-07-25T00:00:00"/>
  </r>
  <r>
    <n v="772"/>
    <x v="0"/>
    <s v="Tech"/>
    <n v="1.1324245499980727"/>
    <d v="2015-07-26T00:00:00"/>
  </r>
  <r>
    <n v="773"/>
    <x v="1"/>
    <s v="Tech"/>
    <n v="220.45855379188714"/>
    <d v="2015-07-27T00:00:00"/>
  </r>
  <r>
    <n v="774"/>
    <x v="4"/>
    <s v="Apps"/>
    <n v="81.473032426266911"/>
    <d v="2015-07-28T00:00:00"/>
  </r>
  <r>
    <n v="775"/>
    <x v="4"/>
    <s v="Apps"/>
    <n v="28.5"/>
    <d v="2015-07-29T00:00:00"/>
  </r>
  <r>
    <n v="776"/>
    <x v="1"/>
    <s v="Tech"/>
    <n v="18.04052028218695"/>
    <d v="2015-07-30T00:00:00"/>
  </r>
  <r>
    <n v="777"/>
    <x v="0"/>
    <s v="OFM"/>
    <n v="46.210720887245841"/>
    <d v="2015-07-31T00:00:00"/>
  </r>
  <r>
    <n v="778"/>
    <x v="2"/>
    <s v="OFM"/>
    <n v="405.15355319666151"/>
    <d v="2015-08-01T00:00:00"/>
  </r>
  <r>
    <n v="779"/>
    <x v="1"/>
    <s v="Tech"/>
    <n v="485.0088183421517"/>
    <d v="2015-08-02T00:00:00"/>
  </r>
  <r>
    <n v="780"/>
    <x v="0"/>
    <s v="Apps"/>
    <n v="58.533579790511403"/>
    <d v="2015-08-03T00:00:00"/>
  </r>
  <r>
    <n v="781"/>
    <x v="0"/>
    <s v="Tech"/>
    <n v="100.12322858903266"/>
    <d v="2015-08-04T00:00:00"/>
  </r>
  <r>
    <n v="782"/>
    <x v="0"/>
    <s v="Tech"/>
    <n v="38.123647018269565"/>
    <d v="2015-08-05T00:00:00"/>
  </r>
  <r>
    <n v="783"/>
    <x v="0"/>
    <s v="OFM"/>
    <n v="51.706308169596689"/>
    <d v="2015-08-06T00:00:00"/>
  </r>
  <r>
    <n v="784"/>
    <x v="0"/>
    <s v="OFM"/>
    <n v="30.807147258163894"/>
    <d v="2015-08-07T00:00:00"/>
  </r>
  <r>
    <n v="785"/>
    <x v="1"/>
    <s v="Tech"/>
    <n v="293.80264550264553"/>
    <d v="2015-08-08T00:00:00"/>
  </r>
  <r>
    <n v="786"/>
    <x v="0"/>
    <s v="Tech"/>
    <n v="365.36105976586566"/>
    <d v="2015-08-09T00:00:00"/>
  </r>
  <r>
    <n v="787"/>
    <x v="0"/>
    <s v="Tech"/>
    <n v="79.283005860048263"/>
    <d v="2015-08-10T00:00:00"/>
  </r>
  <r>
    <n v="788"/>
    <x v="2"/>
    <s v="OFM"/>
    <n v="264.74637297469025"/>
    <d v="2015-08-11T00:00:00"/>
  </r>
  <r>
    <n v="789"/>
    <x v="1"/>
    <s v="Tech"/>
    <n v="110.22927689594357"/>
    <d v="2015-08-12T00:00:00"/>
  </r>
  <r>
    <n v="790"/>
    <x v="1"/>
    <s v="Tech"/>
    <n v="240.18077601410934"/>
    <d v="2015-08-13T00:00:00"/>
  </r>
  <r>
    <n v="791"/>
    <x v="0"/>
    <s v="OFM"/>
    <n v="7.7017868145409736"/>
    <d v="2015-08-14T00:00:00"/>
  </r>
  <r>
    <n v="792"/>
    <x v="0"/>
    <s v="Tech"/>
    <n v="46.210720887245841"/>
    <d v="2015-08-15T00:00:00"/>
  </r>
  <r>
    <n v="793"/>
    <x v="1"/>
    <s v="Tech"/>
    <n v="62.60030864197531"/>
    <d v="2015-08-16T00:00:00"/>
  </r>
  <r>
    <n v="794"/>
    <x v="1"/>
    <s v="OFM"/>
    <n v="161.37566137566139"/>
    <d v="2015-08-17T00:00:00"/>
  </r>
  <r>
    <n v="795"/>
    <x v="4"/>
    <s v="Tech"/>
    <n v="150"/>
    <d v="2015-08-18T00:00:00"/>
  </r>
  <r>
    <n v="796"/>
    <x v="4"/>
    <s v="Tech"/>
    <n v="50"/>
    <d v="2015-08-19T00:00:00"/>
  </r>
  <r>
    <n v="797"/>
    <x v="1"/>
    <s v="Tech"/>
    <n v="88.183421516754848"/>
    <d v="2015-08-20T00:00:00"/>
  </r>
  <r>
    <n v="798"/>
    <x v="1"/>
    <s v="Tech"/>
    <n v="220.45855379188714"/>
    <d v="2015-08-21T00:00:00"/>
  </r>
  <r>
    <n v="799"/>
    <x v="0"/>
    <s v="OFM"/>
    <n v="20.682523267838675"/>
    <d v="2015-08-22T00:00:00"/>
  </r>
  <r>
    <n v="800"/>
    <x v="1"/>
    <s v="Tech"/>
    <n v="22"/>
    <d v="2015-08-23T00:00:00"/>
  </r>
  <r>
    <n v="801"/>
    <x v="0"/>
    <s v="Tech"/>
    <n v="3.7538062261508616"/>
    <d v="2015-08-24T00:00:00"/>
  </r>
  <r>
    <n v="802"/>
    <x v="0"/>
    <s v="Tech"/>
    <n v="115.40272121079748"/>
    <d v="2015-08-25T00:00:00"/>
  </r>
  <r>
    <n v="803"/>
    <x v="0"/>
    <s v="OFM"/>
    <n v="68.941744226128904"/>
    <d v="2015-08-26T00:00:00"/>
  </r>
  <r>
    <n v="804"/>
    <x v="1"/>
    <s v="OFM"/>
    <n v="97.001763668430343"/>
    <d v="2015-08-27T00:00:00"/>
  </r>
  <r>
    <n v="805"/>
    <x v="1"/>
    <s v="Apps"/>
    <n v="132.27513227513228"/>
    <d v="2015-08-28T00:00:00"/>
  </r>
  <r>
    <n v="806"/>
    <x v="1"/>
    <s v="Apps"/>
    <n v="1824.6686507936508"/>
    <d v="2015-08-29T00:00:00"/>
  </r>
  <r>
    <n v="807"/>
    <x v="1"/>
    <s v="Tech"/>
    <n v="195.86860670194002"/>
    <d v="2015-08-30T00:00:00"/>
  </r>
  <r>
    <n v="808"/>
    <x v="2"/>
    <s v="Tech"/>
    <n v="232.97680821772741"/>
    <d v="2015-08-31T00:00:00"/>
  </r>
  <r>
    <n v="809"/>
    <x v="4"/>
    <s v="OFM"/>
    <n v="50"/>
    <d v="2015-09-01T00:00:00"/>
  </r>
  <r>
    <n v="810"/>
    <x v="4"/>
    <s v="OFM"/>
    <n v="50"/>
    <d v="2015-09-02T00:00:00"/>
  </r>
  <r>
    <n v="811"/>
    <x v="0"/>
    <s v="OFM"/>
    <n v="31.023784901758013"/>
    <d v="2015-09-03T00:00:00"/>
  </r>
  <r>
    <n v="812"/>
    <x v="4"/>
    <s v="Apps"/>
    <n v="29.330291673456088"/>
    <d v="2015-09-04T00:00:00"/>
  </r>
  <r>
    <n v="813"/>
    <x v="1"/>
    <s v="Tech"/>
    <n v="220.45855379188714"/>
    <d v="2015-09-05T00:00:00"/>
  </r>
  <r>
    <n v="814"/>
    <x v="1"/>
    <s v="Apps"/>
    <n v="110.22927689594357"/>
    <d v="2015-09-06T00:00:00"/>
  </r>
  <r>
    <n v="815"/>
    <x v="1"/>
    <s v="OFM"/>
    <n v="440.91710758377428"/>
    <d v="2015-09-07T00:00:00"/>
  </r>
  <r>
    <n v="816"/>
    <x v="3"/>
    <s v="Tech"/>
    <n v="73.168051141619429"/>
    <d v="2015-09-08T00:00:00"/>
  </r>
  <r>
    <n v="817"/>
    <x v="0"/>
    <s v="Tech"/>
    <n v="15.617373319544985"/>
    <d v="2015-09-09T00:00:00"/>
  </r>
  <r>
    <n v="818"/>
    <x v="0"/>
    <s v="Tech"/>
    <n v="2.5792830058600478"/>
    <d v="2015-09-10T00:00:00"/>
  </r>
  <r>
    <n v="819"/>
    <x v="2"/>
    <s v="OFM"/>
    <n v="52.949274594938046"/>
    <d v="2015-09-11T00:00:00"/>
  </r>
  <r>
    <n v="820"/>
    <x v="2"/>
    <s v="Apps"/>
    <n v="21.179709837975221"/>
    <d v="2015-09-12T00:00:00"/>
  </r>
  <r>
    <n v="821"/>
    <x v="0"/>
    <s v="Tech"/>
    <n v="20.682523267838675"/>
    <d v="2015-09-13T00:00:00"/>
  </r>
  <r>
    <n v="822"/>
    <x v="0"/>
    <s v="Tech"/>
    <n v="20.682523267838675"/>
    <d v="2015-09-14T00:00:00"/>
  </r>
  <r>
    <n v="823"/>
    <x v="3"/>
    <s v="OFM"/>
    <n v="31.322410177035731"/>
    <d v="2015-09-15T00:00:00"/>
  </r>
  <r>
    <n v="824"/>
    <x v="3"/>
    <s v="Apps"/>
    <n v="91.585994669695125"/>
    <d v="2015-09-16T00:00:00"/>
  </r>
  <r>
    <n v="825"/>
    <x v="3"/>
    <s v="Tech"/>
    <n v="59.530896535301828"/>
    <d v="2015-09-17T00:00:00"/>
  </r>
  <r>
    <n v="826"/>
    <x v="0"/>
    <s v="Tech"/>
    <n v="3.9844881075491205"/>
    <d v="2015-09-18T00:00:00"/>
  </r>
  <r>
    <n v="827"/>
    <x v="0"/>
    <s v="Tech"/>
    <n v="26.926490865218888"/>
    <d v="2015-09-19T00:00:00"/>
  </r>
  <r>
    <n v="828"/>
    <x v="0"/>
    <s v="Tech"/>
    <n v="34.470872113064452"/>
    <d v="2015-09-20T00:00:00"/>
  </r>
  <r>
    <n v="829"/>
    <x v="0"/>
    <s v="Tech"/>
    <n v="17.235436056532226"/>
    <d v="2015-09-21T00:00:00"/>
  </r>
  <r>
    <n v="830"/>
    <x v="0"/>
    <s v="Tech"/>
    <n v="2.7576697690451564"/>
    <d v="2015-09-22T00:00:00"/>
  </r>
  <r>
    <n v="831"/>
    <x v="0"/>
    <s v="OFM"/>
    <n v="3.4470872113064459"/>
    <d v="2015-09-23T00:00:00"/>
  </r>
  <r>
    <n v="832"/>
    <x v="0"/>
    <s v="Tech"/>
    <n v="28.955532574974146"/>
    <d v="2015-09-24T00:00:00"/>
  </r>
  <r>
    <n v="833"/>
    <x v="0"/>
    <s v="Apps"/>
    <n v="7.7017868145409736"/>
    <d v="2015-09-25T00:00:00"/>
  </r>
  <r>
    <n v="834"/>
    <x v="0"/>
    <s v="Tech"/>
    <n v="103.41261633919338"/>
    <d v="2015-09-26T00:00:00"/>
  </r>
  <r>
    <n v="835"/>
    <x v="0"/>
    <s v="Tech"/>
    <n v="20.682523267838675"/>
    <d v="2015-09-27T00:00:00"/>
  </r>
  <r>
    <n v="836"/>
    <x v="0"/>
    <s v="Tech"/>
    <n v="28.955532574974146"/>
    <d v="2015-09-28T00:00:00"/>
  </r>
  <r>
    <n v="837"/>
    <x v="0"/>
    <s v="Tech"/>
    <n v="34.470872113064452"/>
    <d v="2015-09-29T00:00:00"/>
  </r>
  <r>
    <n v="838"/>
    <x v="0"/>
    <s v="Tech"/>
    <n v="34.470872113064452"/>
    <d v="2015-09-30T00:00:00"/>
  </r>
  <r>
    <n v="839"/>
    <x v="2"/>
    <s v="OFM"/>
    <n v="52.949274594938046"/>
    <d v="2015-10-01T00:00:00"/>
  </r>
  <r>
    <n v="840"/>
    <x v="2"/>
    <s v="Apps"/>
    <n v="52.949274594938046"/>
    <d v="2015-10-02T00:00:00"/>
  </r>
  <r>
    <n v="841"/>
    <x v="2"/>
    <s v="Tech"/>
    <n v="52.949274594938046"/>
    <d v="2015-10-03T00:00:00"/>
  </r>
  <r>
    <n v="842"/>
    <x v="2"/>
    <s v="OFM"/>
    <n v="52.949274594938046"/>
    <d v="2015-10-04T00:00:00"/>
  </r>
  <r>
    <n v="843"/>
    <x v="2"/>
    <s v="Apps"/>
    <n v="52.949274594938046"/>
    <d v="2015-10-05T00:00:00"/>
  </r>
  <r>
    <n v="844"/>
    <x v="2"/>
    <s v="Tech"/>
    <n v="52.949274594938046"/>
    <d v="2015-10-06T00:00:00"/>
  </r>
  <r>
    <n v="845"/>
    <x v="2"/>
    <s v="OFM"/>
    <n v="52.949274594938046"/>
    <d v="2015-10-07T00:00:00"/>
  </r>
  <r>
    <n v="846"/>
    <x v="2"/>
    <s v="Tech"/>
    <n v="52.949274594938046"/>
    <d v="2015-10-08T00:00:00"/>
  </r>
  <r>
    <n v="847"/>
    <x v="2"/>
    <s v="Apps"/>
    <n v="52.949274594938046"/>
    <d v="2015-10-09T00:00:00"/>
  </r>
  <r>
    <n v="848"/>
    <x v="2"/>
    <s v="Apps"/>
    <n v="52.949274594938046"/>
    <d v="2015-10-10T00:00:00"/>
  </r>
  <r>
    <n v="849"/>
    <x v="4"/>
    <s v="Tech"/>
    <n v="1.5"/>
    <d v="2015-10-11T00:00:00"/>
  </r>
  <r>
    <n v="850"/>
    <x v="4"/>
    <s v="OFM"/>
    <n v="8.5"/>
    <d v="2015-10-12T00:00:00"/>
  </r>
  <r>
    <n v="851"/>
    <x v="4"/>
    <s v="Tech"/>
    <n v="2"/>
    <d v="2015-10-13T00:00:00"/>
  </r>
  <r>
    <n v="852"/>
    <x v="0"/>
    <s v="Tech"/>
    <n v="4.3433298862461216"/>
    <d v="2015-10-14T00:00:00"/>
  </r>
  <r>
    <n v="853"/>
    <x v="0"/>
    <s v="Apps"/>
    <n v="18.484288354898336"/>
    <d v="2015-10-15T00:00:00"/>
  </r>
  <r>
    <n v="854"/>
    <x v="0"/>
    <s v="Apps"/>
    <n v="18.484288354898336"/>
    <d v="2015-10-16T00:00:00"/>
  </r>
  <r>
    <n v="855"/>
    <x v="0"/>
    <s v="Apps"/>
    <n v="18.484288354898336"/>
    <d v="2015-10-17T00:00:00"/>
  </r>
  <r>
    <n v="856"/>
    <x v="1"/>
    <s v="OFM"/>
    <n v="46.684472663139339"/>
    <d v="2015-10-18T00:00:00"/>
  </r>
  <r>
    <n v="857"/>
    <x v="1"/>
    <s v="Apps"/>
    <n v="66.137566137566139"/>
    <d v="2015-10-19T00:00:00"/>
  </r>
  <r>
    <n v="858"/>
    <x v="4"/>
    <s v="Apps"/>
    <n v="40.121970791205264"/>
    <d v="2015-10-20T00:00:00"/>
  </r>
  <r>
    <n v="859"/>
    <x v="2"/>
    <s v="Tech"/>
    <n v="81.030710639332298"/>
    <d v="2015-10-21T00:00:00"/>
  </r>
  <r>
    <n v="860"/>
    <x v="0"/>
    <s v="Tech"/>
    <n v="8.617718028266113"/>
    <d v="2015-10-22T00:00:00"/>
  </r>
  <r>
    <n v="861"/>
    <x v="2"/>
    <s v="Tech"/>
    <n v="264.74637297469025"/>
    <d v="2015-10-23T00:00:00"/>
  </r>
  <r>
    <n v="862"/>
    <x v="0"/>
    <s v="Tech"/>
    <n v="51.706308169596689"/>
    <d v="2015-10-24T00:00:00"/>
  </r>
  <r>
    <n v="863"/>
    <x v="2"/>
    <s v="Apps"/>
    <n v="1215.4606595899847"/>
    <d v="2015-10-25T00:00:00"/>
  </r>
  <r>
    <n v="864"/>
    <x v="0"/>
    <s v="Tech"/>
    <n v="21.199234257962562"/>
    <d v="2015-10-26T00:00:00"/>
  </r>
  <r>
    <n v="865"/>
    <x v="2"/>
    <s v="OFM"/>
    <n v="52.949274594938046"/>
    <d v="2015-10-27T00:00:00"/>
  </r>
  <r>
    <n v="866"/>
    <x v="2"/>
    <s v="Apps"/>
    <n v="52.949274594938046"/>
    <d v="2015-10-28T00:00:00"/>
  </r>
  <r>
    <n v="867"/>
    <x v="2"/>
    <s v="Tech"/>
    <n v="81.030710639332298"/>
    <d v="2015-10-29T00:00:00"/>
  </r>
  <r>
    <n v="868"/>
    <x v="3"/>
    <s v="Apps"/>
    <n v="137.37899200454268"/>
    <d v="2015-10-30T00:00:00"/>
  </r>
  <r>
    <n v="869"/>
    <x v="1"/>
    <s v="Tech"/>
    <n v="4.55"/>
    <d v="2015-10-31T00:00:00"/>
  </r>
  <r>
    <n v="870"/>
    <x v="0"/>
    <s v="Tech"/>
    <n v="14.880834607428726"/>
    <d v="2015-11-01T00:00:00"/>
  </r>
  <r>
    <n v="871"/>
    <x v="4"/>
    <s v="OFM"/>
    <n v="65.808090446639511"/>
    <d v="2015-11-02T00:00:00"/>
  </r>
  <r>
    <n v="872"/>
    <x v="1"/>
    <s v="OFM"/>
    <n v="132.27513227513228"/>
    <d v="2015-11-03T00:00:00"/>
  </r>
  <r>
    <n v="873"/>
    <x v="2"/>
    <s v="Apps"/>
    <n v="52.949274594938046"/>
    <d v="2015-11-04T00:00:00"/>
  </r>
  <r>
    <n v="874"/>
    <x v="2"/>
    <s v="OFM"/>
    <n v="52.949274594938046"/>
    <d v="2015-11-05T00:00:00"/>
  </r>
  <r>
    <n v="875"/>
    <x v="2"/>
    <s v="Apps"/>
    <n v="52.949274594938046"/>
    <d v="2015-11-06T00:00:00"/>
  </r>
  <r>
    <n v="876"/>
    <x v="2"/>
    <s v="Tech"/>
    <n v="52.949274594938046"/>
    <d v="2015-11-07T00:00:00"/>
  </r>
  <r>
    <n v="877"/>
    <x v="2"/>
    <s v="Apps"/>
    <n v="52.949274594938046"/>
    <d v="2015-11-08T00:00:00"/>
  </r>
  <r>
    <n v="878"/>
    <x v="2"/>
    <s v="OFM"/>
    <n v="52.949274594938046"/>
    <d v="2015-11-09T00:00:00"/>
  </r>
  <r>
    <n v="879"/>
    <x v="2"/>
    <s v="Apps"/>
    <n v="52.949274594938046"/>
    <d v="2015-11-10T00:00:00"/>
  </r>
  <r>
    <n v="880"/>
    <x v="2"/>
    <s v="Tech"/>
    <n v="52.949274594938046"/>
    <d v="2015-11-11T00:00:00"/>
  </r>
  <r>
    <n v="881"/>
    <x v="2"/>
    <s v="Apps"/>
    <n v="52.949274594938046"/>
    <d v="2015-11-12T00:00:00"/>
  </r>
  <r>
    <n v="882"/>
    <x v="2"/>
    <s v="OFM"/>
    <n v="52.949274594938046"/>
    <d v="2015-11-13T00:00:00"/>
  </r>
  <r>
    <n v="883"/>
    <x v="2"/>
    <s v="Apps"/>
    <n v="52.949274594938046"/>
    <d v="2015-11-14T00:00:00"/>
  </r>
  <r>
    <n v="884"/>
    <x v="2"/>
    <s v="Tech"/>
    <n v="52.949274594938046"/>
    <d v="2015-11-15T00:00:00"/>
  </r>
  <r>
    <n v="885"/>
    <x v="2"/>
    <s v="Apps"/>
    <n v="52.949274594938046"/>
    <d v="2015-11-16T00:00:00"/>
  </r>
  <r>
    <n v="886"/>
    <x v="2"/>
    <s v="OFM"/>
    <n v="52.949274594938046"/>
    <d v="2015-11-17T00:00:00"/>
  </r>
  <r>
    <n v="887"/>
    <x v="2"/>
    <s v="Apps"/>
    <n v="52.949274594938046"/>
    <d v="2015-11-18T00:00:00"/>
  </r>
  <r>
    <n v="888"/>
    <x v="2"/>
    <s v="Tech"/>
    <n v="52.949274594938046"/>
    <d v="2015-11-19T00:00:00"/>
  </r>
  <r>
    <n v="889"/>
    <x v="2"/>
    <s v="Apps"/>
    <n v="52.949274594938046"/>
    <d v="2015-11-20T00:00:00"/>
  </r>
  <r>
    <n v="890"/>
    <x v="1"/>
    <s v="Tech"/>
    <n v="36.0810405643739"/>
    <d v="2015-11-21T00:00:00"/>
  </r>
  <r>
    <n v="891"/>
    <x v="0"/>
    <s v="Tech"/>
    <n v="103.41261633919338"/>
    <d v="2015-11-22T00:00:00"/>
  </r>
  <r>
    <n v="892"/>
    <x v="0"/>
    <s v="Tech"/>
    <n v="103.41261633919338"/>
    <d v="2015-11-23T00:00:00"/>
  </r>
  <r>
    <n v="893"/>
    <x v="0"/>
    <s v="Tech"/>
    <n v="2.0682523267838673"/>
    <d v="2015-11-24T00:00:00"/>
  </r>
  <r>
    <n v="894"/>
    <x v="0"/>
    <s v="Tech"/>
    <n v="33.781454670803171"/>
    <d v="2015-11-25T00:00:00"/>
  </r>
  <r>
    <n v="895"/>
    <x v="1"/>
    <s v="OFM"/>
    <n v="44.091710758377424"/>
    <d v="2015-11-26T00:00:00"/>
  </r>
  <r>
    <n v="896"/>
    <x v="1"/>
    <s v="Tech"/>
    <n v="220.45855379188714"/>
    <d v="2015-11-27T00:00:00"/>
  </r>
  <r>
    <n v="897"/>
    <x v="0"/>
    <s v="Tech"/>
    <n v="138.63216266173754"/>
    <d v="2015-11-28T00:00:00"/>
  </r>
  <r>
    <n v="898"/>
    <x v="2"/>
    <s v="Tech"/>
    <n v="211.79709837975219"/>
    <d v="2015-11-29T00:00:00"/>
  </r>
  <r>
    <n v="899"/>
    <x v="0"/>
    <s v="Tech"/>
    <n v="27.726432532347506"/>
    <d v="2015-11-30T00:00:00"/>
  </r>
  <r>
    <n v="900"/>
    <x v="0"/>
    <s v="Tech"/>
    <n v="20.024645717806532"/>
    <d v="2015-12-01T00:00:00"/>
  </r>
  <r>
    <n v="901"/>
    <x v="0"/>
    <s v="Tech"/>
    <n v="24.645717806531117"/>
    <d v="2015-12-02T00:00:00"/>
  </r>
  <r>
    <n v="902"/>
    <x v="0"/>
    <s v="Tech"/>
    <n v="21.010474430067774"/>
    <d v="2015-12-03T00:00:00"/>
  </r>
  <r>
    <n v="903"/>
    <x v="0"/>
    <s v="OFM"/>
    <n v="61.614294516327789"/>
    <d v="2015-12-04T00:00:00"/>
  </r>
  <r>
    <n v="904"/>
    <x v="1"/>
    <s v="Apps"/>
    <n v="22.045855379188712"/>
    <d v="2015-12-05T00:00:00"/>
  </r>
  <r>
    <n v="905"/>
    <x v="0"/>
    <s v="Apps"/>
    <n v="77.017868145409736"/>
    <d v="2015-12-06T00:00:00"/>
  </r>
  <r>
    <n v="906"/>
    <x v="3"/>
    <s v="Tech"/>
    <n v="238.0356635863244"/>
    <d v="2015-12-07T00:00:00"/>
  </r>
  <r>
    <n v="907"/>
    <x v="3"/>
    <s v="Tech"/>
    <n v="412.13697601362799"/>
    <d v="2015-12-08T00:00:00"/>
  </r>
  <r>
    <n v="908"/>
    <x v="3"/>
    <s v="Tech"/>
    <n v="73.2687957357561"/>
    <d v="2015-12-09T00:00:00"/>
  </r>
  <r>
    <n v="909"/>
    <x v="0"/>
    <s v="Tech"/>
    <n v="6.549465701482247"/>
    <d v="2015-12-10T00:00:00"/>
  </r>
  <r>
    <n v="910"/>
    <x v="0"/>
    <s v="Tech"/>
    <n v="32.747328507411233"/>
    <d v="2015-12-11T00:00:00"/>
  </r>
  <r>
    <n v="911"/>
    <x v="4"/>
    <s v="Apps"/>
    <n v="10"/>
    <d v="2015-12-12T00:00:00"/>
  </r>
  <r>
    <n v="912"/>
    <x v="1"/>
    <s v="Tech"/>
    <n v="110.22927689594357"/>
    <d v="2015-12-13T00:00:00"/>
  </r>
  <r>
    <n v="913"/>
    <x v="1"/>
    <s v="Apps"/>
    <n v="55.114638447971785"/>
    <d v="2015-12-14T00:00:00"/>
  </r>
  <r>
    <n v="914"/>
    <x v="0"/>
    <s v="OFM"/>
    <n v="154.03573629081947"/>
    <d v="2015-12-15T00:00:00"/>
  </r>
  <r>
    <n v="915"/>
    <x v="1"/>
    <s v="OFM"/>
    <n v="22.045855379188712"/>
    <d v="2015-12-16T00:00:00"/>
  </r>
  <r>
    <n v="916"/>
    <x v="0"/>
    <s v="Tech"/>
    <n v="154.03573629081947"/>
    <d v="2015-12-17T00:00:00"/>
  </r>
  <r>
    <n v="917"/>
    <x v="0"/>
    <s v="Apps"/>
    <n v="154.03573629081947"/>
    <d v="2015-12-18T00:00:00"/>
  </r>
  <r>
    <n v="918"/>
    <x v="1"/>
    <s v="OFM"/>
    <n v="154.32098765432099"/>
    <d v="2015-12-19T00:00:00"/>
  </r>
  <r>
    <n v="919"/>
    <x v="0"/>
    <s v="OFM"/>
    <n v="17.235436056532226"/>
    <d v="2015-12-20T00:00:00"/>
  </r>
  <r>
    <n v="920"/>
    <x v="1"/>
    <s v="Apps"/>
    <n v="44.091710758377424"/>
    <d v="2015-12-21T00:00:00"/>
  </r>
  <r>
    <n v="921"/>
    <x v="1"/>
    <s v="Tech"/>
    <n v="22.045855379188712"/>
    <d v="2015-12-22T00:00:00"/>
  </r>
  <r>
    <n v="922"/>
    <x v="0"/>
    <s v="Tech"/>
    <n v="7.9269718499865105"/>
    <d v="2015-12-23T00:00:00"/>
  </r>
  <r>
    <n v="923"/>
    <x v="1"/>
    <s v="Tech"/>
    <n v="4.409171075837742"/>
    <d v="2015-12-24T00:00:00"/>
  </r>
  <r>
    <n v="924"/>
    <x v="1"/>
    <s v="Tech"/>
    <n v="30.8641975308642"/>
    <d v="2015-12-25T00:00:00"/>
  </r>
  <r>
    <n v="925"/>
    <x v="4"/>
    <s v="Systems"/>
    <n v="32.904045223319756"/>
    <d v="2015-12-26T00:00:00"/>
  </r>
  <r>
    <n v="926"/>
    <x v="0"/>
    <s v="Tech"/>
    <n v="10.341261633919338"/>
    <d v="2015-12-27T00:00:00"/>
  </r>
  <r>
    <n v="927"/>
    <x v="1"/>
    <s v="Tech"/>
    <n v="178.57142857142858"/>
    <d v="2015-12-28T00:00:00"/>
  </r>
  <r>
    <n v="928"/>
    <x v="0"/>
    <s v="Tech"/>
    <n v="3.8779731127197516"/>
    <d v="2015-12-29T00:00:00"/>
  </r>
  <r>
    <n v="929"/>
    <x v="0"/>
    <s v="Tech"/>
    <n v="13.555049982764563"/>
    <d v="2015-12-30T00:00:00"/>
  </r>
  <r>
    <n v="930"/>
    <x v="0"/>
    <s v="Tech"/>
    <n v="29.046570148224749"/>
    <d v="2015-12-31T00:00:00"/>
  </r>
  <r>
    <n v="931"/>
    <x v="3"/>
    <s v="OFM"/>
    <n v="73.2687957357561"/>
    <d v="2016-01-01T00:00:00"/>
  </r>
  <r>
    <n v="932"/>
    <x v="0"/>
    <s v="Tech"/>
    <n v="20.682523267838675"/>
    <d v="2016-01-02T00:00:00"/>
  </r>
  <r>
    <n v="933"/>
    <x v="0"/>
    <s v="Tech"/>
    <n v="154.03573629081947"/>
    <d v="2016-01-03T00:00:00"/>
  </r>
  <r>
    <n v="934"/>
    <x v="0"/>
    <s v="OFM"/>
    <n v="6.1614294516327792"/>
    <d v="2016-01-04T00:00:00"/>
  </r>
  <r>
    <n v="935"/>
    <x v="3"/>
    <s v="Tech"/>
    <n v="64.110196268786581"/>
    <d v="2016-01-05T00:00:00"/>
  </r>
  <r>
    <n v="936"/>
    <x v="0"/>
    <s v="OFM"/>
    <n v="21.565003080714728"/>
    <d v="2016-01-06T00:00:00"/>
  </r>
  <r>
    <n v="937"/>
    <x v="0"/>
    <s v="Tech"/>
    <n v="15.403573629081947"/>
    <d v="2016-01-07T00:00:00"/>
  </r>
  <r>
    <n v="938"/>
    <x v="2"/>
    <s v="Apps"/>
    <n v="52.949274594938046"/>
    <d v="2016-01-08T00:00:00"/>
  </r>
  <r>
    <n v="939"/>
    <x v="2"/>
    <s v="Tech"/>
    <n v="52.949274594938046"/>
    <d v="2016-01-09T00:00:00"/>
  </r>
  <r>
    <n v="940"/>
    <x v="2"/>
    <s v="Apps"/>
    <n v="52.949274594938046"/>
    <d v="2016-01-10T00:00:00"/>
  </r>
  <r>
    <n v="941"/>
    <x v="1"/>
    <s v="Apps"/>
    <n v="110.22927689594357"/>
    <d v="2016-01-11T00:00:00"/>
  </r>
  <r>
    <n v="942"/>
    <x v="1"/>
    <s v="Apps"/>
    <n v="110.22927689594357"/>
    <d v="2016-01-12T00:00:00"/>
  </r>
  <r>
    <n v="943"/>
    <x v="2"/>
    <s v="OFM"/>
    <n v="52.949274594938046"/>
    <d v="2016-01-13T00:00:00"/>
  </r>
  <r>
    <n v="944"/>
    <x v="2"/>
    <s v="Tech"/>
    <n v="529.49274594938049"/>
    <d v="2016-01-14T00:00:00"/>
  </r>
  <r>
    <n v="945"/>
    <x v="2"/>
    <s v="Tech"/>
    <n v="148.25796886582651"/>
    <d v="2016-01-15T00:00:00"/>
  </r>
  <r>
    <n v="946"/>
    <x v="0"/>
    <s v="Tech"/>
    <n v="34.470872113064452"/>
    <d v="2016-01-16T00:00:00"/>
  </r>
  <r>
    <n v="947"/>
    <x v="2"/>
    <s v="OFM"/>
    <n v="52.949274594938046"/>
    <d v="2016-01-17T00:00:00"/>
  </r>
  <r>
    <n v="948"/>
    <x v="2"/>
    <s v="Apps"/>
    <n v="52.949274594938046"/>
    <d v="2016-01-18T00:00:00"/>
  </r>
  <r>
    <n v="949"/>
    <x v="2"/>
    <s v="Tech"/>
    <n v="52.949274594938046"/>
    <d v="2016-01-19T00:00:00"/>
  </r>
  <r>
    <n v="950"/>
    <x v="2"/>
    <s v="Apps"/>
    <n v="52.949274594938046"/>
    <d v="2016-01-20T00:00:00"/>
  </r>
  <r>
    <n v="951"/>
    <x v="0"/>
    <s v="Tech"/>
    <n v="115.37522644636594"/>
    <d v="2016-01-21T00:00:00"/>
  </r>
  <r>
    <n v="952"/>
    <x v="2"/>
    <s v="OFM"/>
    <n v="52.949274594938046"/>
    <d v="2016-01-22T00:00:00"/>
  </r>
  <r>
    <n v="953"/>
    <x v="2"/>
    <s v="Apps"/>
    <n v="52.949274594938046"/>
    <d v="2016-01-23T00:00:00"/>
  </r>
  <r>
    <n v="954"/>
    <x v="2"/>
    <s v="Tech"/>
    <n v="52.949274594938046"/>
    <d v="2016-01-24T00:00:00"/>
  </r>
  <r>
    <n v="955"/>
    <x v="2"/>
    <s v="Apps"/>
    <n v="52.949274594938046"/>
    <d v="2016-01-25T00:00:00"/>
  </r>
  <r>
    <n v="956"/>
    <x v="0"/>
    <s v="Tech"/>
    <n v="154.03573629081947"/>
    <d v="2016-01-26T00:00:00"/>
  </r>
  <r>
    <n v="957"/>
    <x v="0"/>
    <s v="Apps"/>
    <n v="92.421441774491683"/>
    <d v="2016-01-27T00:00:00"/>
  </r>
  <r>
    <n v="958"/>
    <x v="0"/>
    <s v="Tech"/>
    <n v="26.186075169439309"/>
    <d v="2016-01-28T00:00:00"/>
  </r>
  <r>
    <n v="959"/>
    <x v="0"/>
    <s v="Tech"/>
    <n v="103.41261633919338"/>
    <d v="2016-01-29T00:00:00"/>
  </r>
  <r>
    <n v="960"/>
    <x v="1"/>
    <s v="Apps"/>
    <n v="132.27513227513228"/>
    <d v="2016-01-30T00:00:00"/>
  </r>
  <r>
    <n v="961"/>
    <x v="1"/>
    <s v="Apps"/>
    <n v="110.22927689594357"/>
    <d v="2016-01-31T00:00:00"/>
  </r>
  <r>
    <n v="962"/>
    <x v="4"/>
    <s v="Apps"/>
    <n v="1148.527587632655"/>
    <d v="2016-02-01T00:00:00"/>
  </r>
  <r>
    <n v="963"/>
    <x v="0"/>
    <s v="Tech"/>
    <n v="38.54406228720466"/>
    <d v="2016-02-02T00:00:00"/>
  </r>
  <r>
    <n v="964"/>
    <x v="1"/>
    <s v="Tech"/>
    <n v="330.68783068783068"/>
    <d v="2016-02-03T00:00:00"/>
  </r>
  <r>
    <n v="965"/>
    <x v="0"/>
    <s v="Tech"/>
    <n v="10.166287487073424"/>
    <d v="2016-02-04T00:00:00"/>
  </r>
  <r>
    <n v="966"/>
    <x v="0"/>
    <s v="Tech"/>
    <n v="14.523267838676318"/>
    <d v="2016-02-05T00:00:00"/>
  </r>
  <r>
    <n v="967"/>
    <x v="0"/>
    <s v="Tech"/>
    <n v="23.853843502240604"/>
    <d v="2016-02-06T00:00:00"/>
  </r>
  <r>
    <n v="968"/>
    <x v="0"/>
    <s v="Tech"/>
    <n v="10.181523612547396"/>
    <d v="2016-02-07T00:00:00"/>
  </r>
  <r>
    <n v="969"/>
    <x v="0"/>
    <s v="Tech"/>
    <n v="7.5520854877628398"/>
    <d v="2016-02-08T00:00:00"/>
  </r>
  <r>
    <n v="970"/>
    <x v="0"/>
    <s v="OFM"/>
    <n v="27.576697690451567"/>
    <d v="2016-02-09T00:00:00"/>
  </r>
  <r>
    <n v="971"/>
    <x v="1"/>
    <s v="Tech"/>
    <n v="35.273368606701936"/>
    <d v="2016-02-10T00:00:00"/>
  </r>
  <r>
    <n v="972"/>
    <x v="0"/>
    <s v="Tech"/>
    <n v="138.48329114899852"/>
    <d v="2016-02-11T00:00:00"/>
  </r>
  <r>
    <n v="973"/>
    <x v="1"/>
    <s v="Tech"/>
    <n v="66.137566137566139"/>
    <d v="2016-02-12T00:00:00"/>
  </r>
  <r>
    <n v="974"/>
    <x v="0"/>
    <s v="Tech"/>
    <n v="12.064805239572561"/>
    <d v="2016-02-13T00:00:00"/>
  </r>
  <r>
    <n v="975"/>
    <x v="1"/>
    <s v="Systems"/>
    <n v="6613.7566137566137"/>
    <d v="2016-02-14T00:00:00"/>
  </r>
  <r>
    <n v="976"/>
    <x v="0"/>
    <s v="Tech"/>
    <n v="92.421441774491683"/>
    <d v="2016-02-15T00:00:00"/>
  </r>
  <r>
    <n v="977"/>
    <x v="4"/>
    <s v="OFM"/>
    <n v="9"/>
    <d v="2016-02-16T00:00:00"/>
  </r>
  <r>
    <n v="978"/>
    <x v="4"/>
    <s v="Tech"/>
    <n v="40"/>
    <d v="2016-02-17T00:00:00"/>
  </r>
  <r>
    <n v="979"/>
    <x v="4"/>
    <s v="Tech"/>
    <n v="55"/>
    <d v="2016-02-18T00:00:00"/>
  </r>
  <r>
    <n v="980"/>
    <x v="0"/>
    <s v="OFM"/>
    <n v="172.35436056532231"/>
    <d v="2016-02-19T00:00:00"/>
  </r>
  <r>
    <n v="981"/>
    <x v="0"/>
    <s v="OFM"/>
    <n v="172.35436056532231"/>
    <d v="2016-02-20T00:00:00"/>
  </r>
  <r>
    <n v="982"/>
    <x v="2"/>
    <s v="OFM"/>
    <n v="95.308694270888495"/>
    <d v="2016-02-21T00:00:00"/>
  </r>
  <r>
    <n v="983"/>
    <x v="2"/>
    <s v="Tech"/>
    <n v="105.89854918987609"/>
    <d v="2016-02-22T00:00:00"/>
  </r>
  <r>
    <n v="984"/>
    <x v="2"/>
    <s v="OFM"/>
    <n v="52.949274594938046"/>
    <d v="2016-02-23T00:00:00"/>
  </r>
  <r>
    <n v="985"/>
    <x v="2"/>
    <s v="Apps"/>
    <n v="52.949274594938046"/>
    <d v="2016-02-24T00:00:00"/>
  </r>
  <r>
    <n v="986"/>
    <x v="2"/>
    <s v="Tech"/>
    <n v="52.949274594938046"/>
    <d v="2016-02-25T00:00:00"/>
  </r>
  <r>
    <n v="987"/>
    <x v="2"/>
    <s v="Apps"/>
    <n v="52.949274594938046"/>
    <d v="2016-02-26T00:00:00"/>
  </r>
  <r>
    <n v="988"/>
    <x v="1"/>
    <s v="OFM"/>
    <n v="6.6137566137566139"/>
    <d v="2016-02-27T00:00:00"/>
  </r>
  <r>
    <n v="989"/>
    <x v="0"/>
    <s v="Apps"/>
    <n v="2.5853154084798344"/>
    <d v="2016-02-28T00:00:00"/>
  </r>
  <r>
    <n v="990"/>
    <x v="1"/>
    <s v="OFM"/>
    <n v="6.6137566137566139"/>
    <d v="2016-02-29T00:00:00"/>
  </r>
  <r>
    <n v="991"/>
    <x v="1"/>
    <s v="Tech"/>
    <n v="132.27513227513228"/>
    <d v="2016-03-01T00:00:00"/>
  </r>
  <r>
    <n v="992"/>
    <x v="0"/>
    <s v="Tech"/>
    <n v="255.08445363667701"/>
    <d v="2016-03-02T00:00:00"/>
  </r>
  <r>
    <n v="993"/>
    <x v="0"/>
    <s v="OFM"/>
    <n v="34.470872113064452"/>
    <d v="2016-03-03T00:00:00"/>
  </r>
  <r>
    <n v="994"/>
    <x v="0"/>
    <s v="Tech"/>
    <n v="231.05360443622922"/>
    <d v="2016-03-04T00:00:00"/>
  </r>
  <r>
    <n v="995"/>
    <x v="0"/>
    <s v="Tech"/>
    <n v="277.26432532347508"/>
    <d v="2016-03-05T00:00:00"/>
  </r>
  <r>
    <n v="996"/>
    <x v="0"/>
    <s v="Tech"/>
    <n v="68.941744226128904"/>
    <d v="2016-03-06T00:00:00"/>
  </r>
  <r>
    <n v="997"/>
    <x v="0"/>
    <s v="OFM"/>
    <n v="172.35436056532231"/>
    <d v="2016-03-07T00:00:00"/>
  </r>
  <r>
    <n v="998"/>
    <x v="0"/>
    <s v="Tech"/>
    <n v="27.576697690451567"/>
    <d v="2016-03-08T00:00:00"/>
  </r>
  <r>
    <n v="999"/>
    <x v="0"/>
    <s v="Tech"/>
    <n v="29.046570148224749"/>
    <d v="2016-03-09T00:00:00"/>
  </r>
  <r>
    <n v="1000"/>
    <x v="0"/>
    <s v="Tech"/>
    <n v="12.586832126852808"/>
    <d v="2016-03-10T00:00:00"/>
  </r>
  <r>
    <n v="1001"/>
    <x v="0"/>
    <s v="Tech"/>
    <n v="12.586832126852808"/>
    <d v="2016-03-11T00:00:00"/>
  </r>
  <r>
    <n v="1002"/>
    <x v="1"/>
    <s v="Apps"/>
    <n v="99.206349206349202"/>
    <d v="2016-03-12T00:00:00"/>
  </r>
  <r>
    <n v="1003"/>
    <x v="1"/>
    <s v="Apps"/>
    <n v="66.137566137566139"/>
    <d v="2016-03-13T00:00:00"/>
  </r>
  <r>
    <n v="1004"/>
    <x v="1"/>
    <s v="Tech"/>
    <n v="97.934303350970012"/>
    <d v="2016-03-14T00:00:00"/>
  </r>
  <r>
    <n v="1005"/>
    <x v="2"/>
    <s v="Tech"/>
    <n v="52.949274594938046"/>
    <d v="2016-03-15T00:00:00"/>
  </r>
  <r>
    <n v="1006"/>
    <x v="2"/>
    <s v="Tech"/>
    <n v="105.89854918987609"/>
    <d v="2016-03-16T00:00:00"/>
  </r>
  <r>
    <n v="1007"/>
    <x v="2"/>
    <s v="OFM"/>
    <n v="16.943767870380174"/>
    <d v="2016-03-17T00:00:00"/>
  </r>
  <r>
    <n v="1008"/>
    <x v="0"/>
    <s v="Tech"/>
    <n v="38.54406228720466"/>
    <d v="2016-03-18T00:00:00"/>
  </r>
  <r>
    <n v="1009"/>
    <x v="0"/>
    <s v="Tech"/>
    <n v="46.111289555843925"/>
    <d v="2016-03-19T00:00:00"/>
  </r>
  <r>
    <n v="1010"/>
    <x v="2"/>
    <s v="OFM"/>
    <n v="317.69564756962825"/>
    <d v="2016-03-20T00:00:00"/>
  </r>
  <r>
    <n v="1011"/>
    <x v="0"/>
    <s v="Tech"/>
    <n v="61.614294516327789"/>
    <d v="2016-03-21T00:00:00"/>
  </r>
  <r>
    <n v="1012"/>
    <x v="0"/>
    <s v="Tech"/>
    <n v="27.576697690451567"/>
    <d v="2016-03-22T00:00:00"/>
  </r>
  <r>
    <n v="1013"/>
    <x v="4"/>
    <s v="Tech"/>
    <n v="987.12135669959264"/>
    <d v="2016-03-23T00:00:00"/>
  </r>
  <r>
    <n v="1014"/>
    <x v="1"/>
    <s v="Apps"/>
    <n v="132.27513227513228"/>
    <d v="2016-03-24T00:00:00"/>
  </r>
  <r>
    <n v="1015"/>
    <x v="1"/>
    <s v="Apps"/>
    <n v="66.137566137566139"/>
    <d v="2016-03-25T00:00:00"/>
  </r>
  <r>
    <n v="1016"/>
    <x v="1"/>
    <s v="Tech"/>
    <n v="23.886155202821868"/>
    <d v="2016-03-26T00:00:00"/>
  </r>
  <r>
    <n v="1017"/>
    <x v="0"/>
    <s v="Tech"/>
    <n v="73.777960505184183"/>
    <d v="2016-03-27T00:00:00"/>
  </r>
  <r>
    <n v="1018"/>
    <x v="4"/>
    <s v="Tech"/>
    <n v="308.17292231359397"/>
    <d v="2016-03-28T00:00:00"/>
  </r>
  <r>
    <n v="1019"/>
    <x v="0"/>
    <s v="Apps"/>
    <n v="103.41261633919338"/>
    <d v="2016-03-29T00:00:00"/>
  </r>
  <r>
    <n v="1020"/>
    <x v="2"/>
    <s v="Tech"/>
    <n v="52.949274594938046"/>
    <d v="2016-03-30T00:00:00"/>
  </r>
  <r>
    <n v="1021"/>
    <x v="0"/>
    <s v="Tech"/>
    <n v="261.86075169439312"/>
    <d v="2016-03-31T00:00:00"/>
  </r>
  <r>
    <n v="1022"/>
    <x v="0"/>
    <s v="Apps"/>
    <n v="77.017868145409736"/>
    <d v="2016-04-01T00:00:00"/>
  </r>
  <r>
    <n v="1023"/>
    <x v="0"/>
    <s v="Tech"/>
    <n v="15.403573629081947"/>
    <d v="2016-04-02T00:00:00"/>
  </r>
  <r>
    <n v="1024"/>
    <x v="3"/>
    <s v="Tech"/>
    <n v="45.792997334847563"/>
    <d v="2016-04-03T00:00:00"/>
  </r>
  <r>
    <n v="1025"/>
    <x v="3"/>
    <s v="Tech"/>
    <n v="91.585994669695125"/>
    <d v="2016-04-04T00:00:00"/>
  </r>
  <r>
    <n v="1026"/>
    <x v="3"/>
    <s v="Tech"/>
    <n v="36.63439786787805"/>
    <d v="2016-04-05T00:00:00"/>
  </r>
  <r>
    <n v="1027"/>
    <x v="0"/>
    <s v="Tech"/>
    <n v="3.0807147258163896"/>
    <d v="2016-04-06T00:00:00"/>
  </r>
  <r>
    <n v="1028"/>
    <x v="0"/>
    <s v="Tech"/>
    <n v="77.017868145409736"/>
    <d v="2016-04-07T00:00:00"/>
  </r>
  <r>
    <n v="1029"/>
    <x v="0"/>
    <s v="Tech"/>
    <n v="77.017868145409736"/>
    <d v="2016-04-08T00:00:00"/>
  </r>
  <r>
    <n v="1030"/>
    <x v="0"/>
    <s v="OFM"/>
    <n v="77.017868145409736"/>
    <d v="2016-04-09T00:00:00"/>
  </r>
  <r>
    <n v="1031"/>
    <x v="0"/>
    <s v="Apps"/>
    <n v="154.03573629081947"/>
    <d v="2016-04-10T00:00:00"/>
  </r>
  <r>
    <n v="1032"/>
    <x v="0"/>
    <s v="Apps"/>
    <n v="3.0807147258163896"/>
    <d v="2016-04-11T00:00:00"/>
  </r>
  <r>
    <n v="1033"/>
    <x v="0"/>
    <s v="Apps"/>
    <n v="462.10720887245844"/>
    <d v="2016-04-12T00:00:00"/>
  </r>
  <r>
    <n v="1034"/>
    <x v="0"/>
    <s v="Tech"/>
    <n v="15.403573629081947"/>
    <d v="2016-04-13T00:00:00"/>
  </r>
  <r>
    <n v="1035"/>
    <x v="3"/>
    <s v="OFM"/>
    <n v="10.074459413666464"/>
    <d v="2016-04-14T00:00:00"/>
  </r>
  <r>
    <n v="1036"/>
    <x v="3"/>
    <s v="Tech"/>
    <n v="59.485103537966978"/>
    <d v="2016-04-15T00:00:00"/>
  </r>
  <r>
    <n v="1037"/>
    <x v="0"/>
    <s v="Tech"/>
    <n v="3.4470872113064459"/>
    <d v="2016-04-16T00:00:00"/>
  </r>
  <r>
    <n v="1038"/>
    <x v="0"/>
    <s v="Tech"/>
    <n v="34.470872113064452"/>
    <d v="2016-04-17T00:00:00"/>
  </r>
  <r>
    <n v="1039"/>
    <x v="3"/>
    <s v="Tech"/>
    <n v="91.585994669695125"/>
    <d v="2016-04-18T00:00:00"/>
  </r>
  <r>
    <n v="1040"/>
    <x v="0"/>
    <s v="Tech"/>
    <n v="41.365046535677351"/>
    <d v="2016-04-19T00:00:00"/>
  </r>
  <r>
    <n v="1041"/>
    <x v="0"/>
    <s v="Tech"/>
    <n v="126.47373319544984"/>
    <d v="2016-04-20T00:00:00"/>
  </r>
  <r>
    <n v="1042"/>
    <x v="0"/>
    <s v="Tech"/>
    <n v="79.283005860048263"/>
    <d v="2016-04-21T00:00:00"/>
  </r>
  <r>
    <n v="1043"/>
    <x v="1"/>
    <s v="Apps"/>
    <n v="55.114638447971785"/>
    <d v="2016-04-22T00:00:00"/>
  </r>
  <r>
    <n v="1044"/>
    <x v="1"/>
    <s v="Tech"/>
    <n v="110.22927689594357"/>
    <d v="2016-04-23T00:00:00"/>
  </r>
  <r>
    <n v="1045"/>
    <x v="1"/>
    <s v="Apps"/>
    <n v="132.27513227513228"/>
    <d v="2016-04-24T00:00:00"/>
  </r>
  <r>
    <n v="1046"/>
    <x v="1"/>
    <s v="Tech"/>
    <n v="22.045855379188712"/>
    <d v="2016-04-25T00:00:00"/>
  </r>
  <r>
    <n v="1047"/>
    <x v="1"/>
    <s v="Tech"/>
    <n v="154.32098765432099"/>
    <d v="2016-04-26T00:00:00"/>
  </r>
  <r>
    <n v="1048"/>
    <x v="4"/>
    <s v="Tech"/>
    <n v="61.56"/>
    <d v="2016-04-27T00:00:00"/>
  </r>
  <r>
    <n v="1049"/>
    <x v="2"/>
    <s v="OFM"/>
    <n v="105.89854918987609"/>
    <d v="2016-04-28T00:00:00"/>
  </r>
  <r>
    <n v="1050"/>
    <x v="4"/>
    <s v="Tech"/>
    <n v="61.56"/>
    <d v="2016-04-29T00:00:00"/>
  </r>
  <r>
    <n v="1051"/>
    <x v="1"/>
    <s v="OFM"/>
    <n v="22.045855379188712"/>
    <d v="2016-04-30T00:00:00"/>
  </r>
  <r>
    <n v="1052"/>
    <x v="4"/>
    <s v="Tech"/>
    <n v="60"/>
    <d v="2016-05-01T00:00:00"/>
  </r>
  <r>
    <n v="1053"/>
    <x v="2"/>
    <s v="Tech"/>
    <n v="370.64492216456637"/>
    <d v="2016-05-02T00:00:00"/>
  </r>
  <r>
    <n v="1054"/>
    <x v="4"/>
    <s v="Tech"/>
    <n v="61.56"/>
    <d v="2016-05-03T00:00:00"/>
  </r>
  <r>
    <n v="1055"/>
    <x v="0"/>
    <s v="Tech"/>
    <n v="34.470872113064452"/>
    <d v="2016-05-04T00:00:00"/>
  </r>
  <r>
    <n v="1056"/>
    <x v="1"/>
    <s v="Apps"/>
    <n v="34.722222222222229"/>
    <d v="2016-05-05T00:00:00"/>
  </r>
  <r>
    <n v="1057"/>
    <x v="4"/>
    <s v="Tech"/>
    <n v="987.12135669959264"/>
    <d v="2016-05-06T00:00:00"/>
  </r>
  <r>
    <n v="1058"/>
    <x v="1"/>
    <s v="Apps"/>
    <n v="132.27513227513228"/>
    <d v="2016-05-07T00:00:00"/>
  </r>
  <r>
    <n v="1059"/>
    <x v="1"/>
    <s v="Apps"/>
    <n v="88.183421516754848"/>
    <d v="2016-05-08T00:00:00"/>
  </r>
  <r>
    <n v="1060"/>
    <x v="1"/>
    <s v="Tech"/>
    <n v="110.22927689594357"/>
    <d v="2016-05-09T00:00:00"/>
  </r>
  <r>
    <n v="1061"/>
    <x v="0"/>
    <s v="Tech"/>
    <n v="11.030679076180625"/>
    <d v="2016-05-10T00:00:00"/>
  </r>
  <r>
    <n v="1062"/>
    <x v="0"/>
    <s v="Tech"/>
    <n v="38.54406228720466"/>
    <d v="2016-05-11T00:00:00"/>
  </r>
  <r>
    <n v="1063"/>
    <x v="0"/>
    <s v="Apps"/>
    <n v="308.07147258163894"/>
    <d v="2016-05-12T00:00:00"/>
  </r>
  <r>
    <n v="1064"/>
    <x v="0"/>
    <s v="OFM"/>
    <n v="308.07147258163894"/>
    <d v="2016-05-13T00:00:00"/>
  </r>
  <r>
    <n v="1065"/>
    <x v="0"/>
    <s v="Tech"/>
    <n v="46.210720887245841"/>
    <d v="2016-05-14T00:00:00"/>
  </r>
  <r>
    <n v="1066"/>
    <x v="1"/>
    <s v="Apps"/>
    <n v="66.137566137566139"/>
    <d v="2016-05-15T00:00:00"/>
  </r>
  <r>
    <n v="1067"/>
    <x v="0"/>
    <s v="Tech"/>
    <n v="61.614294516327789"/>
    <d v="2016-05-16T00:00:00"/>
  </r>
  <r>
    <n v="1068"/>
    <x v="2"/>
    <s v="Tech"/>
    <n v="529.49274594938049"/>
    <d v="2016-05-17T00:00:00"/>
  </r>
  <r>
    <n v="1069"/>
    <x v="2"/>
    <s v="Tech"/>
    <n v="158.84782378481412"/>
    <d v="2016-05-18T00:00:00"/>
  </r>
  <r>
    <n v="1070"/>
    <x v="1"/>
    <s v="Other"/>
    <n v="132.27513227513228"/>
    <d v="2016-05-19T00:00:00"/>
  </r>
  <r>
    <n v="1071"/>
    <x v="2"/>
    <s v="Other"/>
    <n v="52.949274594938046"/>
    <d v="2016-05-20T00:00:00"/>
  </r>
  <r>
    <n v="1072"/>
    <x v="2"/>
    <s v="Tech"/>
    <n v="79.423911892407062"/>
    <d v="2016-05-21T00:00:00"/>
  </r>
  <r>
    <n v="1073"/>
    <x v="0"/>
    <s v="Tech"/>
    <n v="62.047569803516026"/>
    <d v="2016-05-22T00:00:00"/>
  </r>
  <r>
    <n v="1074"/>
    <x v="0"/>
    <s v="Tech"/>
    <n v="25.696041524803107"/>
    <d v="2016-05-23T00:00:00"/>
  </r>
  <r>
    <n v="1075"/>
    <x v="0"/>
    <s v="Tech"/>
    <n v="25.696041524803107"/>
    <d v="2016-05-24T00:00:00"/>
  </r>
  <r>
    <n v="1076"/>
    <x v="0"/>
    <s v="Tech"/>
    <n v="30.807147258163894"/>
    <d v="2016-05-25T00:00:00"/>
  </r>
  <r>
    <n v="1077"/>
    <x v="1"/>
    <s v="Apps"/>
    <n v="66.137566137566139"/>
    <d v="2016-05-26T00:00:00"/>
  </r>
  <r>
    <n v="1078"/>
    <x v="1"/>
    <s v="Apps"/>
    <n v="66.137566137566139"/>
    <d v="2016-05-27T00:00:00"/>
  </r>
  <r>
    <n v="1079"/>
    <x v="1"/>
    <s v="Tech"/>
    <n v="146.90132275132277"/>
    <d v="2016-05-28T00:00:00"/>
  </r>
  <r>
    <n v="1080"/>
    <x v="1"/>
    <s v="Apps"/>
    <n v="44.091710758377424"/>
    <d v="2016-05-29T00:00:00"/>
  </r>
  <r>
    <n v="1081"/>
    <x v="1"/>
    <s v="OFM"/>
    <n v="55.114638447971785"/>
    <d v="2016-05-30T00:00:00"/>
  </r>
  <r>
    <n v="1082"/>
    <x v="1"/>
    <s v="Apps"/>
    <n v="132.27513227513228"/>
    <d v="2016-05-31T00:00:00"/>
  </r>
  <r>
    <n v="1083"/>
    <x v="2"/>
    <s v="OFM"/>
    <n v="158.84782378481412"/>
    <d v="2016-06-01T00:00:00"/>
  </r>
  <r>
    <n v="1084"/>
    <x v="2"/>
    <s v="Apps"/>
    <n v="105.89854918987609"/>
    <d v="2016-06-02T00:00:00"/>
  </r>
  <r>
    <n v="1085"/>
    <x v="2"/>
    <s v="Apps"/>
    <n v="264.74637297469025"/>
    <d v="2016-06-03T00:00:00"/>
  </r>
  <r>
    <n v="1086"/>
    <x v="2"/>
    <s v="Apps"/>
    <n v="211.79709837975219"/>
    <d v="2016-06-04T00:00:00"/>
  </r>
  <r>
    <n v="1087"/>
    <x v="0"/>
    <s v="Apps"/>
    <n v="689.41744226128924"/>
    <d v="2016-06-05T00:00:00"/>
  </r>
  <r>
    <n v="1088"/>
    <x v="0"/>
    <s v="Tech"/>
    <n v="34.470872113064452"/>
    <d v="2016-06-06T00:00:00"/>
  </r>
  <r>
    <n v="1089"/>
    <x v="0"/>
    <s v="Apps"/>
    <n v="25.696041524803107"/>
    <d v="2016-06-07T00:00:00"/>
  </r>
  <r>
    <n v="1090"/>
    <x v="2"/>
    <s v="Apps"/>
    <n v="105.89854918987609"/>
    <d v="2016-06-08T00:00:00"/>
  </r>
  <r>
    <n v="1091"/>
    <x v="1"/>
    <s v="Tech"/>
    <n v="26.455026455026456"/>
    <d v="2016-06-09T00:00:00"/>
  </r>
  <r>
    <n v="1092"/>
    <x v="1"/>
    <s v="Apps"/>
    <n v="132.27513227513228"/>
    <d v="2016-06-10T00:00:00"/>
  </r>
  <r>
    <n v="1093"/>
    <x v="1"/>
    <s v="OFM"/>
    <n v="132.27513227513228"/>
    <d v="2016-06-11T00:00:00"/>
  </r>
  <r>
    <n v="1094"/>
    <x v="1"/>
    <s v="OFM"/>
    <n v="132.27513227513228"/>
    <d v="2016-06-12T00:00:00"/>
  </r>
  <r>
    <n v="1095"/>
    <x v="2"/>
    <s v="Apps"/>
    <n v="582.44202054431844"/>
    <d v="2016-06-13T00:00:00"/>
  </r>
  <r>
    <n v="1096"/>
    <x v="2"/>
    <s v="Apps"/>
    <n v="264.74637297469025"/>
    <d v="2016-06-14T00:00:00"/>
  </r>
  <r>
    <n v="1097"/>
    <x v="2"/>
    <s v="Apps"/>
    <n v="529.49274594938049"/>
    <d v="2016-06-15T00:00:00"/>
  </r>
  <r>
    <n v="1098"/>
    <x v="2"/>
    <s v="OFM"/>
    <n v="158.84782378481412"/>
    <d v="2016-06-16T00:00:00"/>
  </r>
  <r>
    <n v="1099"/>
    <x v="2"/>
    <s v="Apps"/>
    <n v="211.79709837975219"/>
    <d v="2016-06-17T00:00:00"/>
  </r>
  <r>
    <n v="1100"/>
    <x v="2"/>
    <s v="Apps"/>
    <n v="105.89854918987609"/>
    <d v="2016-06-18T00:00:00"/>
  </r>
  <r>
    <n v="1101"/>
    <x v="2"/>
    <s v="OFM"/>
    <n v="158.84782378481412"/>
    <d v="2016-06-19T00:00:00"/>
  </r>
  <r>
    <n v="1102"/>
    <x v="2"/>
    <s v="Apps"/>
    <n v="317.69564756962825"/>
    <d v="2016-06-20T00:00:00"/>
  </r>
  <r>
    <n v="1103"/>
    <x v="1"/>
    <s v="Tech"/>
    <n v="74.95590828924162"/>
    <d v="2016-06-21T00:00:00"/>
  </r>
  <r>
    <n v="1104"/>
    <x v="0"/>
    <s v="Tech"/>
    <n v="185.01149897858235"/>
    <d v="2016-06-22T00:00:00"/>
  </r>
  <r>
    <n v="1105"/>
    <x v="4"/>
    <s v="Tech"/>
    <n v="123.5"/>
    <d v="2016-06-23T00:00:00"/>
  </r>
  <r>
    <n v="1106"/>
    <x v="0"/>
    <s v="Apps"/>
    <n v="275.76697690451562"/>
    <d v="2016-06-24T00:00:00"/>
  </r>
  <r>
    <n v="1107"/>
    <x v="2"/>
    <s v="OFM"/>
    <n v="264.74637297469025"/>
    <d v="2016-06-25T00:00:00"/>
  </r>
  <r>
    <n v="1108"/>
    <x v="0"/>
    <s v="Apps"/>
    <n v="128.48020762401552"/>
    <d v="2016-06-26T00:00:00"/>
  </r>
  <r>
    <n v="1109"/>
    <x v="0"/>
    <s v="Apps"/>
    <n v="38.54406228720466"/>
    <d v="2016-06-27T00:00:00"/>
  </r>
  <r>
    <n v="1110"/>
    <x v="0"/>
    <s v="Apps"/>
    <n v="12.848020762401553"/>
    <d v="2016-06-28T00:00:00"/>
  </r>
  <r>
    <n v="1111"/>
    <x v="0"/>
    <s v="Tech"/>
    <n v="30.807147258163894"/>
    <d v="2016-06-29T00:00:00"/>
  </r>
  <r>
    <n v="1112"/>
    <x v="4"/>
    <s v="Tech"/>
    <n v="34"/>
    <d v="2016-06-30T00:00:00"/>
  </r>
  <r>
    <n v="1113"/>
    <x v="0"/>
    <s v="Tech"/>
    <n v="123.22858903265558"/>
    <d v="2016-07-01T00:00:00"/>
  </r>
  <r>
    <n v="1114"/>
    <x v="0"/>
    <s v="Tech"/>
    <n v="38.508934072704868"/>
    <d v="2016-07-02T00:00:00"/>
  </r>
  <r>
    <n v="1115"/>
    <x v="0"/>
    <s v="OFM"/>
    <n v="10.341261633919338"/>
    <d v="2016-07-03T00:00:00"/>
  </r>
  <r>
    <n v="1116"/>
    <x v="0"/>
    <s v="Tech"/>
    <n v="22.652345406190175"/>
    <d v="2016-07-04T00:00:00"/>
  </r>
  <r>
    <n v="1117"/>
    <x v="0"/>
    <s v="Tech"/>
    <n v="73.777960505184183"/>
    <d v="2016-07-05T00:00:00"/>
  </r>
  <r>
    <n v="1118"/>
    <x v="0"/>
    <s v="Apps"/>
    <n v="82.563154651879231"/>
    <d v="2016-07-06T00:00:00"/>
  </r>
  <r>
    <n v="1119"/>
    <x v="0"/>
    <s v="Apps"/>
    <n v="82.563154651879231"/>
    <d v="2016-07-07T00:00:00"/>
  </r>
  <r>
    <n v="1120"/>
    <x v="2"/>
    <s v="Tech"/>
    <n v="40.515355319666149"/>
    <d v="2016-07-08T00:00:00"/>
  </r>
  <r>
    <n v="1121"/>
    <x v="2"/>
    <s v="OFM"/>
    <n v="52.949274594938046"/>
    <d v="2016-07-09T00:00:00"/>
  </r>
  <r>
    <n v="1122"/>
    <x v="1"/>
    <s v="Tech"/>
    <n v="391.73686067019401"/>
    <d v="2016-07-10T00:00:00"/>
  </r>
  <r>
    <n v="1123"/>
    <x v="1"/>
    <s v="Apps"/>
    <n v="132.27513227513228"/>
    <d v="2016-07-11T00:00:00"/>
  </r>
  <r>
    <n v="1124"/>
    <x v="2"/>
    <s v="Apps"/>
    <n v="52.949274594938046"/>
    <d v="2016-07-12T00:00:00"/>
  </r>
  <r>
    <n v="1125"/>
    <x v="0"/>
    <s v="Apps"/>
    <n v="25.696041524803107"/>
    <d v="2016-07-13T00:00:00"/>
  </r>
  <r>
    <n v="1126"/>
    <x v="0"/>
    <s v="Tech"/>
    <n v="462.10720887245844"/>
    <d v="2016-07-14T00:00:00"/>
  </r>
  <r>
    <n v="1127"/>
    <x v="0"/>
    <s v="Tech"/>
    <n v="26.197862805928988"/>
    <d v="2016-07-15T00:00:00"/>
  </r>
  <r>
    <n v="1128"/>
    <x v="0"/>
    <s v="Tech"/>
    <n v="15.403573629081947"/>
    <d v="2016-07-16T00:00:00"/>
  </r>
  <r>
    <n v="1129"/>
    <x v="2"/>
    <s v="Tech"/>
    <n v="20.257677659833075"/>
    <d v="2016-07-17T00:00:00"/>
  </r>
  <r>
    <n v="1130"/>
    <x v="3"/>
    <s v="Tech"/>
    <n v="228.96498667423779"/>
    <d v="2016-07-18T00:00:00"/>
  </r>
  <r>
    <n v="1131"/>
    <x v="3"/>
    <s v="Tech"/>
    <n v="30.223378240999391"/>
    <d v="2016-07-19T00:00:00"/>
  </r>
  <r>
    <n v="1132"/>
    <x v="3"/>
    <s v="Tech"/>
    <n v="320.5509813439329"/>
    <d v="2016-07-20T00:00:00"/>
  </r>
  <r>
    <n v="1133"/>
    <x v="3"/>
    <s v="Tech"/>
    <n v="18.317198933939025"/>
    <d v="2016-07-21T00:00:00"/>
  </r>
  <r>
    <n v="1134"/>
    <x v="3"/>
    <s v="Tech"/>
    <n v="274.75798400908536"/>
    <d v="2016-07-22T00:00:00"/>
  </r>
  <r>
    <n v="1135"/>
    <x v="3"/>
    <s v="Tech"/>
    <n v="27.475798400908538"/>
    <d v="2016-07-23T00:00:00"/>
  </r>
  <r>
    <n v="1136"/>
    <x v="3"/>
    <s v="Tech"/>
    <n v="36.63439786787805"/>
    <d v="2016-07-24T00:00:00"/>
  </r>
  <r>
    <n v="1137"/>
    <x v="3"/>
    <s v="Tech"/>
    <n v="128.22039253757316"/>
    <d v="2016-07-25T00:00:00"/>
  </r>
  <r>
    <n v="1138"/>
    <x v="0"/>
    <s v="Other"/>
    <n v="144.77766287487074"/>
    <d v="2016-07-26T00:00:00"/>
  </r>
  <r>
    <n v="1139"/>
    <x v="0"/>
    <s v="Tech"/>
    <n v="137.88348845225781"/>
    <d v="2016-07-27T00:00:00"/>
  </r>
  <r>
    <n v="1140"/>
    <x v="0"/>
    <s v="Tech"/>
    <n v="1.723543605653223"/>
    <d v="2016-07-28T00:00:00"/>
  </r>
  <r>
    <n v="1141"/>
    <x v="0"/>
    <s v="Tech"/>
    <n v="7.5835918648741805"/>
    <d v="2016-07-29T00:00:00"/>
  </r>
  <r>
    <n v="1142"/>
    <x v="3"/>
    <s v="OFM"/>
    <n v="109.90319360363415"/>
    <d v="2016-07-30T00:00:00"/>
  </r>
  <r>
    <n v="1143"/>
    <x v="3"/>
    <s v="Tech"/>
    <n v="119.06179307060366"/>
    <d v="2016-07-31T00:00:00"/>
  </r>
  <r>
    <n v="1144"/>
    <x v="3"/>
    <s v="Tech"/>
    <n v="21.797466731387438"/>
    <d v="2016-08-01T00:00:00"/>
  </r>
  <r>
    <n v="1145"/>
    <x v="3"/>
    <s v="OFM"/>
    <n v="549.51596801817072"/>
    <d v="2016-08-02T00:00:00"/>
  </r>
  <r>
    <n v="1146"/>
    <x v="3"/>
    <s v="Tech"/>
    <n v="59.875259875259879"/>
    <d v="2016-08-03T00:00:00"/>
  </r>
  <r>
    <n v="1147"/>
    <x v="0"/>
    <s v="Tech"/>
    <n v="13.788348845225784"/>
    <d v="2016-08-04T00:00:00"/>
  </r>
  <r>
    <n v="1148"/>
    <x v="0"/>
    <s v="Other"/>
    <n v="103.41261633919338"/>
    <d v="2016-08-05T00:00:00"/>
  </r>
  <r>
    <n v="1149"/>
    <x v="0"/>
    <s v="Other"/>
    <n v="103.41261633919338"/>
    <d v="2016-08-06T00:00:00"/>
  </r>
  <r>
    <n v="1150"/>
    <x v="0"/>
    <s v="Other"/>
    <n v="68.941744226128904"/>
    <d v="2016-08-07T00:00:00"/>
  </r>
  <r>
    <n v="1151"/>
    <x v="0"/>
    <s v="Tech"/>
    <n v="24.129610479145121"/>
    <d v="2016-08-08T00:00:00"/>
  </r>
  <r>
    <n v="1152"/>
    <x v="0"/>
    <s v="OFM"/>
    <n v="120.64805239572561"/>
    <d v="2016-08-09T00:00:00"/>
  </r>
  <r>
    <n v="1153"/>
    <x v="0"/>
    <s v="Tech"/>
    <n v="15.403573629081947"/>
    <d v="2016-08-10T00:00:00"/>
  </r>
  <r>
    <n v="1154"/>
    <x v="0"/>
    <s v="Apps"/>
    <n v="105.08317929759704"/>
    <d v="2016-08-11T00:00:00"/>
  </r>
  <r>
    <n v="1155"/>
    <x v="0"/>
    <s v="Apps"/>
    <n v="154.03573629081947"/>
    <d v="2016-08-12T00:00:00"/>
  </r>
  <r>
    <n v="1156"/>
    <x v="0"/>
    <s v="Apps"/>
    <n v="105.08317929759704"/>
    <d v="2016-08-13T00:00:00"/>
  </r>
  <r>
    <n v="1157"/>
    <x v="2"/>
    <s v="Apps"/>
    <n v="21.179709837975221"/>
    <d v="2016-08-14T00:00:00"/>
  </r>
  <r>
    <n v="1158"/>
    <x v="0"/>
    <s v="Apps"/>
    <n v="12.848020762401553"/>
    <d v="2016-08-15T00:00:00"/>
  </r>
  <r>
    <n v="1159"/>
    <x v="4"/>
    <s v="Apps"/>
    <n v="423.65976861658794"/>
    <d v="2016-08-16T00:00:00"/>
  </r>
  <r>
    <n v="1160"/>
    <x v="2"/>
    <s v="OFM"/>
    <n v="158.84782378481412"/>
    <d v="2016-08-17T00:00:00"/>
  </r>
  <r>
    <n v="1161"/>
    <x v="4"/>
    <s v="Apps"/>
    <n v="114.06224539677368"/>
    <d v="2016-08-18T00:00:00"/>
  </r>
  <r>
    <n v="1162"/>
    <x v="0"/>
    <s v="Tech"/>
    <n v="30.807147258163894"/>
    <d v="2016-08-19T00:00:00"/>
  </r>
  <r>
    <n v="1163"/>
    <x v="0"/>
    <s v="Tech"/>
    <n v="30.807147258163894"/>
    <d v="2016-08-20T00:00:00"/>
  </r>
  <r>
    <n v="1164"/>
    <x v="0"/>
    <s v="Apps"/>
    <n v="30.807147258163894"/>
    <d v="2016-08-21T00:00:00"/>
  </r>
  <r>
    <n v="1165"/>
    <x v="0"/>
    <s v="Apps"/>
    <n v="13.038354898336415"/>
    <d v="2016-08-22T00:00:00"/>
  </r>
  <r>
    <n v="1166"/>
    <x v="0"/>
    <s v="Tech"/>
    <n v="92.421441774491683"/>
    <d v="2016-08-23T00:00:00"/>
  </r>
  <r>
    <n v="1167"/>
    <x v="0"/>
    <s v="Apps"/>
    <n v="63.049907578558226"/>
    <d v="2016-08-24T00:00:00"/>
  </r>
  <r>
    <n v="1168"/>
    <x v="0"/>
    <s v="Apps"/>
    <n v="840.66543438077633"/>
    <d v="2016-08-25T00:00:00"/>
  </r>
  <r>
    <n v="1169"/>
    <x v="0"/>
    <s v="Apps"/>
    <n v="525.41589648798515"/>
    <d v="2016-08-26T00:00:00"/>
  </r>
  <r>
    <n v="1170"/>
    <x v="0"/>
    <s v="Apps"/>
    <n v="105.08317929759704"/>
    <d v="2016-08-27T00:00:00"/>
  </r>
  <r>
    <n v="1171"/>
    <x v="0"/>
    <s v="Apps"/>
    <n v="104.74430067775724"/>
    <d v="2016-08-28T00:00:00"/>
  </r>
  <r>
    <n v="1172"/>
    <x v="0"/>
    <s v="Apps"/>
    <n v="770.17868145409739"/>
    <d v="2016-08-29T00:00:00"/>
  </r>
  <r>
    <n v="1173"/>
    <x v="0"/>
    <s v="Apps"/>
    <n v="46.210720887245841"/>
    <d v="2016-08-30T00:00:00"/>
  </r>
  <r>
    <n v="1174"/>
    <x v="1"/>
    <s v="Tech"/>
    <n v="97.934215167548501"/>
    <d v="2016-08-31T00:00:00"/>
  </r>
  <r>
    <n v="1175"/>
    <x v="0"/>
    <s v="OFM"/>
    <n v="462.10720887245844"/>
    <d v="2016-09-01T00:00:00"/>
  </r>
  <r>
    <n v="1176"/>
    <x v="4"/>
    <s v="Apps"/>
    <n v="80"/>
    <d v="2016-09-02T00:00:00"/>
  </r>
  <r>
    <n v="1177"/>
    <x v="0"/>
    <s v="OFM"/>
    <n v="34.012409513960705"/>
    <d v="2016-09-03T00:00:00"/>
  </r>
  <r>
    <n v="1178"/>
    <x v="2"/>
    <s v="Apps"/>
    <n v="4.529616724738676"/>
    <d v="2016-09-04T00:00:00"/>
  </r>
  <r>
    <n v="1179"/>
    <x v="4"/>
    <s v="Tech"/>
    <n v="1.5"/>
    <d v="2016-09-05T00:00:00"/>
  </r>
  <r>
    <n v="1180"/>
    <x v="2"/>
    <s v="Apps"/>
    <n v="405.15355319666151"/>
    <d v="2016-09-06T00:00:00"/>
  </r>
  <r>
    <n v="1181"/>
    <x v="2"/>
    <s v="Tech"/>
    <n v="105.89854918987609"/>
    <d v="2016-09-07T00:00:00"/>
  </r>
  <r>
    <n v="1182"/>
    <x v="4"/>
    <s v="OFM"/>
    <n v="8.0243941582410532"/>
    <d v="2016-09-08T00:00:00"/>
  </r>
  <r>
    <n v="1183"/>
    <x v="4"/>
    <s v="Tech"/>
    <n v="8.0243941582410532"/>
    <d v="2016-09-09T00:00:00"/>
  </r>
  <r>
    <n v="1184"/>
    <x v="2"/>
    <s v="Tech"/>
    <n v="42.359419675950441"/>
    <d v="2016-09-10T00:00:00"/>
  </r>
  <r>
    <n v="1185"/>
    <x v="0"/>
    <s v="Apps"/>
    <n v="128.48020762401552"/>
    <d v="2016-09-11T00:00:00"/>
  </r>
  <r>
    <n v="1186"/>
    <x v="1"/>
    <s v="Tech"/>
    <n v="900.67791005291008"/>
    <d v="2016-09-12T00:00:00"/>
  </r>
  <r>
    <n v="1187"/>
    <x v="1"/>
    <s v="OFM"/>
    <n v="44.091710758377424"/>
    <d v="2016-09-13T00:00:00"/>
  </r>
  <r>
    <n v="1188"/>
    <x v="1"/>
    <s v="Tech"/>
    <n v="293.80257936507934"/>
    <d v="2016-09-14T00:00:00"/>
  </r>
  <r>
    <n v="1189"/>
    <x v="1"/>
    <s v="Tech"/>
    <n v="97.934193121693127"/>
    <d v="2016-09-15T00:00:00"/>
  </r>
  <r>
    <n v="1190"/>
    <x v="2"/>
    <s v="Tech"/>
    <n v="5.2949274594938052"/>
    <d v="2016-09-16T00:00:00"/>
  </r>
  <r>
    <n v="1191"/>
    <x v="2"/>
    <s v="OFM"/>
    <n v="211.79709837975219"/>
    <d v="2016-09-17T00:00:00"/>
  </r>
  <r>
    <n v="1192"/>
    <x v="1"/>
    <s v="Tech"/>
    <n v="44.091710758377424"/>
    <d v="2016-09-18T00:00:00"/>
  </r>
  <r>
    <n v="1193"/>
    <x v="0"/>
    <s v="Apps"/>
    <n v="92.421441774491683"/>
    <d v="2016-09-19T00:00:00"/>
  </r>
  <r>
    <n v="1194"/>
    <x v="1"/>
    <s v="Apps"/>
    <n v="48.500881834215171"/>
    <d v="2016-09-20T00:00:00"/>
  </r>
  <r>
    <n v="1195"/>
    <x v="4"/>
    <s v="Tech"/>
    <n v="987.12135669959264"/>
    <d v="2016-09-21T00:00:00"/>
  </r>
  <r>
    <n v="1196"/>
    <x v="1"/>
    <s v="Tech"/>
    <n v="238.0952380952381"/>
    <d v="2016-09-22T00:00:00"/>
  </r>
  <r>
    <n v="1197"/>
    <x v="1"/>
    <s v="Apps"/>
    <n v="55.114638447971785"/>
    <d v="2016-09-23T00:00:00"/>
  </r>
  <r>
    <n v="1198"/>
    <x v="2"/>
    <s v="Apps"/>
    <n v="48.618426383599385"/>
    <d v="2016-09-24T00:00:00"/>
  </r>
  <r>
    <n v="1199"/>
    <x v="1"/>
    <s v="Tech"/>
    <n v="36.081128747795418"/>
    <d v="2016-09-25T00:00:00"/>
  </r>
  <r>
    <n v="1200"/>
    <x v="1"/>
    <s v="Apps"/>
    <n v="317.46031746031747"/>
    <d v="2016-09-26T00:00:00"/>
  </r>
  <r>
    <n v="1201"/>
    <x v="1"/>
    <s v="Tech"/>
    <n v="16.534391534391535"/>
    <d v="2016-09-27T00:00:00"/>
  </r>
  <r>
    <n v="1202"/>
    <x v="0"/>
    <s v="Apps"/>
    <n v="642.4010381200776"/>
    <d v="2016-09-28T00:00:00"/>
  </r>
  <r>
    <n v="1203"/>
    <x v="0"/>
    <s v="OFM"/>
    <n v="12.848020762401553"/>
    <d v="2016-09-29T00:00:00"/>
  </r>
  <r>
    <n v="1204"/>
    <x v="0"/>
    <s v="OFM"/>
    <n v="12.848020762401553"/>
    <d v="2016-09-30T00:00:00"/>
  </r>
  <r>
    <n v="1205"/>
    <x v="4"/>
    <s v="Apps"/>
    <n v="24.873432259842879"/>
    <d v="2016-10-01T00:00:00"/>
  </r>
  <r>
    <n v="1206"/>
    <x v="4"/>
    <s v="Tech"/>
    <n v="98.712135669959252"/>
    <d v="2016-10-02T00:00:00"/>
  </r>
  <r>
    <n v="1207"/>
    <x v="1"/>
    <s v="Apps"/>
    <n v="110.22927689594357"/>
    <d v="2016-10-03T00:00:00"/>
  </r>
  <r>
    <n v="1208"/>
    <x v="0"/>
    <s v="OFM"/>
    <n v="123.22858903265558"/>
    <d v="2016-10-04T00:00:00"/>
  </r>
  <r>
    <n v="1209"/>
    <x v="0"/>
    <s v="Apps"/>
    <n v="77.017868145409736"/>
    <d v="2016-10-05T00:00:00"/>
  </r>
  <r>
    <n v="1210"/>
    <x v="0"/>
    <s v="Apps"/>
    <n v="138.63216266173754"/>
    <d v="2016-10-06T00:00:00"/>
  </r>
  <r>
    <n v="1211"/>
    <x v="0"/>
    <s v="Apps"/>
    <n v="154.03573629081947"/>
    <d v="2016-10-07T00:00:00"/>
  </r>
  <r>
    <n v="1212"/>
    <x v="0"/>
    <s v="Apps"/>
    <n v="123.22858903265558"/>
    <d v="2016-10-08T00:00:00"/>
  </r>
  <r>
    <n v="1213"/>
    <x v="3"/>
    <s v="Tech"/>
    <n v="18.317198933939025"/>
    <d v="2016-10-09T00:00:00"/>
  </r>
  <r>
    <n v="1214"/>
    <x v="3"/>
    <s v="Tech"/>
    <n v="18.317198933939025"/>
    <d v="2016-10-10T00:00:00"/>
  </r>
  <r>
    <n v="1215"/>
    <x v="0"/>
    <s v="Apps"/>
    <n v="77.017868145409736"/>
    <d v="2016-10-11T00:00:00"/>
  </r>
  <r>
    <n v="1216"/>
    <x v="0"/>
    <s v="Apps"/>
    <n v="77.017868145409736"/>
    <d v="2016-10-12T00:00:00"/>
  </r>
  <r>
    <n v="1217"/>
    <x v="2"/>
    <s v="OFM"/>
    <n v="52.949274594938046"/>
    <d v="2016-10-13T00:00:00"/>
  </r>
  <r>
    <n v="1218"/>
    <x v="4"/>
    <s v="Tech"/>
    <n v="30"/>
    <d v="2016-10-14T00:00:00"/>
  </r>
  <r>
    <n v="1219"/>
    <x v="0"/>
    <s v="Apps"/>
    <n v="17.235436056532226"/>
    <d v="2016-10-15T00:00:00"/>
  </r>
  <r>
    <n v="1220"/>
    <x v="1"/>
    <s v="Apps"/>
    <n v="110.22927689594357"/>
    <d v="2016-10-16T00:00:00"/>
  </r>
  <r>
    <n v="1221"/>
    <x v="1"/>
    <s v="Apps"/>
    <n v="110.22927689594357"/>
    <d v="2016-10-17T00:00:00"/>
  </r>
  <r>
    <n v="1222"/>
    <x v="1"/>
    <s v="Tech"/>
    <n v="36.0810405643739"/>
    <d v="2016-10-18T00:00:00"/>
  </r>
  <r>
    <n v="1223"/>
    <x v="0"/>
    <s v="Tech"/>
    <n v="77.017868145409736"/>
    <d v="2016-10-19T00:00:00"/>
  </r>
  <r>
    <n v="1224"/>
    <x v="2"/>
    <s v="Other"/>
    <n v="1058.985491898761"/>
    <d v="2016-10-20T00:00:00"/>
  </r>
  <r>
    <n v="1225"/>
    <x v="0"/>
    <s v="Apps"/>
    <n v="103.41261633919338"/>
    <d v="2016-10-21T00:00:00"/>
  </r>
  <r>
    <n v="1226"/>
    <x v="0"/>
    <s v="Apps"/>
    <n v="68.941744226128904"/>
    <d v="2016-10-22T00:00:00"/>
  </r>
  <r>
    <n v="1227"/>
    <x v="0"/>
    <s v="Apps"/>
    <n v="68.941744226128904"/>
    <d v="2016-10-23T00:00:00"/>
  </r>
  <r>
    <n v="1228"/>
    <x v="0"/>
    <s v="OFM"/>
    <n v="34.470872113064452"/>
    <d v="2016-10-24T00:00:00"/>
  </r>
  <r>
    <n v="1229"/>
    <x v="0"/>
    <s v="Tech"/>
    <n v="98.088262476894641"/>
    <d v="2016-10-25T00:00:00"/>
  </r>
  <r>
    <n v="1230"/>
    <x v="0"/>
    <s v="OFM"/>
    <n v="123.22858903265558"/>
    <d v="2016-10-26T00:00:00"/>
  </r>
  <r>
    <n v="1231"/>
    <x v="0"/>
    <s v="OFM"/>
    <n v="23.105360443622921"/>
    <d v="2016-10-27T00:00:00"/>
  </r>
  <r>
    <n v="1232"/>
    <x v="0"/>
    <s v="Tech"/>
    <n v="27.726432532347506"/>
    <d v="2016-10-28T00:00:00"/>
  </r>
  <r>
    <n v="1233"/>
    <x v="0"/>
    <s v="OFM"/>
    <n v="15.403573629081947"/>
    <d v="2016-10-29T00:00:00"/>
  </r>
  <r>
    <n v="1234"/>
    <x v="0"/>
    <s v="Apps"/>
    <n v="770.17868145409739"/>
    <d v="2016-10-30T00:00:00"/>
  </r>
  <r>
    <n v="1235"/>
    <x v="0"/>
    <s v="Apps"/>
    <n v="123.22858903265558"/>
    <d v="2016-10-31T00:00:00"/>
  </r>
  <r>
    <n v="1236"/>
    <x v="0"/>
    <s v="Apps"/>
    <n v="123.22858903265558"/>
    <d v="2016-11-01T00:00:00"/>
  </r>
  <r>
    <n v="1237"/>
    <x v="0"/>
    <s v="OFM"/>
    <n v="23.105360443622921"/>
    <d v="2016-11-02T00:00:00"/>
  </r>
  <r>
    <n v="1238"/>
    <x v="0"/>
    <s v="Tech"/>
    <n v="46.210720887245841"/>
    <d v="2016-11-03T00:00:00"/>
  </r>
  <r>
    <n v="1239"/>
    <x v="0"/>
    <s v="Apps"/>
    <n v="107.82501540357363"/>
    <d v="2016-11-04T00:00:00"/>
  </r>
  <r>
    <n v="1240"/>
    <x v="0"/>
    <s v="Apps"/>
    <n v="38.508934072704868"/>
    <d v="2016-11-05T00:00:00"/>
  </r>
  <r>
    <n v="1241"/>
    <x v="3"/>
    <s v="Tech"/>
    <n v="274.75798400908536"/>
    <d v="2016-11-06T00:00:00"/>
  </r>
  <r>
    <n v="1242"/>
    <x v="3"/>
    <s v="Tech"/>
    <n v="26.823248188886957"/>
    <d v="2016-11-07T00:00:00"/>
  </r>
  <r>
    <n v="1243"/>
    <x v="0"/>
    <s v="Apps"/>
    <n v="308.07147258163894"/>
    <d v="2016-11-08T00:00:00"/>
  </r>
  <r>
    <n v="1244"/>
    <x v="0"/>
    <s v="Apps"/>
    <n v="1232.2858903265558"/>
    <d v="2016-11-09T00:00:00"/>
  </r>
  <r>
    <n v="1245"/>
    <x v="0"/>
    <s v="Tech"/>
    <n v="27.726432532347506"/>
    <d v="2016-11-10T00:00:00"/>
  </r>
  <r>
    <n v="1246"/>
    <x v="0"/>
    <s v="OFM"/>
    <n v="38.508934072704868"/>
    <d v="2016-11-11T00:00:00"/>
  </r>
  <r>
    <n v="1247"/>
    <x v="0"/>
    <s v="Tech"/>
    <n v="231.05360443622922"/>
    <d v="2016-11-12T00:00:00"/>
  </r>
  <r>
    <n v="1248"/>
    <x v="0"/>
    <s v="Tech"/>
    <n v="115.52680221811461"/>
    <d v="2016-11-13T00:00:00"/>
  </r>
  <r>
    <n v="1249"/>
    <x v="0"/>
    <s v="Tech"/>
    <n v="61.614294516327789"/>
    <d v="2016-11-14T00:00:00"/>
  </r>
  <r>
    <n v="1250"/>
    <x v="0"/>
    <s v="Tech"/>
    <n v="46.210720887245841"/>
    <d v="2016-11-15T00:00:00"/>
  </r>
  <r>
    <n v="1251"/>
    <x v="1"/>
    <s v="Apps"/>
    <n v="44.091710758377424"/>
    <d v="2016-11-16T00:00:00"/>
  </r>
  <r>
    <n v="1252"/>
    <x v="1"/>
    <s v="Apps"/>
    <n v="22.045855379188712"/>
    <d v="2016-11-17T00:00:00"/>
  </r>
  <r>
    <n v="1253"/>
    <x v="0"/>
    <s v="OFM"/>
    <n v="123.22858903265558"/>
    <d v="2016-11-18T00:00:00"/>
  </r>
  <r>
    <n v="1254"/>
    <x v="0"/>
    <s v="Apps"/>
    <n v="128.48020762401552"/>
    <d v="2016-11-19T00:00:00"/>
  </r>
  <r>
    <n v="1255"/>
    <x v="0"/>
    <s v="Tech"/>
    <n v="30.742487119859188"/>
    <d v="2016-11-20T00:00:00"/>
  </r>
  <r>
    <n v="1256"/>
    <x v="2"/>
    <s v="Apps"/>
    <n v="42.359419675950441"/>
    <d v="2016-11-21T00:00:00"/>
  </r>
  <r>
    <n v="1257"/>
    <x v="0"/>
    <s v="Apps"/>
    <n v="0"/>
    <d v="2016-11-22T00:00:00"/>
  </r>
  <r>
    <n v="1258"/>
    <x v="1"/>
    <s v="Tech"/>
    <n v="48.967151675485006"/>
    <d v="2016-11-23T00:00:00"/>
  </r>
  <r>
    <n v="1259"/>
    <x v="1"/>
    <s v="Tech"/>
    <n v="225.37940917107585"/>
    <d v="2016-11-24T00:00:00"/>
  </r>
  <r>
    <n v="1260"/>
    <x v="1"/>
    <s v="Tech"/>
    <n v="764.6701940035274"/>
    <d v="2016-11-25T00:00:00"/>
  </r>
  <r>
    <n v="1261"/>
    <x v="1"/>
    <s v="Tech"/>
    <n v="247.85961199294533"/>
    <d v="2016-11-26T00:00:00"/>
  </r>
  <r>
    <n v="1262"/>
    <x v="1"/>
    <s v="OFM"/>
    <n v="22.045855379188712"/>
    <d v="2016-11-27T00:00:00"/>
  </r>
  <r>
    <n v="1263"/>
    <x v="0"/>
    <s v="Tech"/>
    <n v="69.316081330868769"/>
    <d v="2016-11-28T00:00:00"/>
  </r>
  <r>
    <n v="1264"/>
    <x v="0"/>
    <s v="Tech"/>
    <n v="107.82501540357363"/>
    <d v="2016-11-29T00:00:00"/>
  </r>
  <r>
    <n v="1265"/>
    <x v="1"/>
    <s v="Tech"/>
    <n v="35.273368606701936"/>
    <d v="2016-11-30T00:00:00"/>
  </r>
  <r>
    <n v="1266"/>
    <x v="1"/>
    <s v="Tech"/>
    <n v="48.967096560846564"/>
    <d v="2016-12-01T00:00:00"/>
  </r>
  <r>
    <n v="1267"/>
    <x v="1"/>
    <s v="Apps"/>
    <n v="50"/>
    <d v="2016-12-02T00:00:00"/>
  </r>
  <r>
    <n v="1268"/>
    <x v="2"/>
    <s v="OFM"/>
    <n v="529.49274594938049"/>
    <d v="2016-12-03T00:00:00"/>
  </r>
  <r>
    <n v="1269"/>
    <x v="0"/>
    <s v="Other"/>
    <n v="123.22858903265558"/>
    <d v="2016-12-04T00:00:00"/>
  </r>
  <r>
    <n v="1270"/>
    <x v="4"/>
    <s v="Systems"/>
    <n v="32.904045223319756"/>
    <d v="2016-12-05T00:00:00"/>
  </r>
  <r>
    <n v="1271"/>
    <x v="2"/>
    <s v="Systems"/>
    <n v="185.32246108228318"/>
    <d v="2016-12-06T00:00:00"/>
  </r>
  <r>
    <n v="1272"/>
    <x v="2"/>
    <s v="Systems"/>
    <n v="476.54347135444243"/>
    <d v="2016-12-07T00:00:00"/>
  </r>
  <r>
    <n v="1273"/>
    <x v="3"/>
    <s v="Tech"/>
    <n v="91.585994669695125"/>
    <d v="2016-12-08T00:00:00"/>
  </r>
  <r>
    <n v="1274"/>
    <x v="0"/>
    <s v="Tech"/>
    <n v="77.017868145409736"/>
    <d v="2016-12-09T00:00:00"/>
  </r>
  <r>
    <n v="1275"/>
    <x v="3"/>
    <s v="OFM"/>
    <n v="288.15042083764553"/>
    <d v="2016-12-10T00:00:00"/>
  </r>
  <r>
    <n v="1276"/>
    <x v="3"/>
    <s v="Apps"/>
    <n v="64.110196268786581"/>
    <d v="2016-12-11T00:00:00"/>
  </r>
  <r>
    <n v="1277"/>
    <x v="1"/>
    <s v="Apps"/>
    <n v="110.22927689594357"/>
    <d v="2016-12-12T00:00:00"/>
  </r>
  <r>
    <n v="1278"/>
    <x v="1"/>
    <s v="Apps"/>
    <n v="110.22927689594357"/>
    <d v="2016-12-13T00:00:00"/>
  </r>
  <r>
    <n v="1279"/>
    <x v="1"/>
    <s v="Apps"/>
    <n v="110.22927689594357"/>
    <d v="2016-12-14T00:00:00"/>
  </r>
  <r>
    <n v="1280"/>
    <x v="1"/>
    <s v="Tech"/>
    <n v="108.24305555555556"/>
    <d v="2016-12-15T00:00:00"/>
  </r>
  <r>
    <n v="1281"/>
    <x v="0"/>
    <s v="Tech"/>
    <n v="9.0264941466420208"/>
    <d v="2016-12-16T00:00:00"/>
  </r>
  <r>
    <n v="1282"/>
    <x v="4"/>
    <s v="Apps"/>
    <n v="29.330291673456088"/>
    <d v="2016-12-17T00:00:00"/>
  </r>
  <r>
    <n v="1283"/>
    <x v="3"/>
    <s v="OFM"/>
    <n v="137.37899200454268"/>
    <d v="2016-12-18T00:00:00"/>
  </r>
  <r>
    <n v="1284"/>
    <x v="1"/>
    <s v="Apps"/>
    <n v="33.06878306878307"/>
    <d v="2016-12-19T00:00:00"/>
  </r>
  <r>
    <n v="1285"/>
    <x v="3"/>
    <s v="OFM"/>
    <n v="128.22039253757316"/>
    <d v="2016-12-20T00:00:00"/>
  </r>
  <r>
    <n v="1286"/>
    <x v="1"/>
    <s v="OFM"/>
    <n v="30.8641975308642"/>
    <d v="2016-12-21T00:00:00"/>
  </r>
  <r>
    <n v="1287"/>
    <x v="2"/>
    <s v="Tech"/>
    <n v="29.651593773165306"/>
    <d v="2016-12-22T00:00:00"/>
  </r>
  <r>
    <n v="1288"/>
    <x v="1"/>
    <s v="Tech"/>
    <n v="66.137566137566139"/>
    <d v="2016-12-23T00:00:00"/>
  </r>
  <r>
    <n v="1289"/>
    <x v="1"/>
    <s v="OFM"/>
    <n v="35.273368606701936"/>
    <d v="2016-12-24T00:00:00"/>
  </r>
  <r>
    <n v="1290"/>
    <x v="1"/>
    <s v="OFM"/>
    <n v="661.37566137566137"/>
    <d v="2016-12-25T00:00:00"/>
  </r>
  <r>
    <n v="1291"/>
    <x v="1"/>
    <s v="Tech"/>
    <n v="385.80246913580248"/>
    <d v="2016-12-26T00:00:00"/>
  </r>
  <r>
    <n v="1292"/>
    <x v="0"/>
    <s v="Tech"/>
    <n v="77.017868145409736"/>
    <d v="2016-12-27T00:00:00"/>
  </r>
  <r>
    <n v="1293"/>
    <x v="1"/>
    <s v="OFM"/>
    <n v="881.83421516754856"/>
    <d v="2016-12-28T00:00:00"/>
  </r>
  <r>
    <n v="1294"/>
    <x v="1"/>
    <s v="Apps"/>
    <n v="44.091710758377424"/>
    <d v="2016-12-29T00:00:00"/>
  </r>
  <r>
    <n v="1295"/>
    <x v="2"/>
    <s v="Tech"/>
    <n v="635.3912951392565"/>
    <d v="2016-12-30T00:00:00"/>
  </r>
  <r>
    <n v="1296"/>
    <x v="2"/>
    <s v="Tech"/>
    <n v="423.59419675950437"/>
    <d v="2016-12-31T00:00:00"/>
  </r>
  <r>
    <n v="1297"/>
    <x v="2"/>
    <s v="Tech"/>
    <n v="423.59419675950437"/>
    <d v="2017-01-01T00:00:00"/>
  </r>
  <r>
    <n v="1298"/>
    <x v="4"/>
    <s v="Apps"/>
    <n v="62.82985674792662"/>
    <d v="2017-01-02T00:00:00"/>
  </r>
  <r>
    <n v="1299"/>
    <x v="3"/>
    <s v="OFM"/>
    <n v="288.15042083764553"/>
    <d v="2017-01-03T00:00:00"/>
  </r>
  <r>
    <n v="1300"/>
    <x v="1"/>
    <s v="Tech"/>
    <n v="27"/>
    <d v="2017-01-04T00:00:00"/>
  </r>
  <r>
    <n v="1301"/>
    <x v="1"/>
    <s v="Tech"/>
    <n v="881.40773809523807"/>
    <d v="2017-01-05T00:00:00"/>
  </r>
  <r>
    <n v="1302"/>
    <x v="1"/>
    <s v="Tech"/>
    <n v="116.33132716049383"/>
    <d v="2017-01-06T00:00:00"/>
  </r>
  <r>
    <n v="1303"/>
    <x v="3"/>
    <s v="Tech"/>
    <n v="77.84809546924086"/>
    <d v="2017-01-07T00:00:00"/>
  </r>
  <r>
    <n v="1304"/>
    <x v="1"/>
    <s v="Apps"/>
    <n v="33.06878306878307"/>
    <d v="2017-01-08T00:00:00"/>
  </r>
  <r>
    <n v="1305"/>
    <x v="1"/>
    <s v="Tech"/>
    <n v="44.888668430335102"/>
    <d v="2017-01-09T00:00:00"/>
  </r>
  <r>
    <n v="1306"/>
    <x v="1"/>
    <s v="Tech"/>
    <n v="551.14638447971777"/>
    <d v="2017-01-10T00:00:00"/>
  </r>
  <r>
    <n v="1307"/>
    <x v="3"/>
    <s v="Tech"/>
    <n v="50.729299275554787"/>
    <d v="2017-01-11T00:00:00"/>
  </r>
  <r>
    <n v="1308"/>
    <x v="2"/>
    <s v="Apps"/>
    <n v="2117.970983797522"/>
    <d v="2017-01-12T00:00:00"/>
  </r>
  <r>
    <n v="1309"/>
    <x v="1"/>
    <s v="OFM"/>
    <n v="88.183421516754848"/>
    <d v="2017-01-13T00:00:00"/>
  </r>
  <r>
    <n v="1310"/>
    <x v="1"/>
    <s v="Tech"/>
    <n v="40"/>
    <d v="2017-01-14T00:00:00"/>
  </r>
  <r>
    <n v="1311"/>
    <x v="1"/>
    <s v="Tech"/>
    <n v="30"/>
    <d v="2017-01-15T00:00:00"/>
  </r>
  <r>
    <n v="1312"/>
    <x v="1"/>
    <s v="Tech"/>
    <n v="3.5273368606701943"/>
    <d v="2017-01-16T00:00:00"/>
  </r>
  <r>
    <n v="1313"/>
    <x v="1"/>
    <s v="Apps"/>
    <n v="55.114638447971785"/>
    <d v="2017-01-17T00:00:00"/>
  </r>
  <r>
    <n v="1314"/>
    <x v="4"/>
    <s v="Apps"/>
    <n v="68.911655257959296"/>
    <d v="2017-01-18T00:00:00"/>
  </r>
  <r>
    <n v="1315"/>
    <x v="1"/>
    <s v="Tech"/>
    <n v="66.137566137566139"/>
    <d v="2017-01-19T00:00:00"/>
  </r>
  <r>
    <n v="1316"/>
    <x v="1"/>
    <s v="Apps"/>
    <n v="198.4126984126984"/>
    <d v="2017-01-20T00:00:00"/>
  </r>
  <r>
    <n v="1317"/>
    <x v="1"/>
    <s v="OFM"/>
    <n v="110.22927689594357"/>
    <d v="2017-01-21T00:00:00"/>
  </r>
  <r>
    <n v="1318"/>
    <x v="1"/>
    <s v="Apps"/>
    <n v="148.80952380952382"/>
    <d v="2017-01-22T00:00:00"/>
  </r>
  <r>
    <n v="1319"/>
    <x v="1"/>
    <s v="Apps"/>
    <n v="39.682539682539684"/>
    <d v="2017-01-23T00:00:00"/>
  </r>
  <r>
    <n v="1320"/>
    <x v="1"/>
    <s v="Apps"/>
    <n v="220.45855379188714"/>
    <d v="2017-01-24T00:00:00"/>
  </r>
  <r>
    <n v="1321"/>
    <x v="4"/>
    <s v="Tech"/>
    <n v="11.6"/>
    <d v="2017-01-25T00:00:00"/>
  </r>
  <r>
    <n v="1322"/>
    <x v="4"/>
    <s v="Tech"/>
    <n v="114"/>
    <d v="2017-01-26T00:00:00"/>
  </r>
  <r>
    <n v="1323"/>
    <x v="3"/>
    <s v="Tech"/>
    <n v="29.307518294302437"/>
    <d v="2017-01-27T00:00:00"/>
  </r>
  <r>
    <n v="1324"/>
    <x v="4"/>
    <s v="Apps"/>
    <n v="22.975000000000001"/>
    <d v="2017-01-28T00:00:00"/>
  </r>
  <r>
    <n v="1325"/>
    <x v="2"/>
    <s v="Apps"/>
    <n v="5.2949274594938052"/>
    <d v="2017-01-29T00:00:00"/>
  </r>
  <r>
    <n v="1326"/>
    <x v="1"/>
    <s v="Apps"/>
    <n v="110.22927689594357"/>
    <d v="2017-01-30T00:00:00"/>
  </r>
  <r>
    <n v="1327"/>
    <x v="4"/>
    <s v="OFM"/>
    <n v="68.911655257959296"/>
    <d v="2017-01-31T00:00:00"/>
  </r>
  <r>
    <n v="1328"/>
    <x v="1"/>
    <s v="OFM"/>
    <n v="440.91710758377428"/>
    <d v="2017-02-01T00:00:00"/>
  </r>
  <r>
    <n v="1329"/>
    <x v="1"/>
    <s v="Tech"/>
    <n v="352.73368606701939"/>
    <d v="2017-02-02T00:00:00"/>
  </r>
  <r>
    <n v="1330"/>
    <x v="0"/>
    <s v="Tech"/>
    <n v="18.155422057917438"/>
    <d v="2017-02-03T00:00:00"/>
  </r>
  <r>
    <n v="1331"/>
    <x v="4"/>
    <s v="Apps"/>
    <n v="44.091710758377424"/>
    <d v="2017-02-04T00:00:00"/>
  </r>
  <r>
    <n v="1332"/>
    <x v="1"/>
    <s v="Tech"/>
    <n v="142.19576719576719"/>
    <d v="2017-02-05T00:00:00"/>
  </r>
  <r>
    <n v="1333"/>
    <x v="1"/>
    <s v="Tech"/>
    <n v="1653.4391534391534"/>
    <d v="2017-02-06T00:00:00"/>
  </r>
  <r>
    <n v="1334"/>
    <x v="4"/>
    <s v="Tech"/>
    <n v="6.5466072495061338"/>
    <d v="2017-02-07T00:00:00"/>
  </r>
  <r>
    <n v="1335"/>
    <x v="2"/>
    <s v="Apps"/>
    <n v="127.0782590278513"/>
    <d v="2017-02-08T00:00:00"/>
  </r>
  <r>
    <n v="1336"/>
    <x v="2"/>
    <s v="Apps"/>
    <n v="127.0782590278513"/>
    <d v="2017-02-09T00:00:00"/>
  </r>
  <r>
    <n v="1337"/>
    <x v="2"/>
    <s v="Apps"/>
    <n v="158.84782378481412"/>
    <d v="2017-02-10T00:00:00"/>
  </r>
  <r>
    <n v="1338"/>
    <x v="1"/>
    <s v="Tech"/>
    <n v="30"/>
    <d v="2017-02-11T00:00:00"/>
  </r>
  <r>
    <n v="1339"/>
    <x v="2"/>
    <s v="OFM"/>
    <n v="264.74637297469025"/>
    <d v="2017-02-12T00:00:00"/>
  </r>
  <r>
    <n v="1340"/>
    <x v="2"/>
    <s v="Tech"/>
    <n v="10.58985491898761"/>
    <d v="2017-02-13T00:00:00"/>
  </r>
  <r>
    <n v="1341"/>
    <x v="2"/>
    <s v="Tech"/>
    <n v="26.474637297469023"/>
    <d v="2017-02-14T00:00:00"/>
  </r>
  <r>
    <n v="1342"/>
    <x v="2"/>
    <s v="Tech"/>
    <n v="21.179709837975221"/>
    <d v="2017-02-15T00:00:00"/>
  </r>
  <r>
    <n v="1343"/>
    <x v="2"/>
    <s v="Tech"/>
    <n v="14.825796886582653"/>
    <d v="2017-02-16T00:00:00"/>
  </r>
  <r>
    <n v="1344"/>
    <x v="2"/>
    <s v="Tech"/>
    <n v="14.825796886582653"/>
    <d v="2017-02-17T00:00:00"/>
  </r>
  <r>
    <n v="1345"/>
    <x v="1"/>
    <s v="Tech"/>
    <n v="27.557319223985893"/>
    <d v="2017-02-18T00:00:00"/>
  </r>
  <r>
    <n v="1346"/>
    <x v="1"/>
    <s v="Apps"/>
    <n v="380.29100529100532"/>
    <d v="2017-02-19T00:00:00"/>
  </r>
  <r>
    <n v="1347"/>
    <x v="1"/>
    <s v="OFM"/>
    <n v="35.273368606701936"/>
    <d v="2017-02-20T00:00:00"/>
  </r>
  <r>
    <n v="1348"/>
    <x v="1"/>
    <s v="Tech"/>
    <n v="318.70617283950617"/>
    <d v="2017-02-21T00:00:00"/>
  </r>
  <r>
    <n v="1349"/>
    <x v="4"/>
    <s v="Apps"/>
    <n v="11.485275876326551"/>
    <d v="2017-02-22T00:00:00"/>
  </r>
  <r>
    <n v="1350"/>
    <x v="2"/>
    <s v="OFM"/>
    <n v="105.89854918987609"/>
    <d v="2017-02-23T00:00:00"/>
  </r>
  <r>
    <n v="1351"/>
    <x v="2"/>
    <s v="OFM"/>
    <n v="105.89854918987609"/>
    <d v="2017-02-24T00:00:00"/>
  </r>
  <r>
    <n v="1352"/>
    <x v="2"/>
    <s v="Apps"/>
    <n v="105.89854918987609"/>
    <d v="2017-02-25T00:00:00"/>
  </r>
  <r>
    <n v="1353"/>
    <x v="2"/>
    <s v="Apps"/>
    <n v="52.949274594938046"/>
    <d v="2017-02-26T00:00:00"/>
  </r>
  <r>
    <n v="1354"/>
    <x v="1"/>
    <s v="Apps"/>
    <n v="99.206349206349202"/>
    <d v="2017-02-27T00:00:00"/>
  </r>
  <r>
    <n v="1355"/>
    <x v="1"/>
    <s v="Apps"/>
    <n v="22.045855379188712"/>
    <d v="2017-02-28T00:00:00"/>
  </r>
  <r>
    <n v="1356"/>
    <x v="0"/>
    <s v="Apps"/>
    <n v="64.24010381200776"/>
    <d v="2017-03-01T00:00:00"/>
  </r>
  <r>
    <n v="1357"/>
    <x v="1"/>
    <s v="Apps"/>
    <n v="11.022927689594356"/>
    <d v="2017-03-02T00:00:00"/>
  </r>
  <r>
    <n v="1358"/>
    <x v="1"/>
    <s v="OFM"/>
    <n v="55.114638447971785"/>
    <d v="2017-03-03T00:00:00"/>
  </r>
  <r>
    <n v="1359"/>
    <x v="3"/>
    <s v="OFM"/>
    <n v="36.63439786787805"/>
    <d v="2017-03-04T00:00:00"/>
  </r>
  <r>
    <n v="1360"/>
    <x v="2"/>
    <s v="OFM"/>
    <n v="40.515355319666149"/>
    <d v="2017-03-05T00:00:00"/>
  </r>
  <r>
    <n v="1361"/>
    <x v="4"/>
    <s v="Tech"/>
    <n v="70"/>
    <d v="2017-03-06T00:00:00"/>
  </r>
  <r>
    <n v="1362"/>
    <x v="4"/>
    <s v="Tech"/>
    <n v="70"/>
    <d v="2017-03-07T00:00:00"/>
  </r>
  <r>
    <n v="1363"/>
    <x v="4"/>
    <s v="Apps"/>
    <n v="131.93733633481878"/>
    <d v="2017-03-08T00:00:00"/>
  </r>
  <r>
    <n v="1364"/>
    <x v="0"/>
    <s v="Apps"/>
    <n v="256.96041524803104"/>
    <d v="2017-03-09T00:00:00"/>
  </r>
  <r>
    <n v="1365"/>
    <x v="0"/>
    <s v="Apps"/>
    <n v="256.96041524803104"/>
    <d v="2017-03-10T00:00:00"/>
  </r>
  <r>
    <n v="1366"/>
    <x v="0"/>
    <s v="Apps"/>
    <n v="256.96041524803104"/>
    <d v="2017-03-11T00:00:00"/>
  </r>
  <r>
    <n v="1367"/>
    <x v="0"/>
    <s v="Apps"/>
    <n v="256.96041524803104"/>
    <d v="2017-03-12T00:00:00"/>
  </r>
  <r>
    <n v="1368"/>
    <x v="0"/>
    <s v="Apps"/>
    <n v="256.96041524803104"/>
    <d v="2017-03-13T00:00:00"/>
  </r>
  <r>
    <n v="1369"/>
    <x v="0"/>
    <s v="Apps"/>
    <n v="256.96041524803104"/>
    <d v="2017-03-14T00:00:00"/>
  </r>
  <r>
    <n v="1370"/>
    <x v="0"/>
    <s v="Apps"/>
    <n v="256.96041524803104"/>
    <d v="2017-03-15T00:00:00"/>
  </r>
  <r>
    <n v="1371"/>
    <x v="0"/>
    <s v="Apps"/>
    <n v="256.96041524803104"/>
    <d v="2017-03-16T00:00:00"/>
  </r>
  <r>
    <n v="1372"/>
    <x v="0"/>
    <s v="Systems"/>
    <n v="19.27203114360233"/>
    <d v="2017-03-17T00:00:00"/>
  </r>
  <r>
    <n v="1373"/>
    <x v="0"/>
    <s v="Tech"/>
    <n v="84.719654959950716"/>
    <d v="2017-03-18T00:00:00"/>
  </r>
  <r>
    <n v="1374"/>
    <x v="1"/>
    <s v="Tech"/>
    <n v="55.114638447971785"/>
    <d v="2017-03-19T00:00:00"/>
  </r>
  <r>
    <n v="1375"/>
    <x v="1"/>
    <s v="Tech"/>
    <n v="2.204585537918871"/>
    <d v="2017-03-20T00:00:00"/>
  </r>
  <r>
    <n v="1376"/>
    <x v="2"/>
    <s v="Tech"/>
    <n v="12.154606595899846"/>
    <d v="2017-03-21T00:00:00"/>
  </r>
  <r>
    <n v="1377"/>
    <x v="0"/>
    <s v="OFM"/>
    <n v="308.07147258163894"/>
    <d v="2017-03-22T00:00:00"/>
  </r>
  <r>
    <n v="1378"/>
    <x v="0"/>
    <s v="OFM"/>
    <n v="154.03573629081947"/>
    <d v="2017-03-23T00:00:00"/>
  </r>
  <r>
    <n v="1379"/>
    <x v="0"/>
    <s v="Tech"/>
    <n v="30.807147258163894"/>
    <d v="2017-03-24T00:00:00"/>
  </r>
  <r>
    <n v="1380"/>
    <x v="0"/>
    <s v="OFM"/>
    <n v="33.887861983980287"/>
    <d v="2017-03-25T00:00:00"/>
  </r>
  <r>
    <n v="1381"/>
    <x v="1"/>
    <s v="Tech"/>
    <n v="24.250440917107586"/>
    <d v="2017-03-26T00:00:00"/>
  </r>
  <r>
    <n v="1382"/>
    <x v="3"/>
    <s v="Tech"/>
    <n v="3.0910007601637561"/>
    <d v="2017-03-27T00:00:00"/>
  </r>
  <r>
    <n v="1383"/>
    <x v="4"/>
    <s v="Tech"/>
    <n v="70"/>
    <d v="2017-03-28T00:00:00"/>
  </r>
  <r>
    <n v="1384"/>
    <x v="0"/>
    <s v="Tech"/>
    <n v="17.235436056532226"/>
    <d v="2017-03-29T00:00:00"/>
  </r>
  <r>
    <n v="1385"/>
    <x v="4"/>
    <s v="Tech"/>
    <n v="259.04828339596071"/>
    <d v="2017-03-30T00:00:00"/>
  </r>
  <r>
    <n v="1386"/>
    <x v="4"/>
    <s v="Apps"/>
    <n v="68.911655257959296"/>
    <d v="2017-03-31T00:00:00"/>
  </r>
  <r>
    <n v="1387"/>
    <x v="1"/>
    <s v="Tech"/>
    <n v="992.06349206349205"/>
    <d v="2017-04-01T00:00:00"/>
  </r>
  <r>
    <n v="1388"/>
    <x v="0"/>
    <s v="Apps"/>
    <n v="123.22858903265558"/>
    <d v="2017-04-02T00:00:00"/>
  </r>
  <r>
    <n v="1389"/>
    <x v="1"/>
    <s v="Apps"/>
    <n v="132.27513227513228"/>
    <d v="2017-04-03T00:00:00"/>
  </r>
  <r>
    <n v="1390"/>
    <x v="1"/>
    <s v="Apps"/>
    <n v="132.27513227513228"/>
    <d v="2017-04-04T00:00:00"/>
  </r>
  <r>
    <n v="1391"/>
    <x v="4"/>
    <s v="Apps"/>
    <n v="329.04045223319753"/>
    <d v="2017-04-05T00:00:00"/>
  </r>
  <r>
    <n v="1392"/>
    <x v="4"/>
    <s v="Apps"/>
    <n v="164.52022611659876"/>
    <d v="2017-04-06T00:00:00"/>
  </r>
  <r>
    <n v="1393"/>
    <x v="4"/>
    <s v="Apps"/>
    <n v="20"/>
    <d v="2017-04-07T00:00:00"/>
  </r>
  <r>
    <n v="1394"/>
    <x v="4"/>
    <s v="Apps"/>
    <n v="20"/>
    <d v="2017-04-08T00:00:00"/>
  </r>
  <r>
    <n v="1395"/>
    <x v="2"/>
    <s v="Apps"/>
    <n v="211.79709837975219"/>
    <d v="2017-04-09T00:00:00"/>
  </r>
  <r>
    <n v="1396"/>
    <x v="0"/>
    <s v="Tech"/>
    <n v="172.35436056532231"/>
    <d v="2017-04-10T00:00:00"/>
  </r>
  <r>
    <n v="1397"/>
    <x v="1"/>
    <s v="Tech"/>
    <n v="88.183421516754848"/>
    <d v="2017-04-11T00:00:00"/>
  </r>
  <r>
    <n v="1398"/>
    <x v="2"/>
    <s v="Apps"/>
    <n v="158.84782378481412"/>
    <d v="2017-04-12T00:00:00"/>
  </r>
  <r>
    <n v="1399"/>
    <x v="1"/>
    <s v="Tech"/>
    <n v="293.80257936507934"/>
    <d v="2017-04-13T00:00:00"/>
  </r>
  <r>
    <n v="1400"/>
    <x v="2"/>
    <s v="Apps"/>
    <n v="158.84782378481412"/>
    <d v="2017-04-14T00:00:00"/>
  </r>
  <r>
    <n v="1401"/>
    <x v="2"/>
    <s v="Apps"/>
    <n v="105.89854918987609"/>
    <d v="2017-04-15T00:00:00"/>
  </r>
  <r>
    <n v="1402"/>
    <x v="1"/>
    <s v="Tech"/>
    <n v="176.3668430335097"/>
    <d v="2017-04-16T00:00:00"/>
  </r>
  <r>
    <n v="1403"/>
    <x v="1"/>
    <s v="Tech"/>
    <n v="6.6137566137566139"/>
    <d v="2017-04-17T00:00:00"/>
  </r>
  <r>
    <n v="1404"/>
    <x v="1"/>
    <s v="Tech"/>
    <n v="110.22927689594357"/>
    <d v="2017-04-18T00:00:00"/>
  </r>
  <r>
    <n v="1405"/>
    <x v="4"/>
    <s v="Tech"/>
    <n v="107.93678474831697"/>
    <d v="2017-04-19T00:00:00"/>
  </r>
  <r>
    <n v="1406"/>
    <x v="2"/>
    <s v="Tech"/>
    <n v="486.18426383599382"/>
    <d v="2017-04-20T00:00:00"/>
  </r>
  <r>
    <n v="1407"/>
    <x v="3"/>
    <s v="Tech"/>
    <n v="137.37899200454268"/>
    <d v="2017-04-21T00:00:00"/>
  </r>
  <r>
    <n v="1408"/>
    <x v="2"/>
    <s v="Apps"/>
    <n v="32.412284255732921"/>
    <d v="2017-04-22T00:00:00"/>
  </r>
  <r>
    <n v="1409"/>
    <x v="3"/>
    <s v="Tech"/>
    <n v="91.585994669695125"/>
    <d v="2017-04-23T00:00:00"/>
  </r>
  <r>
    <n v="1410"/>
    <x v="0"/>
    <s v="Tech"/>
    <n v="64.24010381200776"/>
    <d v="2017-04-24T00:00:00"/>
  </r>
  <r>
    <n v="1411"/>
    <x v="0"/>
    <s v="Apps"/>
    <n v="20"/>
    <d v="2017-04-25T00:00:00"/>
  </r>
  <r>
    <n v="1412"/>
    <x v="4"/>
    <s v="Apps"/>
    <n v="50"/>
    <d v="2017-04-26T00:00:00"/>
  </r>
  <r>
    <n v="1413"/>
    <x v="4"/>
    <s v="Apps"/>
    <n v="50"/>
    <d v="2017-04-27T00:00:00"/>
  </r>
  <r>
    <n v="1414"/>
    <x v="3"/>
    <s v="Tech"/>
    <n v="64.110196268786581"/>
    <d v="2017-04-28T00:00:00"/>
  </r>
  <r>
    <n v="1415"/>
    <x v="3"/>
    <s v="Tech"/>
    <n v="183.17198933939025"/>
    <d v="2017-04-29T00:00:00"/>
  </r>
  <r>
    <n v="1416"/>
    <x v="4"/>
    <s v="Tech"/>
    <n v="10"/>
    <d v="2017-04-30T00:00:00"/>
  </r>
  <r>
    <n v="1417"/>
    <x v="1"/>
    <s v="OFM"/>
    <n v="26.455026455026456"/>
    <d v="2017-05-01T00:00:00"/>
  </r>
  <r>
    <n v="1418"/>
    <x v="4"/>
    <s v="Tech"/>
    <n v="47.5"/>
    <d v="2017-05-02T00:00:00"/>
  </r>
  <r>
    <n v="1419"/>
    <x v="4"/>
    <s v="Tech"/>
    <n v="47.5"/>
    <d v="2017-05-03T00:00:00"/>
  </r>
  <r>
    <n v="1420"/>
    <x v="2"/>
    <s v="Apps"/>
    <n v="50"/>
    <d v="2017-05-04T00:00:00"/>
  </r>
  <r>
    <n v="1421"/>
    <x v="3"/>
    <s v="Tech"/>
    <n v="27.475798400908538"/>
    <d v="2017-05-05T00:00:00"/>
  </r>
  <r>
    <n v="1422"/>
    <x v="1"/>
    <s v="Tech"/>
    <n v="22.045855379188712"/>
    <d v="2017-05-06T00:00:00"/>
  </r>
  <r>
    <n v="1423"/>
    <x v="0"/>
    <s v="Tech"/>
    <n v="1.1324245499980727"/>
    <d v="2017-05-07T00:00:00"/>
  </r>
  <r>
    <n v="1424"/>
    <x v="4"/>
    <s v="Apps"/>
    <n v="29.330291673456088"/>
    <d v="2017-05-08T00:00:00"/>
  </r>
  <r>
    <n v="1425"/>
    <x v="4"/>
    <s v="Apps"/>
    <n v="66.964285714285708"/>
    <d v="2017-05-09T00:00:00"/>
  </r>
  <r>
    <n v="1426"/>
    <x v="1"/>
    <s v="Tech"/>
    <n v="240.18077601410934"/>
    <d v="2017-05-10T00:00:00"/>
  </r>
  <r>
    <n v="1427"/>
    <x v="1"/>
    <s v="OFM"/>
    <n v="52.910052910052912"/>
    <d v="2017-05-11T00:00:00"/>
  </r>
  <r>
    <n v="1428"/>
    <x v="4"/>
    <s v="Tech"/>
    <n v="50"/>
    <d v="2017-05-12T00:00:00"/>
  </r>
  <r>
    <n v="1429"/>
    <x v="0"/>
    <s v="Tech"/>
    <n v="770.17868145409739"/>
    <d v="2017-05-13T00:00:00"/>
  </r>
  <r>
    <n v="1430"/>
    <x v="0"/>
    <s v="Tech"/>
    <n v="61.614294516327789"/>
    <d v="2017-05-14T00:00:00"/>
  </r>
  <r>
    <n v="1431"/>
    <x v="0"/>
    <s v="Apps"/>
    <n v="123.22858903265558"/>
    <d v="2017-05-15T00:00:00"/>
  </r>
  <r>
    <n v="1432"/>
    <x v="1"/>
    <s v="Tech"/>
    <n v="195.868430335097"/>
    <d v="2017-05-16T00:00:00"/>
  </r>
  <r>
    <n v="1433"/>
    <x v="0"/>
    <s v="Tech"/>
    <n v="30.742487119859188"/>
    <d v="2017-05-17T00:00:00"/>
  </r>
  <r>
    <n v="1434"/>
    <x v="3"/>
    <s v="Tech"/>
    <n v="183.17198933939025"/>
    <d v="2017-05-18T00:00:00"/>
  </r>
  <r>
    <n v="1435"/>
    <x v="4"/>
    <s v="Apps"/>
    <n v="0"/>
    <d v="2017-05-19T00:00:00"/>
  </r>
  <r>
    <n v="1436"/>
    <x v="0"/>
    <s v="Tech"/>
    <n v="21.565003080714728"/>
    <d v="2017-05-20T00:00:00"/>
  </r>
  <r>
    <n v="1437"/>
    <x v="4"/>
    <s v="Tech"/>
    <n v="39.766183854643089"/>
    <d v="2017-05-21T00:00:00"/>
  </r>
  <r>
    <n v="1438"/>
    <x v="1"/>
    <s v="Tech"/>
    <n v="330.68783068783068"/>
    <d v="2017-05-22T00:00:00"/>
  </r>
  <r>
    <n v="1439"/>
    <x v="4"/>
    <s v="Apps"/>
    <n v="30.195"/>
    <d v="2017-05-23T00:00:00"/>
  </r>
  <r>
    <n v="1440"/>
    <x v="2"/>
    <s v="Apps"/>
    <n v="148.25796886582651"/>
    <d v="2017-05-24T00:00:00"/>
  </r>
  <r>
    <n v="1441"/>
    <x v="2"/>
    <s v="OFM"/>
    <n v="195.91231600127077"/>
    <d v="2017-05-25T00:00:00"/>
  </r>
  <r>
    <n v="1442"/>
    <x v="4"/>
    <s v="Apps"/>
    <n v="4.2"/>
    <d v="2017-05-26T00:00:00"/>
  </r>
  <r>
    <n v="1443"/>
    <x v="2"/>
    <s v="OFM"/>
    <n v="445.83289208937839"/>
    <d v="2017-05-27T00:00:00"/>
  </r>
  <r>
    <n v="1444"/>
    <x v="2"/>
    <s v="Apps"/>
    <n v="52.949274594938046"/>
    <d v="2017-05-28T00:00:00"/>
  </r>
  <r>
    <n v="1445"/>
    <x v="4"/>
    <s v="Tech"/>
    <n v="4"/>
    <d v="2017-05-29T00:00:00"/>
  </r>
  <r>
    <n v="1446"/>
    <x v="0"/>
    <s v="OFM"/>
    <n v="154.03573629081947"/>
    <d v="2017-05-30T00:00:00"/>
  </r>
  <r>
    <n v="1447"/>
    <x v="4"/>
    <s v="Apps"/>
    <n v="20"/>
    <d v="2017-05-31T00:00:00"/>
  </r>
  <r>
    <n v="1448"/>
    <x v="0"/>
    <s v="Apps"/>
    <n v="154.03573629081947"/>
    <d v="2017-06-01T00:00:00"/>
  </r>
  <r>
    <n v="1449"/>
    <x v="1"/>
    <s v="Apps"/>
    <n v="110.22927689594357"/>
    <d v="2017-06-02T00:00:00"/>
  </r>
  <r>
    <n v="1450"/>
    <x v="1"/>
    <s v="OFM"/>
    <n v="66.137566137566139"/>
    <d v="2017-06-03T00:00:00"/>
  </r>
  <r>
    <n v="1451"/>
    <x v="2"/>
    <s v="Apps"/>
    <n v="3.6690705777489669"/>
    <d v="2017-06-04T00:00:00"/>
  </r>
  <r>
    <n v="1452"/>
    <x v="2"/>
    <s v="OFM"/>
    <n v="105.89854918987609"/>
    <d v="2017-06-05T00:00:00"/>
  </r>
  <r>
    <n v="1453"/>
    <x v="2"/>
    <s v="OFM"/>
    <n v="52.949274594938046"/>
    <d v="2017-06-06T00:00:00"/>
  </r>
  <r>
    <n v="1454"/>
    <x v="0"/>
    <s v="Tech"/>
    <n v="7.5076124523017231"/>
    <d v="2017-06-07T00:00:00"/>
  </r>
  <r>
    <n v="1455"/>
    <x v="0"/>
    <s v="Tech"/>
    <n v="1540.3573629081948"/>
    <d v="2017-06-08T00:00:00"/>
  </r>
  <r>
    <n v="1456"/>
    <x v="1"/>
    <s v="OFM"/>
    <n v="79.365079365079367"/>
    <d v="2017-06-09T00:00:00"/>
  </r>
  <r>
    <n v="1457"/>
    <x v="2"/>
    <s v="OFM"/>
    <n v="356.87811076988243"/>
    <d v="2017-06-10T00:00:00"/>
  </r>
  <r>
    <n v="1458"/>
    <x v="1"/>
    <s v="Tech"/>
    <n v="12.786596119929454"/>
    <d v="2017-06-11T00:00:00"/>
  </r>
  <r>
    <n v="1459"/>
    <x v="4"/>
    <s v="Apps"/>
    <n v="100"/>
    <d v="2017-06-12T00:00:00"/>
  </r>
  <r>
    <n v="1460"/>
    <x v="0"/>
    <s v="Apps"/>
    <n v="154.03573629081947"/>
    <d v="2017-06-13T00:00:00"/>
  </r>
  <r>
    <n v="1461"/>
    <x v="1"/>
    <s v="Tech"/>
    <n v="97.927689594356252"/>
    <d v="2017-06-14T00:00:00"/>
  </r>
  <r>
    <n v="1462"/>
    <x v="3"/>
    <s v="Tech"/>
    <n v="136.81573813732405"/>
    <d v="2017-06-15T00:00:00"/>
  </r>
  <r>
    <n v="1463"/>
    <x v="4"/>
    <s v="Tech"/>
    <n v="100"/>
    <d v="2017-06-16T00:00:00"/>
  </r>
  <r>
    <n v="1464"/>
    <x v="2"/>
    <s v="OFM"/>
    <n v="293.33898125595681"/>
    <d v="2017-06-17T00:00:00"/>
  </r>
  <r>
    <n v="1465"/>
    <x v="0"/>
    <s v="Apps"/>
    <n v="107.82501540357363"/>
    <d v="2017-06-18T00:00:00"/>
  </r>
  <r>
    <n v="1466"/>
    <x v="4"/>
    <s v="Tech"/>
    <n v="650"/>
    <d v="2017-06-19T00:00:00"/>
  </r>
  <r>
    <n v="1467"/>
    <x v="1"/>
    <s v="Apps"/>
    <n v="44.091710758377424"/>
    <d v="2017-06-20T00:00:00"/>
  </r>
  <r>
    <n v="1468"/>
    <x v="3"/>
    <s v="Tech"/>
    <n v="82.427395202725606"/>
    <d v="2017-06-21T00:00:00"/>
  </r>
  <r>
    <n v="1469"/>
    <x v="0"/>
    <s v="OFM"/>
    <n v="20.682523267838675"/>
    <d v="2017-06-22T00:00:00"/>
  </r>
  <r>
    <n v="1470"/>
    <x v="0"/>
    <s v="Tech"/>
    <n v="86.177180282661155"/>
    <d v="2017-06-23T00:00:00"/>
  </r>
  <r>
    <n v="1471"/>
    <x v="0"/>
    <s v="Tech"/>
    <n v="68.941744226128904"/>
    <d v="2017-06-24T00:00:00"/>
  </r>
  <r>
    <n v="1472"/>
    <x v="0"/>
    <s v="Tech"/>
    <n v="31.023784901758013"/>
    <d v="2017-06-25T00:00:00"/>
  </r>
  <r>
    <n v="1473"/>
    <x v="0"/>
    <s v="Tech"/>
    <n v="41.365046535677351"/>
    <d v="2017-06-26T00:00:00"/>
  </r>
  <r>
    <n v="1474"/>
    <x v="4"/>
    <s v="OFM"/>
    <n v="340.85300446836936"/>
    <d v="2017-06-27T00:00:00"/>
  </r>
  <r>
    <n v="1475"/>
    <x v="2"/>
    <s v="Tech"/>
    <n v="211.79709837975219"/>
    <d v="2017-06-28T00:00:00"/>
  </r>
  <r>
    <n v="1476"/>
    <x v="0"/>
    <s v="Tech"/>
    <n v="3.8779731127197516"/>
    <d v="2017-06-29T00:00:00"/>
  </r>
  <r>
    <n v="1477"/>
    <x v="4"/>
    <s v="OFM"/>
    <n v="4.5"/>
    <d v="2017-06-30T00:00:00"/>
  </r>
  <r>
    <n v="1478"/>
    <x v="4"/>
    <s v="Tech"/>
    <n v="200"/>
    <d v="2017-07-01T00:00:00"/>
  </r>
  <r>
    <n v="1479"/>
    <x v="0"/>
    <s v="Tech"/>
    <n v="49.095348120764015"/>
    <d v="2017-07-02T00:00:00"/>
  </r>
  <r>
    <n v="1480"/>
    <x v="4"/>
    <s v="Tech"/>
    <n v="57"/>
    <d v="2017-07-03T00:00:00"/>
  </r>
  <r>
    <n v="1481"/>
    <x v="0"/>
    <s v="Apps"/>
    <n v="10.782501540357364"/>
    <d v="2017-07-04T00:00:00"/>
  </r>
  <r>
    <n v="1482"/>
    <x v="2"/>
    <s v="Tech"/>
    <n v="59.303187546330612"/>
    <d v="2017-07-05T00:00:00"/>
  </r>
  <r>
    <n v="1483"/>
    <x v="4"/>
    <s v="Apps"/>
    <n v="67"/>
    <d v="2017-07-06T00:00:00"/>
  </r>
  <r>
    <n v="1484"/>
    <x v="0"/>
    <s v="Tech"/>
    <n v="29.30024129610479"/>
    <d v="2017-07-07T00:00:00"/>
  </r>
  <r>
    <n v="1485"/>
    <x v="0"/>
    <s v="Tech"/>
    <n v="78.593588417786961"/>
    <d v="2017-07-08T00:00:00"/>
  </r>
  <r>
    <n v="1486"/>
    <x v="1"/>
    <s v="Apps"/>
    <n v="44.091710758377424"/>
    <d v="2017-07-09T00:00:00"/>
  </r>
  <r>
    <n v="1487"/>
    <x v="1"/>
    <s v="OFM"/>
    <n v="22.045855379188712"/>
    <d v="2017-07-10T00:00:00"/>
  </r>
  <r>
    <n v="1488"/>
    <x v="4"/>
    <s v="Tech"/>
    <n v="900"/>
    <d v="2017-07-11T00:00:00"/>
  </r>
  <r>
    <n v="1489"/>
    <x v="0"/>
    <s v="OFM"/>
    <n v="17.235436056532226"/>
    <d v="2017-07-12T00:00:00"/>
  </r>
  <r>
    <n v="1490"/>
    <x v="0"/>
    <s v="Tech"/>
    <n v="17.235436056532226"/>
    <d v="2017-07-13T00:00:00"/>
  </r>
  <r>
    <n v="1491"/>
    <x v="1"/>
    <s v="Tech"/>
    <n v="97.934215167548501"/>
    <d v="2017-07-14T00:00:00"/>
  </r>
  <r>
    <n v="1492"/>
    <x v="2"/>
    <s v="Apps"/>
    <n v="16.20614212786646"/>
    <d v="2017-07-15T00:00:00"/>
  </r>
  <r>
    <n v="1493"/>
    <x v="0"/>
    <s v="Apps"/>
    <n v="77.017868145409736"/>
    <d v="2017-07-16T00:00:00"/>
  </r>
  <r>
    <n v="1494"/>
    <x v="4"/>
    <s v="Apps"/>
    <n v="4.125"/>
    <d v="2017-07-17T00:00:00"/>
  </r>
  <r>
    <n v="1495"/>
    <x v="1"/>
    <s v="Apps"/>
    <n v="65.035273368606695"/>
    <d v="2017-07-18T00:00:00"/>
  </r>
  <r>
    <n v="1496"/>
    <x v="1"/>
    <s v="Tech"/>
    <n v="36.081128747795418"/>
    <d v="2017-07-19T00:00:00"/>
  </r>
  <r>
    <n v="1497"/>
    <x v="1"/>
    <s v="Tech"/>
    <n v="22.045855379188712"/>
    <d v="2017-07-20T00:00:00"/>
  </r>
  <r>
    <n v="1498"/>
    <x v="1"/>
    <s v="OFM"/>
    <n v="66.137566137566139"/>
    <d v="2017-07-21T00:00:00"/>
  </r>
  <r>
    <n v="1499"/>
    <x v="0"/>
    <s v="Tech"/>
    <n v="26.956253850893408"/>
    <d v="2017-07-22T00:00:00"/>
  </r>
  <r>
    <n v="1500"/>
    <x v="0"/>
    <s v="OFM"/>
    <n v="46.210720887245841"/>
    <d v="2017-07-23T00:00:00"/>
  </r>
  <r>
    <n v="1501"/>
    <x v="1"/>
    <s v="Tech"/>
    <n v="5.511463844797178"/>
    <d v="2017-07-24T00:00:00"/>
  </r>
  <r>
    <n v="1502"/>
    <x v="1"/>
    <s v="OFM"/>
    <n v="237.103835978836"/>
    <d v="2017-07-25T00:00:00"/>
  </r>
  <r>
    <n v="1503"/>
    <x v="1"/>
    <s v="Tech"/>
    <n v="41.235449735449734"/>
    <d v="2017-07-26T00:00:00"/>
  </r>
  <r>
    <n v="1504"/>
    <x v="0"/>
    <s v="Tech"/>
    <n v="265.49368453481208"/>
    <d v="2017-07-27T00:00:00"/>
  </r>
  <r>
    <n v="1505"/>
    <x v="0"/>
    <s v="Tech"/>
    <n v="61.614294516327789"/>
    <d v="2017-07-28T00:00:00"/>
  </r>
  <r>
    <n v="1506"/>
    <x v="0"/>
    <s v="Tech"/>
    <n v="25.853154084798344"/>
    <d v="2017-07-29T00:00:00"/>
  </r>
  <r>
    <n v="1507"/>
    <x v="4"/>
    <s v="Tech"/>
    <n v="15"/>
    <d v="2017-07-30T00:00:00"/>
  </r>
  <r>
    <n v="1508"/>
    <x v="0"/>
    <s v="Tech"/>
    <n v="1.9303688383316095"/>
    <d v="2017-07-31T00:00:00"/>
  </r>
  <r>
    <n v="1509"/>
    <x v="1"/>
    <s v="OFM"/>
    <n v="771.60493827160496"/>
    <d v="2017-08-01T00:00:00"/>
  </r>
  <r>
    <n v="1510"/>
    <x v="0"/>
    <s v="OFM"/>
    <n v="188.4039986211651"/>
    <d v="2017-08-02T00:00:00"/>
  </r>
  <r>
    <n v="1511"/>
    <x v="4"/>
    <s v="OFM"/>
    <n v="579.76927683489407"/>
    <d v="2017-08-03T00:00:00"/>
  </r>
  <r>
    <n v="1512"/>
    <x v="4"/>
    <s v="Tech"/>
    <n v="1.1000000000000001"/>
    <d v="2017-08-04T00:00:00"/>
  </r>
  <r>
    <n v="1513"/>
    <x v="2"/>
    <s v="Apps"/>
    <n v="21.179709837975221"/>
    <d v="2017-08-05T00:00:00"/>
  </r>
  <r>
    <n v="1514"/>
    <x v="4"/>
    <s v="Tech"/>
    <n v="20"/>
    <d v="2017-08-06T00:00:00"/>
  </r>
  <r>
    <n v="1515"/>
    <x v="2"/>
    <s v="Apps"/>
    <n v="52.949274594938046"/>
    <d v="2017-08-07T00:00:00"/>
  </r>
  <r>
    <n v="1516"/>
    <x v="2"/>
    <s v="Apps"/>
    <n v="52.949274594938046"/>
    <d v="2017-08-08T00:00:00"/>
  </r>
  <r>
    <n v="1517"/>
    <x v="1"/>
    <s v="Apps"/>
    <n v="132.27513227513228"/>
    <d v="2017-08-09T00:00:00"/>
  </r>
  <r>
    <n v="1518"/>
    <x v="2"/>
    <s v="Tech"/>
    <n v="52.949274594938046"/>
    <d v="2017-08-10T00:00:00"/>
  </r>
  <r>
    <n v="1519"/>
    <x v="0"/>
    <s v="Apps"/>
    <n v="137.88348845225781"/>
    <d v="2017-08-11T00:00:00"/>
  </r>
  <r>
    <n v="1520"/>
    <x v="2"/>
    <s v="OFM"/>
    <n v="52.949274594938046"/>
    <d v="2017-08-12T00:00:00"/>
  </r>
  <r>
    <n v="1521"/>
    <x v="0"/>
    <s v="Tech"/>
    <n v="34.470872113064452"/>
    <d v="2017-08-13T00:00:00"/>
  </r>
  <r>
    <n v="1522"/>
    <x v="0"/>
    <s v="Tech"/>
    <n v="34.470872113064452"/>
    <d v="2017-08-14T00:00:00"/>
  </r>
  <r>
    <n v="1523"/>
    <x v="0"/>
    <s v="Tech"/>
    <n v="20.682523267838675"/>
    <d v="2017-08-15T00:00:00"/>
  </r>
  <r>
    <n v="1524"/>
    <x v="1"/>
    <s v="Tech"/>
    <n v="80.821516754850094"/>
    <d v="2017-08-16T00:00:00"/>
  </r>
  <r>
    <n v="1525"/>
    <x v="0"/>
    <s v="Tech"/>
    <n v="4.8822478897125903"/>
    <d v="2017-08-17T00:00:00"/>
  </r>
  <r>
    <n v="1526"/>
    <x v="2"/>
    <s v="Tech"/>
    <n v="52.949274594938046"/>
    <d v="2017-08-18T00:00:00"/>
  </r>
  <r>
    <n v="1527"/>
    <x v="0"/>
    <s v="Apps"/>
    <n v="23.105360443622921"/>
    <d v="2017-08-19T00:00:00"/>
  </r>
  <r>
    <n v="1528"/>
    <x v="4"/>
    <s v="Tech"/>
    <n v="2"/>
    <d v="2017-08-20T00:00:00"/>
  </r>
  <r>
    <n v="1529"/>
    <x v="0"/>
    <s v="Tech"/>
    <n v="3.8544062287204657"/>
    <d v="2017-08-21T00:00:00"/>
  </r>
  <r>
    <n v="1530"/>
    <x v="1"/>
    <s v="Apps"/>
    <n v="2.2045855379188714E-4"/>
    <d v="2017-08-22T00:00:00"/>
  </r>
  <r>
    <n v="1531"/>
    <x v="0"/>
    <s v="Tech"/>
    <n v="17.235436056532226"/>
    <d v="2017-08-23T00:00:00"/>
  </r>
  <r>
    <n v="1532"/>
    <x v="0"/>
    <s v="Tech"/>
    <n v="82.730093071354702"/>
    <d v="2017-08-24T00:00:00"/>
  </r>
  <r>
    <n v="1533"/>
    <x v="0"/>
    <s v="Tech"/>
    <n v="44.812133746983797"/>
    <d v="2017-08-25T00:00:00"/>
  </r>
  <r>
    <n v="1534"/>
    <x v="0"/>
    <s v="Tech"/>
    <n v="120.64805239572561"/>
    <d v="2017-08-26T00:00:00"/>
  </r>
  <r>
    <n v="1535"/>
    <x v="4"/>
    <s v="Tech"/>
    <n v="1.5"/>
    <d v="2017-08-27T00:00:00"/>
  </r>
  <r>
    <n v="1536"/>
    <x v="0"/>
    <s v="Tech"/>
    <n v="77.017868145409736"/>
    <d v="2017-08-28T00:00:00"/>
  </r>
  <r>
    <n v="1537"/>
    <x v="1"/>
    <s v="Tech"/>
    <n v="30.8641975308642"/>
    <d v="2017-08-29T00:00:00"/>
  </r>
  <r>
    <n v="1538"/>
    <x v="0"/>
    <s v="Tech"/>
    <n v="68.941744226128904"/>
    <d v="2017-08-30T00:00:00"/>
  </r>
  <r>
    <n v="1539"/>
    <x v="1"/>
    <s v="Apps"/>
    <n v="132.27513227513228"/>
    <d v="2017-08-31T00:00:00"/>
  </r>
  <r>
    <n v="1540"/>
    <x v="0"/>
    <s v="Tech"/>
    <n v="3.8607376766632191"/>
    <d v="2017-09-01T00:00:00"/>
  </r>
  <r>
    <n v="1541"/>
    <x v="1"/>
    <s v="Apps"/>
    <n v="110.22927689594357"/>
    <d v="2017-09-02T00:00:00"/>
  </r>
  <r>
    <n v="1542"/>
    <x v="1"/>
    <s v="Apps"/>
    <n v="132.27513227513228"/>
    <d v="2017-09-03T00:00:00"/>
  </r>
  <r>
    <n v="1543"/>
    <x v="4"/>
    <s v="Tech"/>
    <n v="2"/>
    <d v="2017-09-04T00:00:00"/>
  </r>
  <r>
    <n v="1544"/>
    <x v="2"/>
    <s v="OFM"/>
    <n v="317.69564756962825"/>
    <d v="2017-09-05T00:00:00"/>
  </r>
  <r>
    <n v="1545"/>
    <x v="1"/>
    <s v="OFM"/>
    <n v="28.659611992945326"/>
    <d v="2017-09-06T00:00:00"/>
  </r>
  <r>
    <n v="1546"/>
    <x v="2"/>
    <s v="Apps"/>
    <n v="52.949274594938046"/>
    <d v="2017-09-07T00:00:00"/>
  </r>
  <r>
    <n v="1547"/>
    <x v="4"/>
    <s v="Tech"/>
    <n v="11.732116669382433"/>
    <d v="2017-09-08T00:00:00"/>
  </r>
  <r>
    <n v="1548"/>
    <x v="4"/>
    <s v="Tech"/>
    <n v="689.11655257959308"/>
    <d v="2017-09-09T00:00:00"/>
  </r>
  <r>
    <n v="1549"/>
    <x v="0"/>
    <s v="Tech"/>
    <n v="46.210720887245841"/>
    <d v="2017-09-10T00:00:00"/>
  </r>
  <r>
    <n v="1550"/>
    <x v="0"/>
    <s v="Tech"/>
    <n v="28.679765598069629"/>
    <d v="2017-09-11T00:00:00"/>
  </r>
  <r>
    <n v="1551"/>
    <x v="0"/>
    <s v="Tech"/>
    <n v="9.4401240951396073"/>
    <d v="2017-09-12T00:00:00"/>
  </r>
  <r>
    <n v="1552"/>
    <x v="0"/>
    <s v="Tech"/>
    <n v="29.046570148224749"/>
    <d v="2017-09-13T00:00:00"/>
  </r>
  <r>
    <n v="1553"/>
    <x v="0"/>
    <s v="Tech"/>
    <n v="14.523267838676318"/>
    <d v="2017-09-14T00:00:00"/>
  </r>
  <r>
    <n v="1554"/>
    <x v="0"/>
    <s v="Tech"/>
    <n v="14.523267838676318"/>
    <d v="2017-09-15T00:00:00"/>
  </r>
  <r>
    <n v="1555"/>
    <x v="0"/>
    <s v="Tech"/>
    <n v="31.713202344019301"/>
    <d v="2017-09-16T00:00:00"/>
  </r>
  <r>
    <n v="1556"/>
    <x v="0"/>
    <s v="Tech"/>
    <n v="33.887693898655634"/>
    <d v="2017-09-17T00:00:00"/>
  </r>
  <r>
    <n v="1557"/>
    <x v="0"/>
    <s v="Tech"/>
    <n v="14.523267838676318"/>
    <d v="2017-09-18T00:00:00"/>
  </r>
  <r>
    <n v="1558"/>
    <x v="3"/>
    <s v="Tech"/>
    <n v="59.530896535301828"/>
    <d v="2017-09-19T00:00:00"/>
  </r>
  <r>
    <n v="1559"/>
    <x v="1"/>
    <s v="Tech"/>
    <n v="293.80291005291002"/>
    <d v="2017-09-20T00:00:00"/>
  </r>
  <r>
    <n v="1560"/>
    <x v="0"/>
    <s v="Tech"/>
    <n v="10.341261633919338"/>
    <d v="2017-09-21T00:00:00"/>
  </r>
  <r>
    <n v="1561"/>
    <x v="2"/>
    <s v="Tech"/>
    <n v="105.89854918987609"/>
    <d v="2017-09-22T00:00:00"/>
  </r>
  <r>
    <n v="1562"/>
    <x v="1"/>
    <s v="Tech"/>
    <n v="391.73721340388005"/>
    <d v="2017-09-23T00:00:00"/>
  </r>
  <r>
    <n v="1563"/>
    <x v="1"/>
    <s v="Tech"/>
    <n v="66.137566137566139"/>
    <d v="2017-09-24T00:00:00"/>
  </r>
  <r>
    <n v="1564"/>
    <x v="1"/>
    <s v="Tech"/>
    <n v="195.86860670194002"/>
    <d v="2017-09-25T00:00:00"/>
  </r>
  <r>
    <n v="1565"/>
    <x v="1"/>
    <s v="Apps"/>
    <n v="30"/>
    <d v="2017-09-26T00:00:00"/>
  </r>
  <r>
    <n v="1566"/>
    <x v="0"/>
    <s v="Apps"/>
    <n v="61.614294516327789"/>
    <d v="2017-09-27T00:00:00"/>
  </r>
  <r>
    <n v="1567"/>
    <x v="0"/>
    <s v="Tech"/>
    <n v="21.010474430067774"/>
    <d v="2017-09-28T00:00:00"/>
  </r>
  <r>
    <n v="1568"/>
    <x v="0"/>
    <s v="Apps"/>
    <n v="68.941744226128904"/>
    <d v="2017-09-29T00:00:00"/>
  </r>
  <r>
    <n v="1569"/>
    <x v="1"/>
    <s v="Tech"/>
    <n v="72.156084656084658"/>
    <d v="2017-09-30T00:00:00"/>
  </r>
  <r>
    <n v="1570"/>
    <x v="0"/>
    <s v="Apps"/>
    <n v="154.03573629081947"/>
    <d v="2017-10-01T00:00:00"/>
  </r>
  <r>
    <n v="1571"/>
    <x v="0"/>
    <s v="Tech"/>
    <n v="11.563218686161397"/>
    <d v="2017-10-02T00:00:00"/>
  </r>
  <r>
    <n v="1572"/>
    <x v="0"/>
    <s v="Tech"/>
    <n v="39.681144432954149"/>
    <d v="2017-10-03T00:00:00"/>
  </r>
  <r>
    <n v="1573"/>
    <x v="0"/>
    <s v="Tech"/>
    <n v="9.9207169941399513"/>
    <d v="2017-10-04T00:00:00"/>
  </r>
  <r>
    <n v="1574"/>
    <x v="1"/>
    <s v="Tech"/>
    <n v="99.206349206349202"/>
    <d v="2017-10-05T00:00:00"/>
  </r>
  <r>
    <n v="1575"/>
    <x v="1"/>
    <s v="Tech"/>
    <n v="88.183421516754848"/>
    <d v="2017-10-06T00:00:00"/>
  </r>
  <r>
    <n v="1576"/>
    <x v="0"/>
    <s v="Tech"/>
    <n v="107.82501540357363"/>
    <d v="2017-10-07T00:00:00"/>
  </r>
  <r>
    <n v="1577"/>
    <x v="4"/>
    <s v="Apps"/>
    <n v="100"/>
    <d v="2017-10-08T00:00:00"/>
  </r>
  <r>
    <n v="1578"/>
    <x v="0"/>
    <s v="Tech"/>
    <n v="24.645717806531117"/>
    <d v="2017-10-09T00:00:00"/>
  </r>
  <r>
    <n v="1579"/>
    <x v="1"/>
    <s v="Tech"/>
    <n v="391.73677248677251"/>
    <d v="2017-10-10T00:00:00"/>
  </r>
  <r>
    <n v="1580"/>
    <x v="0"/>
    <s v="Apps"/>
    <n v="25.696041524803107"/>
    <d v="2017-10-11T00:00:00"/>
  </r>
  <r>
    <n v="1581"/>
    <x v="4"/>
    <s v="OFM"/>
    <n v="26"/>
    <d v="2017-10-12T00:00:00"/>
  </r>
  <r>
    <n v="1582"/>
    <x v="0"/>
    <s v="OFM"/>
    <n v="144.77766287487074"/>
    <d v="2017-10-13T00:00:00"/>
  </r>
  <r>
    <n v="1583"/>
    <x v="0"/>
    <s v="Tech"/>
    <n v="18.916925198207515"/>
    <d v="2017-10-14T00:00:00"/>
  </r>
  <r>
    <n v="1584"/>
    <x v="0"/>
    <s v="OFM"/>
    <n v="27.576697690451567"/>
    <d v="2017-10-15T00:00:00"/>
  </r>
  <r>
    <n v="1585"/>
    <x v="3"/>
    <s v="OFM"/>
    <n v="12.528964070814293"/>
    <d v="2017-10-16T00:00:00"/>
  </r>
  <r>
    <n v="1586"/>
    <x v="1"/>
    <s v="OFM"/>
    <n v="33.06878306878307"/>
    <d v="2017-10-17T00:00:00"/>
  </r>
  <r>
    <n v="1587"/>
    <x v="2"/>
    <s v="Tech"/>
    <n v="211.79709837975219"/>
    <d v="2017-10-18T00:00:00"/>
  </r>
  <r>
    <n v="1588"/>
    <x v="0"/>
    <s v="Tech"/>
    <n v="68.941744226128904"/>
    <d v="2017-10-19T00:00:00"/>
  </r>
  <r>
    <n v="1589"/>
    <x v="4"/>
    <s v="Tech"/>
    <n v="1.7924067133778718"/>
    <d v="2017-10-20T00:00:00"/>
  </r>
  <r>
    <n v="1590"/>
    <x v="0"/>
    <s v="Tech"/>
    <n v="3.0807147258163896"/>
    <d v="2017-10-21T00:00:00"/>
  </r>
  <r>
    <n v="1591"/>
    <x v="1"/>
    <s v="Apps"/>
    <n v="44.091710758377424"/>
    <d v="2017-10-22T00:00:00"/>
  </r>
  <r>
    <n v="1592"/>
    <x v="2"/>
    <s v="Tech"/>
    <n v="105.89854918987609"/>
    <d v="2017-10-23T00:00:00"/>
  </r>
  <r>
    <n v="1593"/>
    <x v="2"/>
    <s v="Apps"/>
    <n v="370.64492216456637"/>
    <d v="2017-10-24T00:00:00"/>
  </r>
  <r>
    <n v="1594"/>
    <x v="2"/>
    <s v="OFM"/>
    <n v="158.84782378481412"/>
    <d v="2017-10-25T00:00:00"/>
  </r>
  <r>
    <n v="1595"/>
    <x v="2"/>
    <s v="Apps"/>
    <n v="105.89854918987609"/>
    <d v="2017-10-26T00:00:00"/>
  </r>
  <r>
    <n v="1596"/>
    <x v="0"/>
    <s v="Tech"/>
    <n v="27.576697690451567"/>
    <d v="2017-10-27T00:00:00"/>
  </r>
  <r>
    <n v="1597"/>
    <x v="2"/>
    <s v="Apps"/>
    <n v="529.49274594938049"/>
    <d v="2017-10-28T00:00:00"/>
  </r>
  <r>
    <n v="1598"/>
    <x v="4"/>
    <s v="Tech"/>
    <n v="50"/>
    <d v="2017-10-29T00:00:00"/>
  </r>
  <r>
    <n v="1599"/>
    <x v="3"/>
    <s v="Tech"/>
    <n v="48.778137507212399"/>
    <d v="2017-10-30T00:00:00"/>
  </r>
  <r>
    <n v="1600"/>
    <x v="1"/>
    <s v="Tech"/>
    <n v="195.8553791887125"/>
    <d v="2017-10-31T00:00:00"/>
  </r>
  <r>
    <n v="1601"/>
    <x v="0"/>
    <s v="Tech"/>
    <n v="30.807147258163894"/>
    <d v="2017-11-01T00:00:00"/>
  </r>
  <r>
    <n v="1602"/>
    <x v="0"/>
    <s v="Tech"/>
    <n v="25.696041524803107"/>
    <d v="2017-11-02T00:00:00"/>
  </r>
  <r>
    <n v="1603"/>
    <x v="0"/>
    <s v="Tech"/>
    <n v="30.807147258163894"/>
    <d v="2017-11-03T00:00:00"/>
  </r>
  <r>
    <n v="1604"/>
    <x v="0"/>
    <s v="OFM"/>
    <n v="68.941744226128904"/>
    <d v="2017-11-04T00:00:00"/>
  </r>
  <r>
    <n v="1605"/>
    <x v="0"/>
    <s v="Tech"/>
    <n v="53.912507701786815"/>
    <d v="2017-11-05T00:00:00"/>
  </r>
  <r>
    <n v="1606"/>
    <x v="0"/>
    <s v="Other"/>
    <n v="130.98931402964493"/>
    <d v="2017-11-06T00:00:00"/>
  </r>
  <r>
    <n v="1607"/>
    <x v="3"/>
    <s v="Tech"/>
    <n v="45.792997334847563"/>
    <d v="2017-11-07T00:00:00"/>
  </r>
  <r>
    <n v="1608"/>
    <x v="4"/>
    <s v="Apps"/>
    <n v="1792.4067133778719"/>
    <d v="2017-11-08T00:00:00"/>
  </r>
  <r>
    <n v="1609"/>
    <x v="0"/>
    <s v="Tech"/>
    <n v="15.403573629081947"/>
    <d v="2017-11-09T00:00:00"/>
  </r>
  <r>
    <n v="1610"/>
    <x v="3"/>
    <s v="Tech"/>
    <n v="183.17198933939025"/>
    <d v="2017-11-10T00:00:00"/>
  </r>
  <r>
    <n v="1611"/>
    <x v="0"/>
    <s v="Apps"/>
    <n v="27.726432532347506"/>
    <d v="2017-11-11T00:00:00"/>
  </r>
  <r>
    <n v="1612"/>
    <x v="1"/>
    <s v="Tech"/>
    <n v="15"/>
    <d v="2017-11-12T00:00:00"/>
  </r>
  <r>
    <n v="1613"/>
    <x v="4"/>
    <s v="Tech"/>
    <n v="51.369044884458127"/>
    <d v="2017-11-13T00:00:00"/>
  </r>
  <r>
    <n v="1614"/>
    <x v="4"/>
    <s v="Tech"/>
    <n v="756.79304013635442"/>
    <d v="2017-11-14T00:00:00"/>
  </r>
  <r>
    <n v="1615"/>
    <x v="0"/>
    <s v="Tech"/>
    <n v="77.017868145409736"/>
    <d v="2017-11-15T00:00:00"/>
  </r>
  <r>
    <n v="1616"/>
    <x v="4"/>
    <s v="Tech"/>
    <n v="756.79304013635442"/>
    <d v="2017-11-16T00:00:00"/>
  </r>
  <r>
    <n v="1617"/>
    <x v="4"/>
    <s v="Tech"/>
    <n v="987.12135669959264"/>
    <d v="2017-11-17T00:00:00"/>
  </r>
  <r>
    <n v="1618"/>
    <x v="0"/>
    <s v="Tech"/>
    <n v="27.726432532347506"/>
    <d v="2017-11-18T00:00:00"/>
  </r>
  <r>
    <n v="1619"/>
    <x v="0"/>
    <s v="Apps"/>
    <n v="77.017868145409736"/>
    <d v="2017-11-19T00:00:00"/>
  </r>
  <r>
    <n v="1620"/>
    <x v="0"/>
    <s v="Apps"/>
    <n v="315.24953789279112"/>
    <d v="2017-11-20T00:00:00"/>
  </r>
  <r>
    <n v="1621"/>
    <x v="4"/>
    <s v="Tech"/>
    <n v="37.850875178021781"/>
    <d v="2017-11-21T00:00:00"/>
  </r>
  <r>
    <n v="1622"/>
    <x v="1"/>
    <s v="Apps"/>
    <n v="66.137566137566139"/>
    <d v="2017-11-22T00:00:00"/>
  </r>
  <r>
    <n v="1623"/>
    <x v="3"/>
    <s v="Tech"/>
    <n v="18.317198933939025"/>
    <d v="2017-11-23T00:00:00"/>
  </r>
  <r>
    <n v="1624"/>
    <x v="0"/>
    <s v="Apps"/>
    <n v="25.696041524803107"/>
    <d v="2017-11-24T00:00:00"/>
  </r>
  <r>
    <n v="1625"/>
    <x v="0"/>
    <s v="OFM"/>
    <n v="51.706308169596689"/>
    <d v="2017-11-25T00:00:00"/>
  </r>
  <r>
    <n v="1626"/>
    <x v="1"/>
    <s v="Tech"/>
    <n v="4.8500881834215166"/>
    <d v="2017-11-26T00:00:00"/>
  </r>
  <r>
    <n v="1627"/>
    <x v="0"/>
    <s v="Tech"/>
    <n v="68.941744226128904"/>
    <d v="2017-11-27T00:00:00"/>
  </r>
  <r>
    <n v="1628"/>
    <x v="0"/>
    <s v="Apps"/>
    <n v="34.470872113064452"/>
    <d v="2017-11-28T00:00:00"/>
  </r>
  <r>
    <n v="1629"/>
    <x v="0"/>
    <s v="Apps"/>
    <n v="61.614294516327789"/>
    <d v="2017-11-29T00:00:00"/>
  </r>
  <r>
    <n v="1630"/>
    <x v="0"/>
    <s v="Apps"/>
    <n v="46.210720887245841"/>
    <d v="2017-11-30T00:00:00"/>
  </r>
  <r>
    <n v="1631"/>
    <x v="2"/>
    <s v="Apps"/>
    <n v="423.59419675950437"/>
    <d v="2017-12-01T00:00:00"/>
  </r>
  <r>
    <n v="1632"/>
    <x v="0"/>
    <s v="Tech"/>
    <n v="38.508934072704868"/>
    <d v="2017-12-02T00:00:00"/>
  </r>
  <r>
    <n v="1633"/>
    <x v="4"/>
    <s v="Tech"/>
    <n v="2.2749999999999999"/>
    <d v="2017-12-03T00:00:00"/>
  </r>
  <r>
    <n v="1634"/>
    <x v="3"/>
    <s v="Tech"/>
    <n v="178.52766354969"/>
    <d v="2017-12-04T00:00:00"/>
  </r>
  <r>
    <n v="1635"/>
    <x v="4"/>
    <s v="Tech"/>
    <n v="1.5"/>
    <d v="2017-12-05T00:00:00"/>
  </r>
  <r>
    <n v="1636"/>
    <x v="1"/>
    <s v="Tech"/>
    <n v="110.22927689594357"/>
    <d v="2017-12-06T00:00:00"/>
  </r>
  <r>
    <n v="1637"/>
    <x v="0"/>
    <s v="Tech"/>
    <n v="6.8941744226128918"/>
    <d v="2017-12-07T00:00:00"/>
  </r>
  <r>
    <n v="1638"/>
    <x v="0"/>
    <s v="Apps"/>
    <n v="308.07147258163894"/>
    <d v="2017-12-08T00:00:00"/>
  </r>
  <r>
    <n v="1639"/>
    <x v="0"/>
    <s v="Apps"/>
    <n v="138.63216266173754"/>
    <d v="2017-12-09T00:00:00"/>
  </r>
  <r>
    <n v="1640"/>
    <x v="0"/>
    <s v="Apps"/>
    <n v="200"/>
    <d v="2017-12-10T00:00:00"/>
  </r>
  <r>
    <n v="1641"/>
    <x v="0"/>
    <s v="Apps"/>
    <n v="55"/>
    <d v="2017-12-11T00:00:00"/>
  </r>
  <r>
    <n v="1642"/>
    <x v="0"/>
    <s v="Apps"/>
    <n v="123.22858903265558"/>
    <d v="2017-12-12T00:00:00"/>
  </r>
  <r>
    <n v="1643"/>
    <x v="4"/>
    <s v="Tech"/>
    <n v="410.95235907566502"/>
    <d v="2017-12-13T00:00:00"/>
  </r>
  <r>
    <n v="1644"/>
    <x v="1"/>
    <s v="Tech"/>
    <n v="382.3350970017637"/>
    <d v="2017-12-14T00:00:00"/>
  </r>
  <r>
    <n v="1645"/>
    <x v="3"/>
    <s v="OFM"/>
    <n v="18.317198933939025"/>
    <d v="2017-12-15T00:00:00"/>
  </r>
  <r>
    <n v="1646"/>
    <x v="2"/>
    <s v="Apps"/>
    <n v="105.89854918987609"/>
    <d v="2017-12-16T00:00:00"/>
  </r>
  <r>
    <n v="1647"/>
    <x v="4"/>
    <s v="Tech"/>
    <n v="16.294606485253382"/>
    <d v="2017-12-17T00:00:00"/>
  </r>
  <r>
    <n v="1648"/>
    <x v="2"/>
    <s v="OFM"/>
    <n v="211.79709837975219"/>
    <d v="2017-12-18T00:00:00"/>
  </r>
  <r>
    <n v="1649"/>
    <x v="2"/>
    <s v="Tech"/>
    <n v="211.79709837975219"/>
    <d v="2017-12-19T00:00:00"/>
  </r>
  <r>
    <n v="1650"/>
    <x v="2"/>
    <s v="Tech"/>
    <n v="211.79709837975219"/>
    <d v="2017-12-20T00:00:00"/>
  </r>
  <r>
    <n v="1651"/>
    <x v="3"/>
    <s v="Tech"/>
    <n v="146.5375914715122"/>
    <d v="2017-12-21T00:00:00"/>
  </r>
  <r>
    <n v="1652"/>
    <x v="0"/>
    <s v="Apps"/>
    <n v="256.96041524803104"/>
    <d v="2017-12-22T00:00:00"/>
  </r>
  <r>
    <n v="1653"/>
    <x v="1"/>
    <s v="Apps"/>
    <n v="66.137566137566139"/>
    <d v="2017-12-23T00:00:00"/>
  </r>
  <r>
    <n v="1654"/>
    <x v="0"/>
    <s v="Apps"/>
    <n v="103.41261633919338"/>
    <d v="2017-12-24T00:00:00"/>
  </r>
  <r>
    <n v="1655"/>
    <x v="2"/>
    <s v="OFM"/>
    <n v="211.79709837975219"/>
    <d v="2017-12-25T00:00:00"/>
  </r>
  <r>
    <n v="1656"/>
    <x v="0"/>
    <s v="Apps"/>
    <n v="128.48020762401552"/>
    <d v="2017-12-26T00:00:00"/>
  </r>
  <r>
    <n v="1657"/>
    <x v="0"/>
    <s v="Tech"/>
    <n v="103.41261633919338"/>
    <d v="2017-12-27T00:00:00"/>
  </r>
  <r>
    <n v="1658"/>
    <x v="1"/>
    <s v="OFM"/>
    <n v="154.65167548500884"/>
    <d v="2017-12-28T00:00:00"/>
  </r>
  <r>
    <n v="1659"/>
    <x v="4"/>
    <s v="Apps"/>
    <n v="120"/>
    <d v="2017-12-29T00:00:00"/>
  </r>
  <r>
    <n v="1660"/>
    <x v="2"/>
    <s v="Apps"/>
    <n v="26.474637297469023"/>
    <d v="2017-12-30T00:00:00"/>
  </r>
  <r>
    <n v="1661"/>
    <x v="1"/>
    <s v="Tech"/>
    <n v="960.72310405643736"/>
    <d v="2017-12-31T00:00:00"/>
  </r>
  <r>
    <n v="1662"/>
    <x v="1"/>
    <s v="Apps"/>
    <n v="55.114638447971785"/>
    <d v="2018-01-01T00:00:00"/>
  </r>
  <r>
    <n v="1663"/>
    <x v="1"/>
    <s v="Apps"/>
    <n v="55.114638447971785"/>
    <d v="2018-01-02T00:00:00"/>
  </r>
  <r>
    <n v="1664"/>
    <x v="1"/>
    <s v="Apps"/>
    <n v="55.114638447971785"/>
    <d v="2018-01-03T00:00:00"/>
  </r>
  <r>
    <n v="1665"/>
    <x v="1"/>
    <s v="Apps"/>
    <n v="44.091710758377424"/>
    <d v="2018-01-04T00:00:00"/>
  </r>
  <r>
    <n v="1666"/>
    <x v="1"/>
    <s v="Apps"/>
    <n v="44.091710758377424"/>
    <d v="2018-01-05T00:00:00"/>
  </r>
  <r>
    <n v="1667"/>
    <x v="1"/>
    <s v="Apps"/>
    <n v="44.091710758377424"/>
    <d v="2018-01-06T00:00:00"/>
  </r>
  <r>
    <n v="1668"/>
    <x v="1"/>
    <s v="Apps"/>
    <n v="44.091710758377424"/>
    <d v="2018-01-07T00:00:00"/>
  </r>
  <r>
    <n v="1669"/>
    <x v="1"/>
    <s v="Apps"/>
    <n v="55.114638447971785"/>
    <d v="2018-01-08T00:00:00"/>
  </r>
  <r>
    <n v="1670"/>
    <x v="1"/>
    <s v="Apps"/>
    <n v="44.091710758377424"/>
    <d v="2018-01-09T00:00:00"/>
  </r>
  <r>
    <n v="1671"/>
    <x v="1"/>
    <s v="Apps"/>
    <n v="55.114638447971785"/>
    <d v="2018-01-10T00:00:00"/>
  </r>
  <r>
    <n v="1672"/>
    <x v="1"/>
    <s v="Apps"/>
    <n v="44.091710758377424"/>
    <d v="2018-01-11T00:00:00"/>
  </r>
  <r>
    <n v="1673"/>
    <x v="1"/>
    <s v="Apps"/>
    <n v="44.091710758377424"/>
    <d v="2018-01-12T00:00:00"/>
  </r>
  <r>
    <n v="1674"/>
    <x v="1"/>
    <s v="Apps"/>
    <n v="44.091710758377424"/>
    <d v="2018-01-13T00:00:00"/>
  </r>
  <r>
    <n v="1675"/>
    <x v="1"/>
    <s v="Apps"/>
    <n v="44.091710758377424"/>
    <d v="2018-01-14T00:00:00"/>
  </r>
  <r>
    <n v="1676"/>
    <x v="1"/>
    <s v="Apps"/>
    <n v="44.091710758377424"/>
    <d v="2018-01-15T00:00:00"/>
  </r>
  <r>
    <n v="1677"/>
    <x v="1"/>
    <s v="Apps"/>
    <n v="44.091710758377424"/>
    <d v="2018-01-16T00:00:00"/>
  </r>
  <r>
    <n v="1678"/>
    <x v="1"/>
    <s v="Apps"/>
    <n v="44.091710758377424"/>
    <d v="2018-01-17T00:00:00"/>
  </r>
  <r>
    <n v="1679"/>
    <x v="1"/>
    <s v="Apps"/>
    <n v="55.114638447971785"/>
    <d v="2018-01-18T00:00:00"/>
  </r>
  <r>
    <n v="1680"/>
    <x v="1"/>
    <s v="Tech"/>
    <n v="220.45855379188714"/>
    <d v="2018-01-19T00:00:00"/>
  </r>
  <r>
    <n v="1681"/>
    <x v="4"/>
    <s v="Tech"/>
    <n v="256.84522442229064"/>
    <d v="2018-01-20T00:00:00"/>
  </r>
  <r>
    <n v="1682"/>
    <x v="2"/>
    <s v="Tech"/>
    <n v="1058.985491898761"/>
    <d v="2018-01-21T00:00:00"/>
  </r>
  <r>
    <n v="1683"/>
    <x v="2"/>
    <s v="Apps"/>
    <n v="529.49274594938049"/>
    <d v="2018-01-22T00:00:00"/>
  </r>
  <r>
    <n v="1684"/>
    <x v="2"/>
    <s v="Apps"/>
    <n v="529.49274594938049"/>
    <d v="2018-01-23T00:00:00"/>
  </r>
  <r>
    <n v="1685"/>
    <x v="2"/>
    <s v="Apps"/>
    <n v="423.59419675950437"/>
    <d v="2018-01-24T00:00:00"/>
  </r>
  <r>
    <n v="1686"/>
    <x v="0"/>
    <s v="Tech"/>
    <n v="154.03573629081947"/>
    <d v="2018-01-25T00:00:00"/>
  </r>
  <r>
    <n v="1687"/>
    <x v="0"/>
    <s v="OFM"/>
    <n v="462.10720887245844"/>
    <d v="2018-01-26T00:00:00"/>
  </r>
  <r>
    <n v="1688"/>
    <x v="2"/>
    <s v="OFM"/>
    <n v="39.182463200254155"/>
    <d v="2018-01-27T00:00:00"/>
  </r>
  <r>
    <n v="1689"/>
    <x v="2"/>
    <s v="Tech"/>
    <n v="150"/>
    <d v="2018-01-28T00:00:00"/>
  </r>
  <r>
    <n v="1690"/>
    <x v="0"/>
    <s v="Tech"/>
    <n v="231.05360443622922"/>
    <d v="2018-01-29T00:00:00"/>
  </r>
  <r>
    <n v="1691"/>
    <x v="0"/>
    <s v="OFM"/>
    <n v="6.8941744226128918"/>
    <d v="2018-01-30T00:00:00"/>
  </r>
  <r>
    <n v="1692"/>
    <x v="0"/>
    <s v="OFM"/>
    <n v="6.8941744226128918"/>
    <d v="2018-01-31T00:00:00"/>
  </r>
  <r>
    <n v="1693"/>
    <x v="0"/>
    <s v="Tech"/>
    <n v="61.614294516327789"/>
    <d v="2018-02-01T00:00:00"/>
  </r>
  <r>
    <n v="1694"/>
    <x v="0"/>
    <s v="Tech"/>
    <n v="77.017868145409736"/>
    <d v="2018-02-02T00:00:00"/>
  </r>
  <r>
    <n v="1695"/>
    <x v="0"/>
    <s v="Tech"/>
    <n v="123.22858903265558"/>
    <d v="2018-02-03T00:00:00"/>
  </r>
  <r>
    <n v="1696"/>
    <x v="0"/>
    <s v="Apps"/>
    <n v="134.01109057301295"/>
    <d v="2018-02-04T00:00:00"/>
  </r>
  <r>
    <n v="1697"/>
    <x v="3"/>
    <s v="OFM"/>
    <n v="5.4951596801817066"/>
    <d v="2018-02-05T00:00:00"/>
  </r>
  <r>
    <n v="1698"/>
    <x v="3"/>
    <s v="OFM"/>
    <n v="10.990319360363413"/>
    <d v="2018-02-06T00:00:00"/>
  </r>
  <r>
    <n v="1699"/>
    <x v="0"/>
    <s v="Apps"/>
    <n v="924.21441774491689"/>
    <d v="2018-02-07T00:00:00"/>
  </r>
  <r>
    <n v="1700"/>
    <x v="0"/>
    <s v="Tech"/>
    <n v="2.4091189155884165"/>
    <d v="2018-02-08T00:00:00"/>
  </r>
  <r>
    <n v="1701"/>
    <x v="0"/>
    <s v="Tech"/>
    <n v="23.105360443622921"/>
    <d v="2018-02-09T00:00:00"/>
  </r>
  <r>
    <n v="1702"/>
    <x v="1"/>
    <s v="Apps"/>
    <n v="4.9603174603174605"/>
    <d v="2018-02-10T00:00:00"/>
  </r>
  <r>
    <n v="1703"/>
    <x v="0"/>
    <s v="OFM"/>
    <n v="6.8941744226128918"/>
    <d v="2018-02-11T00:00:00"/>
  </r>
  <r>
    <n v="1704"/>
    <x v="0"/>
    <s v="OFM"/>
    <n v="6.8941744226128918"/>
    <d v="2018-02-12T00:00:00"/>
  </r>
  <r>
    <n v="1705"/>
    <x v="0"/>
    <s v="OFM"/>
    <n v="6.8941744226128918"/>
    <d v="2018-02-13T00:00:00"/>
  </r>
  <r>
    <n v="1706"/>
    <x v="0"/>
    <s v="OFM"/>
    <n v="6.8941744226128918"/>
    <d v="2018-02-14T00:00:00"/>
  </r>
  <r>
    <n v="1707"/>
    <x v="0"/>
    <s v="OFM"/>
    <n v="6.8941744226128918"/>
    <d v="2018-02-15T00:00:00"/>
  </r>
  <r>
    <n v="1708"/>
    <x v="0"/>
    <s v="OFM"/>
    <n v="6.8941744226128918"/>
    <d v="2018-02-16T00:00:00"/>
  </r>
  <r>
    <n v="1709"/>
    <x v="0"/>
    <s v="Apps"/>
    <n v="137.88348845225781"/>
    <d v="2018-02-17T00:00:00"/>
  </r>
  <r>
    <n v="1710"/>
    <x v="0"/>
    <s v="Tech"/>
    <n v="65.494657014822465"/>
    <d v="2018-02-18T00:00:00"/>
  </r>
  <r>
    <n v="1711"/>
    <x v="0"/>
    <s v="Tech"/>
    <n v="10.341261633919338"/>
    <d v="2018-02-19T00:00:00"/>
  </r>
  <r>
    <n v="1712"/>
    <x v="3"/>
    <s v="Tech"/>
    <n v="68.689496002271341"/>
    <d v="2018-02-20T00:00:00"/>
  </r>
  <r>
    <n v="1713"/>
    <x v="0"/>
    <s v="Systems"/>
    <n v="462.10720887245844"/>
    <d v="2018-02-21T00:00:00"/>
  </r>
  <r>
    <n v="1714"/>
    <x v="4"/>
    <s v="Apps"/>
    <n v="42.365976861658794"/>
    <d v="2018-02-22T00:00:00"/>
  </r>
  <r>
    <n v="1715"/>
    <x v="4"/>
    <s v="OFM"/>
    <n v="16.294606485253382"/>
    <d v="2018-02-23T00:00:00"/>
  </r>
  <r>
    <n v="1716"/>
    <x v="1"/>
    <s v="Tech"/>
    <n v="15.4320987654321"/>
    <d v="2018-02-24T00:00:00"/>
  </r>
  <r>
    <n v="1717"/>
    <x v="4"/>
    <s v="Tech"/>
    <n v="16.294606485253382"/>
    <d v="2018-02-25T00:00:00"/>
  </r>
  <r>
    <n v="1718"/>
    <x v="4"/>
    <s v="Tech"/>
    <n v="4.0215088805605346"/>
    <d v="2018-02-26T00:00:00"/>
  </r>
  <r>
    <n v="1719"/>
    <x v="4"/>
    <s v="Tech"/>
    <n v="1.7"/>
    <d v="2018-02-27T00:00:00"/>
  </r>
  <r>
    <n v="1720"/>
    <x v="1"/>
    <s v="OFM"/>
    <n v="68.25"/>
    <d v="2018-02-28T00:00:00"/>
  </r>
  <r>
    <n v="1721"/>
    <x v="0"/>
    <s v="Apps"/>
    <n v="15.403573629081947"/>
    <d v="2018-03-01T00:00:00"/>
  </r>
  <r>
    <n v="1722"/>
    <x v="0"/>
    <s v="Tech"/>
    <n v="30.807147258163894"/>
    <d v="2018-03-02T00:00:00"/>
  </r>
  <r>
    <n v="1723"/>
    <x v="0"/>
    <s v="Apps"/>
    <n v="15.403573629081947"/>
    <d v="2018-03-03T00:00:00"/>
  </r>
  <r>
    <n v="1724"/>
    <x v="0"/>
    <s v="Apps"/>
    <n v="12.322858903265558"/>
    <d v="2018-03-04T00:00:00"/>
  </r>
  <r>
    <n v="1725"/>
    <x v="0"/>
    <s v="Apps"/>
    <n v="7.7017868145409736"/>
    <d v="2018-03-05T00:00:00"/>
  </r>
  <r>
    <n v="1726"/>
    <x v="0"/>
    <s v="OFM"/>
    <n v="10.012322858903266"/>
    <d v="2018-03-06T00:00:00"/>
  </r>
  <r>
    <n v="1727"/>
    <x v="0"/>
    <s v="Apps"/>
    <n v="154.03573629081947"/>
    <d v="2018-03-07T00:00:00"/>
  </r>
  <r>
    <n v="1728"/>
    <x v="0"/>
    <s v="OFM"/>
    <n v="53.912507701786815"/>
    <d v="2018-03-08T00:00:00"/>
  </r>
  <r>
    <n v="1729"/>
    <x v="0"/>
    <s v="Tech"/>
    <n v="154.03573629081947"/>
    <d v="2018-03-09T00:00:00"/>
  </r>
  <r>
    <n v="1730"/>
    <x v="0"/>
    <s v="Tech"/>
    <n v="130.93037584719656"/>
    <d v="2018-03-10T00:00:00"/>
  </r>
  <r>
    <n v="1731"/>
    <x v="0"/>
    <s v="Apps"/>
    <n v="30.807147258163894"/>
    <d v="2018-03-11T00:00:00"/>
  </r>
  <r>
    <n v="1732"/>
    <x v="0"/>
    <s v="OFM"/>
    <n v="200"/>
    <d v="2018-03-12T00:00:00"/>
  </r>
  <r>
    <n v="1733"/>
    <x v="0"/>
    <s v="Apps"/>
    <n v="385.08934072704869"/>
    <d v="2018-03-13T00:00:00"/>
  </r>
  <r>
    <n v="1734"/>
    <x v="0"/>
    <s v="Tech"/>
    <n v="269.5625385089341"/>
    <d v="2018-03-14T00:00:00"/>
  </r>
  <r>
    <n v="1735"/>
    <x v="2"/>
    <s v="Apps"/>
    <n v="5.0017227913814493"/>
    <d v="2018-03-15T00:00:00"/>
  </r>
  <r>
    <n v="1736"/>
    <x v="1"/>
    <s v="Apps"/>
    <n v="33.06878306878307"/>
    <d v="2018-03-16T00:00:00"/>
  </r>
  <r>
    <n v="1737"/>
    <x v="0"/>
    <s v="OFM"/>
    <n v="9.5553257497414688"/>
    <d v="2018-03-17T00:00:00"/>
  </r>
  <r>
    <n v="1738"/>
    <x v="1"/>
    <s v="Tech"/>
    <n v="144.3241622574956"/>
    <d v="2018-03-18T00:00:00"/>
  </r>
  <r>
    <n v="1739"/>
    <x v="2"/>
    <s v="OFM"/>
    <n v="105.89854918987609"/>
    <d v="2018-03-19T00:00:00"/>
  </r>
  <r>
    <n v="1740"/>
    <x v="0"/>
    <s v="Apps"/>
    <n v="64.24010381200776"/>
    <d v="2018-03-20T00:00:00"/>
  </r>
  <r>
    <n v="1741"/>
    <x v="0"/>
    <s v="Tech"/>
    <n v="154.17624914881864"/>
    <d v="2018-03-21T00:00:00"/>
  </r>
  <r>
    <n v="1742"/>
    <x v="2"/>
    <s v="Apps"/>
    <n v="211.79709837975219"/>
    <d v="2018-03-22T00:00:00"/>
  </r>
  <r>
    <n v="1743"/>
    <x v="2"/>
    <s v="OFM"/>
    <n v="211.79709837975219"/>
    <d v="2018-03-23T00:00:00"/>
  </r>
  <r>
    <n v="1744"/>
    <x v="2"/>
    <s v="Tech"/>
    <n v="84.718839351900883"/>
    <d v="2018-03-24T00:00:00"/>
  </r>
  <r>
    <n v="1745"/>
    <x v="1"/>
    <s v="Tech"/>
    <n v="97.934193121693127"/>
    <d v="2018-03-25T00:00:00"/>
  </r>
  <r>
    <n v="1746"/>
    <x v="4"/>
    <s v="Apps"/>
    <n v="43.258143060596318"/>
    <d v="2018-03-26T00:00:00"/>
  </r>
  <r>
    <n v="1747"/>
    <x v="1"/>
    <s v="Apps"/>
    <n v="110.22927689594357"/>
    <d v="2018-03-27T00:00:00"/>
  </r>
  <r>
    <n v="1748"/>
    <x v="4"/>
    <s v="Tech"/>
    <n v="30"/>
    <d v="2018-03-28T00:00:00"/>
  </r>
  <r>
    <n v="1749"/>
    <x v="4"/>
    <s v="Tech"/>
    <n v="30"/>
    <d v="2018-03-29T00:00:00"/>
  </r>
  <r>
    <n v="1750"/>
    <x v="4"/>
    <s v="Tech"/>
    <n v="46"/>
    <d v="2018-03-30T00:00:00"/>
  </r>
  <r>
    <n v="1751"/>
    <x v="0"/>
    <s v="Tech"/>
    <n v="5.5153395380903127"/>
    <d v="2018-03-31T00:00:00"/>
  </r>
  <r>
    <n v="1752"/>
    <x v="0"/>
    <s v="Tech"/>
    <n v="15.403573629081947"/>
    <d v="2018-04-01T00:00:00"/>
  </r>
  <r>
    <n v="1753"/>
    <x v="0"/>
    <s v="Tech"/>
    <n v="61.614294516327789"/>
    <d v="2018-04-02T00:00:00"/>
  </r>
  <r>
    <n v="1754"/>
    <x v="0"/>
    <s v="OFM"/>
    <n v="9.2421441774491679"/>
    <d v="2018-04-03T00:00:00"/>
  </r>
  <r>
    <n v="1755"/>
    <x v="0"/>
    <s v="OFM"/>
    <n v="77.017868145409736"/>
    <d v="2018-04-04T00:00:00"/>
  </r>
  <r>
    <n v="1756"/>
    <x v="4"/>
    <s v="Tech"/>
    <n v="329.04045223319753"/>
    <d v="2018-04-05T00:00:00"/>
  </r>
  <r>
    <n v="1757"/>
    <x v="1"/>
    <s v="Tech"/>
    <n v="154.32098765432099"/>
    <d v="2018-04-06T00:00:00"/>
  </r>
  <r>
    <n v="1758"/>
    <x v="1"/>
    <s v="Tech"/>
    <n v="77.160493827160494"/>
    <d v="2018-04-07T00:00:00"/>
  </r>
  <r>
    <n v="1759"/>
    <x v="0"/>
    <s v="Apps"/>
    <n v="77.088124574409321"/>
    <d v="2018-04-08T00:00:00"/>
  </r>
  <r>
    <n v="1760"/>
    <x v="2"/>
    <s v="OFM"/>
    <n v="105.89854918987609"/>
    <d v="2018-04-09T00:00:00"/>
  </r>
  <r>
    <n v="1761"/>
    <x v="1"/>
    <s v="Tech"/>
    <n v="293.80257936507934"/>
    <d v="2018-04-10T00:00:00"/>
  </r>
  <r>
    <n v="1762"/>
    <x v="2"/>
    <s v="Tech"/>
    <n v="81.030710639332298"/>
    <d v="2018-04-11T00:00:00"/>
  </r>
  <r>
    <n v="1763"/>
    <x v="4"/>
    <s v="Tech"/>
    <n v="344.88056053446309"/>
    <d v="2018-04-12T00:00:00"/>
  </r>
  <r>
    <n v="1764"/>
    <x v="4"/>
    <s v="Tech"/>
    <n v="39.743418936922865"/>
    <d v="2018-04-13T00:00:00"/>
  </r>
  <r>
    <n v="1765"/>
    <x v="1"/>
    <s v="OFM"/>
    <n v="66.137566137566139"/>
    <d v="2018-04-14T00:00:00"/>
  </r>
  <r>
    <n v="1766"/>
    <x v="1"/>
    <s v="OFM"/>
    <n v="66.137566137566139"/>
    <d v="2018-04-15T00:00:00"/>
  </r>
  <r>
    <n v="1767"/>
    <x v="1"/>
    <s v="Apps"/>
    <n v="44.091710758377424"/>
    <d v="2018-04-16T00:00:00"/>
  </r>
  <r>
    <n v="1768"/>
    <x v="1"/>
    <s v="OFM"/>
    <n v="66.137566137566139"/>
    <d v="2018-04-17T00:00:00"/>
  </r>
  <r>
    <n v="1769"/>
    <x v="1"/>
    <s v="Apps"/>
    <n v="66.137566137566139"/>
    <d v="2018-04-18T00:00:00"/>
  </r>
  <r>
    <n v="1770"/>
    <x v="1"/>
    <s v="Tech"/>
    <n v="110.22927689594357"/>
    <d v="2018-04-19T00:00:00"/>
  </r>
  <r>
    <n v="1771"/>
    <x v="1"/>
    <s v="Apps"/>
    <n v="110.22927689594357"/>
    <d v="2018-04-20T00:00:00"/>
  </r>
  <r>
    <n v="1772"/>
    <x v="1"/>
    <s v="Tech"/>
    <n v="130"/>
    <d v="2018-04-21T00:00:00"/>
  </r>
  <r>
    <n v="1773"/>
    <x v="0"/>
    <s v="Apps"/>
    <n v="77.017868145409736"/>
    <d v="2018-04-22T00:00:00"/>
  </r>
  <r>
    <n v="1774"/>
    <x v="0"/>
    <s v="Tech"/>
    <n v="10.782501540357364"/>
    <d v="2018-04-23T00:00:00"/>
  </r>
  <r>
    <n v="1775"/>
    <x v="0"/>
    <s v="Tech"/>
    <n v="106.87199630314232"/>
    <d v="2018-04-24T00:00:00"/>
  </r>
  <r>
    <n v="1776"/>
    <x v="0"/>
    <s v="Tech"/>
    <n v="29.765643869377694"/>
    <d v="2018-04-25T00:00:00"/>
  </r>
  <r>
    <n v="1777"/>
    <x v="0"/>
    <s v="Tech"/>
    <n v="140.17252002464573"/>
    <d v="2018-04-26T00:00:00"/>
  </r>
  <r>
    <n v="1778"/>
    <x v="0"/>
    <s v="Tech"/>
    <n v="4.621072088724584"/>
    <d v="2018-04-27T00:00:00"/>
  </r>
  <r>
    <n v="1779"/>
    <x v="4"/>
    <s v="Tech"/>
    <n v="329.04045223319753"/>
    <d v="2018-04-28T00:00:00"/>
  </r>
  <r>
    <n v="1780"/>
    <x v="1"/>
    <s v="Tech"/>
    <n v="45"/>
    <d v="2018-04-29T00:00:00"/>
  </r>
  <r>
    <n v="1781"/>
    <x v="1"/>
    <s v="Tech"/>
    <n v="70"/>
    <d v="2018-04-30T00:00:00"/>
  </r>
  <r>
    <n v="1782"/>
    <x v="1"/>
    <s v="Tech"/>
    <n v="220.45855379188714"/>
    <d v="2018-05-01T00:00:00"/>
  </r>
  <r>
    <n v="1783"/>
    <x v="4"/>
    <s v="Tech"/>
    <n v="97.767638911520294"/>
    <d v="2018-05-02T00:00:00"/>
  </r>
  <r>
    <n v="1784"/>
    <x v="0"/>
    <s v="OFM"/>
    <n v="50"/>
    <d v="2018-05-03T00:00:00"/>
  </r>
  <r>
    <n v="1785"/>
    <x v="1"/>
    <s v="Tech"/>
    <n v="220.45855379188714"/>
    <d v="2018-05-04T00:00:00"/>
  </r>
  <r>
    <n v="1786"/>
    <x v="0"/>
    <s v="Tech"/>
    <n v="43.130006161429456"/>
    <d v="2018-05-05T00:00:00"/>
  </r>
  <r>
    <n v="1787"/>
    <x v="1"/>
    <s v="Apps"/>
    <n v="44.091710758377424"/>
    <d v="2018-05-06T00:00:00"/>
  </r>
  <r>
    <n v="1788"/>
    <x v="1"/>
    <s v="Apps"/>
    <n v="44.091710758377424"/>
    <d v="2018-05-07T00:00:00"/>
  </r>
  <r>
    <n v="1789"/>
    <x v="1"/>
    <s v="Apps"/>
    <n v="44.091710758377424"/>
    <d v="2018-05-08T00:00:00"/>
  </r>
  <r>
    <n v="1790"/>
    <x v="1"/>
    <s v="Apps"/>
    <n v="44.091710758377424"/>
    <d v="2018-05-09T00:00:00"/>
  </r>
  <r>
    <n v="1791"/>
    <x v="2"/>
    <s v="Tech"/>
    <n v="32.412284255732921"/>
    <d v="2018-05-10T00:00:00"/>
  </r>
  <r>
    <n v="1792"/>
    <x v="2"/>
    <s v="Tech"/>
    <n v="4.0515355319666151"/>
    <d v="2018-05-11T00:00:00"/>
  </r>
  <r>
    <n v="1793"/>
    <x v="2"/>
    <s v="Tech"/>
    <n v="16.20614212786646"/>
    <d v="2018-05-12T00:00:00"/>
  </r>
  <r>
    <n v="1794"/>
    <x v="2"/>
    <s v="Tech"/>
    <n v="529.49274594938049"/>
    <d v="2018-05-13T00:00:00"/>
  </r>
  <r>
    <n v="1795"/>
    <x v="2"/>
    <s v="Tech"/>
    <n v="243.09213191799691"/>
    <d v="2018-05-14T00:00:00"/>
  </r>
  <r>
    <n v="1796"/>
    <x v="1"/>
    <s v="Apps"/>
    <n v="132.27513227513228"/>
    <d v="2018-05-15T00:00:00"/>
  </r>
  <r>
    <n v="1797"/>
    <x v="1"/>
    <s v="Apps"/>
    <n v="132.27513227513228"/>
    <d v="2018-05-16T00:00:00"/>
  </r>
  <r>
    <n v="1798"/>
    <x v="1"/>
    <s v="Apps"/>
    <n v="132.27513227513228"/>
    <d v="2018-05-17T00:00:00"/>
  </r>
  <r>
    <n v="1799"/>
    <x v="0"/>
    <s v="Tech"/>
    <n v="34.470872113064452"/>
    <d v="2018-05-18T00:00:00"/>
  </r>
  <r>
    <n v="1800"/>
    <x v="1"/>
    <s v="Tech"/>
    <n v="5511.4638447971784"/>
    <d v="2018-05-19T00:00:00"/>
  </r>
  <r>
    <n v="1801"/>
    <x v="2"/>
    <s v="Tech"/>
    <n v="529.49274594938049"/>
    <d v="2018-05-20T00:00:00"/>
  </r>
  <r>
    <n v="1802"/>
    <x v="1"/>
    <s v="Tech"/>
    <n v="440.91710758377428"/>
    <d v="2018-05-21T00:00:00"/>
  </r>
  <r>
    <n v="1803"/>
    <x v="4"/>
    <s v="Apps"/>
    <n v="100"/>
    <d v="2018-05-22T00:00:00"/>
  </r>
  <r>
    <n v="1804"/>
    <x v="0"/>
    <s v="Tech"/>
    <n v="45.846259910375728"/>
    <d v="2018-05-23T00:00:00"/>
  </r>
  <r>
    <n v="1805"/>
    <x v="0"/>
    <s v="Tech"/>
    <n v="8.617718028266113"/>
    <d v="2018-05-24T00:00:00"/>
  </r>
  <r>
    <n v="1806"/>
    <x v="1"/>
    <s v="OFM"/>
    <n v="22.045855379188712"/>
    <d v="2018-05-25T00:00:00"/>
  </r>
  <r>
    <n v="1807"/>
    <x v="0"/>
    <s v="Tech"/>
    <n v="6.8941744226128918"/>
    <d v="2018-05-26T00:00:00"/>
  </r>
  <r>
    <n v="1808"/>
    <x v="1"/>
    <s v="Apps"/>
    <n v="44.091710758377424"/>
    <d v="2018-05-27T00:00:00"/>
  </r>
  <r>
    <n v="1809"/>
    <x v="1"/>
    <s v="Apps"/>
    <n v="44.091710758377424"/>
    <d v="2018-05-28T00:00:00"/>
  </r>
  <r>
    <n v="1810"/>
    <x v="1"/>
    <s v="Apps"/>
    <n v="44.091710758377424"/>
    <d v="2018-05-29T00:00:00"/>
  </r>
  <r>
    <n v="1811"/>
    <x v="1"/>
    <s v="Apps"/>
    <n v="44.091710758377424"/>
    <d v="2018-05-30T00:00:00"/>
  </r>
  <r>
    <n v="1812"/>
    <x v="1"/>
    <s v="Apps"/>
    <n v="55.114638447971785"/>
    <d v="2018-05-31T00:00:00"/>
  </r>
  <r>
    <n v="1813"/>
    <x v="1"/>
    <s v="Apps"/>
    <n v="44.091710758377424"/>
    <d v="2018-06-01T00:00:00"/>
  </r>
  <r>
    <n v="1814"/>
    <x v="3"/>
    <s v="OFM"/>
    <n v="27.475798400908538"/>
    <d v="2018-06-02T00:00:00"/>
  </r>
  <r>
    <n v="1815"/>
    <x v="1"/>
    <s v="OFM"/>
    <n v="44.091710758377424"/>
    <d v="2018-06-03T00:00:00"/>
  </r>
  <r>
    <n v="1816"/>
    <x v="0"/>
    <s v="Tech"/>
    <n v="4.1365046535677346"/>
    <d v="2018-06-04T00:00:00"/>
  </r>
  <r>
    <n v="1817"/>
    <x v="0"/>
    <s v="OFM"/>
    <n v="17.999537892791125"/>
    <d v="2018-06-05T00:00:00"/>
  </r>
  <r>
    <n v="1818"/>
    <x v="0"/>
    <s v="Apps"/>
    <n v="385.08934072704869"/>
    <d v="2018-06-06T00:00:00"/>
  </r>
  <r>
    <n v="1819"/>
    <x v="0"/>
    <s v="Tech"/>
    <n v="46.210720887245841"/>
    <d v="2018-06-07T00:00:00"/>
  </r>
  <r>
    <n v="1820"/>
    <x v="0"/>
    <s v="Tech"/>
    <n v="51.706308169596689"/>
    <d v="2018-06-08T00:00:00"/>
  </r>
  <r>
    <n v="1821"/>
    <x v="0"/>
    <s v="OFM"/>
    <n v="56.67011375387797"/>
    <d v="2018-06-09T00:00:00"/>
  </r>
  <r>
    <n v="1822"/>
    <x v="1"/>
    <s v="Tech"/>
    <n v="391.73686067019401"/>
    <d v="2018-06-10T00:00:00"/>
  </r>
  <r>
    <n v="1823"/>
    <x v="1"/>
    <s v="Tech"/>
    <n v="661.37566137566137"/>
    <d v="2018-06-11T00:00:00"/>
  </r>
  <r>
    <n v="1824"/>
    <x v="0"/>
    <s v="Tech"/>
    <n v="25.696041524803107"/>
    <d v="2018-06-12T00:00:00"/>
  </r>
  <r>
    <n v="1825"/>
    <x v="0"/>
    <s v="Tech"/>
    <n v="34.470872113064452"/>
    <d v="2018-06-13T00:00:00"/>
  </r>
  <r>
    <n v="1826"/>
    <x v="0"/>
    <s v="Tech"/>
    <n v="206.82523267838675"/>
    <d v="2018-06-14T00:00:00"/>
  </r>
  <r>
    <n v="1827"/>
    <x v="2"/>
    <s v="Apps"/>
    <n v="121.54606595899845"/>
    <d v="2018-06-15T00:00:00"/>
  </r>
  <r>
    <n v="1828"/>
    <x v="0"/>
    <s v="Apps"/>
    <n v="154.03573629081947"/>
    <d v="2018-06-16T00:00:00"/>
  </r>
  <r>
    <n v="1829"/>
    <x v="1"/>
    <s v="Tech"/>
    <n v="66.137566137566139"/>
    <d v="2018-06-17T00:00:00"/>
  </r>
  <r>
    <n v="1830"/>
    <x v="0"/>
    <s v="Apps"/>
    <n v="308.07147258163894"/>
    <d v="2018-06-18T00:00:00"/>
  </r>
  <r>
    <n v="1831"/>
    <x v="0"/>
    <s v="Apps"/>
    <n v="107.82501540357363"/>
    <d v="2018-06-19T00:00:00"/>
  </r>
  <r>
    <n v="1832"/>
    <x v="2"/>
    <s v="Tech"/>
    <n v="52.949274594938046"/>
    <d v="2018-06-20T00:00:00"/>
  </r>
  <r>
    <n v="1833"/>
    <x v="2"/>
    <s v="Apps"/>
    <n v="52.949274594938046"/>
    <d v="2018-06-21T00:00:00"/>
  </r>
  <r>
    <n v="1834"/>
    <x v="2"/>
    <s v="Apps"/>
    <n v="52.949274594938046"/>
    <d v="2018-06-22T00:00:00"/>
  </r>
  <r>
    <n v="1835"/>
    <x v="0"/>
    <s v="OFM"/>
    <n v="26.186075169439309"/>
    <d v="2018-06-23T00:00:00"/>
  </r>
  <r>
    <n v="1836"/>
    <x v="2"/>
    <s v="OFM"/>
    <n v="26.474637297469023"/>
    <d v="2018-06-24T00:00:00"/>
  </r>
  <r>
    <n v="1837"/>
    <x v="0"/>
    <s v="Tech"/>
    <n v="10.341261633919338"/>
    <d v="2018-06-25T00:00:00"/>
  </r>
  <r>
    <n v="1838"/>
    <x v="1"/>
    <s v="Tech"/>
    <n v="66.137566137566139"/>
    <d v="2018-06-26T00:00:00"/>
  </r>
  <r>
    <n v="1839"/>
    <x v="1"/>
    <s v="Tech"/>
    <n v="220.45855379188714"/>
    <d v="2018-06-27T00:00:00"/>
  </r>
  <r>
    <n v="1840"/>
    <x v="1"/>
    <s v="Tech"/>
    <n v="114.6384479717813"/>
    <d v="2018-06-28T00:00:00"/>
  </r>
  <r>
    <n v="1841"/>
    <x v="2"/>
    <s v="Apps"/>
    <n v="48.618426383599385"/>
    <d v="2018-06-29T00:00:00"/>
  </r>
  <r>
    <n v="1842"/>
    <x v="2"/>
    <s v="Apps"/>
    <n v="202.57677659833075"/>
    <d v="2018-06-30T00:00:00"/>
  </r>
  <r>
    <n v="1843"/>
    <x v="2"/>
    <s v="Apps"/>
    <n v="81.030710639332298"/>
    <d v="2018-07-01T00:00:00"/>
  </r>
  <r>
    <n v="1844"/>
    <x v="2"/>
    <s v="Tech"/>
    <n v="529.49274594938049"/>
    <d v="2018-07-02T00:00:00"/>
  </r>
  <r>
    <n v="1845"/>
    <x v="0"/>
    <s v="Tech"/>
    <n v="53.912507701786815"/>
    <d v="2018-07-03T00:00:00"/>
  </r>
  <r>
    <n v="1846"/>
    <x v="1"/>
    <s v="Tech"/>
    <n v="30.8641975308642"/>
    <d v="2018-07-04T00:00:00"/>
  </r>
  <r>
    <n v="1847"/>
    <x v="1"/>
    <s v="Tech"/>
    <n v="110.22927689594357"/>
    <d v="2018-07-05T00:00:00"/>
  </r>
  <r>
    <n v="1848"/>
    <x v="2"/>
    <s v="Tech"/>
    <n v="52.949274594938046"/>
    <d v="2018-07-06T00:00:00"/>
  </r>
  <r>
    <n v="1849"/>
    <x v="0"/>
    <s v="Apps"/>
    <n v="107.82501540357363"/>
    <d v="2018-07-07T00:00:00"/>
  </r>
  <r>
    <n v="1850"/>
    <x v="2"/>
    <s v="Apps"/>
    <n v="81.030710639332298"/>
    <d v="2018-07-08T00:00:00"/>
  </r>
  <r>
    <n v="1851"/>
    <x v="1"/>
    <s v="Tech"/>
    <n v="60"/>
    <d v="2018-07-09T00:00:00"/>
  </r>
  <r>
    <n v="1852"/>
    <x v="1"/>
    <s v="Apps"/>
    <n v="440.91710758377428"/>
    <d v="2018-07-10T00:00:00"/>
  </r>
  <r>
    <n v="1853"/>
    <x v="1"/>
    <s v="Tech"/>
    <n v="13.227513227513228"/>
    <d v="2018-07-11T00:00:00"/>
  </r>
  <r>
    <n v="1854"/>
    <x v="0"/>
    <s v="Apps"/>
    <n v="308.07147258163894"/>
    <d v="2018-07-12T00:00:00"/>
  </r>
  <r>
    <n v="1855"/>
    <x v="0"/>
    <s v="Apps"/>
    <n v="123.22858903265558"/>
    <d v="2018-07-13T00:00:00"/>
  </r>
  <r>
    <n v="1856"/>
    <x v="4"/>
    <s v="Tech"/>
    <n v="50"/>
    <d v="2018-07-14T00:00:00"/>
  </r>
  <r>
    <n v="1857"/>
    <x v="1"/>
    <s v="Apps"/>
    <n v="44.091710758377424"/>
    <d v="2018-07-15T00:00:00"/>
  </r>
  <r>
    <n v="1858"/>
    <x v="1"/>
    <s v="Apps"/>
    <n v="44.091710758377424"/>
    <d v="2018-07-16T00:00:00"/>
  </r>
  <r>
    <n v="1859"/>
    <x v="1"/>
    <s v="Apps"/>
    <n v="132.27513227513228"/>
    <d v="2018-07-17T00:00:00"/>
  </r>
  <r>
    <n v="1860"/>
    <x v="4"/>
    <s v="Tech"/>
    <n v="11.375"/>
    <d v="2018-07-18T00:00:00"/>
  </r>
  <r>
    <n v="1861"/>
    <x v="0"/>
    <s v="OFM"/>
    <n v="26.186075169439309"/>
    <d v="2018-07-19T00:00:00"/>
  </r>
  <r>
    <n v="1862"/>
    <x v="1"/>
    <s v="Apps"/>
    <n v="50"/>
    <d v="2018-07-20T00:00:00"/>
  </r>
  <r>
    <n v="1863"/>
    <x v="4"/>
    <s v="Apps"/>
    <n v="400"/>
    <d v="2018-07-21T00:00:00"/>
  </r>
  <r>
    <n v="1864"/>
    <x v="4"/>
    <s v="Tech"/>
    <n v="32.589212970506765"/>
    <d v="2018-07-22T00:00:00"/>
  </r>
  <r>
    <n v="1865"/>
    <x v="0"/>
    <s v="Apps"/>
    <n v="80"/>
    <d v="2018-07-23T00:00:00"/>
  </r>
  <r>
    <n v="1866"/>
    <x v="1"/>
    <s v="Apps"/>
    <n v="44.091710758377424"/>
    <d v="2018-07-24T00:00:00"/>
  </r>
  <r>
    <n v="1867"/>
    <x v="3"/>
    <s v="Tech"/>
    <n v="73.2687957357561"/>
    <d v="2018-07-25T00:00:00"/>
  </r>
  <r>
    <n v="1868"/>
    <x v="3"/>
    <s v="Tech"/>
    <n v="27.475798400908538"/>
    <d v="2018-07-26T00:00:00"/>
  </r>
  <r>
    <n v="1869"/>
    <x v="0"/>
    <s v="Tech"/>
    <n v="34.492830058600482"/>
    <d v="2018-07-27T00:00:00"/>
  </r>
  <r>
    <n v="1870"/>
    <x v="0"/>
    <s v="Tech"/>
    <n v="137.88348845225781"/>
    <d v="2018-07-28T00:00:00"/>
  </r>
  <r>
    <n v="1871"/>
    <x v="0"/>
    <s v="Tech"/>
    <n v="2.5853154084798344"/>
    <d v="2018-07-29T00:00:00"/>
  </r>
  <r>
    <n v="1872"/>
    <x v="3"/>
    <s v="OFM"/>
    <n v="109.90319360363415"/>
    <d v="2018-07-30T00:00:00"/>
  </r>
  <r>
    <n v="1873"/>
    <x v="3"/>
    <s v="OFM"/>
    <n v="137.37899200454268"/>
    <d v="2018-07-31T00:00:00"/>
  </r>
  <r>
    <n v="1874"/>
    <x v="3"/>
    <s v="OFM"/>
    <n v="41.213697601362803"/>
    <d v="2018-08-01T00:00:00"/>
  </r>
  <r>
    <n v="1875"/>
    <x v="3"/>
    <s v="OFM"/>
    <n v="27.475798400908538"/>
    <d v="2018-08-02T00:00:00"/>
  </r>
  <r>
    <n v="1876"/>
    <x v="1"/>
    <s v="Apps"/>
    <n v="44.091710758377424"/>
    <d v="2018-08-03T00:00:00"/>
  </r>
  <r>
    <n v="1877"/>
    <x v="3"/>
    <s v="Tech"/>
    <n v="274.75798400908536"/>
    <d v="2018-08-04T00:00:00"/>
  </r>
  <r>
    <n v="1878"/>
    <x v="3"/>
    <s v="Tech"/>
    <n v="164.85479040545121"/>
    <d v="2018-08-05T00:00:00"/>
  </r>
  <r>
    <n v="1879"/>
    <x v="3"/>
    <s v="Tech"/>
    <n v="457.92997334847558"/>
    <d v="2018-08-06T00:00:00"/>
  </r>
  <r>
    <n v="1880"/>
    <x v="3"/>
    <s v="OFM"/>
    <n v="45.792997334847563"/>
    <d v="2018-08-07T00:00:00"/>
  </r>
  <r>
    <n v="1881"/>
    <x v="0"/>
    <s v="Apps"/>
    <n v="30.807147258163894"/>
    <d v="2018-08-08T00:00:00"/>
  </r>
  <r>
    <n v="1882"/>
    <x v="0"/>
    <s v="Apps"/>
    <n v="77.017868145409736"/>
    <d v="2018-08-09T00:00:00"/>
  </r>
  <r>
    <n v="1883"/>
    <x v="0"/>
    <s v="Apps"/>
    <n v="46.210720887245841"/>
    <d v="2018-08-10T00:00:00"/>
  </r>
  <r>
    <n v="1884"/>
    <x v="0"/>
    <s v="Apps"/>
    <n v="61.614294516327789"/>
    <d v="2018-08-11T00:00:00"/>
  </r>
  <r>
    <n v="1885"/>
    <x v="0"/>
    <s v="OFM"/>
    <n v="132.31669747381392"/>
    <d v="2018-08-12T00:00:00"/>
  </r>
  <r>
    <n v="1886"/>
    <x v="0"/>
    <s v="Tech"/>
    <n v="61.614294516327789"/>
    <d v="2018-08-13T00:00:00"/>
  </r>
  <r>
    <n v="1887"/>
    <x v="4"/>
    <s v="Tech"/>
    <n v="33.436745949672527"/>
    <d v="2018-08-14T00:00:00"/>
  </r>
  <r>
    <n v="1888"/>
    <x v="0"/>
    <s v="Tech"/>
    <n v="95.194085027726445"/>
    <d v="2018-08-15T00:00:00"/>
  </r>
  <r>
    <n v="1889"/>
    <x v="1"/>
    <s v="Apps"/>
    <n v="44.091710758377424"/>
    <d v="2018-08-16T00:00:00"/>
  </r>
  <r>
    <n v="1890"/>
    <x v="1"/>
    <s v="Apps"/>
    <n v="44.091710758377424"/>
    <d v="2018-08-17T00:00:00"/>
  </r>
  <r>
    <n v="1891"/>
    <x v="1"/>
    <s v="Apps"/>
    <n v="44.091710758377424"/>
    <d v="2018-08-18T00:00:00"/>
  </r>
  <r>
    <n v="1892"/>
    <x v="1"/>
    <s v="Apps"/>
    <n v="44.091710758377424"/>
    <d v="2018-08-19T00:00:00"/>
  </r>
  <r>
    <n v="1893"/>
    <x v="1"/>
    <s v="Apps"/>
    <n v="44.091710758377424"/>
    <d v="2018-08-20T00:00:00"/>
  </r>
  <r>
    <n v="1894"/>
    <x v="1"/>
    <s v="Apps"/>
    <n v="44.091710758377424"/>
    <d v="2018-08-21T00:00:00"/>
  </r>
  <r>
    <n v="1895"/>
    <x v="1"/>
    <s v="Apps"/>
    <n v="44.091710758377424"/>
    <d v="2018-08-22T00:00:00"/>
  </r>
  <r>
    <n v="1896"/>
    <x v="1"/>
    <s v="Apps"/>
    <n v="55.114638447971785"/>
    <d v="2018-08-23T00:00:00"/>
  </r>
  <r>
    <n v="1897"/>
    <x v="1"/>
    <s v="Apps"/>
    <n v="132.27513227513228"/>
    <d v="2018-08-24T00:00:00"/>
  </r>
  <r>
    <n v="1898"/>
    <x v="1"/>
    <s v="Tech"/>
    <n v="108.24305555555556"/>
    <d v="2018-08-25T00:00:00"/>
  </r>
  <r>
    <n v="1899"/>
    <x v="4"/>
    <s v="Tech"/>
    <n v="102.60583346912173"/>
    <d v="2018-08-26T00:00:00"/>
  </r>
  <r>
    <n v="1900"/>
    <x v="1"/>
    <s v="Tech"/>
    <n v="15"/>
    <d v="2018-08-27T00:00:00"/>
  </r>
  <r>
    <n v="1901"/>
    <x v="0"/>
    <s v="Tech"/>
    <n v="11.175850860174991"/>
    <d v="2018-08-28T00:00:00"/>
  </r>
  <r>
    <n v="1902"/>
    <x v="1"/>
    <s v="Apps"/>
    <n v="66.137566137566139"/>
    <d v="2018-08-29T00:00:00"/>
  </r>
  <r>
    <n v="1903"/>
    <x v="0"/>
    <s v="Tech"/>
    <n v="12.848020762401553"/>
    <d v="2018-08-30T00:00:00"/>
  </r>
  <r>
    <n v="1904"/>
    <x v="0"/>
    <s v="Tech"/>
    <n v="92.421441774491683"/>
    <d v="2018-08-31T00:00:00"/>
  </r>
  <r>
    <n v="1905"/>
    <x v="1"/>
    <s v="Tech"/>
    <n v="5.2910052910052912"/>
    <d v="2018-09-01T00:00:00"/>
  </r>
  <r>
    <n v="1906"/>
    <x v="1"/>
    <s v="Tech"/>
    <n v="110.22927689594357"/>
    <d v="2018-09-02T00:00:00"/>
  </r>
  <r>
    <n v="1907"/>
    <x v="4"/>
    <s v="Tech"/>
    <n v="11.3"/>
    <d v="2018-09-03T00:00:00"/>
  </r>
  <r>
    <n v="1908"/>
    <x v="0"/>
    <s v="Apps"/>
    <n v="231.05360443622922"/>
    <d v="2018-09-04T00:00:00"/>
  </r>
  <r>
    <n v="1909"/>
    <x v="0"/>
    <s v="Apps"/>
    <n v="15.403573629081947"/>
    <d v="2018-09-05T00:00:00"/>
  </r>
  <r>
    <n v="1910"/>
    <x v="0"/>
    <s v="Apps"/>
    <n v="15.403573629081947"/>
    <d v="2018-09-06T00:00:00"/>
  </r>
  <r>
    <n v="1911"/>
    <x v="0"/>
    <s v="Tech"/>
    <n v="61.614294516327789"/>
    <d v="2018-09-07T00:00:00"/>
  </r>
  <r>
    <n v="1912"/>
    <x v="0"/>
    <s v="Tech"/>
    <n v="9.2421441774491679"/>
    <d v="2018-09-08T00:00:00"/>
  </r>
  <r>
    <n v="1913"/>
    <x v="0"/>
    <s v="Apps"/>
    <n v="77.017868145409736"/>
    <d v="2018-09-09T00:00:00"/>
  </r>
  <r>
    <n v="1914"/>
    <x v="3"/>
    <s v="Tech"/>
    <n v="73.2687957357561"/>
    <d v="2018-09-10T00:00:00"/>
  </r>
  <r>
    <n v="1915"/>
    <x v="3"/>
    <s v="Tech"/>
    <n v="45.792997334847563"/>
    <d v="2018-09-11T00:00:00"/>
  </r>
  <r>
    <n v="1916"/>
    <x v="3"/>
    <s v="Tech"/>
    <n v="54.951596801817075"/>
    <d v="2018-09-12T00:00:00"/>
  </r>
  <r>
    <n v="1917"/>
    <x v="3"/>
    <s v="Tech"/>
    <n v="274.75798400908536"/>
    <d v="2018-09-13T00:00:00"/>
  </r>
  <r>
    <n v="1918"/>
    <x v="3"/>
    <s v="Tech"/>
    <n v="91.585994669695125"/>
    <d v="2018-09-14T00:00:00"/>
  </r>
  <r>
    <n v="1919"/>
    <x v="0"/>
    <s v="Tech"/>
    <n v="6.4240103812007767"/>
    <d v="2018-09-15T00:00:00"/>
  </r>
  <r>
    <n v="1920"/>
    <x v="1"/>
    <s v="Tech"/>
    <n v="72.162081128747801"/>
    <d v="2018-09-16T00:00:00"/>
  </r>
  <r>
    <n v="1921"/>
    <x v="1"/>
    <s v="Apps"/>
    <n v="19.841269841269842"/>
    <d v="2018-09-17T00:00:00"/>
  </r>
  <r>
    <n v="1922"/>
    <x v="1"/>
    <s v="Apps"/>
    <n v="33.06878306878307"/>
    <d v="2018-09-18T00:00:00"/>
  </r>
  <r>
    <n v="1923"/>
    <x v="0"/>
    <s v="OFM"/>
    <n v="48.259220958290243"/>
    <d v="2018-09-19T00:00:00"/>
  </r>
  <r>
    <n v="1924"/>
    <x v="1"/>
    <s v="Apps"/>
    <n v="414.18741181657845"/>
    <d v="2018-09-20T00:00:00"/>
  </r>
  <r>
    <n v="1925"/>
    <x v="0"/>
    <s v="Tech"/>
    <n v="2.2648490999961455"/>
    <d v="2018-09-21T00:00:00"/>
  </r>
  <r>
    <n v="1926"/>
    <x v="1"/>
    <s v="Tech"/>
    <n v="440.91710758377428"/>
    <d v="2018-09-22T00:00:00"/>
  </r>
  <r>
    <n v="1927"/>
    <x v="1"/>
    <s v="Tech"/>
    <n v="110.22927689594357"/>
    <d v="2018-09-23T00:00:00"/>
  </r>
  <r>
    <n v="1928"/>
    <x v="1"/>
    <s v="Apps"/>
    <n v="132.27513227513228"/>
    <d v="2018-09-24T00:00:00"/>
  </r>
  <r>
    <n v="1929"/>
    <x v="1"/>
    <s v="OFM"/>
    <n v="132.27513227513228"/>
    <d v="2018-09-25T00:00:00"/>
  </r>
  <r>
    <n v="1930"/>
    <x v="4"/>
    <s v="OFM"/>
    <n v="16.452022611659878"/>
    <d v="2018-09-26T00:00:00"/>
  </r>
  <r>
    <n v="1931"/>
    <x v="1"/>
    <s v="OFM"/>
    <n v="5.6698633156966487"/>
    <d v="2018-09-27T00:00:00"/>
  </r>
  <r>
    <n v="1932"/>
    <x v="2"/>
    <s v="Apps"/>
    <n v="243.09213191799691"/>
    <d v="2018-09-28T00:00:00"/>
  </r>
  <r>
    <n v="1933"/>
    <x v="0"/>
    <s v="Tech"/>
    <n v="508.31792975970427"/>
    <d v="2018-09-29T00:00:00"/>
  </r>
  <r>
    <n v="1934"/>
    <x v="0"/>
    <s v="OFM"/>
    <n v="154.03573629081947"/>
    <d v="2018-09-30T00:00:00"/>
  </r>
  <r>
    <n v="1935"/>
    <x v="0"/>
    <s v="Tech"/>
    <n v="53.912507701786815"/>
    <d v="2018-10-01T00:00:00"/>
  </r>
  <r>
    <n v="1936"/>
    <x v="1"/>
    <s v="Tech"/>
    <n v="110.22927689594357"/>
    <d v="2018-10-02T00:00:00"/>
  </r>
  <r>
    <n v="1937"/>
    <x v="1"/>
    <s v="Tech"/>
    <n v="110.22927689594357"/>
    <d v="2018-10-03T00:00:00"/>
  </r>
  <r>
    <n v="1938"/>
    <x v="1"/>
    <s v="Tech"/>
    <n v="661.37566137566137"/>
    <d v="2018-10-04T00:00:00"/>
  </r>
  <r>
    <n v="1939"/>
    <x v="0"/>
    <s v="Apps"/>
    <n v="770.17868145409739"/>
    <d v="2018-10-05T00:00:00"/>
  </r>
  <r>
    <n v="1940"/>
    <x v="0"/>
    <s v="Tech"/>
    <n v="58.60048259220958"/>
    <d v="2018-10-06T00:00:00"/>
  </r>
  <r>
    <n v="1941"/>
    <x v="4"/>
    <s v="Tech"/>
    <n v="97.767638911520294"/>
    <d v="2018-10-07T00:00:00"/>
  </r>
  <r>
    <n v="1942"/>
    <x v="1"/>
    <s v="OFM"/>
    <n v="176.3668430335097"/>
    <d v="2018-10-08T00:00:00"/>
  </r>
  <r>
    <n v="1943"/>
    <x v="1"/>
    <s v="Tech"/>
    <n v="94.841534391534395"/>
    <d v="2018-10-09T00:00:00"/>
  </r>
  <r>
    <n v="1944"/>
    <x v="4"/>
    <s v="Other"/>
    <n v="20"/>
    <d v="2018-10-10T00:00:00"/>
  </r>
  <r>
    <n v="1945"/>
    <x v="0"/>
    <s v="Apps"/>
    <n v="68.941744226128904"/>
    <d v="2018-10-11T00:00:00"/>
  </r>
  <r>
    <n v="1946"/>
    <x v="0"/>
    <s v="Tech"/>
    <n v="154.03573629081947"/>
    <d v="2018-10-12T00:00:00"/>
  </r>
  <r>
    <n v="1947"/>
    <x v="2"/>
    <s v="Apps"/>
    <n v="105.89854918987609"/>
    <d v="2018-10-13T00:00:00"/>
  </r>
  <r>
    <n v="1948"/>
    <x v="0"/>
    <s v="Apps"/>
    <n v="46.210720887245841"/>
    <d v="2018-10-14T00:00:00"/>
  </r>
  <r>
    <n v="1949"/>
    <x v="0"/>
    <s v="Apps"/>
    <n v="46.210720887245841"/>
    <d v="2018-10-15T00:00:00"/>
  </r>
  <r>
    <n v="1950"/>
    <x v="0"/>
    <s v="Apps"/>
    <n v="46.210720887245841"/>
    <d v="2018-10-16T00:00:00"/>
  </r>
  <r>
    <n v="1951"/>
    <x v="1"/>
    <s v="Apps"/>
    <n v="66.137566137566139"/>
    <d v="2018-10-17T00:00:00"/>
  </r>
  <r>
    <n v="1952"/>
    <x v="0"/>
    <s v="Apps"/>
    <n v="128.48020762401552"/>
    <d v="2018-10-18T00:00:00"/>
  </r>
  <r>
    <n v="1953"/>
    <x v="0"/>
    <s v="Tech"/>
    <n v="25.696041524803107"/>
    <d v="2018-10-19T00:00:00"/>
  </r>
  <r>
    <n v="1954"/>
    <x v="3"/>
    <s v="Tech"/>
    <n v="146.5375914715122"/>
    <d v="2018-10-20T00:00:00"/>
  </r>
  <r>
    <n v="1955"/>
    <x v="0"/>
    <s v="OFM"/>
    <n v="38.54406228720466"/>
    <d v="2018-10-21T00:00:00"/>
  </r>
  <r>
    <n v="1956"/>
    <x v="0"/>
    <s v="Apps"/>
    <n v="154.03573629081947"/>
    <d v="2018-10-22T00:00:00"/>
  </r>
  <r>
    <n v="1957"/>
    <x v="0"/>
    <s v="Tech"/>
    <n v="77.017868145409736"/>
    <d v="2018-10-23T00:00:00"/>
  </r>
  <r>
    <n v="1958"/>
    <x v="0"/>
    <s v="Tech"/>
    <n v="420.48407445708375"/>
    <d v="2018-10-24T00:00:00"/>
  </r>
  <r>
    <n v="1959"/>
    <x v="2"/>
    <s v="Tech"/>
    <n v="63.539129513925651"/>
    <d v="2018-10-25T00:00:00"/>
  </r>
  <r>
    <n v="1960"/>
    <x v="0"/>
    <s v="Tech"/>
    <n v="46.210720887245841"/>
    <d v="2018-10-26T00:00:00"/>
  </r>
  <r>
    <n v="1961"/>
    <x v="0"/>
    <s v="OFM"/>
    <n v="55.452865064695011"/>
    <d v="2018-10-27T00:00:00"/>
  </r>
  <r>
    <n v="1962"/>
    <x v="0"/>
    <s v="Tech"/>
    <n v="107.82501540357363"/>
    <d v="2018-10-28T00:00:00"/>
  </r>
  <r>
    <n v="1963"/>
    <x v="1"/>
    <s v="Apps"/>
    <n v="88.183421516754848"/>
    <d v="2018-10-29T00:00:00"/>
  </r>
  <r>
    <n v="1964"/>
    <x v="1"/>
    <s v="Tech"/>
    <n v="55.114638447971785"/>
    <d v="2018-10-30T00:00:00"/>
  </r>
  <r>
    <n v="1965"/>
    <x v="4"/>
    <s v="Tech"/>
    <n v="4.123893272438913"/>
    <d v="2018-10-31T00:00:00"/>
  </r>
  <r>
    <n v="1966"/>
    <x v="1"/>
    <s v="Tech"/>
    <n v="97.934215167548501"/>
    <d v="2018-11-01T00:00:00"/>
  </r>
  <r>
    <n v="1967"/>
    <x v="1"/>
    <s v="OFM"/>
    <n v="3.607804232804233"/>
    <d v="2018-11-02T00:00:00"/>
  </r>
  <r>
    <n v="1968"/>
    <x v="0"/>
    <s v="Apps"/>
    <n v="46.210720887245841"/>
    <d v="2018-11-03T00:00:00"/>
  </r>
  <r>
    <n v="1969"/>
    <x v="0"/>
    <s v="Tech"/>
    <n v="154.03573629081947"/>
    <d v="2018-11-04T00:00:00"/>
  </r>
  <r>
    <n v="1970"/>
    <x v="4"/>
    <s v="Tech"/>
    <n v="65.178425941013529"/>
    <d v="2018-11-05T00:00:00"/>
  </r>
  <r>
    <n v="1971"/>
    <x v="0"/>
    <s v="Apps"/>
    <n v="308.07147258163894"/>
    <d v="2018-11-06T00:00:00"/>
  </r>
  <r>
    <n v="1972"/>
    <x v="0"/>
    <s v="Apps"/>
    <n v="308.07147258163894"/>
    <d v="2018-11-07T00:00:00"/>
  </r>
  <r>
    <n v="1973"/>
    <x v="0"/>
    <s v="Apps"/>
    <n v="46.210720887245841"/>
    <d v="2018-11-08T00:00:00"/>
  </r>
  <r>
    <n v="1974"/>
    <x v="2"/>
    <s v="Tech"/>
    <n v="211.79709837975219"/>
    <d v="2018-11-09T00:00:00"/>
  </r>
  <r>
    <n v="1975"/>
    <x v="0"/>
    <s v="Apps"/>
    <n v="46.210720887245841"/>
    <d v="2018-11-10T00:00:00"/>
  </r>
  <r>
    <n v="1976"/>
    <x v="0"/>
    <s v="Apps"/>
    <n v="46.210720887245841"/>
    <d v="2018-11-11T00:00:00"/>
  </r>
  <r>
    <n v="1977"/>
    <x v="4"/>
    <s v="Tech"/>
    <n v="0.58660583346912176"/>
    <d v="2018-11-12T00:00:00"/>
  </r>
  <r>
    <n v="1978"/>
    <x v="4"/>
    <s v="Tech"/>
    <n v="0.55800000000000005"/>
    <d v="2018-11-13T00:00:00"/>
  </r>
  <r>
    <n v="1979"/>
    <x v="0"/>
    <s v="OFM"/>
    <n v="46.210720887245841"/>
    <d v="2018-11-14T00:00:00"/>
  </r>
  <r>
    <n v="1980"/>
    <x v="0"/>
    <s v="Tech"/>
    <n v="30.807147258163894"/>
    <d v="2018-11-15T00:00:00"/>
  </r>
  <r>
    <n v="1981"/>
    <x v="0"/>
    <s v="Tech"/>
    <n v="30.807147258163894"/>
    <d v="2018-11-16T00:00:00"/>
  </r>
  <r>
    <n v="1982"/>
    <x v="4"/>
    <s v="Tech"/>
    <n v="0.55800000000000005"/>
    <d v="2018-11-17T00:00:00"/>
  </r>
  <r>
    <n v="1983"/>
    <x v="0"/>
    <s v="Apps"/>
    <n v="80"/>
    <d v="2018-11-18T00:00:00"/>
  </r>
  <r>
    <n v="1984"/>
    <x v="0"/>
    <s v="Apps"/>
    <n v="100.2145619467321"/>
    <d v="2018-11-19T00:00:00"/>
  </r>
  <r>
    <n v="1985"/>
    <x v="0"/>
    <s v="Tech"/>
    <n v="15.403573629081947"/>
    <d v="2018-11-20T00:00:00"/>
  </r>
  <r>
    <n v="1986"/>
    <x v="0"/>
    <s v="Tech"/>
    <n v="15.403573629081947"/>
    <d v="2018-11-21T00:00:00"/>
  </r>
  <r>
    <n v="1987"/>
    <x v="0"/>
    <s v="Tech"/>
    <n v="15.403573629081947"/>
    <d v="2018-11-22T00:00:00"/>
  </r>
  <r>
    <n v="1988"/>
    <x v="0"/>
    <s v="Tech"/>
    <n v="15.403573629081947"/>
    <d v="2018-11-23T00:00:00"/>
  </r>
  <r>
    <n v="1989"/>
    <x v="0"/>
    <s v="Tech"/>
    <n v="15.403573629081947"/>
    <d v="2018-11-24T00:00:00"/>
  </r>
  <r>
    <n v="1990"/>
    <x v="0"/>
    <s v="Tech"/>
    <n v="15.403573629081947"/>
    <d v="2018-11-25T00:00:00"/>
  </r>
  <r>
    <n v="1991"/>
    <x v="0"/>
    <s v="Tech"/>
    <n v="15.403573629081947"/>
    <d v="2018-11-26T00:00:00"/>
  </r>
  <r>
    <n v="1992"/>
    <x v="0"/>
    <s v="Tech"/>
    <n v="30.807147258163894"/>
    <d v="2018-11-27T00:00:00"/>
  </r>
  <r>
    <n v="1993"/>
    <x v="0"/>
    <s v="Tech"/>
    <n v="30.807147258163894"/>
    <d v="2018-11-28T00:00:00"/>
  </r>
  <r>
    <n v="1994"/>
    <x v="0"/>
    <s v="Tech"/>
    <n v="58.533579790511403"/>
    <d v="2018-11-29T00:00:00"/>
  </r>
  <r>
    <n v="1995"/>
    <x v="0"/>
    <s v="Tech"/>
    <n v="30.807147258163894"/>
    <d v="2018-11-30T00:00:00"/>
  </r>
  <r>
    <n v="1996"/>
    <x v="0"/>
    <s v="Tech"/>
    <n v="30.807147258163894"/>
    <d v="2018-12-01T00:00:00"/>
  </r>
  <r>
    <n v="1997"/>
    <x v="0"/>
    <s v="Tech"/>
    <n v="30.807147258163894"/>
    <d v="2018-12-02T00:00:00"/>
  </r>
  <r>
    <n v="1998"/>
    <x v="0"/>
    <s v="Tech"/>
    <n v="30.807147258163894"/>
    <d v="2018-12-03T00:00:00"/>
  </r>
  <r>
    <n v="1999"/>
    <x v="0"/>
    <s v="Tech"/>
    <n v="30.807147258163894"/>
    <d v="2018-12-04T00:00:00"/>
  </r>
  <r>
    <n v="2000"/>
    <x v="0"/>
    <s v="Tech"/>
    <n v="30.807147258163894"/>
    <d v="2018-12-05T00:00:00"/>
  </r>
  <r>
    <n v="2001"/>
    <x v="0"/>
    <s v="Tech"/>
    <n v="246.60597658656809"/>
    <d v="2018-12-06T00:00:00"/>
  </r>
  <r>
    <n v="2002"/>
    <x v="1"/>
    <s v="Apps"/>
    <n v="132.27513227513228"/>
    <d v="2018-12-07T00:00:00"/>
  </r>
  <r>
    <n v="2003"/>
    <x v="1"/>
    <s v="Apps"/>
    <n v="132.27513227513228"/>
    <d v="2018-12-08T00:00:00"/>
  </r>
  <r>
    <n v="2004"/>
    <x v="0"/>
    <s v="OFM"/>
    <n v="23.105360443622921"/>
    <d v="2018-12-09T00:00:00"/>
  </r>
  <r>
    <n v="2005"/>
    <x v="0"/>
    <s v="Apps"/>
    <n v="123.22858903265558"/>
    <d v="2018-12-10T00:00:00"/>
  </r>
  <r>
    <n v="2006"/>
    <x v="0"/>
    <s v="Apps"/>
    <n v="154.03573629081947"/>
    <d v="2018-12-11T00:00:00"/>
  </r>
  <r>
    <n v="2007"/>
    <x v="0"/>
    <s v="Apps"/>
    <n v="154.03573629081947"/>
    <d v="2018-12-12T00:00:00"/>
  </r>
  <r>
    <n v="2008"/>
    <x v="0"/>
    <s v="Apps"/>
    <n v="184.84288354898337"/>
    <d v="2018-12-13T00:00:00"/>
  </r>
  <r>
    <n v="2009"/>
    <x v="0"/>
    <s v="Apps"/>
    <n v="154.03573629081947"/>
    <d v="2018-12-14T00:00:00"/>
  </r>
  <r>
    <n v="2010"/>
    <x v="4"/>
    <s v="Tech"/>
    <n v="123.5"/>
    <d v="2018-12-15T00:00:00"/>
  </r>
  <r>
    <n v="2011"/>
    <x v="2"/>
    <s v="Apps"/>
    <n v="158.84782378481412"/>
    <d v="2018-12-16T00:00:00"/>
  </r>
  <r>
    <n v="2012"/>
    <x v="0"/>
    <s v="Tech"/>
    <n v="72.388831437435371"/>
    <d v="2018-12-17T00:00:00"/>
  </r>
  <r>
    <n v="2013"/>
    <x v="0"/>
    <s v="Tech"/>
    <n v="15.403573629081947"/>
    <d v="2018-12-18T00:00:00"/>
  </r>
  <r>
    <n v="2014"/>
    <x v="0"/>
    <s v="Tech"/>
    <n v="15.403573629081947"/>
    <d v="2018-12-19T00:00:00"/>
  </r>
  <r>
    <n v="2015"/>
    <x v="0"/>
    <s v="Tech"/>
    <n v="15.403573629081947"/>
    <d v="2018-12-20T00:00:00"/>
  </r>
  <r>
    <n v="2016"/>
    <x v="0"/>
    <s v="Tech"/>
    <n v="15.403573629081947"/>
    <d v="2018-12-21T00:00:00"/>
  </r>
  <r>
    <n v="2017"/>
    <x v="0"/>
    <s v="Tech"/>
    <n v="15.403573629081947"/>
    <d v="2018-12-22T00:00:00"/>
  </r>
  <r>
    <n v="2018"/>
    <x v="0"/>
    <s v="Tech"/>
    <n v="15.403573629081947"/>
    <d v="2018-12-23T00:00:00"/>
  </r>
  <r>
    <n v="2019"/>
    <x v="0"/>
    <s v="Tech"/>
    <n v="15.403573629081947"/>
    <d v="2018-12-24T00:00:00"/>
  </r>
  <r>
    <n v="2020"/>
    <x v="0"/>
    <s v="Tech"/>
    <n v="15.403573629081947"/>
    <d v="2018-12-25T00:00:00"/>
  </r>
  <r>
    <n v="2021"/>
    <x v="0"/>
    <s v="Tech"/>
    <n v="15.403573629081947"/>
    <d v="2018-12-26T00:00:00"/>
  </r>
  <r>
    <n v="2022"/>
    <x v="0"/>
    <s v="Tech"/>
    <n v="15.403573629081947"/>
    <d v="2018-12-27T00:00:00"/>
  </r>
  <r>
    <n v="2023"/>
    <x v="0"/>
    <s v="Tech"/>
    <n v="15.403573629081947"/>
    <d v="2018-12-28T00:00:00"/>
  </r>
  <r>
    <n v="2024"/>
    <x v="0"/>
    <s v="Tech"/>
    <n v="15.403573629081947"/>
    <d v="2018-12-29T00:00:00"/>
  </r>
  <r>
    <n v="2025"/>
    <x v="2"/>
    <s v="Apps"/>
    <n v="128.60108016520175"/>
    <d v="2018-12-30T00:00:00"/>
  </r>
  <r>
    <n v="2026"/>
    <x v="4"/>
    <s v="Apps"/>
    <n v="400"/>
    <d v="2018-12-31T00:00:00"/>
  </r>
  <r>
    <n v="2027"/>
    <x v="2"/>
    <s v="Apps"/>
    <n v="211.79709837975219"/>
    <d v="2019-01-01T00:00:00"/>
  </r>
  <r>
    <n v="2028"/>
    <x v="2"/>
    <s v="OFM"/>
    <n v="211.79709837975219"/>
    <d v="2019-01-02T00:00:00"/>
  </r>
  <r>
    <n v="2029"/>
    <x v="4"/>
    <s v="Apps"/>
    <n v="50"/>
    <d v="2019-01-03T00:00:00"/>
  </r>
  <r>
    <n v="2030"/>
    <x v="0"/>
    <s v="Tech"/>
    <n v="15.403573629081947"/>
    <d v="2019-01-04T00:00:00"/>
  </r>
  <r>
    <n v="2031"/>
    <x v="0"/>
    <s v="Tech"/>
    <n v="15.403573629081947"/>
    <d v="2019-01-05T00:00:00"/>
  </r>
  <r>
    <n v="2032"/>
    <x v="0"/>
    <s v="Tech"/>
    <n v="15.403573629081947"/>
    <d v="2019-01-06T00:00:00"/>
  </r>
  <r>
    <n v="2033"/>
    <x v="0"/>
    <s v="Tech"/>
    <n v="15.403573629081947"/>
    <d v="2019-01-07T00:00:00"/>
  </r>
  <r>
    <n v="2034"/>
    <x v="0"/>
    <s v="Tech"/>
    <n v="15.403573629081947"/>
    <d v="2019-01-08T00:00:00"/>
  </r>
  <r>
    <n v="2035"/>
    <x v="0"/>
    <s v="Tech"/>
    <n v="15.403573629081947"/>
    <d v="2019-01-09T00:00:00"/>
  </r>
  <r>
    <n v="2036"/>
    <x v="0"/>
    <s v="Tech"/>
    <n v="15.403573629081947"/>
    <d v="2019-01-10T00:00:00"/>
  </r>
  <r>
    <n v="2037"/>
    <x v="0"/>
    <s v="Tech"/>
    <n v="15.403573629081947"/>
    <d v="2019-01-11T00:00:00"/>
  </r>
  <r>
    <n v="2038"/>
    <x v="0"/>
    <s v="Tech"/>
    <n v="15.403573629081947"/>
    <d v="2019-01-12T00:00:00"/>
  </r>
  <r>
    <n v="2039"/>
    <x v="0"/>
    <s v="Tech"/>
    <n v="15.403573629081947"/>
    <d v="2019-01-13T00:00:00"/>
  </r>
  <r>
    <n v="2040"/>
    <x v="0"/>
    <s v="Tech"/>
    <n v="15.403573629081947"/>
    <d v="2019-01-14T00:00:00"/>
  </r>
  <r>
    <n v="2041"/>
    <x v="0"/>
    <s v="Tech"/>
    <n v="15.403573629081947"/>
    <d v="2019-01-15T00:00:00"/>
  </r>
  <r>
    <n v="2042"/>
    <x v="2"/>
    <s v="Apps"/>
    <n v="105.89854918987609"/>
    <d v="2019-01-16T00:00:00"/>
  </r>
  <r>
    <n v="2043"/>
    <x v="0"/>
    <s v="Tech"/>
    <n v="15.403573629081947"/>
    <d v="2019-01-17T00:00:00"/>
  </r>
  <r>
    <n v="2044"/>
    <x v="0"/>
    <s v="Tech"/>
    <n v="15.403573629081947"/>
    <d v="2019-01-18T00:00:00"/>
  </r>
  <r>
    <n v="2045"/>
    <x v="0"/>
    <s v="Tech"/>
    <n v="15.403573629081947"/>
    <d v="2019-01-19T00:00:00"/>
  </r>
  <r>
    <n v="2046"/>
    <x v="0"/>
    <s v="Tech"/>
    <n v="15.403573629081947"/>
    <d v="2019-01-20T00:00:00"/>
  </r>
  <r>
    <n v="2047"/>
    <x v="0"/>
    <s v="Tech"/>
    <n v="15.403573629081947"/>
    <d v="2019-01-21T00:00:00"/>
  </r>
  <r>
    <n v="2048"/>
    <x v="0"/>
    <s v="Tech"/>
    <n v="15.403573629081947"/>
    <d v="2019-01-22T00:00:00"/>
  </r>
  <r>
    <n v="2049"/>
    <x v="0"/>
    <s v="Tech"/>
    <n v="15.403573629081947"/>
    <d v="2019-01-23T00:00:00"/>
  </r>
  <r>
    <n v="2050"/>
    <x v="0"/>
    <s v="Tech"/>
    <n v="15.403573629081947"/>
    <d v="2019-01-24T00:00:00"/>
  </r>
  <r>
    <n v="2051"/>
    <x v="0"/>
    <s v="Tech"/>
    <n v="15.403573629081947"/>
    <d v="2019-01-25T00:00:00"/>
  </r>
  <r>
    <n v="2052"/>
    <x v="0"/>
    <s v="Tech"/>
    <n v="15.403573629081947"/>
    <d v="2019-01-26T00:00:00"/>
  </r>
  <r>
    <n v="2053"/>
    <x v="0"/>
    <s v="Tech"/>
    <n v="15.403573629081947"/>
    <d v="2019-01-27T00:00:00"/>
  </r>
  <r>
    <n v="2054"/>
    <x v="1"/>
    <s v="Tech"/>
    <n v="19.841269841269842"/>
    <d v="2019-01-28T00:00:00"/>
  </r>
  <r>
    <n v="2055"/>
    <x v="1"/>
    <s v="Tech"/>
    <n v="2.7834215167548502"/>
    <d v="2019-01-29T00:00:00"/>
  </r>
  <r>
    <n v="2056"/>
    <x v="0"/>
    <s v="Tech"/>
    <n v="15.403573629081947"/>
    <d v="2019-01-30T00:00:00"/>
  </r>
  <r>
    <n v="2057"/>
    <x v="0"/>
    <s v="Tech"/>
    <n v="15.403573629081947"/>
    <d v="2019-01-31T00:00:00"/>
  </r>
  <r>
    <n v="2058"/>
    <x v="0"/>
    <s v="Tech"/>
    <n v="15.403573629081947"/>
    <d v="2019-02-01T00:00:00"/>
  </r>
  <r>
    <n v="2059"/>
    <x v="0"/>
    <s v="Tech"/>
    <n v="15.403573629081947"/>
    <d v="2019-02-02T00:00:00"/>
  </r>
  <r>
    <n v="2060"/>
    <x v="0"/>
    <s v="Tech"/>
    <n v="15.403573629081947"/>
    <d v="2019-02-03T00:00:00"/>
  </r>
  <r>
    <n v="2061"/>
    <x v="0"/>
    <s v="Tech"/>
    <n v="15.403573629081947"/>
    <d v="2019-02-04T00:00:00"/>
  </r>
  <r>
    <n v="2062"/>
    <x v="1"/>
    <s v="Tech"/>
    <n v="661.37566137566137"/>
    <d v="2019-02-05T00:00:00"/>
  </r>
  <r>
    <n v="2063"/>
    <x v="1"/>
    <s v="Tech"/>
    <n v="39.682539682539684"/>
    <d v="2019-02-06T00:00:00"/>
  </r>
  <r>
    <n v="2064"/>
    <x v="0"/>
    <s v="Apps"/>
    <n v="1.5403573629081948"/>
    <d v="2019-02-07T00:00:00"/>
  </r>
  <r>
    <n v="2065"/>
    <x v="0"/>
    <s v="Tech"/>
    <n v="15.403573629081947"/>
    <d v="2019-02-08T00:00:00"/>
  </r>
  <r>
    <n v="2066"/>
    <x v="0"/>
    <s v="Tech"/>
    <n v="15.403573629081947"/>
    <d v="2019-02-09T00:00:00"/>
  </r>
  <r>
    <n v="2067"/>
    <x v="0"/>
    <s v="Tech"/>
    <n v="15.403573629081947"/>
    <d v="2019-02-10T00:00:00"/>
  </r>
  <r>
    <n v="2068"/>
    <x v="0"/>
    <s v="Tech"/>
    <n v="15.403573629081947"/>
    <d v="2019-02-11T00:00:00"/>
  </r>
  <r>
    <n v="2069"/>
    <x v="0"/>
    <s v="Tech"/>
    <n v="15.403573629081947"/>
    <d v="2019-02-12T00:00:00"/>
  </r>
  <r>
    <n v="2070"/>
    <x v="0"/>
    <s v="Tech"/>
    <n v="15.403573629081947"/>
    <d v="2019-02-13T00:00:00"/>
  </r>
  <r>
    <n v="2071"/>
    <x v="0"/>
    <s v="Tech"/>
    <n v="15.403573629081947"/>
    <d v="2019-02-14T00:00:00"/>
  </r>
  <r>
    <n v="2072"/>
    <x v="2"/>
    <s v="Tech"/>
    <n v="105.89854918987609"/>
    <d v="2019-02-15T00:00:00"/>
  </r>
  <r>
    <n v="2073"/>
    <x v="4"/>
    <s v="Tech"/>
    <n v="1947.7306409049929"/>
    <d v="2019-02-16T00:00:00"/>
  </r>
  <r>
    <n v="2074"/>
    <x v="1"/>
    <s v="Tech"/>
    <n v="661.37566137566137"/>
    <d v="2019-02-17T00:00:00"/>
  </r>
  <r>
    <n v="2075"/>
    <x v="0"/>
    <s v="Apps"/>
    <n v="77.088124574409321"/>
    <d v="2019-02-18T00:00:00"/>
  </r>
  <r>
    <n v="2076"/>
    <x v="0"/>
    <s v="Apps"/>
    <n v="128.48020762401552"/>
    <d v="2019-02-19T00:00:00"/>
  </r>
  <r>
    <n v="2077"/>
    <x v="0"/>
    <s v="Tech"/>
    <n v="15.403573629081947"/>
    <d v="2019-02-20T00:00:00"/>
  </r>
  <r>
    <n v="2078"/>
    <x v="0"/>
    <s v="Tech"/>
    <n v="15.403573629081947"/>
    <d v="2019-02-21T00:00:00"/>
  </r>
  <r>
    <n v="2079"/>
    <x v="0"/>
    <s v="Tech"/>
    <n v="30.807147258163894"/>
    <d v="2019-02-22T00:00:00"/>
  </r>
  <r>
    <n v="2080"/>
    <x v="4"/>
    <s v="Tech"/>
    <n v="123.5"/>
    <d v="2019-02-23T00:00:00"/>
  </r>
  <r>
    <n v="2081"/>
    <x v="4"/>
    <s v="Tech"/>
    <n v="131.68287739294669"/>
    <d v="2019-02-24T00:00:00"/>
  </r>
  <r>
    <n v="2082"/>
    <x v="0"/>
    <s v="Tech"/>
    <n v="34.470872113064452"/>
    <d v="2019-02-25T00:00:00"/>
  </r>
  <r>
    <n v="2083"/>
    <x v="2"/>
    <s v="Apps"/>
    <n v="105.89854918987609"/>
    <d v="2019-02-26T00:00:00"/>
  </r>
  <r>
    <n v="2084"/>
    <x v="2"/>
    <s v="Apps"/>
    <n v="5294.9274594938051"/>
    <d v="2019-02-27T00:00:00"/>
  </r>
  <r>
    <n v="2085"/>
    <x v="2"/>
    <s v="Apps"/>
    <n v="1588.4782378481414"/>
    <d v="2019-02-28T00:00:00"/>
  </r>
  <r>
    <n v="2086"/>
    <x v="2"/>
    <s v="Apps"/>
    <n v="317.69564756962825"/>
    <d v="2019-03-01T00:00:00"/>
  </r>
  <r>
    <n v="2087"/>
    <x v="2"/>
    <s v="Apps"/>
    <n v="370.64492216456637"/>
    <d v="2019-03-02T00:00:00"/>
  </r>
  <r>
    <n v="2088"/>
    <x v="0"/>
    <s v="OFM"/>
    <n v="231.05360443622922"/>
    <d v="2019-03-03T00:00:00"/>
  </r>
  <r>
    <n v="2089"/>
    <x v="0"/>
    <s v="Tech"/>
    <n v="38.54406228720466"/>
    <d v="2019-03-04T00:00:00"/>
  </r>
  <r>
    <n v="2090"/>
    <x v="0"/>
    <s v="Tech"/>
    <n v="22.406066873491898"/>
    <d v="2019-03-05T00:00:00"/>
  </r>
  <r>
    <n v="2091"/>
    <x v="0"/>
    <s v="Apps"/>
    <n v="61.614294516327789"/>
    <d v="2019-03-06T00:00:00"/>
  </r>
  <r>
    <n v="2092"/>
    <x v="0"/>
    <s v="Apps"/>
    <n v="46.210720887245841"/>
    <d v="2019-03-07T00:00:00"/>
  </r>
  <r>
    <n v="2093"/>
    <x v="0"/>
    <s v="Tech"/>
    <n v="77.017868145409736"/>
    <d v="2019-03-08T00:00:00"/>
  </r>
  <r>
    <n v="2094"/>
    <x v="0"/>
    <s v="Tech"/>
    <n v="46.210720887245841"/>
    <d v="2019-03-09T00:00:00"/>
  </r>
  <r>
    <n v="2095"/>
    <x v="0"/>
    <s v="Tech"/>
    <n v="37.917959324370905"/>
    <d v="2019-03-10T00:00:00"/>
  </r>
  <r>
    <n v="2096"/>
    <x v="1"/>
    <s v="Tech"/>
    <n v="65"/>
    <d v="2019-03-11T00:00:00"/>
  </r>
  <r>
    <n v="2097"/>
    <x v="2"/>
    <s v="Tech"/>
    <n v="52.949274594938046"/>
    <d v="2019-03-12T00:00:00"/>
  </r>
  <r>
    <n v="2098"/>
    <x v="1"/>
    <s v="Tech"/>
    <n v="3.6080246913580249"/>
    <d v="2019-03-13T00:00:00"/>
  </r>
  <r>
    <n v="2099"/>
    <x v="0"/>
    <s v="Tech"/>
    <n v="12.848020762401553"/>
    <d v="2019-03-14T00:00:00"/>
  </r>
  <r>
    <n v="2100"/>
    <x v="1"/>
    <s v="Tech"/>
    <n v="22.045855379188712"/>
    <d v="2019-03-15T00:00:00"/>
  </r>
  <r>
    <n v="2101"/>
    <x v="3"/>
    <s v="Tech"/>
    <n v="91.585994669695125"/>
    <d v="2019-03-16T00:00:00"/>
  </r>
  <r>
    <n v="2102"/>
    <x v="3"/>
    <s v="OFM"/>
    <n v="27.475798400908538"/>
    <d v="2019-03-17T00:00:00"/>
  </r>
  <r>
    <n v="2103"/>
    <x v="1"/>
    <s v="Apps"/>
    <n v="44.091710758377424"/>
    <d v="2019-03-18T00:00:00"/>
  </r>
  <r>
    <n v="2104"/>
    <x v="1"/>
    <s v="Apps"/>
    <n v="44.091710758377424"/>
    <d v="2019-03-19T00:00:00"/>
  </r>
  <r>
    <n v="2105"/>
    <x v="1"/>
    <s v="Apps"/>
    <n v="44.091710758377424"/>
    <d v="2019-03-20T00:00:00"/>
  </r>
  <r>
    <n v="2106"/>
    <x v="2"/>
    <s v="Apps"/>
    <n v="370.64492216456637"/>
    <d v="2019-03-21T00:00:00"/>
  </r>
  <r>
    <n v="2107"/>
    <x v="0"/>
    <s v="Apps"/>
    <n v="64.24010381200776"/>
    <d v="2019-03-22T00:00:00"/>
  </r>
  <r>
    <n v="2108"/>
    <x v="0"/>
    <s v="Systems"/>
    <n v="344.70872113064462"/>
    <d v="2019-03-23T00:00:00"/>
  </r>
  <r>
    <n v="2109"/>
    <x v="1"/>
    <s v="Tech"/>
    <n v="132.27513227513228"/>
    <d v="2019-03-24T00:00:00"/>
  </r>
  <r>
    <n v="2110"/>
    <x v="0"/>
    <s v="Apps"/>
    <n v="69.316081330868769"/>
    <d v="2019-03-25T00:00:00"/>
  </r>
  <r>
    <n v="2111"/>
    <x v="0"/>
    <s v="Tech"/>
    <n v="15.403573629081947"/>
    <d v="2019-03-26T00:00:00"/>
  </r>
  <r>
    <n v="2112"/>
    <x v="0"/>
    <s v="Tech"/>
    <n v="15.403573629081947"/>
    <d v="2019-03-27T00:00:00"/>
  </r>
  <r>
    <n v="2113"/>
    <x v="0"/>
    <s v="Tech"/>
    <n v="15.403573629081947"/>
    <d v="2019-03-28T00:00:00"/>
  </r>
  <r>
    <n v="2114"/>
    <x v="0"/>
    <s v="Tech"/>
    <n v="15.403573629081947"/>
    <d v="2019-03-29T00:00:00"/>
  </r>
  <r>
    <n v="2115"/>
    <x v="0"/>
    <s v="Tech"/>
    <n v="15.403573629081947"/>
    <d v="2019-03-30T00:00:00"/>
  </r>
  <r>
    <n v="2116"/>
    <x v="0"/>
    <s v="Tech"/>
    <n v="15.403573629081947"/>
    <d v="2019-03-31T00:00:00"/>
  </r>
  <r>
    <n v="2117"/>
    <x v="0"/>
    <s v="Tech"/>
    <n v="107.82501540357363"/>
    <d v="2019-04-01T00:00:00"/>
  </r>
  <r>
    <n v="2118"/>
    <x v="0"/>
    <s v="Tech"/>
    <n v="162.89279112754159"/>
    <d v="2019-04-02T00:00:00"/>
  </r>
  <r>
    <n v="2119"/>
    <x v="0"/>
    <s v="Tech"/>
    <n v="81.440234134319169"/>
    <d v="2019-04-03T00:00:00"/>
  </r>
  <r>
    <n v="2120"/>
    <x v="0"/>
    <s v="Tech"/>
    <n v="308.07147258163894"/>
    <d v="2019-04-04T00:00:00"/>
  </r>
  <r>
    <n v="2121"/>
    <x v="0"/>
    <s v="Tech"/>
    <n v="15.403573629081947"/>
    <d v="2019-04-05T00:00:00"/>
  </r>
  <r>
    <n v="2122"/>
    <x v="0"/>
    <s v="Tech"/>
    <n v="15.403573629081947"/>
    <d v="2019-04-06T00:00:00"/>
  </r>
  <r>
    <n v="2123"/>
    <x v="0"/>
    <s v="Apps"/>
    <n v="43.130006161429456"/>
    <d v="2019-04-07T00:00:00"/>
  </r>
  <r>
    <n v="2124"/>
    <x v="1"/>
    <s v="Tech"/>
    <n v="30.8641975308642"/>
    <d v="2019-04-08T00:00:00"/>
  </r>
  <r>
    <n v="2125"/>
    <x v="4"/>
    <s v="Tech"/>
    <n v="256.84522442229064"/>
    <d v="2019-04-09T00:00:00"/>
  </r>
  <r>
    <n v="2126"/>
    <x v="1"/>
    <s v="Tech"/>
    <n v="35.273368606701936"/>
    <d v="2019-04-10T00:00:00"/>
  </r>
  <r>
    <n v="2127"/>
    <x v="0"/>
    <s v="Apps"/>
    <n v="102.78416609921243"/>
    <d v="2019-04-11T00:00:00"/>
  </r>
  <r>
    <n v="2128"/>
    <x v="1"/>
    <s v="Tech"/>
    <n v="146.90132275132277"/>
    <d v="2019-04-12T00:00:00"/>
  </r>
  <r>
    <n v="2129"/>
    <x v="1"/>
    <s v="Tech"/>
    <n v="88.183421516754848"/>
    <d v="2019-04-13T00:00:00"/>
  </r>
  <r>
    <n v="2130"/>
    <x v="0"/>
    <s v="Tech"/>
    <n v="64.460530851430534"/>
    <d v="2019-04-14T00:00:00"/>
  </r>
  <r>
    <n v="2131"/>
    <x v="1"/>
    <s v="Apps"/>
    <n v="66.137566137566139"/>
    <d v="2019-04-15T00:00:00"/>
  </r>
  <r>
    <n v="2132"/>
    <x v="2"/>
    <s v="Apps"/>
    <n v="2.4309213191799692"/>
    <d v="2019-04-16T00:00:00"/>
  </r>
  <r>
    <n v="2133"/>
    <x v="2"/>
    <s v="Apps"/>
    <n v="81.030710639332298"/>
    <d v="2019-04-17T00:00:00"/>
  </r>
  <r>
    <n v="2134"/>
    <x v="4"/>
    <s v="Apps"/>
    <n v="18.634796940322506"/>
    <d v="2019-04-18T00:00:00"/>
  </r>
  <r>
    <n v="2135"/>
    <x v="4"/>
    <s v="Apps"/>
    <n v="24.846395920430009"/>
    <d v="2019-04-19T00:00:00"/>
  </r>
  <r>
    <n v="2136"/>
    <x v="4"/>
    <s v="Apps"/>
    <n v="24.846395920430009"/>
    <d v="2019-04-20T00:00:00"/>
  </r>
  <r>
    <n v="2137"/>
    <x v="1"/>
    <s v="Apps"/>
    <n v="132.27513227513228"/>
    <d v="2019-04-21T00:00:00"/>
  </r>
  <r>
    <n v="2138"/>
    <x v="1"/>
    <s v="Apps"/>
    <n v="70.546737213403873"/>
    <d v="2019-04-22T00:00:00"/>
  </r>
  <r>
    <n v="2139"/>
    <x v="4"/>
    <s v="Apps"/>
    <n v="24.846395920430009"/>
    <d v="2019-04-23T00:00:00"/>
  </r>
  <r>
    <n v="2140"/>
    <x v="2"/>
    <s v="Tech"/>
    <n v="52.949274594938046"/>
    <d v="2019-04-24T00:00:00"/>
  </r>
  <r>
    <n v="2141"/>
    <x v="2"/>
    <s v="Tech"/>
    <n v="529.49274594938049"/>
    <d v="2019-04-25T00:00:00"/>
  </r>
  <r>
    <n v="2142"/>
    <x v="2"/>
    <s v="OFM"/>
    <n v="317.69564756962825"/>
    <d v="2019-04-26T00:00:00"/>
  </r>
  <r>
    <n v="2143"/>
    <x v="1"/>
    <s v="Tech"/>
    <n v="7.8347442680776016"/>
    <d v="2019-04-27T00:00:00"/>
  </r>
  <r>
    <n v="2144"/>
    <x v="1"/>
    <s v="Apps"/>
    <n v="22.045855379188712"/>
    <d v="2019-04-28T00:00:00"/>
  </r>
  <r>
    <n v="2145"/>
    <x v="1"/>
    <s v="Tech"/>
    <n v="66.137566137566139"/>
    <d v="2019-04-29T00:00:00"/>
  </r>
  <r>
    <n v="2146"/>
    <x v="1"/>
    <s v="Tech"/>
    <n v="66.137566137566139"/>
    <d v="2019-04-30T00:00:00"/>
  </r>
  <r>
    <n v="2147"/>
    <x v="2"/>
    <s v="Tech"/>
    <n v="52.949274594938046"/>
    <d v="2019-05-01T00:00:00"/>
  </r>
  <r>
    <n v="2148"/>
    <x v="2"/>
    <s v="Tech"/>
    <n v="52.949274594938046"/>
    <d v="2019-05-02T00:00:00"/>
  </r>
  <r>
    <n v="2149"/>
    <x v="4"/>
    <s v="Apps"/>
    <n v="24.846395920430009"/>
    <d v="2019-05-03T00:00:00"/>
  </r>
  <r>
    <n v="2150"/>
    <x v="4"/>
    <s v="Apps"/>
    <n v="100"/>
    <d v="2019-05-04T00:00:00"/>
  </r>
  <r>
    <n v="2151"/>
    <x v="0"/>
    <s v="Tech"/>
    <n v="308.07147258163894"/>
    <d v="2019-05-05T00:00:00"/>
  </r>
  <r>
    <n v="2152"/>
    <x v="1"/>
    <s v="Tech"/>
    <n v="110.22927689594357"/>
    <d v="2019-05-06T00:00:00"/>
  </r>
  <r>
    <n v="2153"/>
    <x v="1"/>
    <s v="Tech"/>
    <n v="480.36155202821868"/>
    <d v="2019-05-07T00:00:00"/>
  </r>
  <r>
    <n v="2154"/>
    <x v="1"/>
    <s v="OFM"/>
    <n v="66.137566137566139"/>
    <d v="2019-05-08T00:00:00"/>
  </r>
  <r>
    <n v="2155"/>
    <x v="1"/>
    <s v="Tech"/>
    <n v="37.47795414462081"/>
    <d v="2019-05-09T00:00:00"/>
  </r>
  <r>
    <n v="2156"/>
    <x v="1"/>
    <s v="Apps"/>
    <n v="176.3668430335097"/>
    <d v="2019-05-10T00:00:00"/>
  </r>
  <r>
    <n v="2157"/>
    <x v="4"/>
    <s v="Tech"/>
    <n v="10.5"/>
    <d v="2019-05-11T00:00:00"/>
  </r>
  <r>
    <n v="2158"/>
    <x v="1"/>
    <s v="Tech"/>
    <n v="6.6137566137566139"/>
    <d v="2019-05-12T00:00:00"/>
  </r>
  <r>
    <n v="2159"/>
    <x v="4"/>
    <s v="Tech"/>
    <n v="100"/>
    <d v="2019-05-13T00:00:00"/>
  </r>
  <r>
    <n v="2160"/>
    <x v="1"/>
    <s v="Tech"/>
    <n v="54.121560846560847"/>
    <d v="2019-05-14T00:00:00"/>
  </r>
  <r>
    <n v="2161"/>
    <x v="4"/>
    <s v="Tech"/>
    <n v="570"/>
    <d v="2019-05-15T00:00:00"/>
  </r>
  <r>
    <n v="2162"/>
    <x v="1"/>
    <s v="Apps"/>
    <n v="44.091710758377424"/>
    <d v="2019-05-16T00:00:00"/>
  </r>
  <r>
    <n v="2163"/>
    <x v="0"/>
    <s v="Apps"/>
    <n v="102.78416609921243"/>
    <d v="2019-05-17T00:00:00"/>
  </r>
  <r>
    <n v="2164"/>
    <x v="2"/>
    <s v="Tech"/>
    <n v="21.179709837975221"/>
    <d v="2019-05-18T00:00:00"/>
  </r>
  <r>
    <n v="2165"/>
    <x v="1"/>
    <s v="Tech"/>
    <n v="50"/>
    <d v="2019-05-19T00:00:00"/>
  </r>
  <r>
    <n v="2166"/>
    <x v="0"/>
    <s v="Tech"/>
    <n v="62.156500308071472"/>
    <d v="2019-05-20T00:00:00"/>
  </r>
  <r>
    <n v="2167"/>
    <x v="0"/>
    <s v="Tech"/>
    <n v="55.548367221195313"/>
    <d v="2019-05-21T00:00:00"/>
  </r>
  <r>
    <n v="2168"/>
    <x v="0"/>
    <s v="Tech"/>
    <n v="15.403573629081947"/>
    <d v="2019-05-22T00:00:00"/>
  </r>
  <r>
    <n v="2169"/>
    <x v="0"/>
    <s v="Tech"/>
    <n v="15.403573629081947"/>
    <d v="2019-05-23T00:00:00"/>
  </r>
  <r>
    <n v="2170"/>
    <x v="0"/>
    <s v="Tech"/>
    <n v="15.403573629081947"/>
    <d v="2019-05-24T00:00:00"/>
  </r>
  <r>
    <n v="2171"/>
    <x v="0"/>
    <s v="Tech"/>
    <n v="15.403573629081947"/>
    <d v="2019-05-25T00:00:00"/>
  </r>
  <r>
    <n v="2172"/>
    <x v="0"/>
    <s v="Tech"/>
    <n v="15.403573629081947"/>
    <d v="2019-05-26T00:00:00"/>
  </r>
  <r>
    <n v="2173"/>
    <x v="0"/>
    <s v="Tech"/>
    <n v="15.403573629081947"/>
    <d v="2019-05-27T00:00:00"/>
  </r>
  <r>
    <n v="2174"/>
    <x v="0"/>
    <s v="Tech"/>
    <n v="15.403573629081947"/>
    <d v="2019-05-28T00:00:00"/>
  </r>
  <r>
    <n v="2175"/>
    <x v="0"/>
    <s v="Tech"/>
    <n v="15.403573629081947"/>
    <d v="2019-05-29T00:00:00"/>
  </r>
  <r>
    <n v="2176"/>
    <x v="0"/>
    <s v="Tech"/>
    <n v="15.403573629081947"/>
    <d v="2019-05-30T00:00:00"/>
  </r>
  <r>
    <n v="2177"/>
    <x v="0"/>
    <s v="Tech"/>
    <n v="15.403573629081947"/>
    <d v="2019-05-31T00:00:00"/>
  </r>
  <r>
    <n v="2178"/>
    <x v="0"/>
    <s v="Tech"/>
    <n v="15.403573629081947"/>
    <d v="2019-06-01T00:00:00"/>
  </r>
  <r>
    <n v="2179"/>
    <x v="0"/>
    <s v="Tech"/>
    <n v="15.403573629081947"/>
    <d v="2019-06-02T00:00:00"/>
  </r>
  <r>
    <n v="2180"/>
    <x v="0"/>
    <s v="Tech"/>
    <n v="15.403573629081947"/>
    <d v="2019-06-03T00:00:00"/>
  </r>
  <r>
    <n v="2181"/>
    <x v="0"/>
    <s v="OFM"/>
    <n v="231.05360443622922"/>
    <d v="2019-06-04T00:00:00"/>
  </r>
  <r>
    <n v="2182"/>
    <x v="0"/>
    <s v="Tech"/>
    <n v="15.403573629081947"/>
    <d v="2019-06-05T00:00:00"/>
  </r>
  <r>
    <n v="2183"/>
    <x v="0"/>
    <s v="Tech"/>
    <n v="15.403573629081947"/>
    <d v="2019-06-06T00:00:00"/>
  </r>
  <r>
    <n v="2184"/>
    <x v="0"/>
    <s v="Tech"/>
    <n v="15.403573629081947"/>
    <d v="2019-06-07T00:00:00"/>
  </r>
  <r>
    <n v="2185"/>
    <x v="0"/>
    <s v="Tech"/>
    <n v="15.403573629081947"/>
    <d v="2019-06-08T00:00:00"/>
  </r>
  <r>
    <n v="2186"/>
    <x v="0"/>
    <s v="Tech"/>
    <n v="15.403573629081947"/>
    <d v="2019-06-09T00:00:00"/>
  </r>
  <r>
    <n v="2187"/>
    <x v="0"/>
    <s v="OFM"/>
    <n v="27.726432532347506"/>
    <d v="2019-06-10T00:00:00"/>
  </r>
  <r>
    <n v="2188"/>
    <x v="0"/>
    <s v="Tech"/>
    <n v="15.403573629081947"/>
    <d v="2019-06-11T00:00:00"/>
  </r>
  <r>
    <n v="2189"/>
    <x v="0"/>
    <s v="Tech"/>
    <n v="15.403573629081947"/>
    <d v="2019-06-12T00:00:00"/>
  </r>
  <r>
    <n v="2190"/>
    <x v="0"/>
    <s v="Tech"/>
    <n v="15.403573629081947"/>
    <d v="2019-06-13T00:00:00"/>
  </r>
  <r>
    <n v="2191"/>
    <x v="0"/>
    <s v="Tech"/>
    <n v="15.403573629081947"/>
    <d v="2019-06-14T00:00:00"/>
  </r>
  <r>
    <n v="2192"/>
    <x v="0"/>
    <s v="OFM"/>
    <n v="2156.5003080714728"/>
    <d v="2019-06-15T00:00:00"/>
  </r>
  <r>
    <n v="2193"/>
    <x v="0"/>
    <s v="Tech"/>
    <n v="154.03573629081947"/>
    <d v="2019-06-16T00:00:00"/>
  </r>
  <r>
    <n v="2194"/>
    <x v="0"/>
    <s v="Tech"/>
    <n v="15.403573629081947"/>
    <d v="2019-06-17T00:00:00"/>
  </r>
  <r>
    <n v="2195"/>
    <x v="0"/>
    <s v="Tech"/>
    <n v="15.403573629081947"/>
    <d v="2019-06-18T00:00:00"/>
  </r>
  <r>
    <n v="2196"/>
    <x v="0"/>
    <s v="Tech"/>
    <n v="15.403573629081947"/>
    <d v="2019-06-19T00:00:00"/>
  </r>
  <r>
    <n v="2197"/>
    <x v="0"/>
    <s v="Tech"/>
    <n v="15.403573629081947"/>
    <d v="2019-06-20T00:00:00"/>
  </r>
  <r>
    <n v="2198"/>
    <x v="0"/>
    <s v="Tech"/>
    <n v="15.403573629081947"/>
    <d v="2019-06-21T00:00:00"/>
  </r>
  <r>
    <n v="2199"/>
    <x v="0"/>
    <s v="Tech"/>
    <n v="15.403573629081947"/>
    <d v="2019-06-22T00:00:00"/>
  </r>
  <r>
    <n v="2200"/>
    <x v="0"/>
    <s v="Tech"/>
    <n v="15.403573629081947"/>
    <d v="2019-06-23T00:00:00"/>
  </r>
  <r>
    <n v="2201"/>
    <x v="0"/>
    <s v="Tech"/>
    <n v="15.403573629081947"/>
    <d v="2019-06-24T00:00:00"/>
  </r>
  <r>
    <n v="2202"/>
    <x v="0"/>
    <s v="Tech"/>
    <n v="15.403573629081947"/>
    <d v="2019-06-25T00:00:00"/>
  </r>
  <r>
    <n v="2203"/>
    <x v="0"/>
    <s v="Tech"/>
    <n v="15.403573629081947"/>
    <d v="2019-06-26T00:00:00"/>
  </r>
  <r>
    <n v="2204"/>
    <x v="0"/>
    <s v="Tech"/>
    <n v="15.403573629081947"/>
    <d v="2019-06-27T00:00:00"/>
  </r>
  <r>
    <n v="2205"/>
    <x v="0"/>
    <s v="Tech"/>
    <n v="15.403573629081947"/>
    <d v="2019-06-28T00:00:00"/>
  </r>
  <r>
    <n v="2206"/>
    <x v="0"/>
    <s v="Tech"/>
    <n v="15.403573629081947"/>
    <d v="2019-06-29T00:00:00"/>
  </r>
  <r>
    <n v="2207"/>
    <x v="0"/>
    <s v="Tech"/>
    <n v="15.403573629081947"/>
    <d v="2019-06-30T00:00:00"/>
  </r>
  <r>
    <n v="2208"/>
    <x v="0"/>
    <s v="Tech"/>
    <n v="15.403573629081947"/>
    <d v="2019-07-01T00:00:00"/>
  </r>
  <r>
    <n v="2209"/>
    <x v="0"/>
    <s v="Tech"/>
    <n v="15.403573629081947"/>
    <d v="2019-07-02T00:00:00"/>
  </r>
  <r>
    <n v="2210"/>
    <x v="0"/>
    <s v="Tech"/>
    <n v="15.403573629081947"/>
    <d v="2019-07-03T00:00:00"/>
  </r>
  <r>
    <n v="2211"/>
    <x v="0"/>
    <s v="Tech"/>
    <n v="15.403573629081947"/>
    <d v="2019-07-04T00:00:00"/>
  </r>
  <r>
    <n v="2212"/>
    <x v="0"/>
    <s v="Tech"/>
    <n v="15.403573629081947"/>
    <d v="2019-07-05T00:00:00"/>
  </r>
  <r>
    <n v="2213"/>
    <x v="0"/>
    <s v="Tech"/>
    <n v="15.403573629081947"/>
    <d v="2019-07-06T00:00:00"/>
  </r>
  <r>
    <n v="2214"/>
    <x v="0"/>
    <s v="Tech"/>
    <n v="15.403573629081947"/>
    <d v="2019-07-07T00:00:00"/>
  </r>
  <r>
    <n v="2215"/>
    <x v="0"/>
    <s v="Tech"/>
    <n v="15.403573629081947"/>
    <d v="2019-07-08T00:00:00"/>
  </r>
  <r>
    <n v="2216"/>
    <x v="0"/>
    <s v="Tech"/>
    <n v="15.403573629081947"/>
    <d v="2019-07-09T00:00:00"/>
  </r>
  <r>
    <n v="2217"/>
    <x v="0"/>
    <s v="Tech"/>
    <n v="23.105360443622921"/>
    <d v="2019-07-10T00:00:00"/>
  </r>
  <r>
    <n v="2218"/>
    <x v="0"/>
    <s v="Apps"/>
    <n v="46.210720887245841"/>
    <d v="2019-07-11T00:00:00"/>
  </r>
  <r>
    <n v="2219"/>
    <x v="0"/>
    <s v="Tech"/>
    <n v="15.403573629081947"/>
    <d v="2019-07-12T00:00:00"/>
  </r>
  <r>
    <n v="2220"/>
    <x v="0"/>
    <s v="Tech"/>
    <n v="15.403573629081947"/>
    <d v="2019-07-13T00:00:00"/>
  </r>
  <r>
    <n v="2221"/>
    <x v="0"/>
    <s v="Tech"/>
    <n v="15.403573629081947"/>
    <d v="2019-07-14T00:00:00"/>
  </r>
  <r>
    <n v="2222"/>
    <x v="0"/>
    <s v="Tech"/>
    <n v="15.403573629081947"/>
    <d v="2019-07-15T00:00:00"/>
  </r>
  <r>
    <n v="2223"/>
    <x v="1"/>
    <s v="Apps"/>
    <n v="88.183421516754848"/>
    <d v="2019-07-16T00:00:00"/>
  </r>
  <r>
    <n v="2224"/>
    <x v="1"/>
    <s v="Apps"/>
    <n v="35.273368606701936"/>
    <d v="2019-07-17T00:00:00"/>
  </r>
  <r>
    <n v="2225"/>
    <x v="2"/>
    <s v="Apps"/>
    <n v="52.949274594938046"/>
    <d v="2019-07-18T00:00:00"/>
  </r>
  <r>
    <n v="2226"/>
    <x v="2"/>
    <s v="Apps"/>
    <n v="52.949274594938046"/>
    <d v="2019-07-19T00:00:00"/>
  </r>
  <r>
    <n v="2227"/>
    <x v="2"/>
    <s v="OFM"/>
    <n v="72.011013449115751"/>
    <d v="2019-07-20T00:00:00"/>
  </r>
  <r>
    <n v="2228"/>
    <x v="3"/>
    <s v="Tech"/>
    <n v="136.46313205784574"/>
    <d v="2019-07-21T00:00:00"/>
  </r>
  <r>
    <n v="2229"/>
    <x v="3"/>
    <s v="Tech"/>
    <n v="45.792997334847563"/>
    <d v="2019-07-22T00:00:00"/>
  </r>
  <r>
    <n v="2230"/>
    <x v="3"/>
    <s v="Tech"/>
    <n v="274.75798400908536"/>
    <d v="2019-07-23T00:00:00"/>
  </r>
  <r>
    <n v="2231"/>
    <x v="2"/>
    <s v="Apps"/>
    <n v="105.89854918987609"/>
    <d v="2019-07-24T00:00:00"/>
  </r>
  <r>
    <n v="2232"/>
    <x v="2"/>
    <s v="Apps"/>
    <n v="19.061738854177698"/>
    <d v="2019-07-25T00:00:00"/>
  </r>
  <r>
    <n v="2233"/>
    <x v="2"/>
    <s v="OFM"/>
    <n v="0"/>
    <d v="2019-07-26T00:00:00"/>
  </r>
  <r>
    <n v="2234"/>
    <x v="0"/>
    <s v="Tech"/>
    <n v="385.08934072704869"/>
    <d v="2019-07-27T00:00:00"/>
  </r>
  <r>
    <n v="2235"/>
    <x v="0"/>
    <s v="Apps"/>
    <n v="123.22858903265558"/>
    <d v="2019-07-28T00:00:00"/>
  </r>
  <r>
    <n v="2236"/>
    <x v="0"/>
    <s v="Apps"/>
    <n v="123.22858903265558"/>
    <d v="2019-07-29T00:00:00"/>
  </r>
  <r>
    <n v="2237"/>
    <x v="0"/>
    <s v="Apps"/>
    <n v="154.03573629081947"/>
    <d v="2019-07-30T00:00:00"/>
  </r>
  <r>
    <n v="2238"/>
    <x v="0"/>
    <s v="Apps"/>
    <n v="154.03573629081947"/>
    <d v="2019-07-31T00:00:00"/>
  </r>
  <r>
    <n v="2239"/>
    <x v="0"/>
    <s v="Apps"/>
    <n v="154.03573629081947"/>
    <d v="2019-08-01T00:00:00"/>
  </r>
  <r>
    <n v="2240"/>
    <x v="0"/>
    <s v="Apps"/>
    <n v="84.719654959950716"/>
    <d v="2019-08-02T00:00:00"/>
  </r>
  <r>
    <n v="2241"/>
    <x v="1"/>
    <s v="Tech"/>
    <n v="48.500881834215171"/>
    <d v="2019-08-03T00:00:00"/>
  </r>
  <r>
    <n v="2242"/>
    <x v="1"/>
    <s v="Tech"/>
    <n v="55.114638447971785"/>
    <d v="2019-08-04T00:00:00"/>
  </r>
  <r>
    <n v="2243"/>
    <x v="4"/>
    <s v="Tech"/>
    <n v="121.60338927814894"/>
    <d v="2019-08-05T00:00:00"/>
  </r>
  <r>
    <n v="2244"/>
    <x v="1"/>
    <s v="Tech"/>
    <n v="20"/>
    <d v="2019-08-06T00:00:00"/>
  </r>
  <r>
    <n v="2245"/>
    <x v="0"/>
    <s v="Tech"/>
    <n v="46.210720887245841"/>
    <d v="2019-08-07T00:00:00"/>
  </r>
  <r>
    <n v="2246"/>
    <x v="1"/>
    <s v="Tech"/>
    <n v="110.22927689594357"/>
    <d v="2019-08-08T00:00:00"/>
  </r>
  <r>
    <n v="2247"/>
    <x v="2"/>
    <s v="OFM"/>
    <n v="158.84782378481412"/>
    <d v="2019-08-09T00:00:00"/>
  </r>
  <r>
    <n v="2248"/>
    <x v="0"/>
    <s v="Tech"/>
    <n v="15.403573629081947"/>
    <d v="2019-08-10T00:00:00"/>
  </r>
  <r>
    <n v="2249"/>
    <x v="0"/>
    <s v="Apps"/>
    <n v="68.941744226128904"/>
    <d v="2019-08-11T00:00:00"/>
  </r>
  <r>
    <n v="2250"/>
    <x v="0"/>
    <s v="Tech"/>
    <n v="231.05360443622922"/>
    <d v="2019-08-12T00:00:00"/>
  </r>
  <r>
    <n v="2251"/>
    <x v="0"/>
    <s v="Tech"/>
    <n v="9.0593963999845819"/>
    <d v="2019-08-13T00:00:00"/>
  </r>
  <r>
    <n v="2252"/>
    <x v="0"/>
    <s v="Tech"/>
    <n v="123.22858903265558"/>
    <d v="2019-08-14T00:00:00"/>
  </r>
  <r>
    <n v="2253"/>
    <x v="1"/>
    <s v="Tech"/>
    <n v="661.37566137566137"/>
    <d v="2019-08-15T00:00:00"/>
  </r>
  <r>
    <n v="2254"/>
    <x v="0"/>
    <s v="Tech"/>
    <n v="15.403573629081947"/>
    <d v="2019-08-16T00:00:00"/>
  </r>
  <r>
    <n v="2255"/>
    <x v="0"/>
    <s v="Tech"/>
    <n v="15.403573629081947"/>
    <d v="2019-08-17T00:00:00"/>
  </r>
  <r>
    <n v="2256"/>
    <x v="0"/>
    <s v="Tech"/>
    <n v="15.403573629081947"/>
    <d v="2019-08-18T00:00:00"/>
  </r>
  <r>
    <n v="2257"/>
    <x v="0"/>
    <s v="Tech"/>
    <n v="15.403573629081947"/>
    <d v="2019-08-19T00:00:00"/>
  </r>
  <r>
    <n v="2258"/>
    <x v="0"/>
    <s v="Tech"/>
    <n v="15.403573629081947"/>
    <d v="2019-08-20T00:00:00"/>
  </r>
  <r>
    <n v="2259"/>
    <x v="0"/>
    <s v="Tech"/>
    <n v="15.403573629081947"/>
    <d v="2019-08-21T00:00:00"/>
  </r>
  <r>
    <n v="2260"/>
    <x v="0"/>
    <s v="Tech"/>
    <n v="15.403573629081947"/>
    <d v="2019-08-22T00:00:00"/>
  </r>
  <r>
    <n v="2261"/>
    <x v="0"/>
    <s v="Tech"/>
    <n v="15.403573629081947"/>
    <d v="2019-08-23T00:00:00"/>
  </r>
  <r>
    <n v="2262"/>
    <x v="0"/>
    <s v="Tech"/>
    <n v="15.403573629081947"/>
    <d v="2019-08-24T00:00:00"/>
  </r>
  <r>
    <n v="2263"/>
    <x v="0"/>
    <s v="Tech"/>
    <n v="15.403573629081947"/>
    <d v="2019-08-25T00:00:00"/>
  </r>
  <r>
    <n v="2264"/>
    <x v="0"/>
    <s v="Tech"/>
    <n v="15.403573629081947"/>
    <d v="2019-08-26T00:00:00"/>
  </r>
  <r>
    <n v="2265"/>
    <x v="0"/>
    <s v="Tech"/>
    <n v="15.403573629081947"/>
    <d v="2019-08-27T00:00:00"/>
  </r>
  <r>
    <n v="2266"/>
    <x v="0"/>
    <s v="Tech"/>
    <n v="15.403573629081947"/>
    <d v="2019-08-28T00:00:00"/>
  </r>
  <r>
    <n v="2267"/>
    <x v="2"/>
    <s v="OFM"/>
    <n v="42.359419675950441"/>
    <d v="2019-08-29T00:00:00"/>
  </r>
  <r>
    <n v="2268"/>
    <x v="0"/>
    <s v="Tech"/>
    <n v="123.22858903265558"/>
    <d v="2019-08-30T00:00:00"/>
  </r>
  <r>
    <n v="2269"/>
    <x v="0"/>
    <s v="Apps"/>
    <n v="134.01109057301295"/>
    <d v="2019-08-31T00:00:00"/>
  </r>
  <r>
    <n v="2270"/>
    <x v="2"/>
    <s v="Apps"/>
    <n v="26.474637297469023"/>
    <d v="2019-09-01T00:00:00"/>
  </r>
  <r>
    <n v="2271"/>
    <x v="0"/>
    <s v="Apps"/>
    <n v="64.24010381200776"/>
    <d v="2019-09-02T00:00:00"/>
  </r>
  <r>
    <n v="2272"/>
    <x v="1"/>
    <s v="Tech"/>
    <n v="24.483575837742503"/>
    <d v="2019-09-03T00:00:00"/>
  </r>
  <r>
    <n v="2273"/>
    <x v="2"/>
    <s v="OFM"/>
    <n v="191.67637403367573"/>
    <d v="2019-09-04T00:00:00"/>
  </r>
  <r>
    <n v="2274"/>
    <x v="2"/>
    <s v="Apps"/>
    <n v="120.0889547813195"/>
    <d v="2019-09-05T00:00:00"/>
  </r>
  <r>
    <n v="2275"/>
    <x v="2"/>
    <s v="Apps"/>
    <n v="105.89854918987609"/>
    <d v="2019-09-06T00:00:00"/>
  </r>
  <r>
    <n v="2276"/>
    <x v="2"/>
    <s v="Apps"/>
    <n v="105.89854918987609"/>
    <d v="2019-09-07T00:00:00"/>
  </r>
  <r>
    <n v="2277"/>
    <x v="4"/>
    <s v="Tech"/>
    <n v="500"/>
    <d v="2019-09-08T00:00:00"/>
  </r>
  <r>
    <n v="2278"/>
    <x v="4"/>
    <s v="Tech"/>
    <n v="2500"/>
    <d v="2019-09-09T00:00:00"/>
  </r>
  <r>
    <n v="2279"/>
    <x v="4"/>
    <s v="Tech"/>
    <n v="100"/>
    <d v="2019-09-10T00:00:00"/>
  </r>
  <r>
    <n v="2280"/>
    <x v="1"/>
    <s v="Apps"/>
    <n v="88.183421516754848"/>
    <d v="2019-09-11T00:00:00"/>
  </r>
  <r>
    <n v="2281"/>
    <x v="1"/>
    <s v="Tech"/>
    <n v="40"/>
    <d v="2019-09-12T00:00:00"/>
  </r>
  <r>
    <n v="2282"/>
    <x v="1"/>
    <s v="Tech"/>
    <n v="40"/>
    <d v="2019-09-13T00:00:00"/>
  </r>
  <r>
    <n v="2283"/>
    <x v="1"/>
    <s v="Tech"/>
    <n v="61.853174603174601"/>
    <d v="2019-09-14T00:00:00"/>
  </r>
  <r>
    <n v="2284"/>
    <x v="1"/>
    <s v="Tech"/>
    <n v="40"/>
    <d v="2019-09-15T00:00:00"/>
  </r>
  <r>
    <n v="2285"/>
    <x v="1"/>
    <s v="Tech"/>
    <n v="40"/>
    <d v="2019-09-16T00:00:00"/>
  </r>
  <r>
    <n v="2286"/>
    <x v="1"/>
    <s v="Tech"/>
    <n v="40"/>
    <d v="2019-09-17T00:00:00"/>
  </r>
  <r>
    <n v="2287"/>
    <x v="1"/>
    <s v="Tech"/>
    <n v="40"/>
    <d v="2019-09-18T00:00:00"/>
  </r>
  <r>
    <n v="2288"/>
    <x v="1"/>
    <s v="Tech"/>
    <n v="40"/>
    <d v="2019-09-19T00:00:00"/>
  </r>
  <r>
    <n v="2289"/>
    <x v="0"/>
    <s v="Other"/>
    <n v="68.941744226128904"/>
    <d v="2019-09-20T00:00:00"/>
  </r>
  <r>
    <n v="2290"/>
    <x v="4"/>
    <s v="Tech"/>
    <n v="329.04045223319753"/>
    <d v="2019-09-21T00:00:00"/>
  </r>
  <r>
    <n v="2291"/>
    <x v="1"/>
    <s v="Apps"/>
    <n v="33.06878306878307"/>
    <d v="2019-09-22T00:00:00"/>
  </r>
  <r>
    <n v="2292"/>
    <x v="2"/>
    <s v="Apps"/>
    <n v="105.89854918987609"/>
    <d v="2019-09-23T00:00:00"/>
  </r>
  <r>
    <n v="2293"/>
    <x v="1"/>
    <s v="Apps"/>
    <n v="55.114638447971785"/>
    <d v="2019-09-24T00:00:00"/>
  </r>
  <r>
    <n v="2294"/>
    <x v="1"/>
    <s v="Tech"/>
    <n v="220.45855379188714"/>
    <d v="2019-09-25T00:00:00"/>
  </r>
  <r>
    <n v="2295"/>
    <x v="4"/>
    <s v="Tech"/>
    <n v="97.767638911520294"/>
    <d v="2019-09-26T00:00:00"/>
  </r>
  <r>
    <n v="2296"/>
    <x v="1"/>
    <s v="Tech"/>
    <n v="60"/>
    <d v="2019-09-27T00:00:00"/>
  </r>
  <r>
    <n v="2297"/>
    <x v="4"/>
    <s v="Tech"/>
    <n v="92.625"/>
    <d v="2019-09-28T00:00:00"/>
  </r>
  <r>
    <n v="2298"/>
    <x v="4"/>
    <s v="Tech"/>
    <n v="2.2749999999999999"/>
    <d v="2019-09-29T00:00:00"/>
  </r>
  <r>
    <n v="2299"/>
    <x v="4"/>
    <s v="Tech"/>
    <n v="11.31"/>
    <d v="2019-09-30T00:00:00"/>
  </r>
  <r>
    <n v="2300"/>
    <x v="0"/>
    <s v="Tech"/>
    <n v="123.22858903265558"/>
    <d v="2019-10-01T00:00:00"/>
  </r>
  <r>
    <n v="2301"/>
    <x v="0"/>
    <s v="Tech"/>
    <n v="277.26432532347508"/>
    <d v="2019-10-02T00:00:00"/>
  </r>
  <r>
    <n v="2302"/>
    <x v="4"/>
    <s v="Tech"/>
    <n v="99.493729039371516"/>
    <d v="2019-10-03T00:00:00"/>
  </r>
  <r>
    <n v="2303"/>
    <x v="4"/>
    <s v="Tech"/>
    <n v="102.73808976891625"/>
    <d v="2019-10-04T00:00:00"/>
  </r>
  <r>
    <n v="2304"/>
    <x v="2"/>
    <s v="Apps"/>
    <n v="105.89854918987609"/>
    <d v="2019-10-05T00:00:00"/>
  </r>
  <r>
    <n v="2305"/>
    <x v="1"/>
    <s v="Tech"/>
    <n v="194.00352733686069"/>
    <d v="2019-10-06T00:00:00"/>
  </r>
  <r>
    <n v="2306"/>
    <x v="4"/>
    <s v="Other"/>
    <n v="3258.9212970506765"/>
    <d v="2019-10-07T00:00:00"/>
  </r>
  <r>
    <n v="2307"/>
    <x v="1"/>
    <s v="Tech"/>
    <n v="195.868430335097"/>
    <d v="2019-10-08T00:00:00"/>
  </r>
  <r>
    <n v="2308"/>
    <x v="1"/>
    <s v="Apps"/>
    <n v="55.114638447971785"/>
    <d v="2019-10-09T00:00:00"/>
  </r>
  <r>
    <n v="2309"/>
    <x v="2"/>
    <s v="OFM"/>
    <n v="63.539129513925651"/>
    <d v="2019-10-10T00:00:00"/>
  </r>
  <r>
    <n v="2310"/>
    <x v="2"/>
    <s v="OFM"/>
    <n v="63.539129513925651"/>
    <d v="2019-10-11T00:00:00"/>
  </r>
  <r>
    <n v="2311"/>
    <x v="2"/>
    <s v="OFM"/>
    <n v="95.308694270888495"/>
    <d v="2019-10-12T00:00:00"/>
  </r>
  <r>
    <n v="2312"/>
    <x v="2"/>
    <s v="OFM"/>
    <n v="81.030710639332298"/>
    <d v="2019-10-13T00:00:00"/>
  </r>
  <r>
    <n v="2313"/>
    <x v="2"/>
    <s v="Apps"/>
    <n v="81.030710639332298"/>
    <d v="2019-10-14T00:00:00"/>
  </r>
  <r>
    <n v="2314"/>
    <x v="1"/>
    <s v="Tech"/>
    <n v="165.34391534391534"/>
    <d v="2019-10-15T00:00:00"/>
  </r>
  <r>
    <n v="2315"/>
    <x v="1"/>
    <s v="Tech"/>
    <n v="18.04052028218695"/>
    <d v="2019-10-16T00:00:00"/>
  </r>
  <r>
    <n v="2316"/>
    <x v="4"/>
    <s v="Tech"/>
    <n v="600"/>
    <d v="2019-10-17T00:00:00"/>
  </r>
  <r>
    <n v="2317"/>
    <x v="1"/>
    <s v="Apps"/>
    <n v="66.137566137566139"/>
    <d v="2019-10-18T00:00:00"/>
  </r>
  <r>
    <n v="2318"/>
    <x v="1"/>
    <s v="Tech"/>
    <n v="97.934215167548501"/>
    <d v="2019-10-19T00:00:00"/>
  </r>
  <r>
    <n v="2319"/>
    <x v="1"/>
    <s v="Tech"/>
    <n v="293.80264550264553"/>
    <d v="2019-10-20T00:00:00"/>
  </r>
  <r>
    <n v="2320"/>
    <x v="1"/>
    <s v="Tech"/>
    <n v="110.22927689594357"/>
    <d v="2019-10-21T00:00:00"/>
  </r>
  <r>
    <n v="2321"/>
    <x v="1"/>
    <s v="Apps"/>
    <n v="5.6437389770723099E-3"/>
    <d v="2019-10-22T00:00:00"/>
  </r>
  <r>
    <n v="2322"/>
    <x v="1"/>
    <s v="Apps"/>
    <n v="5.5114638447971778E-3"/>
    <d v="2019-10-23T00:00:00"/>
  </r>
  <r>
    <n v="2323"/>
    <x v="0"/>
    <s v="Tech"/>
    <n v="154.03573629081947"/>
    <d v="2019-10-24T00:00:00"/>
  </r>
  <r>
    <n v="2324"/>
    <x v="0"/>
    <s v="OFM"/>
    <n v="107.82501540357363"/>
    <d v="2019-10-25T00:00:00"/>
  </r>
  <r>
    <n v="2325"/>
    <x v="2"/>
    <s v="Tech"/>
    <n v="52.949274594938046"/>
    <d v="2019-10-26T00:00:00"/>
  </r>
  <r>
    <n v="2326"/>
    <x v="1"/>
    <s v="Tech"/>
    <n v="110.22927689594357"/>
    <d v="2019-10-27T00:00:00"/>
  </r>
  <r>
    <n v="2327"/>
    <x v="0"/>
    <s v="Tech"/>
    <n v="15.403573629081947"/>
    <d v="2019-10-28T00:00:00"/>
  </r>
  <r>
    <n v="2328"/>
    <x v="0"/>
    <s v="Tech"/>
    <n v="15.403573629081947"/>
    <d v="2019-10-29T00:00:00"/>
  </r>
  <r>
    <n v="2329"/>
    <x v="0"/>
    <s v="Tech"/>
    <n v="15.403573629081947"/>
    <d v="2019-10-30T00:00:00"/>
  </r>
  <r>
    <n v="2330"/>
    <x v="0"/>
    <s v="Tech"/>
    <n v="15.403573629081947"/>
    <d v="2019-10-31T00:00:00"/>
  </r>
  <r>
    <n v="2331"/>
    <x v="0"/>
    <s v="Tech"/>
    <n v="15.403573629081947"/>
    <d v="2019-11-01T00:00:00"/>
  </r>
  <r>
    <n v="2332"/>
    <x v="0"/>
    <s v="Tech"/>
    <n v="15.403573629081947"/>
    <d v="2019-11-02T00:00:00"/>
  </r>
  <r>
    <n v="2333"/>
    <x v="0"/>
    <s v="Tech"/>
    <n v="15.403573629081947"/>
    <d v="2019-11-03T00:00:00"/>
  </r>
  <r>
    <n v="2334"/>
    <x v="0"/>
    <s v="Tech"/>
    <n v="5.3853154084798343"/>
    <d v="2019-11-04T00:00:00"/>
  </r>
  <r>
    <n v="2335"/>
    <x v="2"/>
    <s v="Apps"/>
    <n v="317.69564756962825"/>
    <d v="2019-11-05T00:00:00"/>
  </r>
  <r>
    <n v="2336"/>
    <x v="0"/>
    <s v="Tech"/>
    <n v="61.614294516327789"/>
    <d v="2019-11-06T00:00:00"/>
  </r>
  <r>
    <n v="2337"/>
    <x v="4"/>
    <s v="Other"/>
    <n v="45.941103505306202"/>
    <d v="2019-11-07T00:00:00"/>
  </r>
  <r>
    <n v="2338"/>
    <x v="0"/>
    <s v="Tech"/>
    <n v="154.03573629081947"/>
    <d v="2019-11-08T00:00:00"/>
  </r>
  <r>
    <n v="2339"/>
    <x v="1"/>
    <s v="Tech"/>
    <n v="110.22927689594357"/>
    <d v="2019-11-09T00:00:00"/>
  </r>
  <r>
    <n v="2340"/>
    <x v="1"/>
    <s v="Apps"/>
    <n v="176.3668430335097"/>
    <d v="2019-11-10T00:00:00"/>
  </r>
  <r>
    <n v="2341"/>
    <x v="4"/>
    <s v="Tech"/>
    <n v="1.7823657350434661"/>
    <d v="2019-11-11T00:00:00"/>
  </r>
  <r>
    <n v="2342"/>
    <x v="0"/>
    <s v="Tech"/>
    <n v="308.07147258163894"/>
    <d v="2019-11-12T00:00:00"/>
  </r>
  <r>
    <n v="2343"/>
    <x v="0"/>
    <s v="Tech"/>
    <n v="15.403573629081947"/>
    <d v="2019-11-13T00:00:00"/>
  </r>
  <r>
    <n v="2344"/>
    <x v="1"/>
    <s v="Tech"/>
    <n v="36.081018518518519"/>
    <d v="2019-11-14T00:00:00"/>
  </r>
  <r>
    <n v="2345"/>
    <x v="1"/>
    <s v="OFM"/>
    <n v="2.9895502645502647"/>
    <d v="2019-11-15T00:00:00"/>
  </r>
  <r>
    <n v="2346"/>
    <x v="2"/>
    <s v="Apps"/>
    <n v="81.030710639332298"/>
    <d v="2019-11-16T00:00:00"/>
  </r>
  <r>
    <n v="2347"/>
    <x v="0"/>
    <s v="Tech"/>
    <n v="86.177180282661155"/>
    <d v="2019-11-17T00:00:00"/>
  </r>
  <r>
    <n v="2348"/>
    <x v="1"/>
    <s v="Apps"/>
    <n v="440.91710758377428"/>
    <d v="2019-11-18T00:00:00"/>
  </r>
  <r>
    <n v="2349"/>
    <x v="0"/>
    <s v="OFM"/>
    <n v="25.696041524803107"/>
    <d v="2019-11-19T00:00:00"/>
  </r>
  <r>
    <n v="2350"/>
    <x v="2"/>
    <s v="Tech"/>
    <n v="137.66811394683893"/>
    <d v="2019-11-20T00:00:00"/>
  </r>
  <r>
    <n v="2351"/>
    <x v="2"/>
    <s v="OFM"/>
    <n v="105.89854918987609"/>
    <d v="2019-11-21T00:00:00"/>
  </r>
  <r>
    <n v="2352"/>
    <x v="1"/>
    <s v="Apps"/>
    <n v="22.045855379188712"/>
    <d v="2019-11-22T00:00:00"/>
  </r>
  <r>
    <n v="2353"/>
    <x v="1"/>
    <s v="Tech"/>
    <n v="391.73686067019401"/>
    <d v="2019-11-23T00:00:00"/>
  </r>
  <r>
    <n v="2354"/>
    <x v="1"/>
    <s v="Tech"/>
    <n v="2204.5855379188711"/>
    <d v="2019-11-24T00:00:00"/>
  </r>
  <r>
    <n v="2355"/>
    <x v="1"/>
    <s v="Tech"/>
    <n v="36.081018518518519"/>
    <d v="2019-11-25T00:00:00"/>
  </r>
  <r>
    <n v="2356"/>
    <x v="4"/>
    <s v="OFM"/>
    <n v="100"/>
    <d v="2019-11-26T00:00:00"/>
  </r>
  <r>
    <n v="2357"/>
    <x v="1"/>
    <s v="Tech"/>
    <n v="165.34391534391534"/>
    <d v="2019-11-27T00:00:00"/>
  </r>
  <r>
    <n v="2358"/>
    <x v="1"/>
    <s v="Tech"/>
    <n v="22.045855379188712"/>
    <d v="2019-11-28T00:00:00"/>
  </r>
  <r>
    <n v="2359"/>
    <x v="1"/>
    <s v="Apps"/>
    <n v="79.365079365079367"/>
    <d v="2019-11-29T00:00:00"/>
  </r>
  <r>
    <n v="2360"/>
    <x v="2"/>
    <s v="Tech"/>
    <n v="211.79709837975219"/>
    <d v="2019-11-30T00:00:00"/>
  </r>
  <r>
    <n v="2361"/>
    <x v="1"/>
    <s v="Tech"/>
    <n v="24.483553791887125"/>
    <d v="2019-12-01T00:00:00"/>
  </r>
  <r>
    <n v="2362"/>
    <x v="3"/>
    <s v="Tech"/>
    <n v="293.0751829430244"/>
    <d v="2019-12-02T00:00:00"/>
  </r>
  <r>
    <n v="2363"/>
    <x v="3"/>
    <s v="OFM"/>
    <n v="27.475798400908538"/>
    <d v="2019-12-03T00:00:00"/>
  </r>
  <r>
    <n v="2364"/>
    <x v="3"/>
    <s v="OFM"/>
    <n v="26.559938454211583"/>
    <d v="2019-12-04T00:00:00"/>
  </r>
  <r>
    <n v="2365"/>
    <x v="3"/>
    <s v="Tech"/>
    <n v="91.585994669695125"/>
    <d v="2019-12-05T00:00:00"/>
  </r>
  <r>
    <n v="2366"/>
    <x v="3"/>
    <s v="OFM"/>
    <n v="9.1585994669695125"/>
    <d v="2019-12-06T00:00:00"/>
  </r>
  <r>
    <n v="2367"/>
    <x v="0"/>
    <s v="Tech"/>
    <n v="23.57807652533609"/>
    <d v="2019-12-07T00:00:00"/>
  </r>
  <r>
    <n v="2368"/>
    <x v="3"/>
    <s v="Tech"/>
    <n v="457.92997334847558"/>
    <d v="2019-12-08T00:00:00"/>
  </r>
  <r>
    <n v="2369"/>
    <x v="0"/>
    <s v="Tech"/>
    <n v="15.733540158566012"/>
    <d v="2019-12-09T00:00:00"/>
  </r>
  <r>
    <n v="2370"/>
    <x v="0"/>
    <s v="Tech"/>
    <n v="77.017868145409736"/>
    <d v="2019-12-10T00:00:00"/>
  </r>
  <r>
    <n v="2371"/>
    <x v="1"/>
    <s v="Tech"/>
    <n v="110.22927689594357"/>
    <d v="2019-12-11T00:00:00"/>
  </r>
  <r>
    <n v="2372"/>
    <x v="1"/>
    <s v="Tech"/>
    <n v="194.00352733686069"/>
    <d v="2019-12-12T00:00:00"/>
  </r>
  <r>
    <n v="2373"/>
    <x v="1"/>
    <s v="Apps"/>
    <n v="100"/>
    <d v="2019-12-13T00:00:00"/>
  </r>
  <r>
    <n v="2374"/>
    <x v="4"/>
    <s v="Tech"/>
    <n v="11.375"/>
    <d v="2019-12-14T00:00:00"/>
  </r>
  <r>
    <n v="2375"/>
    <x v="0"/>
    <s v="Tech"/>
    <n v="30.807147258163894"/>
    <d v="2019-12-15T00:00:00"/>
  </r>
  <r>
    <n v="2376"/>
    <x v="0"/>
    <s v="Tech"/>
    <n v="138.63216266173754"/>
    <d v="2019-12-16T00:00:00"/>
  </r>
  <r>
    <n v="2377"/>
    <x v="0"/>
    <s v="Tech"/>
    <n v="61.614294516327789"/>
    <d v="2019-12-17T00:00:00"/>
  </r>
  <r>
    <n v="2378"/>
    <x v="1"/>
    <s v="Tech"/>
    <n v="388.00705467372137"/>
    <d v="2019-12-18T00:00:00"/>
  </r>
  <r>
    <n v="2379"/>
    <x v="1"/>
    <s v="Tech"/>
    <n v="661.37566137566137"/>
    <d v="2019-12-19T00:00:00"/>
  </r>
  <r>
    <n v="2380"/>
    <x v="2"/>
    <s v="Apps"/>
    <n v="105.89854918987609"/>
    <d v="2019-12-20T00:00:00"/>
  </r>
  <r>
    <n v="2381"/>
    <x v="0"/>
    <s v="Tech"/>
    <n v="27.726432532347506"/>
    <d v="2019-12-21T00:00:00"/>
  </r>
  <r>
    <n v="2382"/>
    <x v="0"/>
    <s v="OFM"/>
    <n v="9.2421441774491679"/>
    <d v="2019-12-22T00:00:00"/>
  </r>
  <r>
    <n v="2383"/>
    <x v="0"/>
    <s v="OFM"/>
    <n v="9.2421441774491679"/>
    <d v="2019-12-23T00:00:00"/>
  </r>
  <r>
    <n v="2384"/>
    <x v="0"/>
    <s v="Tech"/>
    <n v="60.0739371534196"/>
    <d v="2019-12-24T00:00:00"/>
  </r>
  <r>
    <n v="2385"/>
    <x v="0"/>
    <s v="Apps"/>
    <n v="38.54406228720466"/>
    <d v="2019-12-25T00:00:00"/>
  </r>
  <r>
    <n v="2386"/>
    <x v="1"/>
    <s v="Tech"/>
    <n v="220.45855379188714"/>
    <d v="2019-12-26T00:00:00"/>
  </r>
  <r>
    <n v="2387"/>
    <x v="0"/>
    <s v="Tech"/>
    <n v="30.835249829763725"/>
    <d v="2019-12-27T00:00:00"/>
  </r>
  <r>
    <n v="2388"/>
    <x v="1"/>
    <s v="Apps"/>
    <n v="440.91710758377428"/>
    <d v="2019-12-28T00:00:00"/>
  </r>
  <r>
    <n v="2389"/>
    <x v="0"/>
    <s v="Apps"/>
    <n v="100.2145619467321"/>
    <d v="2019-12-29T00:00:00"/>
  </r>
  <r>
    <n v="2390"/>
    <x v="2"/>
    <s v="Apps"/>
    <n v="158.84782378481412"/>
    <d v="2019-12-30T00:00:00"/>
  </r>
  <r>
    <n v="2391"/>
    <x v="4"/>
    <s v="Apps"/>
    <n v="50"/>
    <d v="2019-12-31T00:00:00"/>
  </r>
  <r>
    <n v="2392"/>
    <x v="0"/>
    <s v="OFM"/>
    <n v="19.416314416764095"/>
    <d v="2020-01-01T00:00:00"/>
  </r>
  <r>
    <n v="2393"/>
    <x v="1"/>
    <s v="Tech"/>
    <n v="11.022927689594356"/>
    <d v="2020-01-02T00:00:00"/>
  </r>
  <r>
    <n v="2394"/>
    <x v="4"/>
    <s v="Apps"/>
    <n v="20"/>
    <d v="2020-01-03T00:00:00"/>
  </r>
  <r>
    <n v="2395"/>
    <x v="4"/>
    <s v="Tech"/>
    <n v="2.2749999999999999"/>
    <d v="2020-01-04T00:00:00"/>
  </r>
  <r>
    <n v="2396"/>
    <x v="2"/>
    <s v="Tech"/>
    <n v="40.515355319666149"/>
    <d v="2020-01-05T00:00:00"/>
  </r>
  <r>
    <n v="2397"/>
    <x v="2"/>
    <s v="Tech"/>
    <n v="4.0515355319666151"/>
    <d v="2020-01-06T00:00:00"/>
  </r>
  <r>
    <n v="2398"/>
    <x v="2"/>
    <s v="Tech"/>
    <n v="8.1030710639332302"/>
    <d v="2020-01-07T00:00:00"/>
  </r>
  <r>
    <n v="2399"/>
    <x v="2"/>
    <s v="Tech"/>
    <n v="16.20614212786646"/>
    <d v="2020-01-08T00:00:00"/>
  </r>
  <r>
    <n v="2400"/>
    <x v="2"/>
    <s v="Tech"/>
    <n v="16.20614212786646"/>
    <d v="2020-01-09T00:00:00"/>
  </r>
  <r>
    <n v="2401"/>
    <x v="1"/>
    <s v="Tech"/>
    <n v="110.22927689594357"/>
    <d v="2020-01-10T00:00:00"/>
  </r>
  <r>
    <n v="2402"/>
    <x v="1"/>
    <s v="Tech"/>
    <n v="66.137566137566139"/>
    <d v="2020-01-11T00:00:00"/>
  </r>
  <r>
    <n v="2403"/>
    <x v="4"/>
    <s v="Tech"/>
    <n v="148.06820350493891"/>
    <d v="2020-01-12T00:00:00"/>
  </r>
  <r>
    <n v="2404"/>
    <x v="2"/>
    <s v="Apps"/>
    <n v="52.949274594938046"/>
    <d v="2020-01-13T00:00:00"/>
  </r>
  <r>
    <n v="2405"/>
    <x v="2"/>
    <s v="Apps"/>
    <n v="79.423911892407062"/>
    <d v="2020-01-14T00:00:00"/>
  </r>
  <r>
    <n v="2406"/>
    <x v="2"/>
    <s v="Apps"/>
    <n v="52.949274594938046"/>
    <d v="2020-01-15T00:00:00"/>
  </r>
  <r>
    <n v="2407"/>
    <x v="2"/>
    <s v="Tech"/>
    <n v="2.6474637297469026"/>
    <d v="2020-01-16T00:00:00"/>
  </r>
  <r>
    <n v="2408"/>
    <x v="0"/>
    <s v="Tech"/>
    <n v="13.788348845225784"/>
    <d v="2020-01-17T00:00:00"/>
  </r>
  <r>
    <n v="2409"/>
    <x v="1"/>
    <s v="Tech"/>
    <n v="22.045855379188712"/>
    <d v="2020-01-18T00:00:00"/>
  </r>
  <r>
    <n v="2410"/>
    <x v="0"/>
    <s v="Tech"/>
    <n v="34.470872113064452"/>
    <d v="2020-01-19T00:00:00"/>
  </r>
  <r>
    <n v="2411"/>
    <x v="1"/>
    <s v="Tech"/>
    <n v="15.873015873015873"/>
    <d v="2020-01-20T00:00:00"/>
  </r>
  <r>
    <n v="2412"/>
    <x v="4"/>
    <s v="OFM"/>
    <n v="987.12135669959264"/>
    <d v="2020-01-21T00:00:00"/>
  </r>
  <r>
    <n v="2413"/>
    <x v="1"/>
    <s v="Apps"/>
    <n v="50"/>
    <d v="2020-01-22T00:00:00"/>
  </r>
  <r>
    <n v="2414"/>
    <x v="1"/>
    <s v="Tech"/>
    <n v="391.73686067019401"/>
    <d v="2020-01-23T00:00:00"/>
  </r>
  <r>
    <n v="2415"/>
    <x v="4"/>
    <s v="OFM"/>
    <n v="164.52022611659876"/>
    <d v="2020-01-24T00:00:00"/>
  </r>
  <r>
    <n v="2416"/>
    <x v="1"/>
    <s v="Apps"/>
    <n v="66.137566137566139"/>
    <d v="2020-01-25T00:00:00"/>
  </r>
  <r>
    <n v="2417"/>
    <x v="4"/>
    <s v="OFM"/>
    <n v="822.60113058299385"/>
    <d v="2020-01-26T00:00:00"/>
  </r>
  <r>
    <n v="2418"/>
    <x v="4"/>
    <s v="Tech"/>
    <n v="92.625"/>
    <d v="2020-01-27T00:00:00"/>
  </r>
  <r>
    <n v="2419"/>
    <x v="1"/>
    <s v="Tech"/>
    <n v="48.500881834215171"/>
    <d v="2020-01-28T00:00:00"/>
  </r>
  <r>
    <n v="2420"/>
    <x v="0"/>
    <s v="OFM"/>
    <n v="68.941744226128904"/>
    <d v="2020-01-29T00:00:00"/>
  </r>
  <r>
    <n v="2421"/>
    <x v="0"/>
    <s v="Apps"/>
    <n v="103.41261633919338"/>
    <d v="2020-01-30T00:00:00"/>
  </r>
  <r>
    <n v="2422"/>
    <x v="0"/>
    <s v="Tech"/>
    <n v="4.529698199992291"/>
    <d v="2020-01-31T00:00:00"/>
  </r>
  <r>
    <n v="2423"/>
    <x v="4"/>
    <s v="Apps"/>
    <n v="31.00996921946065"/>
    <d v="2020-02-01T00:00:00"/>
  </r>
  <r>
    <n v="2424"/>
    <x v="1"/>
    <s v="Tech"/>
    <n v="41.235449735449734"/>
    <d v="2020-02-02T00:00:00"/>
  </r>
  <r>
    <n v="2425"/>
    <x v="1"/>
    <s v="Systems"/>
    <n v="103.08862433862434"/>
    <d v="2020-02-03T00:00:00"/>
  </r>
  <r>
    <n v="2426"/>
    <x v="1"/>
    <s v="Tech"/>
    <n v="194.00352733686069"/>
    <d v="2020-02-04T00:00:00"/>
  </r>
  <r>
    <n v="2427"/>
    <x v="2"/>
    <s v="Apps"/>
    <n v="121.54606595899845"/>
    <d v="2020-02-05T00:00:00"/>
  </r>
  <r>
    <n v="2428"/>
    <x v="1"/>
    <s v="Tech"/>
    <n v="198.4126984126984"/>
    <d v="2020-02-06T00:00:00"/>
  </r>
  <r>
    <n v="2429"/>
    <x v="1"/>
    <s v="Tech"/>
    <n v="293.80257936507934"/>
    <d v="2020-02-07T00:00:00"/>
  </r>
  <r>
    <n v="2430"/>
    <x v="1"/>
    <s v="Tech"/>
    <n v="293.80257936507934"/>
    <d v="2020-02-08T00:00:00"/>
  </r>
  <r>
    <n v="2431"/>
    <x v="1"/>
    <s v="Other"/>
    <n v="0.44091710758377428"/>
    <d v="2020-02-09T00:00:00"/>
  </r>
  <r>
    <n v="2432"/>
    <x v="1"/>
    <s v="Tech"/>
    <n v="82.470899470899468"/>
    <d v="2020-02-10T00:00:00"/>
  </r>
  <r>
    <n v="2433"/>
    <x v="2"/>
    <s v="Apps"/>
    <n v="211.79709837975219"/>
    <d v="2020-02-11T00:00:00"/>
  </r>
  <r>
    <n v="2434"/>
    <x v="4"/>
    <s v="Tech"/>
    <n v="97.767638911520294"/>
    <d v="2020-02-12T00:00:00"/>
  </r>
  <r>
    <n v="2435"/>
    <x v="1"/>
    <s v="Tech"/>
    <n v="35.493827160493829"/>
    <d v="2020-02-13T00:00:00"/>
  </r>
  <r>
    <n v="2436"/>
    <x v="1"/>
    <s v="Tech"/>
    <n v="110.22927689594357"/>
    <d v="2020-02-14T00:00:00"/>
  </r>
  <r>
    <n v="2437"/>
    <x v="2"/>
    <s v="Apps"/>
    <n v="529.49274594938049"/>
    <d v="2020-02-15T00:00:00"/>
  </r>
  <r>
    <n v="2438"/>
    <x v="1"/>
    <s v="Tech"/>
    <n v="36.067019400352734"/>
    <d v="2020-02-16T00:00:00"/>
  </r>
  <r>
    <n v="2439"/>
    <x v="4"/>
    <s v="Tech"/>
    <n v="1.7549999999999999"/>
    <d v="2020-02-17T00:00:00"/>
  </r>
  <r>
    <n v="2440"/>
    <x v="0"/>
    <s v="Tech"/>
    <n v="68.941744226128904"/>
    <d v="2020-02-18T00:00:00"/>
  </r>
  <r>
    <n v="2441"/>
    <x v="4"/>
    <s v="Apps"/>
    <n v="0.68911655257959292"/>
    <d v="2020-02-19T00:00:00"/>
  </r>
  <r>
    <n v="2442"/>
    <x v="1"/>
    <s v="Apps"/>
    <n v="44.091710758377424"/>
    <d v="2020-02-20T00:00:00"/>
  </r>
  <r>
    <n v="2443"/>
    <x v="0"/>
    <s v="Other"/>
    <n v="64.24010381200776"/>
    <d v="2020-02-21T00:00:00"/>
  </r>
  <r>
    <n v="2444"/>
    <x v="4"/>
    <s v="Tech"/>
    <n v="4012.1970791205267"/>
    <d v="2020-02-22T00:00:00"/>
  </r>
  <r>
    <n v="2445"/>
    <x v="1"/>
    <s v="Tech"/>
    <n v="142.26230158730161"/>
    <d v="2020-02-23T00:00:00"/>
  </r>
  <r>
    <n v="2446"/>
    <x v="1"/>
    <s v="Tech"/>
    <n v="71.749691358024691"/>
    <d v="2020-02-24T00:00:00"/>
  </r>
  <r>
    <n v="2447"/>
    <x v="1"/>
    <s v="Tech"/>
    <n v="144.3241622574956"/>
    <d v="2020-02-25T00:00:00"/>
  </r>
  <r>
    <n v="2448"/>
    <x v="1"/>
    <s v="Apps"/>
    <n v="17.782186948853614"/>
    <d v="2020-02-26T00:00:00"/>
  </r>
  <r>
    <n v="2449"/>
    <x v="1"/>
    <s v="Tech"/>
    <n v="44.091710758377424"/>
    <d v="2020-02-27T00:00:00"/>
  </r>
  <r>
    <n v="2450"/>
    <x v="1"/>
    <s v="Other"/>
    <n v="11"/>
    <d v="2020-02-28T00:00:00"/>
  </r>
  <r>
    <n v="2451"/>
    <x v="3"/>
    <s v="Tech"/>
    <n v="64.110196268786581"/>
    <d v="2020-02-29T00:00:00"/>
  </r>
  <r>
    <n v="2452"/>
    <x v="3"/>
    <s v="OFM"/>
    <n v="27.475798400908538"/>
    <d v="2020-03-01T00:00:00"/>
  </r>
  <r>
    <n v="2453"/>
    <x v="3"/>
    <s v="Tech"/>
    <n v="91.585994669695125"/>
    <d v="2020-03-02T00:00:00"/>
  </r>
  <r>
    <n v="2454"/>
    <x v="3"/>
    <s v="Tech"/>
    <n v="45.792997334847563"/>
    <d v="2020-03-03T00:00:00"/>
  </r>
  <r>
    <n v="2455"/>
    <x v="0"/>
    <s v="Tech"/>
    <n v="107.70596346087555"/>
    <d v="2020-03-04T00:00:00"/>
  </r>
  <r>
    <n v="2456"/>
    <x v="0"/>
    <s v="Tech"/>
    <n v="68.941744226128904"/>
    <d v="2020-03-05T00:00:00"/>
  </r>
  <r>
    <n v="2457"/>
    <x v="0"/>
    <s v="Tech"/>
    <n v="17.235436056532226"/>
    <d v="2020-03-06T00:00:00"/>
  </r>
  <r>
    <n v="2458"/>
    <x v="0"/>
    <s v="Tech"/>
    <n v="38.54406228720466"/>
    <d v="2020-03-07T00:00:00"/>
  </r>
  <r>
    <n v="2459"/>
    <x v="0"/>
    <s v="Tech"/>
    <n v="92.421441774491683"/>
    <d v="2020-03-08T00:00:00"/>
  </r>
  <r>
    <n v="2460"/>
    <x v="0"/>
    <s v="Apps"/>
    <n v="61.922365988909426"/>
    <d v="2020-03-09T00:00:00"/>
  </r>
  <r>
    <n v="2461"/>
    <x v="1"/>
    <s v="Apps"/>
    <n v="100"/>
    <d v="2020-03-10T00:00:00"/>
  </r>
  <r>
    <n v="2462"/>
    <x v="1"/>
    <s v="Tech"/>
    <n v="220.45855379188714"/>
    <d v="2020-03-11T00:00:00"/>
  </r>
  <r>
    <n v="2463"/>
    <x v="2"/>
    <s v="Tech"/>
    <n v="529.49274594938049"/>
    <d v="2020-03-12T00:00:00"/>
  </r>
  <r>
    <n v="2464"/>
    <x v="2"/>
    <s v="OFM"/>
    <n v="405.15355319666151"/>
    <d v="2020-03-13T00:00:00"/>
  </r>
  <r>
    <n v="2465"/>
    <x v="1"/>
    <s v="Apps"/>
    <n v="22.045855379188712"/>
    <d v="2020-03-14T00:00:00"/>
  </r>
  <r>
    <n v="2466"/>
    <x v="0"/>
    <s v="Apps"/>
    <n v="25.696041524803107"/>
    <d v="2020-03-15T00:00:00"/>
  </r>
  <r>
    <n v="2467"/>
    <x v="4"/>
    <s v="Tech"/>
    <n v="11.375"/>
    <d v="2020-03-16T00:00:00"/>
  </r>
  <r>
    <n v="2468"/>
    <x v="1"/>
    <s v="Tech"/>
    <n v="83.774250440917115"/>
    <d v="2020-03-17T00:00:00"/>
  </r>
  <r>
    <n v="2469"/>
    <x v="4"/>
    <s v="Tech"/>
    <n v="23.75"/>
    <d v="2020-03-18T00:00:00"/>
  </r>
  <r>
    <n v="2470"/>
    <x v="0"/>
    <s v="Tech"/>
    <n v="1.2848020762401553"/>
    <d v="2020-03-19T00:00:00"/>
  </r>
  <r>
    <n v="2471"/>
    <x v="4"/>
    <s v="Tech"/>
    <n v="26.071370376405412"/>
    <d v="2020-03-20T00:00:00"/>
  </r>
  <r>
    <n v="2472"/>
    <x v="0"/>
    <s v="Tech"/>
    <n v="51.706308169596689"/>
    <d v="2020-03-21T00:00:00"/>
  </r>
  <r>
    <n v="2473"/>
    <x v="1"/>
    <s v="Tech"/>
    <n v="110.22927689594357"/>
    <d v="2020-03-22T00:00:00"/>
  </r>
  <r>
    <n v="2474"/>
    <x v="1"/>
    <s v="Tech"/>
    <n v="1.8040564373897707"/>
    <d v="2020-03-23T00:00:00"/>
  </r>
  <r>
    <n v="2475"/>
    <x v="4"/>
    <s v="Tech"/>
    <n v="25.684522442229063"/>
    <d v="2020-03-24T00:00:00"/>
  </r>
  <r>
    <n v="2476"/>
    <x v="1"/>
    <s v="OFM"/>
    <n v="4.409171075837742"/>
    <d v="2020-03-25T00:00:00"/>
  </r>
  <r>
    <n v="2477"/>
    <x v="1"/>
    <s v="OFM"/>
    <n v="4.409171075837742"/>
    <d v="2020-03-26T00:00:00"/>
  </r>
  <r>
    <n v="2478"/>
    <x v="1"/>
    <s v="OFM"/>
    <n v="4.409171075837742"/>
    <d v="2020-03-27T00:00:00"/>
  </r>
  <r>
    <n v="2479"/>
    <x v="1"/>
    <s v="OFM"/>
    <n v="4.409171075837742"/>
    <d v="2020-03-28T00:00:00"/>
  </r>
  <r>
    <n v="2480"/>
    <x v="1"/>
    <s v="OFM"/>
    <n v="4.409171075837742"/>
    <d v="2020-03-29T00:00:00"/>
  </r>
  <r>
    <n v="2481"/>
    <x v="0"/>
    <s v="Other"/>
    <n v="64.24010381200776"/>
    <d v="2020-03-30T00:00:00"/>
  </r>
  <r>
    <n v="2482"/>
    <x v="1"/>
    <s v="Tech"/>
    <n v="24.483575837742503"/>
    <d v="2020-03-31T00:00:00"/>
  </r>
  <r>
    <n v="2483"/>
    <x v="4"/>
    <s v="Apps"/>
    <n v="100"/>
    <d v="2020-04-01T00:00:00"/>
  </r>
  <r>
    <n v="2484"/>
    <x v="4"/>
    <s v="Tech"/>
    <n v="50"/>
    <d v="2020-04-02T00:00:00"/>
  </r>
  <r>
    <n v="2485"/>
    <x v="1"/>
    <s v="Apps"/>
    <n v="44.091710758377424"/>
    <d v="2020-04-03T00:00:00"/>
  </r>
  <r>
    <n v="2486"/>
    <x v="1"/>
    <s v="Apps"/>
    <n v="44.091710758377424"/>
    <d v="2020-04-04T00:00:00"/>
  </r>
  <r>
    <n v="2487"/>
    <x v="1"/>
    <s v="Tech"/>
    <n v="176.3668430335097"/>
    <d v="2020-04-05T00:00:00"/>
  </r>
  <r>
    <n v="2488"/>
    <x v="1"/>
    <s v="Apps"/>
    <n v="44.091710758377424"/>
    <d v="2020-04-06T00:00:00"/>
  </r>
  <r>
    <n v="2489"/>
    <x v="2"/>
    <s v="Apps"/>
    <n v="52.949274594938046"/>
    <d v="2020-04-07T00:00:00"/>
  </r>
  <r>
    <n v="2490"/>
    <x v="1"/>
    <s v="Apps"/>
    <n v="110.22927689594357"/>
    <d v="2020-04-08T00:00:00"/>
  </r>
  <r>
    <n v="2491"/>
    <x v="1"/>
    <s v="Apps"/>
    <n v="132.27513227513228"/>
    <d v="2020-04-09T00:00:00"/>
  </r>
  <r>
    <n v="2492"/>
    <x v="1"/>
    <s v="Apps"/>
    <n v="132.27513227513228"/>
    <d v="2020-04-10T00:00:00"/>
  </r>
  <r>
    <n v="2493"/>
    <x v="2"/>
    <s v="Apps"/>
    <n v="79.423911892407062"/>
    <d v="2020-04-11T00:00:00"/>
  </r>
  <r>
    <n v="2494"/>
    <x v="4"/>
    <s v="Apps"/>
    <n v="159.64533468093904"/>
    <d v="2020-04-12T00:00:00"/>
  </r>
  <r>
    <n v="2495"/>
    <x v="2"/>
    <s v="Tech"/>
    <n v="8.4718839351900872"/>
    <d v="2020-04-13T00:00:00"/>
  </r>
  <r>
    <n v="2496"/>
    <x v="2"/>
    <s v="Tech"/>
    <n v="42.359419675950441"/>
    <d v="2020-04-14T00:00:00"/>
  </r>
  <r>
    <n v="2497"/>
    <x v="1"/>
    <s v="Apps"/>
    <n v="44.091710758377424"/>
    <d v="2020-04-15T00:00:00"/>
  </r>
  <r>
    <n v="2498"/>
    <x v="1"/>
    <s v="Apps"/>
    <n v="44.091710758377424"/>
    <d v="2020-04-16T00:00:00"/>
  </r>
  <r>
    <n v="2499"/>
    <x v="1"/>
    <s v="Apps"/>
    <n v="88.183421516754848"/>
    <d v="2020-04-17T00:00:00"/>
  </r>
  <r>
    <n v="2500"/>
    <x v="2"/>
    <s v="Tech"/>
    <n v="158.84782378481412"/>
    <d v="2020-04-18T00:00:00"/>
  </r>
  <r>
    <n v="2501"/>
    <x v="4"/>
    <s v="Other"/>
    <n v="40"/>
    <d v="2020-04-19T00:00:00"/>
  </r>
  <r>
    <n v="2502"/>
    <x v="0"/>
    <s v="Apps"/>
    <n v="64.24010381200776"/>
    <d v="2020-04-20T00:00:00"/>
  </r>
  <r>
    <n v="2503"/>
    <x v="1"/>
    <s v="Tech"/>
    <n v="33.06878306878307"/>
    <d v="2020-04-21T00:00:00"/>
  </r>
  <r>
    <n v="2504"/>
    <x v="2"/>
    <s v="Apps"/>
    <n v="60.773032979499227"/>
    <d v="2020-04-22T00:00:00"/>
  </r>
  <r>
    <n v="2505"/>
    <x v="0"/>
    <s v="OFM"/>
    <n v="77.088124574409321"/>
    <d v="2020-04-23T00:00:00"/>
  </r>
  <r>
    <n v="2506"/>
    <x v="4"/>
    <s v="Tech"/>
    <n v="154.10713465337437"/>
    <d v="2020-04-24T00:00:00"/>
  </r>
  <r>
    <n v="2507"/>
    <x v="0"/>
    <s v="Tech"/>
    <n v="86.177180282661155"/>
    <d v="2020-04-25T00:00:00"/>
  </r>
  <r>
    <n v="2508"/>
    <x v="0"/>
    <s v="Tech"/>
    <n v="22.652345406190175"/>
    <d v="2020-04-26T00:00:00"/>
  </r>
  <r>
    <n v="2509"/>
    <x v="0"/>
    <s v="Tech"/>
    <n v="62.047569803516026"/>
    <d v="2020-04-27T00:00:00"/>
  </r>
  <r>
    <n v="2510"/>
    <x v="1"/>
    <s v="Tech"/>
    <n v="97.934215167548501"/>
    <d v="2020-04-28T00:00:00"/>
  </r>
  <r>
    <n v="2511"/>
    <x v="0"/>
    <s v="Tech"/>
    <n v="29.550447753523571"/>
    <d v="2020-04-29T00:00:00"/>
  </r>
  <r>
    <n v="2512"/>
    <x v="1"/>
    <s v="Tech"/>
    <n v="110.22927689594357"/>
    <d v="2020-04-30T00:00:00"/>
  </r>
  <r>
    <n v="2513"/>
    <x v="1"/>
    <s v="Tech"/>
    <n v="110.22927689594357"/>
    <d v="2020-05-01T00:00:00"/>
  </r>
  <r>
    <n v="2514"/>
    <x v="4"/>
    <s v="Tech"/>
    <n v="0"/>
    <d v="2020-05-02T00:00:00"/>
  </r>
  <r>
    <n v="2515"/>
    <x v="0"/>
    <s v="Tech"/>
    <n v="449.68072668405438"/>
    <d v="2020-05-03T00:00:00"/>
  </r>
  <r>
    <n v="2516"/>
    <x v="1"/>
    <s v="Tech"/>
    <n v="99.206349206349202"/>
    <d v="2020-05-04T00:00:00"/>
  </r>
  <r>
    <n v="2517"/>
    <x v="1"/>
    <s v="Tech"/>
    <n v="146.90145502645501"/>
    <d v="2020-05-05T00:00:00"/>
  </r>
  <r>
    <n v="2518"/>
    <x v="1"/>
    <s v="Tech"/>
    <n v="2.204585537918871"/>
    <d v="2020-05-06T00:00:00"/>
  </r>
  <r>
    <n v="2519"/>
    <x v="1"/>
    <s v="Apps"/>
    <n v="6.6137566137566139"/>
    <d v="2020-05-07T00:00:00"/>
  </r>
  <r>
    <n v="2520"/>
    <x v="0"/>
    <s v="Tech"/>
    <n v="48.259220958290243"/>
    <d v="2020-05-08T00:00:00"/>
  </r>
  <r>
    <n v="2521"/>
    <x v="0"/>
    <s v="Tech"/>
    <n v="15.733540158566012"/>
    <d v="2020-05-09T00:00:00"/>
  </r>
  <r>
    <n v="2522"/>
    <x v="0"/>
    <s v="Systems"/>
    <n v="616.14294516327789"/>
    <d v="2020-05-10T00:00:00"/>
  </r>
  <r>
    <n v="2523"/>
    <x v="1"/>
    <s v="Systems"/>
    <n v="32.675999999999995"/>
    <d v="2020-05-11T00:00:00"/>
  </r>
  <r>
    <n v="2524"/>
    <x v="4"/>
    <s v="Systems"/>
    <n v="32.589212970506765"/>
    <d v="2020-05-12T00:00:00"/>
  </r>
  <r>
    <n v="2525"/>
    <x v="4"/>
    <s v="Systems"/>
    <n v="32.589212970506765"/>
    <d v="2020-05-13T00:00:00"/>
  </r>
  <r>
    <n v="2526"/>
    <x v="0"/>
    <s v="Tech"/>
    <n v="92.421441774491683"/>
    <d v="2020-05-14T00:00:00"/>
  </r>
  <r>
    <n v="2527"/>
    <x v="0"/>
    <s v="Apps"/>
    <n v="138.63216266173754"/>
    <d v="2020-05-15T00:00:00"/>
  </r>
  <r>
    <n v="2528"/>
    <x v="2"/>
    <s v="Tech"/>
    <n v="450"/>
    <d v="2020-05-16T00:00:00"/>
  </r>
  <r>
    <n v="2529"/>
    <x v="2"/>
    <s v="OFM"/>
    <n v="158.84782378481412"/>
    <d v="2020-05-17T00:00:00"/>
  </r>
  <r>
    <n v="2530"/>
    <x v="2"/>
    <s v="Tech"/>
    <n v="423.59419675950437"/>
    <d v="2020-05-18T00:00:00"/>
  </r>
  <r>
    <n v="2531"/>
    <x v="2"/>
    <s v="Tech"/>
    <n v="26.474637297469023"/>
    <d v="2020-05-19T00:00:00"/>
  </r>
  <r>
    <n v="2532"/>
    <x v="1"/>
    <s v="Tech"/>
    <n v="36.0810405643739"/>
    <d v="2020-05-20T00:00:00"/>
  </r>
  <r>
    <n v="2533"/>
    <x v="0"/>
    <s v="Apps"/>
    <n v="32.12005190600388"/>
    <d v="2020-05-21T00:00:00"/>
  </r>
  <r>
    <n v="2534"/>
    <x v="1"/>
    <s v="Tech"/>
    <n v="88.183421516754848"/>
    <d v="2020-05-22T00:00:00"/>
  </r>
  <r>
    <n v="2535"/>
    <x v="0"/>
    <s v="Tech"/>
    <n v="231.05360443622922"/>
    <d v="2020-05-23T00:00:00"/>
  </r>
  <r>
    <n v="2536"/>
    <x v="1"/>
    <s v="Apps"/>
    <n v="55.114638447971785"/>
    <d v="2020-05-24T00:00:00"/>
  </r>
  <r>
    <n v="2537"/>
    <x v="1"/>
    <s v="Apps"/>
    <n v="143.29805996472663"/>
    <d v="2020-05-25T00:00:00"/>
  </r>
  <r>
    <n v="2538"/>
    <x v="2"/>
    <s v="OFM"/>
    <n v="52.949274594938046"/>
    <d v="2020-05-26T00:00:00"/>
  </r>
  <r>
    <n v="2539"/>
    <x v="1"/>
    <s v="Tech"/>
    <n v="120"/>
    <d v="2020-05-27T00:00:00"/>
  </r>
  <r>
    <n v="2540"/>
    <x v="3"/>
    <s v="OFM"/>
    <n v="9.1585994669695125"/>
    <d v="2020-05-28T00:00:00"/>
  </r>
  <r>
    <n v="2541"/>
    <x v="0"/>
    <s v="Tech"/>
    <n v="3.8508934072704868"/>
    <d v="2020-05-29T00:00:00"/>
  </r>
  <r>
    <n v="2542"/>
    <x v="3"/>
    <s v="Tech"/>
    <n v="4.5792997334847563"/>
    <d v="2020-05-30T00:00:00"/>
  </r>
  <r>
    <n v="2543"/>
    <x v="0"/>
    <s v="Tech"/>
    <n v="15.403573629081947"/>
    <d v="2020-05-31T00:00:00"/>
  </r>
  <r>
    <n v="2544"/>
    <x v="2"/>
    <s v="Tech"/>
    <n v="105.89854918987609"/>
    <d v="2020-06-01T00:00:00"/>
  </r>
  <r>
    <n v="2545"/>
    <x v="0"/>
    <s v="Tech"/>
    <n v="308.07147258163894"/>
    <d v="2020-06-02T00:00:00"/>
  </r>
  <r>
    <n v="2546"/>
    <x v="0"/>
    <s v="Tech"/>
    <n v="19.100431300061611"/>
    <d v="2020-06-03T00:00:00"/>
  </r>
  <r>
    <n v="2547"/>
    <x v="0"/>
    <s v="Apps"/>
    <n v="61.614294516327789"/>
    <d v="2020-06-04T00:00:00"/>
  </r>
  <r>
    <n v="2548"/>
    <x v="4"/>
    <s v="OFM"/>
    <n v="85.213251117092341"/>
    <d v="2020-06-05T00:00:00"/>
  </r>
  <r>
    <n v="2549"/>
    <x v="0"/>
    <s v="Tech"/>
    <n v="4.621072088724584"/>
    <d v="2020-06-06T00:00:00"/>
  </r>
  <r>
    <n v="2550"/>
    <x v="4"/>
    <s v="Tech"/>
    <n v="325.89212970506765"/>
    <d v="2020-06-07T00:00:00"/>
  </r>
  <r>
    <n v="2551"/>
    <x v="4"/>
    <s v="Apps"/>
    <n v="45.941103505306202"/>
    <d v="2020-06-08T00:00:00"/>
  </r>
  <r>
    <n v="2552"/>
    <x v="3"/>
    <s v="Tech"/>
    <n v="165.77065035214815"/>
    <d v="2020-06-09T00:00:00"/>
  </r>
  <r>
    <n v="2553"/>
    <x v="3"/>
    <s v="Tech"/>
    <n v="91.585994669695125"/>
    <d v="2020-06-10T00:00:00"/>
  </r>
  <r>
    <n v="2554"/>
    <x v="3"/>
    <s v="Tech"/>
    <n v="109.90319360363415"/>
    <d v="2020-06-11T00:00:00"/>
  </r>
  <r>
    <n v="2555"/>
    <x v="3"/>
    <s v="OFM"/>
    <n v="26.285180470202501"/>
    <d v="2020-06-12T00:00:00"/>
  </r>
  <r>
    <n v="2556"/>
    <x v="4"/>
    <s v="Apps"/>
    <n v="45.941103505306202"/>
    <d v="2020-06-13T00:00:00"/>
  </r>
  <r>
    <n v="2557"/>
    <x v="4"/>
    <s v="Tech"/>
    <n v="50"/>
    <d v="2020-06-14T00:00:00"/>
  </r>
  <r>
    <n v="2558"/>
    <x v="4"/>
    <s v="Tech"/>
    <n v="64.887214590894473"/>
    <d v="2020-06-15T00:00:00"/>
  </r>
  <r>
    <n v="2559"/>
    <x v="1"/>
    <s v="Tech"/>
    <n v="110.22927689594357"/>
    <d v="2020-06-16T00:00:00"/>
  </r>
  <r>
    <n v="2560"/>
    <x v="4"/>
    <s v="Tech"/>
    <n v="39.484854267983707"/>
    <d v="2020-06-17T00:00:00"/>
  </r>
  <r>
    <n v="2561"/>
    <x v="2"/>
    <s v="Apps"/>
    <n v="6.0773032979499231"/>
    <d v="2020-06-18T00:00:00"/>
  </r>
  <r>
    <n v="2562"/>
    <x v="2"/>
    <s v="Tech"/>
    <n v="52.949274594938046"/>
    <d v="2020-06-19T00:00:00"/>
  </r>
  <r>
    <n v="2563"/>
    <x v="0"/>
    <s v="Tech"/>
    <n v="154.03573629081947"/>
    <d v="2020-06-20T00:00:00"/>
  </r>
  <r>
    <n v="2564"/>
    <x v="0"/>
    <s v="Apps"/>
    <n v="123.22858903265558"/>
    <d v="2020-06-21T00:00:00"/>
  </r>
  <r>
    <n v="2565"/>
    <x v="2"/>
    <s v="OFM"/>
    <n v="529.49274594938049"/>
    <d v="2020-06-22T00:00:00"/>
  </r>
  <r>
    <n v="2566"/>
    <x v="2"/>
    <s v="Tech"/>
    <n v="529.49274594938049"/>
    <d v="2020-06-23T00:00:00"/>
  </r>
  <r>
    <n v="2567"/>
    <x v="4"/>
    <s v="Tech"/>
    <n v="200"/>
    <d v="2020-06-24T00:00:00"/>
  </r>
  <r>
    <n v="2568"/>
    <x v="0"/>
    <s v="OFM"/>
    <n v="51.706308169596689"/>
    <d v="2020-06-25T00:00:00"/>
  </r>
  <r>
    <n v="2569"/>
    <x v="0"/>
    <s v="Tech"/>
    <n v="15.403573629081947"/>
    <d v="2020-06-26T00:00:00"/>
  </r>
  <r>
    <n v="2570"/>
    <x v="3"/>
    <s v="Tech"/>
    <n v="274.75798400908536"/>
    <d v="2020-06-27T00:00:00"/>
  </r>
  <r>
    <n v="2571"/>
    <x v="3"/>
    <s v="OFM"/>
    <n v="86.61745445886416"/>
    <d v="2020-06-28T00:00:00"/>
  </r>
  <r>
    <n v="2572"/>
    <x v="3"/>
    <s v="OFM"/>
    <n v="80.842957494939881"/>
    <d v="2020-06-29T00:00:00"/>
  </r>
  <r>
    <n v="2573"/>
    <x v="3"/>
    <s v="Tech"/>
    <n v="45.792997334847563"/>
    <d v="2020-06-30T00:00:00"/>
  </r>
  <r>
    <n v="2574"/>
    <x v="1"/>
    <s v="Tech"/>
    <n v="440.91710758377428"/>
    <d v="2020-07-01T00:00:00"/>
  </r>
  <r>
    <n v="2575"/>
    <x v="0"/>
    <s v="Tech"/>
    <n v="231.05360443622922"/>
    <d v="2020-07-02T00:00:00"/>
  </r>
  <r>
    <n v="2576"/>
    <x v="0"/>
    <s v="Other"/>
    <n v="77.017868145409736"/>
    <d v="2020-07-03T00:00:00"/>
  </r>
  <r>
    <n v="2577"/>
    <x v="1"/>
    <s v="Tech"/>
    <n v="176.3668430335097"/>
    <d v="2020-07-04T00:00:00"/>
  </r>
  <r>
    <n v="2578"/>
    <x v="4"/>
    <s v="Apps"/>
    <n v="11.5"/>
    <d v="2020-07-05T00:00:00"/>
  </r>
  <r>
    <n v="2579"/>
    <x v="1"/>
    <s v="Apps"/>
    <n v="66.137566137566139"/>
    <d v="2020-07-06T00:00:00"/>
  </r>
  <r>
    <n v="2580"/>
    <x v="0"/>
    <s v="Tech"/>
    <n v="154.03573629081947"/>
    <d v="2020-07-07T00:00:00"/>
  </r>
  <r>
    <n v="2581"/>
    <x v="0"/>
    <s v="Tech"/>
    <n v="129.39001848428836"/>
    <d v="2020-07-08T00:00:00"/>
  </r>
  <r>
    <n v="2582"/>
    <x v="2"/>
    <s v="Tech"/>
    <n v="0"/>
    <d v="2020-07-09T00:00:00"/>
  </r>
  <r>
    <n v="2583"/>
    <x v="1"/>
    <s v="Systems"/>
    <n v="440.91710758377428"/>
    <d v="2020-07-10T00:00:00"/>
  </r>
  <r>
    <n v="2584"/>
    <x v="0"/>
    <s v="Tech"/>
    <n v="169.43930991990143"/>
    <d v="2020-07-11T00:00:00"/>
  </r>
  <r>
    <n v="2585"/>
    <x v="4"/>
    <s v="Apps"/>
    <n v="20.466025745478248"/>
    <d v="2020-07-12T00:00:00"/>
  </r>
  <r>
    <n v="2586"/>
    <x v="1"/>
    <s v="Tech"/>
    <n v="110.22927689594357"/>
    <d v="2020-07-13T00:00:00"/>
  </r>
  <r>
    <n v="2587"/>
    <x v="1"/>
    <s v="Apps"/>
    <n v="220.45855379188714"/>
    <d v="2020-07-14T00:00:00"/>
  </r>
  <r>
    <n v="2588"/>
    <x v="1"/>
    <s v="Tech"/>
    <n v="88.183421516754848"/>
    <d v="2020-07-15T00:00:00"/>
  </r>
  <r>
    <n v="2589"/>
    <x v="1"/>
    <s v="Apps"/>
    <n v="44.091710758377424"/>
    <d v="2020-07-16T00:00:00"/>
  </r>
  <r>
    <n v="2590"/>
    <x v="4"/>
    <s v="OFM"/>
    <n v="2.1633766650617878"/>
    <d v="2020-07-17T00:00:00"/>
  </r>
  <r>
    <n v="2591"/>
    <x v="4"/>
    <s v="Apps"/>
    <n v="18.634791197684567"/>
    <d v="2020-07-18T00:00:00"/>
  </r>
  <r>
    <n v="2592"/>
    <x v="0"/>
    <s v="Tech"/>
    <n v="48.259220958290243"/>
    <d v="2020-07-19T00:00:00"/>
  </r>
  <r>
    <n v="2593"/>
    <x v="2"/>
    <s v="Tech"/>
    <n v="349.46521232659114"/>
    <d v="2020-07-20T00:00:00"/>
  </r>
  <r>
    <n v="2594"/>
    <x v="2"/>
    <s v="Tech"/>
    <n v="63.539129513925651"/>
    <d v="2020-07-21T00:00:00"/>
  </r>
  <r>
    <n v="2595"/>
    <x v="1"/>
    <s v="Tech"/>
    <n v="99.206349206349202"/>
    <d v="2020-07-22T00:00:00"/>
  </r>
  <r>
    <n v="2596"/>
    <x v="1"/>
    <s v="Tech"/>
    <n v="15.4320987654321"/>
    <d v="2020-07-23T00:00:00"/>
  </r>
  <r>
    <n v="2597"/>
    <x v="2"/>
    <s v="Tech"/>
    <n v="74.128984432913256"/>
    <d v="2020-07-24T00:00:00"/>
  </r>
  <r>
    <n v="2598"/>
    <x v="2"/>
    <s v="Tech"/>
    <n v="105.89854918987609"/>
    <d v="2020-07-25T00:00:00"/>
  </r>
  <r>
    <n v="2599"/>
    <x v="0"/>
    <s v="OFM"/>
    <n v="32.12005190600388"/>
    <d v="2020-07-26T00:00:00"/>
  </r>
  <r>
    <n v="2600"/>
    <x v="1"/>
    <s v="Apps"/>
    <n v="55.114638447971785"/>
    <d v="2020-07-27T00:00:00"/>
  </r>
  <r>
    <n v="2601"/>
    <x v="1"/>
    <s v="Apps"/>
    <n v="44.091710758377424"/>
    <d v="2020-07-28T00:00:00"/>
  </r>
  <r>
    <n v="2602"/>
    <x v="1"/>
    <s v="Apps"/>
    <n v="55.114638447971785"/>
    <d v="2020-07-29T00:00:00"/>
  </r>
  <r>
    <n v="2603"/>
    <x v="1"/>
    <s v="Apps"/>
    <n v="55.114638447971785"/>
    <d v="2020-07-30T00:00:00"/>
  </r>
  <r>
    <n v="2604"/>
    <x v="1"/>
    <s v="Apps"/>
    <n v="55.114638447971785"/>
    <d v="2020-07-31T00:00:00"/>
  </r>
  <r>
    <n v="2605"/>
    <x v="1"/>
    <s v="Apps"/>
    <n v="55.114638447971785"/>
    <d v="2020-08-01T00:00:00"/>
  </r>
  <r>
    <n v="2606"/>
    <x v="3"/>
    <s v="OFM"/>
    <n v="45.792997334847563"/>
    <d v="2020-08-02T00:00:00"/>
  </r>
  <r>
    <n v="2607"/>
    <x v="0"/>
    <s v="Tech"/>
    <n v="277.26432532347508"/>
    <d v="2020-08-03T00:00:00"/>
  </r>
  <r>
    <n v="2608"/>
    <x v="0"/>
    <s v="Apps"/>
    <n v="77.017868145409736"/>
    <d v="2020-08-04T00:00:00"/>
  </r>
  <r>
    <n v="2609"/>
    <x v="0"/>
    <s v="Tech"/>
    <n v="12.322858903265558"/>
    <d v="2020-08-05T00:00:00"/>
  </r>
  <r>
    <n v="2610"/>
    <x v="1"/>
    <s v="Tech"/>
    <n v="3.7477954144620811"/>
    <d v="2020-08-06T00:00:00"/>
  </r>
  <r>
    <n v="2611"/>
    <x v="0"/>
    <s v="Tech"/>
    <n v="77.017868145409736"/>
    <d v="2020-08-07T00:00:00"/>
  </r>
  <r>
    <n v="2612"/>
    <x v="1"/>
    <s v="Tech"/>
    <n v="293.80257936507934"/>
    <d v="2020-08-08T00:00:00"/>
  </r>
  <r>
    <n v="2613"/>
    <x v="4"/>
    <s v="Tech"/>
    <n v="154.10713465337437"/>
    <d v="2020-08-09T00:00:00"/>
  </r>
  <r>
    <n v="2614"/>
    <x v="1"/>
    <s v="Tech"/>
    <n v="97.934303350970012"/>
    <d v="2020-08-10T00:00:00"/>
  </r>
  <r>
    <n v="2615"/>
    <x v="1"/>
    <s v="Apps"/>
    <n v="33.06878306878307"/>
    <d v="2020-08-11T00:00:00"/>
  </r>
  <r>
    <n v="2616"/>
    <x v="0"/>
    <s v="Tech"/>
    <n v="15.403573629081947"/>
    <d v="2020-08-12T00:00:00"/>
  </r>
  <r>
    <n v="2617"/>
    <x v="0"/>
    <s v="OFM"/>
    <n v="9.1455360220613588"/>
    <d v="2020-08-13T00:00:00"/>
  </r>
  <r>
    <n v="2618"/>
    <x v="1"/>
    <s v="Apps"/>
    <n v="44.091710758377424"/>
    <d v="2020-08-14T00:00:00"/>
  </r>
  <r>
    <n v="2619"/>
    <x v="1"/>
    <s v="Apps"/>
    <n v="88.183421516754848"/>
    <d v="2020-08-15T00:00:00"/>
  </r>
  <r>
    <n v="2620"/>
    <x v="2"/>
    <s v="Tech"/>
    <n v="20.652335063009637"/>
    <d v="2020-08-16T00:00:00"/>
  </r>
  <r>
    <n v="2621"/>
    <x v="2"/>
    <s v="Tech"/>
    <n v="127.0782590278513"/>
    <d v="2020-08-17T00:00:00"/>
  </r>
  <r>
    <n v="2622"/>
    <x v="2"/>
    <s v="Tech"/>
    <n v="211.79709837975219"/>
    <d v="2020-08-18T00:00:00"/>
  </r>
  <r>
    <n v="2623"/>
    <x v="1"/>
    <s v="Tech"/>
    <n v="125.66137566137566"/>
    <d v="2020-08-19T00:00:00"/>
  </r>
  <r>
    <n v="2624"/>
    <x v="1"/>
    <s v="Tech"/>
    <n v="110.22927689594357"/>
    <d v="2020-08-20T00:00:00"/>
  </r>
  <r>
    <n v="2625"/>
    <x v="0"/>
    <s v="Apps"/>
    <n v="128.48020762401552"/>
    <d v="2020-08-21T00:00:00"/>
  </r>
  <r>
    <n v="2626"/>
    <x v="2"/>
    <s v="Apps"/>
    <n v="264.74637297469025"/>
    <d v="2020-08-22T00:00:00"/>
  </r>
  <r>
    <n v="2627"/>
    <x v="4"/>
    <s v="OFM"/>
    <n v="12.977442918178895"/>
    <d v="2020-08-23T00:00:00"/>
  </r>
  <r>
    <n v="2628"/>
    <x v="4"/>
    <s v="Tech"/>
    <n v="154.10713465337437"/>
    <d v="2020-08-24T00:00:00"/>
  </r>
  <r>
    <n v="2629"/>
    <x v="4"/>
    <s v="Tech"/>
    <n v="1.75"/>
    <d v="2020-08-25T00:00:00"/>
  </r>
  <r>
    <n v="2630"/>
    <x v="1"/>
    <s v="Apps"/>
    <n v="66.137566137566139"/>
    <d v="2020-08-26T00:00:00"/>
  </r>
  <r>
    <n v="2631"/>
    <x v="0"/>
    <s v="Tech"/>
    <n v="38.54406228720466"/>
    <d v="2020-08-27T00:00:00"/>
  </r>
  <r>
    <n v="2632"/>
    <x v="1"/>
    <s v="Tech"/>
    <n v="24"/>
    <d v="2020-08-28T00:00:00"/>
  </r>
  <r>
    <n v="2633"/>
    <x v="0"/>
    <s v="Tech"/>
    <n v="231.05360443622922"/>
    <d v="2020-08-29T00:00:00"/>
  </r>
  <r>
    <n v="2634"/>
    <x v="4"/>
    <s v="OFM"/>
    <n v="600"/>
    <d v="2020-08-30T00:00:00"/>
  </r>
  <r>
    <n v="2635"/>
    <x v="4"/>
    <s v="Apps"/>
    <n v="275.64662103183719"/>
    <d v="2020-08-31T00:00:00"/>
  </r>
  <r>
    <n v="2636"/>
    <x v="1"/>
    <s v="Apps"/>
    <n v="51.544312169312171"/>
    <d v="2020-09-01T00:00:00"/>
  </r>
  <r>
    <n v="2637"/>
    <x v="4"/>
    <s v="Tech"/>
    <n v="32.589212970506765"/>
    <d v="2020-09-02T00:00:00"/>
  </r>
  <r>
    <n v="2638"/>
    <x v="1"/>
    <s v="Apps"/>
    <n v="132.27513227513228"/>
    <d v="2020-09-03T00:00:00"/>
  </r>
  <r>
    <n v="2639"/>
    <x v="1"/>
    <s v="Apps"/>
    <n v="22.045855379188712"/>
    <d v="2020-09-04T00:00:00"/>
  </r>
  <r>
    <n v="2640"/>
    <x v="1"/>
    <s v="Systems"/>
    <n v="5511.4638447971784"/>
    <d v="2020-09-05T00:00:00"/>
  </r>
  <r>
    <n v="2641"/>
    <x v="1"/>
    <s v="Tech"/>
    <n v="132.27513227513228"/>
    <d v="2020-09-06T00:00:00"/>
  </r>
  <r>
    <n v="2642"/>
    <x v="1"/>
    <s v="Tech"/>
    <n v="220.45855379188714"/>
    <d v="2020-09-07T00:00:00"/>
  </r>
  <r>
    <n v="2643"/>
    <x v="2"/>
    <s v="Apps"/>
    <n v="64.824568511465841"/>
    <d v="2020-09-08T00:00:00"/>
  </r>
  <r>
    <n v="2644"/>
    <x v="4"/>
    <s v="Tech"/>
    <n v="40.212481668567705"/>
    <d v="2020-09-09T00:00:00"/>
  </r>
  <r>
    <n v="2645"/>
    <x v="4"/>
    <s v="Tech"/>
    <n v="802.43941582410525"/>
    <d v="2020-09-10T00:00:00"/>
  </r>
  <r>
    <n v="2646"/>
    <x v="0"/>
    <s v="Tech"/>
    <n v="92.421441774491683"/>
    <d v="2020-09-11T00:00:00"/>
  </r>
  <r>
    <n v="2647"/>
    <x v="1"/>
    <s v="OFM"/>
    <n v="66.137566137566139"/>
    <d v="2020-09-12T00:00:00"/>
  </r>
  <r>
    <n v="2648"/>
    <x v="0"/>
    <s v="OFM"/>
    <n v="770.17868145409739"/>
    <d v="2020-09-13T00:00:00"/>
  </r>
  <r>
    <n v="2649"/>
    <x v="0"/>
    <s v="Tech"/>
    <n v="847.19654959950708"/>
    <d v="2020-09-14T00:00:00"/>
  </r>
  <r>
    <n v="2650"/>
    <x v="0"/>
    <s v="Tech"/>
    <n v="8471.9654959950713"/>
    <d v="2020-09-15T00:00:00"/>
  </r>
  <r>
    <n v="2651"/>
    <x v="0"/>
    <s v="Tech"/>
    <n v="120.64805239572561"/>
    <d v="2020-09-16T00:00:00"/>
  </r>
  <r>
    <n v="2652"/>
    <x v="4"/>
    <s v="Tech"/>
    <n v="50"/>
    <d v="2020-09-17T00:00:00"/>
  </r>
  <r>
    <n v="2653"/>
    <x v="0"/>
    <s v="Tech"/>
    <n v="308.07147258163894"/>
    <d v="2020-09-18T00:00:00"/>
  </r>
  <r>
    <n v="2654"/>
    <x v="1"/>
    <s v="Apps"/>
    <n v="66.137566137566139"/>
    <d v="2020-09-19T00:00:00"/>
  </r>
  <r>
    <n v="2655"/>
    <x v="1"/>
    <s v="Apps"/>
    <n v="5.511463844797178"/>
    <d v="2020-09-20T00:00:00"/>
  </r>
  <r>
    <n v="2656"/>
    <x v="1"/>
    <s v="Apps"/>
    <n v="110.22927689594357"/>
    <d v="2020-09-21T00:00:00"/>
  </r>
  <r>
    <n v="2657"/>
    <x v="1"/>
    <s v="Tech"/>
    <n v="220.45855379188714"/>
    <d v="2020-09-22T00:00:00"/>
  </r>
  <r>
    <n v="2658"/>
    <x v="0"/>
    <s v="OFM"/>
    <n v="15.511892450879007"/>
    <d v="2020-09-23T00:00:00"/>
  </r>
  <r>
    <n v="2659"/>
    <x v="1"/>
    <s v="Other"/>
    <n v="440.91710758377428"/>
    <d v="2020-09-24T00:00:00"/>
  </r>
  <r>
    <n v="2660"/>
    <x v="4"/>
    <s v="Tech"/>
    <n v="100"/>
    <d v="2020-09-25T00:00:00"/>
  </r>
  <r>
    <n v="2661"/>
    <x v="4"/>
    <s v="Apps"/>
    <n v="162.94606485253382"/>
    <d v="2020-09-26T00:00:00"/>
  </r>
  <r>
    <n v="2662"/>
    <x v="0"/>
    <s v="Tech"/>
    <n v="42.054463977938639"/>
    <d v="2020-09-27T00:00:00"/>
  </r>
  <r>
    <n v="2663"/>
    <x v="0"/>
    <s v="Tech"/>
    <n v="11.375387797311273"/>
    <d v="2020-09-28T00:00:00"/>
  </r>
  <r>
    <n v="2664"/>
    <x v="3"/>
    <s v="OFM"/>
    <n v="27.475798400908538"/>
    <d v="2020-09-29T00:00:00"/>
  </r>
  <r>
    <n v="2665"/>
    <x v="3"/>
    <s v="Tech"/>
    <n v="36.63439786787805"/>
    <d v="2020-09-30T00:00:00"/>
  </r>
  <r>
    <n v="2666"/>
    <x v="0"/>
    <s v="Systems"/>
    <n v="369.68576709796673"/>
    <d v="2020-10-01T00:00:00"/>
  </r>
  <r>
    <n v="2667"/>
    <x v="2"/>
    <s v="Systems"/>
    <n v="264.74637297469025"/>
    <d v="2020-10-02T00:00:00"/>
  </r>
  <r>
    <n v="2668"/>
    <x v="4"/>
    <s v="Tech"/>
    <n v="542.916746184776"/>
    <d v="2020-10-03T00:00:00"/>
  </r>
  <r>
    <n v="2669"/>
    <x v="1"/>
    <s v="Apps"/>
    <n v="4.835251322751323"/>
    <d v="2020-10-04T00:00:00"/>
  </r>
  <r>
    <n v="2670"/>
    <x v="2"/>
    <s v="Apps"/>
    <n v="52.949274594938046"/>
    <d v="2020-10-05T00:00:00"/>
  </r>
  <r>
    <n v="2671"/>
    <x v="0"/>
    <s v="OFM"/>
    <n v="35.332057096604274"/>
    <d v="2020-10-06T00:00:00"/>
  </r>
  <r>
    <n v="2672"/>
    <x v="0"/>
    <s v="OFM"/>
    <n v="48.822478897125897"/>
    <d v="2020-10-07T00:00:00"/>
  </r>
  <r>
    <n v="2673"/>
    <x v="0"/>
    <s v="Tech"/>
    <n v="89.624267493967594"/>
    <d v="2020-10-08T00:00:00"/>
  </r>
  <r>
    <n v="2674"/>
    <x v="1"/>
    <s v="OFM"/>
    <n v="110.22927689594357"/>
    <d v="2020-10-09T00:00:00"/>
  </r>
  <r>
    <n v="2675"/>
    <x v="1"/>
    <s v="OFM"/>
    <n v="110.22927689594357"/>
    <d v="2020-10-10T00:00:00"/>
  </r>
  <r>
    <n v="2676"/>
    <x v="0"/>
    <s v="Tech"/>
    <n v="160.19716574245226"/>
    <d v="2020-10-11T00:00:00"/>
  </r>
  <r>
    <n v="2677"/>
    <x v="4"/>
    <s v="Apps"/>
    <n v="1000"/>
    <d v="2020-10-12T00:00:00"/>
  </r>
  <r>
    <n v="2678"/>
    <x v="0"/>
    <s v="Apps"/>
    <n v="25.696041524803107"/>
    <d v="2020-10-13T00:00:00"/>
  </r>
  <r>
    <n v="2679"/>
    <x v="0"/>
    <s v="Apps"/>
    <n v="25.696041524803107"/>
    <d v="2020-10-14T00:00:00"/>
  </r>
  <r>
    <n v="2680"/>
    <x v="0"/>
    <s v="Apps"/>
    <n v="25.696041524803107"/>
    <d v="2020-10-15T00:00:00"/>
  </r>
  <r>
    <n v="2681"/>
    <x v="1"/>
    <s v="Tech"/>
    <n v="17.636684303350968"/>
    <d v="2020-10-16T00:00:00"/>
  </r>
  <r>
    <n v="2682"/>
    <x v="0"/>
    <s v="Tech"/>
    <n v="154.03573629081947"/>
    <d v="2020-10-17T00:00:00"/>
  </r>
  <r>
    <n v="2683"/>
    <x v="0"/>
    <s v="Tech"/>
    <n v="385.08934072704869"/>
    <d v="2020-10-18T00:00:00"/>
  </r>
  <r>
    <n v="2684"/>
    <x v="0"/>
    <s v="Apps"/>
    <n v="53.912507701786815"/>
    <d v="2020-10-19T00:00:00"/>
  </r>
  <r>
    <n v="2685"/>
    <x v="0"/>
    <s v="Tech"/>
    <n v="77.017868145409736"/>
    <d v="2020-10-20T00:00:00"/>
  </r>
  <r>
    <n v="2686"/>
    <x v="0"/>
    <s v="Systems"/>
    <n v="369.68576709796673"/>
    <d v="2020-10-21T00:00:00"/>
  </r>
  <r>
    <n v="2687"/>
    <x v="1"/>
    <s v="Tech"/>
    <n v="48.170194003527335"/>
    <d v="2020-10-22T00:00:00"/>
  </r>
  <r>
    <n v="2688"/>
    <x v="1"/>
    <s v="Apps"/>
    <n v="187.38977072310408"/>
    <d v="2020-10-23T00:00:00"/>
  </r>
  <r>
    <n v="2689"/>
    <x v="4"/>
    <s v="Tech"/>
    <n v="75"/>
    <d v="2020-10-24T00:00:00"/>
  </r>
  <r>
    <n v="2690"/>
    <x v="4"/>
    <s v="OFM"/>
    <n v="29.9"/>
    <d v="2020-10-25T00:00:00"/>
  </r>
  <r>
    <n v="2691"/>
    <x v="1"/>
    <s v="Tech"/>
    <n v="587.6"/>
    <d v="2020-10-26T00:00:00"/>
  </r>
  <r>
    <n v="2692"/>
    <x v="0"/>
    <s v="Tech"/>
    <n v="29.550447753523571"/>
    <d v="2020-10-27T00:00:00"/>
  </r>
  <r>
    <n v="2693"/>
    <x v="0"/>
    <s v="Tech"/>
    <n v="51.392083049606214"/>
    <d v="2020-10-28T00:00:00"/>
  </r>
  <r>
    <n v="2694"/>
    <x v="1"/>
    <s v="Tech"/>
    <n v="99.583597883597889"/>
    <d v="2020-10-29T00:00:00"/>
  </r>
  <r>
    <n v="2695"/>
    <x v="0"/>
    <s v="Tech"/>
    <n v="103.41261633919338"/>
    <d v="2020-10-30T00:00:00"/>
  </r>
  <r>
    <n v="2696"/>
    <x v="1"/>
    <s v="Tech"/>
    <n v="685.53935185185196"/>
    <d v="2020-10-31T00:00:00"/>
  </r>
  <r>
    <n v="2697"/>
    <x v="1"/>
    <s v="Tech"/>
    <n v="4.409171075837742"/>
    <d v="2020-11-01T00:00:00"/>
  </r>
  <r>
    <n v="2698"/>
    <x v="4"/>
    <s v="Tech"/>
    <n v="102.73808976891625"/>
    <d v="2020-11-02T00:00:00"/>
  </r>
  <r>
    <n v="2699"/>
    <x v="0"/>
    <s v="Tech"/>
    <n v="38.508934072704868"/>
    <d v="2020-11-03T00:00:00"/>
  </r>
  <r>
    <n v="2700"/>
    <x v="0"/>
    <s v="Tech"/>
    <n v="38.508934072704868"/>
    <d v="2020-11-04T00:00:00"/>
  </r>
  <r>
    <n v="2701"/>
    <x v="1"/>
    <s v="Apps"/>
    <n v="30.8641975308642"/>
    <d v="2020-11-05T00:00:00"/>
  </r>
  <r>
    <n v="2702"/>
    <x v="1"/>
    <s v="Apps"/>
    <n v="55.114638447971785"/>
    <d v="2020-11-06T00:00:00"/>
  </r>
  <r>
    <n v="2703"/>
    <x v="1"/>
    <s v="Apps"/>
    <n v="132.27513227513228"/>
    <d v="2020-11-07T00:00:00"/>
  </r>
  <r>
    <n v="2704"/>
    <x v="0"/>
    <s v="OFM"/>
    <n v="38.54406228720466"/>
    <d v="2020-11-08T00:00:00"/>
  </r>
  <r>
    <n v="2705"/>
    <x v="0"/>
    <s v="Apps"/>
    <n v="230.4374614910659"/>
    <d v="2020-11-09T00:00:00"/>
  </r>
  <r>
    <n v="2706"/>
    <x v="0"/>
    <s v="Apps"/>
    <n v="157.11645101663586"/>
    <d v="2020-11-10T00:00:00"/>
  </r>
  <r>
    <n v="2707"/>
    <x v="0"/>
    <s v="Tech"/>
    <n v="77.017868145409736"/>
    <d v="2020-11-11T00:00:00"/>
  </r>
  <r>
    <n v="2708"/>
    <x v="1"/>
    <s v="Apps"/>
    <n v="55.114638447971785"/>
    <d v="2020-11-12T00:00:00"/>
  </r>
  <r>
    <n v="2709"/>
    <x v="1"/>
    <s v="Apps"/>
    <n v="88.183421516754848"/>
    <d v="2020-11-13T00:00:00"/>
  </r>
  <r>
    <n v="2710"/>
    <x v="1"/>
    <s v="Apps"/>
    <n v="110.22927689594357"/>
    <d v="2020-11-14T00:00:00"/>
  </r>
  <r>
    <n v="2711"/>
    <x v="1"/>
    <s v="Apps"/>
    <n v="55.114638447971785"/>
    <d v="2020-11-15T00:00:00"/>
  </r>
  <r>
    <n v="2712"/>
    <x v="1"/>
    <s v="Apps"/>
    <n v="55.114638447971785"/>
    <d v="2020-11-16T00:00:00"/>
  </r>
  <r>
    <n v="2713"/>
    <x v="1"/>
    <s v="Apps"/>
    <n v="110.22927689594357"/>
    <d v="2020-11-17T00:00:00"/>
  </r>
  <r>
    <n v="2714"/>
    <x v="1"/>
    <s v="Apps"/>
    <n v="55.114638447971785"/>
    <d v="2020-11-18T00:00:00"/>
  </r>
  <r>
    <n v="2715"/>
    <x v="1"/>
    <s v="Apps"/>
    <n v="55.114638447971785"/>
    <d v="2020-11-19T00:00:00"/>
  </r>
  <r>
    <n v="2716"/>
    <x v="1"/>
    <s v="Apps"/>
    <n v="88.183421516754848"/>
    <d v="2020-11-20T00:00:00"/>
  </r>
  <r>
    <n v="2717"/>
    <x v="1"/>
    <s v="Apps"/>
    <n v="55.114638447971785"/>
    <d v="2020-11-21T00:00:00"/>
  </r>
  <r>
    <n v="2718"/>
    <x v="4"/>
    <s v="Tech"/>
    <n v="195.53527782304059"/>
    <d v="2020-11-22T00:00:00"/>
  </r>
  <r>
    <n v="2719"/>
    <x v="1"/>
    <s v="Apps"/>
    <n v="2.204585537918871"/>
    <d v="2020-11-23T00:00:00"/>
  </r>
  <r>
    <n v="2720"/>
    <x v="1"/>
    <s v="Apps"/>
    <n v="2.204585537918871"/>
    <d v="2020-11-24T00:00:00"/>
  </r>
  <r>
    <n v="2721"/>
    <x v="1"/>
    <s v="Apps"/>
    <n v="5.511463844797178"/>
    <d v="2020-11-25T00:00:00"/>
  </r>
  <r>
    <n v="2722"/>
    <x v="0"/>
    <s v="Tech"/>
    <n v="462.10720887245844"/>
    <d v="2020-11-26T00:00:00"/>
  </r>
  <r>
    <n v="2723"/>
    <x v="0"/>
    <s v="Apps"/>
    <n v="128.48020762401552"/>
    <d v="2020-11-27T00:00:00"/>
  </r>
  <r>
    <n v="2724"/>
    <x v="0"/>
    <s v="Tech"/>
    <n v="83.512134955610094"/>
    <d v="2020-11-28T00:00:00"/>
  </r>
  <r>
    <n v="2725"/>
    <x v="0"/>
    <s v="Tech"/>
    <n v="61.614294516327789"/>
    <d v="2020-11-29T00:00:00"/>
  </r>
  <r>
    <n v="2726"/>
    <x v="0"/>
    <s v="Apps"/>
    <n v="53.912507701786815"/>
    <d v="2020-11-30T00:00:00"/>
  </r>
  <r>
    <n v="2727"/>
    <x v="0"/>
    <s v="Tech"/>
    <n v="73.47504621072089"/>
    <d v="2020-12-01T00:00:00"/>
  </r>
  <r>
    <n v="2728"/>
    <x v="0"/>
    <s v="Tech"/>
    <n v="46.210720887245841"/>
    <d v="2020-12-02T00:00:00"/>
  </r>
  <r>
    <n v="2729"/>
    <x v="0"/>
    <s v="Tech"/>
    <n v="38.508934072704868"/>
    <d v="2020-12-03T00:00:00"/>
  </r>
  <r>
    <n v="2730"/>
    <x v="1"/>
    <s v="Apps"/>
    <n v="55.114638447971785"/>
    <d v="2020-12-04T00:00:00"/>
  </r>
  <r>
    <n v="2731"/>
    <x v="2"/>
    <s v="OFM"/>
    <n v="158.84782378481412"/>
    <d v="2020-12-05T00:00:00"/>
  </r>
  <r>
    <n v="2732"/>
    <x v="0"/>
    <s v="Tech"/>
    <n v="462.10720887245844"/>
    <d v="2020-12-06T00:00:00"/>
  </r>
  <r>
    <n v="2733"/>
    <x v="0"/>
    <s v="Tech"/>
    <n v="462.10720887245844"/>
    <d v="2020-12-07T00:00:00"/>
  </r>
  <r>
    <n v="2734"/>
    <x v="4"/>
    <s v="Apps"/>
    <n v="18.634796940322506"/>
    <d v="2020-12-08T00:00:00"/>
  </r>
  <r>
    <n v="2735"/>
    <x v="2"/>
    <s v="OFM"/>
    <n v="31.769564756962826"/>
    <d v="2020-12-09T00:00:00"/>
  </r>
  <r>
    <n v="2736"/>
    <x v="2"/>
    <s v="Tech"/>
    <n v="52.949274594938046"/>
    <d v="2020-12-10T00:00:00"/>
  </r>
  <r>
    <n v="2737"/>
    <x v="0"/>
    <s v="Tech"/>
    <n v="44.812133746983797"/>
    <d v="2020-12-11T00:00:00"/>
  </r>
  <r>
    <n v="2738"/>
    <x v="1"/>
    <s v="Tech"/>
    <n v="130"/>
    <d v="2020-12-12T00:00:00"/>
  </r>
  <r>
    <n v="2739"/>
    <x v="4"/>
    <s v="OFM"/>
    <n v="16.985841389340408"/>
    <d v="2020-12-13T00:00:00"/>
  </r>
  <r>
    <n v="2740"/>
    <x v="4"/>
    <s v="OFM"/>
    <n v="18.097224872825862"/>
    <d v="2020-12-14T00:00:00"/>
  </r>
  <r>
    <n v="2741"/>
    <x v="4"/>
    <s v="Tech"/>
    <n v="4.2833827990813189"/>
    <d v="2020-12-15T00:00:00"/>
  </r>
  <r>
    <n v="2742"/>
    <x v="0"/>
    <s v="Tech"/>
    <n v="15.403573629081947"/>
    <d v="2020-12-16T00:00:00"/>
  </r>
  <r>
    <n v="2743"/>
    <x v="0"/>
    <s v="Tech"/>
    <n v="51.706308169596689"/>
    <d v="2020-12-17T00:00:00"/>
  </r>
  <r>
    <n v="2744"/>
    <x v="4"/>
    <s v="Apps"/>
    <n v="500"/>
    <d v="2020-12-18T00:00:00"/>
  </r>
  <r>
    <n v="2745"/>
    <x v="0"/>
    <s v="Tech"/>
    <n v="0.79799056955276049"/>
    <d v="2020-12-19T00:00:00"/>
  </r>
  <r>
    <n v="2746"/>
    <x v="0"/>
    <s v="Tech"/>
    <n v="0.79799056955276049"/>
    <d v="2020-12-20T00:00:00"/>
  </r>
  <r>
    <n v="2747"/>
    <x v="4"/>
    <s v="Apps"/>
    <n v="3.2589212970506765"/>
    <d v="2020-12-21T00:00:00"/>
  </r>
  <r>
    <n v="2748"/>
    <x v="4"/>
    <s v="Apps"/>
    <n v="20.673496577387787"/>
    <d v="2020-12-22T00:00:00"/>
  </r>
  <r>
    <n v="2749"/>
    <x v="0"/>
    <s v="Tech"/>
    <n v="261.86075169439312"/>
    <d v="2020-12-23T00:00:00"/>
  </r>
  <r>
    <n v="2750"/>
    <x v="4"/>
    <s v="Tech"/>
    <n v="4.9356067834979633"/>
    <d v="2020-12-24T00:00:00"/>
  </r>
  <r>
    <n v="2751"/>
    <x v="2"/>
    <s v="Tech"/>
    <n v="42.359419675950441"/>
    <d v="2020-12-25T00:00:00"/>
  </r>
  <r>
    <n v="2752"/>
    <x v="2"/>
    <s v="OFM"/>
    <n v="264.74637297469025"/>
    <d v="2020-12-26T00:00:00"/>
  </r>
  <r>
    <n v="2753"/>
    <x v="0"/>
    <s v="Tech"/>
    <n v="46.210720887245841"/>
    <d v="2020-12-27T00:00:00"/>
  </r>
  <r>
    <n v="2754"/>
    <x v="4"/>
    <s v="OFM"/>
    <n v="3.77"/>
    <d v="2020-12-28T00:00:00"/>
  </r>
  <r>
    <n v="2755"/>
    <x v="1"/>
    <s v="Apps"/>
    <n v="176.3668430335097"/>
    <d v="2020-12-29T00:00:00"/>
  </r>
  <r>
    <n v="2756"/>
    <x v="4"/>
    <s v="Tech"/>
    <n v="79.625"/>
    <d v="2020-12-30T00:00:00"/>
  </r>
  <r>
    <n v="2757"/>
    <x v="0"/>
    <s v="Systems"/>
    <n v="321.2005190600388"/>
    <d v="2020-12-31T00:00:00"/>
  </r>
  <r>
    <n v="2758"/>
    <x v="0"/>
    <s v="Apps"/>
    <n v="100.2145619467321"/>
    <d v="2021-01-01T00:00:00"/>
  </r>
  <r>
    <n v="2759"/>
    <x v="1"/>
    <s v="Tech"/>
    <n v="154.32098765432099"/>
    <d v="2021-01-02T00:00:00"/>
  </r>
  <r>
    <n v="2760"/>
    <x v="0"/>
    <s v="Systems"/>
    <n v="835.12134955610088"/>
    <d v="2021-01-03T00:00:00"/>
  </r>
  <r>
    <n v="2761"/>
    <x v="0"/>
    <s v="Tech"/>
    <n v="15.015224904603446"/>
    <d v="2021-01-04T00:00:00"/>
  </r>
  <r>
    <n v="2762"/>
    <x v="1"/>
    <s v="Tech"/>
    <n v="418.87125220458552"/>
    <d v="2021-01-05T00:00:00"/>
  </r>
  <r>
    <n v="2763"/>
    <x v="0"/>
    <s v="Apps"/>
    <n v="38.54406228720466"/>
    <d v="2021-01-06T00:00:00"/>
  </r>
  <r>
    <n v="2764"/>
    <x v="4"/>
    <s v="Apps"/>
    <n v="16.048788316482106"/>
    <d v="2021-01-07T00:00:00"/>
  </r>
  <r>
    <n v="2765"/>
    <x v="4"/>
    <s v="Apps"/>
    <n v="8.0243941582410532"/>
    <d v="2021-01-08T00:00:00"/>
  </r>
  <r>
    <n v="2766"/>
    <x v="1"/>
    <s v="Tech"/>
    <n v="3.9682539682539684"/>
    <d v="2021-01-09T00:00:00"/>
  </r>
  <r>
    <n v="2767"/>
    <x v="1"/>
    <s v="Apps"/>
    <n v="44.091710758377424"/>
    <d v="2021-01-10T00:00:00"/>
  </r>
  <r>
    <n v="2768"/>
    <x v="4"/>
    <s v="Apps"/>
    <n v="52.832269031102129"/>
    <d v="2021-01-11T00:00:00"/>
  </r>
  <r>
    <n v="2769"/>
    <x v="1"/>
    <s v="Apps"/>
    <n v="44.091710758377424"/>
    <d v="2021-01-12T00:00:00"/>
  </r>
  <r>
    <n v="2770"/>
    <x v="0"/>
    <s v="Tech"/>
    <n v="3.7538062261508616"/>
    <d v="2021-01-13T00:00:00"/>
  </r>
  <r>
    <n v="2771"/>
    <x v="0"/>
    <s v="Tech"/>
    <n v="68.941744226128904"/>
    <d v="2021-01-14T00:00:00"/>
  </r>
  <r>
    <n v="2772"/>
    <x v="2"/>
    <s v="OFM"/>
    <n v="105.89854918987609"/>
    <d v="2021-01-15T00:00:00"/>
  </r>
  <r>
    <n v="2773"/>
    <x v="2"/>
    <s v="Apps"/>
    <n v="0.1058985491898761"/>
    <d v="2021-01-16T00:00:00"/>
  </r>
  <r>
    <n v="2774"/>
    <x v="2"/>
    <s v="Apps"/>
    <n v="52.949274594938046"/>
    <d v="2021-01-17T00:00:00"/>
  </r>
  <r>
    <n v="2775"/>
    <x v="0"/>
    <s v="Apps"/>
    <n v="86.177180282661155"/>
    <d v="2021-01-18T00:00:00"/>
  </r>
  <r>
    <n v="2776"/>
    <x v="0"/>
    <s v="Apps"/>
    <n v="86.177180282661155"/>
    <d v="2021-01-19T00:00:00"/>
  </r>
  <r>
    <n v="2777"/>
    <x v="0"/>
    <s v="Tech"/>
    <n v="6.8941744226128918"/>
    <d v="2021-01-20T00:00:00"/>
  </r>
  <r>
    <n v="2778"/>
    <x v="0"/>
    <s v="Apps"/>
    <n v="1441.7744916820702"/>
    <d v="2021-01-21T00:00:00"/>
  </r>
  <r>
    <n v="2779"/>
    <x v="0"/>
    <s v="Other"/>
    <n v="77.017868145409736"/>
    <d v="2021-01-22T00:00:00"/>
  </r>
  <r>
    <n v="2780"/>
    <x v="3"/>
    <s v="Tech"/>
    <n v="91.585994669695125"/>
    <d v="2021-01-23T00:00:00"/>
  </r>
  <r>
    <n v="2781"/>
    <x v="3"/>
    <s v="Tech"/>
    <n v="91.585994669695125"/>
    <d v="2021-01-24T00:00:00"/>
  </r>
  <r>
    <n v="2782"/>
    <x v="3"/>
    <s v="Tech"/>
    <n v="71.883595116634766"/>
    <d v="2021-01-25T00:00:00"/>
  </r>
  <r>
    <n v="2783"/>
    <x v="0"/>
    <s v="OFM"/>
    <n v="308.07147258163894"/>
    <d v="2021-01-26T00:00:00"/>
  </r>
  <r>
    <n v="2784"/>
    <x v="0"/>
    <s v="Tech"/>
    <n v="46.210720887245841"/>
    <d v="2021-01-27T00:00:00"/>
  </r>
  <r>
    <n v="2785"/>
    <x v="3"/>
    <s v="OFM"/>
    <n v="45.792997334847563"/>
    <d v="2021-01-28T00:00:00"/>
  </r>
  <r>
    <n v="2786"/>
    <x v="1"/>
    <s v="Apps"/>
    <n v="88.183421516754848"/>
    <d v="2021-01-29T00:00:00"/>
  </r>
  <r>
    <n v="2787"/>
    <x v="1"/>
    <s v="Apps"/>
    <n v="88.183421516754848"/>
    <d v="2021-01-30T00:00:00"/>
  </r>
  <r>
    <n v="2788"/>
    <x v="1"/>
    <s v="Apps"/>
    <n v="88.183421516754848"/>
    <d v="2021-01-31T00:00:00"/>
  </r>
  <r>
    <n v="2789"/>
    <x v="1"/>
    <s v="Apps"/>
    <n v="88.183421516754848"/>
    <d v="2021-02-01T00:00:00"/>
  </r>
  <r>
    <n v="2790"/>
    <x v="1"/>
    <s v="Apps"/>
    <n v="88.183421516754848"/>
    <d v="2021-02-02T00:00:00"/>
  </r>
  <r>
    <n v="2791"/>
    <x v="1"/>
    <s v="Tech"/>
    <n v="220.45855379188714"/>
    <d v="2021-02-03T00:00:00"/>
  </r>
  <r>
    <n v="2792"/>
    <x v="1"/>
    <s v="Apps"/>
    <n v="88.183421516754848"/>
    <d v="2021-02-04T00:00:00"/>
  </r>
  <r>
    <n v="2793"/>
    <x v="1"/>
    <s v="Apps"/>
    <n v="88.183421516754848"/>
    <d v="2021-02-05T00:00:00"/>
  </r>
  <r>
    <n v="2794"/>
    <x v="1"/>
    <s v="Apps"/>
    <n v="88.183421516754848"/>
    <d v="2021-02-06T00:00:00"/>
  </r>
  <r>
    <n v="2795"/>
    <x v="1"/>
    <s v="Apps"/>
    <n v="88.183421516754848"/>
    <d v="2021-02-07T00:00:00"/>
  </r>
  <r>
    <n v="2796"/>
    <x v="0"/>
    <s v="Apps"/>
    <n v="86.177180282661155"/>
    <d v="2021-02-08T00:00:00"/>
  </r>
  <r>
    <n v="2797"/>
    <x v="4"/>
    <s v="Systems"/>
    <n v="70.614668592521269"/>
    <d v="2021-02-09T00:00:00"/>
  </r>
  <r>
    <n v="2798"/>
    <x v="4"/>
    <s v="Systems"/>
    <n v="32.097576632964213"/>
    <d v="2021-02-10T00:00:00"/>
  </r>
  <r>
    <n v="2799"/>
    <x v="2"/>
    <s v="Tech"/>
    <n v="635.3912951392565"/>
    <d v="2021-02-11T00:00:00"/>
  </r>
  <r>
    <n v="2800"/>
    <x v="4"/>
    <s v="OFM"/>
    <n v="64.195153265928425"/>
    <d v="2021-02-12T00:00:00"/>
  </r>
  <r>
    <n v="2801"/>
    <x v="2"/>
    <s v="OFM"/>
    <n v="52.949274594938046"/>
    <d v="2021-02-13T00:00:00"/>
  </r>
  <r>
    <n v="2802"/>
    <x v="4"/>
    <s v="Apps"/>
    <n v="344.55827628979654"/>
    <d v="2021-02-14T00:00:00"/>
  </r>
  <r>
    <n v="2803"/>
    <x v="2"/>
    <s v="Tech"/>
    <n v="158.84782378481412"/>
    <d v="2021-02-15T00:00:00"/>
  </r>
  <r>
    <n v="2804"/>
    <x v="2"/>
    <s v="Tech"/>
    <n v="0"/>
    <d v="2021-02-16T00:00:00"/>
  </r>
  <r>
    <n v="2805"/>
    <x v="4"/>
    <s v="Tech"/>
    <n v="37.850875178021781"/>
    <d v="2021-02-17T00:00:00"/>
  </r>
  <r>
    <n v="2806"/>
    <x v="1"/>
    <s v="Apps"/>
    <n v="77.160493827160494"/>
    <d v="2021-02-18T00:00:00"/>
  </r>
  <r>
    <n v="2807"/>
    <x v="1"/>
    <s v="Apps"/>
    <n v="88.183421516754848"/>
    <d v="2021-02-19T00:00:00"/>
  </r>
  <r>
    <n v="2808"/>
    <x v="0"/>
    <s v="Tech"/>
    <n v="92.421441774491683"/>
    <d v="2021-02-20T00:00:00"/>
  </r>
  <r>
    <n v="2809"/>
    <x v="0"/>
    <s v="Tech"/>
    <n v="25.696041524803107"/>
    <d v="2021-02-21T00:00:00"/>
  </r>
  <r>
    <n v="2810"/>
    <x v="0"/>
    <s v="Tech"/>
    <n v="17.987229067362172"/>
    <d v="2021-02-22T00:00:00"/>
  </r>
  <r>
    <n v="2811"/>
    <x v="4"/>
    <s v="Apps"/>
    <n v="162.94606485253382"/>
    <d v="2021-02-23T00:00:00"/>
  </r>
  <r>
    <n v="2812"/>
    <x v="4"/>
    <s v="Tech"/>
    <n v="3.77"/>
    <d v="2021-02-24T00:00:00"/>
  </r>
  <r>
    <n v="2813"/>
    <x v="1"/>
    <s v="Apps"/>
    <n v="66.137566137566139"/>
    <d v="2021-02-25T00:00:00"/>
  </r>
  <r>
    <n v="2814"/>
    <x v="0"/>
    <s v="OFM"/>
    <n v="308.07147258163894"/>
    <d v="2021-02-26T00:00:00"/>
  </r>
  <r>
    <n v="2815"/>
    <x v="0"/>
    <s v="OFM"/>
    <n v="154.03573629081947"/>
    <d v="2021-02-27T00:00:00"/>
  </r>
  <r>
    <n v="2816"/>
    <x v="0"/>
    <s v="OFM"/>
    <n v="154.03573629081947"/>
    <d v="2021-02-28T00:00:00"/>
  </r>
  <r>
    <n v="2817"/>
    <x v="0"/>
    <s v="Tech"/>
    <n v="46.210720887245841"/>
    <d v="2021-03-01T00:00:00"/>
  </r>
  <r>
    <n v="2818"/>
    <x v="0"/>
    <s v="Apps"/>
    <n v="462.10720887245844"/>
    <d v="2021-03-02T00:00:00"/>
  </r>
  <r>
    <n v="2819"/>
    <x v="0"/>
    <s v="Apps"/>
    <n v="33.887861983980287"/>
    <d v="2021-03-03T00:00:00"/>
  </r>
  <r>
    <n v="2820"/>
    <x v="3"/>
    <s v="Tech"/>
    <n v="183.17198933939025"/>
    <d v="2021-03-04T00:00:00"/>
  </r>
  <r>
    <n v="2821"/>
    <x v="3"/>
    <s v="Tech"/>
    <n v="45.792997334847563"/>
    <d v="2021-03-05T00:00:00"/>
  </r>
  <r>
    <n v="2822"/>
    <x v="3"/>
    <s v="OFM"/>
    <n v="137.37899200454268"/>
    <d v="2021-03-06T00:00:00"/>
  </r>
  <r>
    <n v="2823"/>
    <x v="3"/>
    <s v="OFM"/>
    <n v="64.110196268786581"/>
    <d v="2021-03-07T00:00:00"/>
  </r>
  <r>
    <n v="2824"/>
    <x v="0"/>
    <s v="Tech"/>
    <n v="84.06654343807763"/>
    <d v="2021-03-08T00:00:00"/>
  </r>
  <r>
    <n v="2825"/>
    <x v="0"/>
    <s v="Tech"/>
    <n v="46.210720887245841"/>
    <d v="2021-03-09T00:00:00"/>
  </r>
  <r>
    <n v="2826"/>
    <x v="3"/>
    <s v="OFM"/>
    <n v="366.3439786787805"/>
    <d v="2021-03-10T00:00:00"/>
  </r>
  <r>
    <n v="2827"/>
    <x v="3"/>
    <s v="Tech"/>
    <n v="183.17198933939025"/>
    <d v="2021-03-11T00:00:00"/>
  </r>
  <r>
    <n v="2828"/>
    <x v="3"/>
    <s v="Tech"/>
    <n v="457.92997334847558"/>
    <d v="2021-03-12T00:00:00"/>
  </r>
  <r>
    <n v="2829"/>
    <x v="3"/>
    <s v="Tech"/>
    <n v="53.536593184170286"/>
    <d v="2021-03-13T00:00:00"/>
  </r>
  <r>
    <n v="2830"/>
    <x v="1"/>
    <s v="Apps"/>
    <n v="55.114638447971785"/>
    <d v="2021-03-14T00:00:00"/>
  </r>
  <r>
    <n v="2831"/>
    <x v="4"/>
    <s v="Tech"/>
    <n v="68.25"/>
    <d v="2021-03-15T00:00:00"/>
  </r>
  <r>
    <n v="2832"/>
    <x v="1"/>
    <s v="Systems"/>
    <n v="551.14638447971777"/>
    <d v="2021-03-16T00:00:00"/>
  </r>
  <r>
    <n v="2833"/>
    <x v="1"/>
    <s v="Apps"/>
    <n v="110.22927689594357"/>
    <d v="2021-03-17T00:00:00"/>
  </r>
  <r>
    <n v="2834"/>
    <x v="3"/>
    <s v="Tech"/>
    <n v="73.2687957357561"/>
    <d v="2021-03-18T00:00:00"/>
  </r>
  <r>
    <n v="2835"/>
    <x v="3"/>
    <s v="Tech"/>
    <n v="73.2687957357561"/>
    <d v="2021-03-19T00:00:00"/>
  </r>
  <r>
    <n v="2836"/>
    <x v="3"/>
    <s v="OFM"/>
    <n v="36.63439786787805"/>
    <d v="2021-03-20T00:00:00"/>
  </r>
  <r>
    <n v="2837"/>
    <x v="3"/>
    <s v="Tech"/>
    <n v="43.892587945451382"/>
    <d v="2021-03-21T00:00:00"/>
  </r>
  <r>
    <n v="2838"/>
    <x v="4"/>
    <s v="OFM"/>
    <n v="0.2"/>
    <d v="2021-03-22T00:00:00"/>
  </r>
  <r>
    <n v="2839"/>
    <x v="4"/>
    <s v="OFM"/>
    <n v="0.2"/>
    <d v="2021-03-23T00:00:00"/>
  </r>
  <r>
    <n v="2840"/>
    <x v="4"/>
    <s v="Apps"/>
    <n v="16.048788316482106"/>
    <d v="2021-03-24T00:00:00"/>
  </r>
  <r>
    <n v="2841"/>
    <x v="4"/>
    <s v="Tech"/>
    <n v="469.06825615141122"/>
    <d v="2021-03-25T00:00:00"/>
  </r>
  <r>
    <n v="2842"/>
    <x v="2"/>
    <s v="Tech"/>
    <n v="31.769564756962826"/>
    <d v="2021-03-26T00:00:00"/>
  </r>
  <r>
    <n v="2843"/>
    <x v="0"/>
    <s v="Tech"/>
    <n v="10.341261633919338"/>
    <d v="2021-03-27T00:00:00"/>
  </r>
  <r>
    <n v="2844"/>
    <x v="0"/>
    <s v="Tech"/>
    <n v="184.84288354898337"/>
    <d v="2021-03-28T00:00:00"/>
  </r>
  <r>
    <n v="2845"/>
    <x v="0"/>
    <s v="Apps"/>
    <n v="154.03573629081947"/>
    <d v="2021-03-29T00:00:00"/>
  </r>
  <r>
    <n v="2846"/>
    <x v="4"/>
    <s v="Systems"/>
    <n v="30.492697801316002"/>
    <d v="2021-03-30T00:00:00"/>
  </r>
  <r>
    <n v="2847"/>
    <x v="0"/>
    <s v="Tech"/>
    <n v="46.210720887245841"/>
    <d v="2021-03-31T00:00:00"/>
  </r>
  <r>
    <n v="2848"/>
    <x v="0"/>
    <s v="Apps"/>
    <n v="308.07147258163894"/>
    <d v="2021-04-01T00:00:00"/>
  </r>
  <r>
    <n v="2849"/>
    <x v="0"/>
    <s v="Tech"/>
    <n v="77.017868145409736"/>
    <d v="2021-04-02T00:00:00"/>
  </r>
  <r>
    <n v="2850"/>
    <x v="0"/>
    <s v="Apps"/>
    <n v="100"/>
    <d v="2021-04-03T00:00:00"/>
  </r>
  <r>
    <n v="2851"/>
    <x v="1"/>
    <s v="Tech"/>
    <n v="36.081481481481482"/>
    <d v="2021-04-04T00:00:00"/>
  </r>
  <r>
    <n v="2852"/>
    <x v="4"/>
    <s v="Apps"/>
    <n v="8.0243941582410532"/>
    <d v="2021-04-05T00:00:00"/>
  </r>
  <r>
    <n v="2853"/>
    <x v="0"/>
    <s v="Tech"/>
    <n v="48.259220958290243"/>
    <d v="2021-04-06T00:00:00"/>
  </r>
  <r>
    <n v="2854"/>
    <x v="0"/>
    <s v="Tech"/>
    <n v="64.805239572561192"/>
    <d v="2021-04-07T00:00:00"/>
  </r>
  <r>
    <n v="2855"/>
    <x v="0"/>
    <s v="Tech"/>
    <n v="3.4470872113064459"/>
    <d v="2021-04-08T00:00:00"/>
  </r>
  <r>
    <n v="2856"/>
    <x v="0"/>
    <s v="Apps"/>
    <n v="5.1392083049606212"/>
    <d v="2021-04-09T00:00:00"/>
  </r>
  <r>
    <n v="2857"/>
    <x v="0"/>
    <s v="Tech"/>
    <n v="86.177180282661155"/>
    <d v="2021-04-10T00:00:00"/>
  </r>
  <r>
    <n v="2858"/>
    <x v="0"/>
    <s v="Tech"/>
    <n v="103.41261633919338"/>
    <d v="2021-04-11T00:00:00"/>
  </r>
  <r>
    <n v="2859"/>
    <x v="0"/>
    <s v="Tech"/>
    <n v="2.7576697690451564"/>
    <d v="2021-04-12T00:00:00"/>
  </r>
  <r>
    <n v="2860"/>
    <x v="0"/>
    <s v="Tech"/>
    <n v="58.093209238193722"/>
    <d v="2021-04-13T00:00:00"/>
  </r>
  <r>
    <n v="2861"/>
    <x v="1"/>
    <s v="Apps"/>
    <n v="55.114638447971785"/>
    <d v="2021-04-14T00:00:00"/>
  </r>
  <r>
    <n v="2862"/>
    <x v="0"/>
    <s v="Tech"/>
    <n v="92.421441774491683"/>
    <d v="2021-04-15T00:00:00"/>
  </r>
  <r>
    <n v="2863"/>
    <x v="4"/>
    <s v="OFM"/>
    <n v="6.8437347238064206"/>
    <d v="2021-04-16T00:00:00"/>
  </r>
  <r>
    <n v="2864"/>
    <x v="4"/>
    <s v="Tech"/>
    <n v="237.5"/>
    <d v="2021-04-17T00:00:00"/>
  </r>
  <r>
    <n v="2865"/>
    <x v="1"/>
    <s v="Tech"/>
    <n v="165.34391534391534"/>
    <d v="2021-04-18T00:00:00"/>
  </r>
  <r>
    <n v="2866"/>
    <x v="4"/>
    <s v="Apps"/>
    <n v="37.206275554738824"/>
    <d v="2021-04-19T00:00:00"/>
  </r>
  <r>
    <n v="2867"/>
    <x v="0"/>
    <s v="Tech"/>
    <n v="6.2718898153739415"/>
    <d v="2021-04-20T00:00:00"/>
  </r>
  <r>
    <n v="2868"/>
    <x v="0"/>
    <s v="Tech"/>
    <n v="7.4429355157837938"/>
    <d v="2021-04-21T00:00:00"/>
  </r>
  <r>
    <n v="2869"/>
    <x v="0"/>
    <s v="OFM"/>
    <n v="15.403573629081947"/>
    <d v="2021-04-22T00:00:00"/>
  </r>
  <r>
    <n v="2870"/>
    <x v="1"/>
    <s v="Tech"/>
    <n v="36.068827160493825"/>
    <d v="2021-04-23T00:00:00"/>
  </r>
  <r>
    <n v="2871"/>
    <x v="1"/>
    <s v="Tech"/>
    <n v="4.3874559082892421"/>
    <d v="2021-04-24T00:00:00"/>
  </r>
  <r>
    <n v="2872"/>
    <x v="0"/>
    <s v="Tech"/>
    <n v="30.807147258163894"/>
    <d v="2021-04-25T00:00:00"/>
  </r>
  <r>
    <n v="2873"/>
    <x v="0"/>
    <s v="Tech"/>
    <n v="30.807147258163894"/>
    <d v="2021-04-26T00:00:00"/>
  </r>
  <r>
    <n v="2874"/>
    <x v="0"/>
    <s v="Tech"/>
    <n v="46.210720887245841"/>
    <d v="2021-04-27T00:00:00"/>
  </r>
  <r>
    <n v="2875"/>
    <x v="0"/>
    <s v="Apps"/>
    <n v="77.017868145409736"/>
    <d v="2021-04-28T00:00:00"/>
  </r>
  <r>
    <n v="2876"/>
    <x v="0"/>
    <s v="Apps"/>
    <n v="169.43930991990143"/>
    <d v="2021-04-29T00:00:00"/>
  </r>
  <r>
    <n v="2877"/>
    <x v="0"/>
    <s v="Apps"/>
    <n v="154.03573629081947"/>
    <d v="2021-04-30T00:00:00"/>
  </r>
  <r>
    <n v="2878"/>
    <x v="4"/>
    <s v="Systems"/>
    <n v="4.0121970791205266"/>
    <d v="2021-05-01T00:00:00"/>
  </r>
  <r>
    <n v="2879"/>
    <x v="4"/>
    <s v="Apps"/>
    <n v="80.243941582410528"/>
    <d v="2021-05-02T00:00:00"/>
  </r>
  <r>
    <n v="2880"/>
    <x v="4"/>
    <s v="Tech"/>
    <n v="18.92543758901089"/>
    <d v="2021-05-03T00:00:00"/>
  </r>
  <r>
    <n v="2881"/>
    <x v="4"/>
    <s v="OFM"/>
    <n v="87.5"/>
    <d v="2021-05-04T00:00:00"/>
  </r>
  <r>
    <n v="2882"/>
    <x v="4"/>
    <s v="OFM"/>
    <n v="300"/>
    <d v="2021-05-05T00:00:00"/>
  </r>
  <r>
    <n v="2883"/>
    <x v="1"/>
    <s v="Tech"/>
    <n v="293.80264550264553"/>
    <d v="2021-05-06T00:00:00"/>
  </r>
  <r>
    <n v="2884"/>
    <x v="1"/>
    <s v="OFM"/>
    <n v="0.56481481481481477"/>
    <d v="2021-05-07T00:00:00"/>
  </r>
  <r>
    <n v="2885"/>
    <x v="0"/>
    <s v="Tech"/>
    <n v="69.316081330868769"/>
    <d v="2021-05-08T00:00:00"/>
  </r>
  <r>
    <n v="2886"/>
    <x v="4"/>
    <s v="Tech"/>
    <n v="3.77"/>
    <d v="2021-05-09T00:00:00"/>
  </r>
  <r>
    <n v="2887"/>
    <x v="0"/>
    <s v="Tech"/>
    <n v="64.24010381200776"/>
    <d v="2021-05-10T00:00:00"/>
  </r>
  <r>
    <n v="2888"/>
    <x v="2"/>
    <s v="Tech"/>
    <n v="52.949274594938046"/>
    <d v="2021-05-11T00:00:00"/>
  </r>
  <r>
    <n v="2889"/>
    <x v="1"/>
    <s v="Apps"/>
    <n v="44.091710758377424"/>
    <d v="2021-05-12T00:00:00"/>
  </r>
  <r>
    <n v="2890"/>
    <x v="1"/>
    <s v="Apps"/>
    <n v="44.091710758377424"/>
    <d v="2021-05-13T00:00:00"/>
  </r>
  <r>
    <n v="2891"/>
    <x v="1"/>
    <s v="Tech"/>
    <n v="48.967151675485006"/>
    <d v="2021-05-14T00:00:00"/>
  </r>
  <r>
    <n v="2892"/>
    <x v="1"/>
    <s v="Apps"/>
    <n v="110.22927689594357"/>
    <d v="2021-05-15T00:00:00"/>
  </r>
  <r>
    <n v="2893"/>
    <x v="4"/>
    <s v="Tech"/>
    <n v="924.64280792024624"/>
    <d v="2021-05-16T00:00:00"/>
  </r>
  <r>
    <n v="2894"/>
    <x v="1"/>
    <s v="Apps"/>
    <n v="158.73015873015873"/>
    <d v="2021-05-17T00:00:00"/>
  </r>
  <r>
    <n v="2895"/>
    <x v="0"/>
    <s v="Tech"/>
    <n v="32.12005190600388"/>
    <d v="2021-05-18T00:00:00"/>
  </r>
  <r>
    <n v="2896"/>
    <x v="4"/>
    <s v="Tech"/>
    <n v="64.75516099949327"/>
    <d v="2021-05-19T00:00:00"/>
  </r>
  <r>
    <n v="2897"/>
    <x v="1"/>
    <s v="Apps"/>
    <n v="44.091710758377424"/>
    <d v="2021-05-20T00:00:00"/>
  </r>
  <r>
    <n v="2898"/>
    <x v="0"/>
    <s v="Tech"/>
    <n v="108.38031423290204"/>
    <d v="2021-05-21T00:00:00"/>
  </r>
  <r>
    <n v="2899"/>
    <x v="0"/>
    <s v="Tech"/>
    <n v="83.17929759704252"/>
    <d v="2021-05-22T00:00:00"/>
  </r>
  <r>
    <n v="2900"/>
    <x v="0"/>
    <s v="Tech"/>
    <n v="126.30930375847197"/>
    <d v="2021-05-23T00:00:00"/>
  </r>
  <r>
    <n v="2901"/>
    <x v="0"/>
    <s v="Tech"/>
    <n v="36.968576709796672"/>
    <d v="2021-05-24T00:00:00"/>
  </r>
  <r>
    <n v="2902"/>
    <x v="0"/>
    <s v="Tech"/>
    <n v="40.049291435613064"/>
    <d v="2021-05-25T00:00:00"/>
  </r>
  <r>
    <n v="2903"/>
    <x v="1"/>
    <s v="Tech"/>
    <n v="132.27513227513228"/>
    <d v="2021-05-26T00:00:00"/>
  </r>
  <r>
    <n v="2904"/>
    <x v="1"/>
    <s v="Tech"/>
    <n v="132.27513227513228"/>
    <d v="2021-05-27T00:00:00"/>
  </r>
  <r>
    <n v="2905"/>
    <x v="0"/>
    <s v="Apps"/>
    <n v="86.177180282661155"/>
    <d v="2021-05-28T00:00:00"/>
  </r>
  <r>
    <n v="2906"/>
    <x v="4"/>
    <s v="Tech"/>
    <n v="91.91461626201729"/>
    <d v="2021-05-29T00:00:00"/>
  </r>
  <r>
    <n v="2907"/>
    <x v="1"/>
    <s v="Apps"/>
    <n v="121.25220458553792"/>
    <d v="2021-05-30T00:00:00"/>
  </r>
  <r>
    <n v="2908"/>
    <x v="1"/>
    <s v="Apps"/>
    <n v="11.022927689594356"/>
    <d v="2021-05-31T00:00:00"/>
  </r>
  <r>
    <n v="2909"/>
    <x v="0"/>
    <s v="Tech"/>
    <n v="102.78416609921243"/>
    <d v="2021-06-01T00:00:00"/>
  </r>
  <r>
    <n v="2910"/>
    <x v="1"/>
    <s v="Apps"/>
    <n v="44.091710758377424"/>
    <d v="2021-06-02T00:00:00"/>
  </r>
  <r>
    <n v="2911"/>
    <x v="1"/>
    <s v="Apps"/>
    <n v="44.091710758377424"/>
    <d v="2021-06-03T00:00:00"/>
  </r>
  <r>
    <n v="2912"/>
    <x v="1"/>
    <s v="Apps"/>
    <n v="110.22927689594357"/>
    <d v="2021-06-04T00:00:00"/>
  </r>
  <r>
    <n v="2913"/>
    <x v="1"/>
    <s v="Apps"/>
    <n v="220.45855379188714"/>
    <d v="2021-06-05T00:00:00"/>
  </r>
  <r>
    <n v="2914"/>
    <x v="1"/>
    <s v="Systems"/>
    <n v="8818.3421516754843"/>
    <d v="2021-06-06T00:00:00"/>
  </r>
  <r>
    <n v="2915"/>
    <x v="1"/>
    <s v="Apps"/>
    <n v="176.3668430335097"/>
    <d v="2021-06-07T00:00:00"/>
  </r>
  <r>
    <n v="2916"/>
    <x v="0"/>
    <s v="Apps"/>
    <n v="77.017868145409736"/>
    <d v="2021-06-08T00:00:00"/>
  </r>
  <r>
    <n v="2917"/>
    <x v="0"/>
    <s v="Apps"/>
    <n v="92.421441774491683"/>
    <d v="2021-06-09T00:00:00"/>
  </r>
  <r>
    <n v="2918"/>
    <x v="1"/>
    <s v="Apps"/>
    <n v="88.183421516754848"/>
    <d v="2021-06-10T00:00:00"/>
  </r>
  <r>
    <n v="2919"/>
    <x v="1"/>
    <s v="Apps"/>
    <n v="44.091710758377424"/>
    <d v="2021-06-11T00:00:00"/>
  </r>
  <r>
    <n v="2920"/>
    <x v="4"/>
    <s v="Other"/>
    <n v="100"/>
    <d v="2021-06-12T00:00:00"/>
  </r>
  <r>
    <n v="2921"/>
    <x v="0"/>
    <s v="Apps"/>
    <n v="770.17868145409739"/>
    <d v="2021-06-13T00:00:00"/>
  </r>
  <r>
    <n v="2922"/>
    <x v="2"/>
    <s v="Apps"/>
    <n v="84.718839351900883"/>
    <d v="2021-06-14T00:00:00"/>
  </r>
  <r>
    <n v="2923"/>
    <x v="0"/>
    <s v="Apps"/>
    <n v="77.017868145409736"/>
    <d v="2021-06-15T00:00:00"/>
  </r>
  <r>
    <n v="2924"/>
    <x v="4"/>
    <s v="Apps"/>
    <n v="285.17500000000001"/>
    <d v="2021-06-16T00:00:00"/>
  </r>
  <r>
    <n v="2925"/>
    <x v="0"/>
    <s v="Tech"/>
    <n v="77.017868145409736"/>
    <d v="2021-06-17T00:00:00"/>
  </r>
  <r>
    <n v="2926"/>
    <x v="2"/>
    <s v="OFM"/>
    <n v="105.89854918987609"/>
    <d v="2021-06-18T00:00:00"/>
  </r>
  <r>
    <n v="2927"/>
    <x v="2"/>
    <s v="OFM"/>
    <n v="317.69564756962825"/>
    <d v="2021-06-19T00:00:00"/>
  </r>
  <r>
    <n v="2928"/>
    <x v="4"/>
    <s v="OFM"/>
    <n v="81.473032426266911"/>
    <d v="2021-06-20T00:00:00"/>
  </r>
  <r>
    <n v="2929"/>
    <x v="0"/>
    <s v="Apps"/>
    <n v="24.260628465804068"/>
    <d v="2021-06-21T00:00:00"/>
  </r>
  <r>
    <n v="2930"/>
    <x v="0"/>
    <s v="Apps"/>
    <n v="24.260628465804068"/>
    <d v="2021-06-22T00:00:00"/>
  </r>
  <r>
    <n v="2931"/>
    <x v="0"/>
    <s v="Apps"/>
    <n v="24.260628465804068"/>
    <d v="2021-06-23T00:00:00"/>
  </r>
  <r>
    <n v="2932"/>
    <x v="0"/>
    <s v="Apps"/>
    <n v="24.260628465804068"/>
    <d v="2021-06-24T00:00:00"/>
  </r>
  <r>
    <n v="2933"/>
    <x v="0"/>
    <s v="Apps"/>
    <n v="24.260628465804068"/>
    <d v="2021-06-25T00:00:00"/>
  </r>
  <r>
    <n v="2934"/>
    <x v="0"/>
    <s v="Apps"/>
    <n v="24.260628465804068"/>
    <d v="2021-06-26T00:00:00"/>
  </r>
  <r>
    <n v="2935"/>
    <x v="2"/>
    <s v="Tech"/>
    <n v="84.718839351900883"/>
    <d v="2021-06-27T00:00:00"/>
  </r>
  <r>
    <n v="2936"/>
    <x v="2"/>
    <s v="Tech"/>
    <n v="84.718839351900883"/>
    <d v="2021-06-28T00:00:00"/>
  </r>
  <r>
    <n v="2937"/>
    <x v="2"/>
    <s v="OFM"/>
    <n v="211.79709837975219"/>
    <d v="2021-06-29T00:00:00"/>
  </r>
  <r>
    <n v="2938"/>
    <x v="1"/>
    <s v="Apps"/>
    <n v="26.455026455026456"/>
    <d v="2021-06-30T00:00:00"/>
  </r>
  <r>
    <n v="2939"/>
    <x v="0"/>
    <s v="Apps"/>
    <n v="100.2145619467321"/>
    <d v="2021-07-01T00:00:00"/>
  </r>
  <r>
    <n v="2940"/>
    <x v="3"/>
    <s v="OFM"/>
    <n v="183.17198933939025"/>
    <d v="2021-07-02T00:00:00"/>
  </r>
  <r>
    <n v="2941"/>
    <x v="4"/>
    <s v="Apps"/>
    <n v="90"/>
    <d v="2021-07-03T00:00:00"/>
  </r>
  <r>
    <n v="2942"/>
    <x v="1"/>
    <s v="Tech"/>
    <n v="391.73686067019401"/>
    <d v="2021-07-04T00:00:00"/>
  </r>
  <r>
    <n v="2943"/>
    <x v="0"/>
    <s v="Tech"/>
    <n v="82.730093071354702"/>
    <d v="2021-07-05T00:00:00"/>
  </r>
  <r>
    <n v="2944"/>
    <x v="2"/>
    <s v="Apps"/>
    <n v="211.79709837975219"/>
    <d v="2021-07-06T00:00:00"/>
  </r>
  <r>
    <n v="2945"/>
    <x v="1"/>
    <s v="Apps"/>
    <n v="88.183421516754848"/>
    <d v="2021-07-07T00:00:00"/>
  </r>
  <r>
    <n v="2946"/>
    <x v="1"/>
    <s v="OFM"/>
    <n v="99.206349206349202"/>
    <d v="2021-07-08T00:00:00"/>
  </r>
  <r>
    <n v="2947"/>
    <x v="1"/>
    <s v="Tech"/>
    <n v="100.71966490299823"/>
    <d v="2021-07-09T00:00:00"/>
  </r>
  <r>
    <n v="2948"/>
    <x v="0"/>
    <s v="Tech"/>
    <n v="77.088124574409321"/>
    <d v="2021-07-10T00:00:00"/>
  </r>
  <r>
    <n v="2949"/>
    <x v="0"/>
    <s v="OFM"/>
    <n v="68.941744226128904"/>
    <d v="2021-07-11T00:00:00"/>
  </r>
  <r>
    <n v="2950"/>
    <x v="4"/>
    <s v="Tech"/>
    <n v="3.2904045223319754E-5"/>
    <d v="2021-07-12T00:00:00"/>
  </r>
  <r>
    <n v="2951"/>
    <x v="0"/>
    <s v="Tech"/>
    <n v="51.706308169596689"/>
    <d v="2021-07-13T00:00:00"/>
  </r>
  <r>
    <n v="2952"/>
    <x v="1"/>
    <s v="Apps"/>
    <n v="88.183421516754848"/>
    <d v="2021-07-14T00:00:00"/>
  </r>
  <r>
    <n v="2953"/>
    <x v="1"/>
    <s v="Tech"/>
    <n v="55.114638447971785"/>
    <d v="2021-07-15T00:00:00"/>
  </r>
  <r>
    <n v="2954"/>
    <x v="2"/>
    <s v="Apps"/>
    <n v="202.57677659833075"/>
    <d v="2021-07-16T00:00:00"/>
  </r>
  <r>
    <n v="2955"/>
    <x v="0"/>
    <s v="Tech"/>
    <n v="69.689206377757515"/>
    <d v="2021-07-17T00:00:00"/>
  </r>
  <r>
    <n v="2956"/>
    <x v="0"/>
    <s v="OFM"/>
    <n v="68.941744226128904"/>
    <d v="2021-07-18T00:00:00"/>
  </r>
  <r>
    <n v="2957"/>
    <x v="0"/>
    <s v="OFM"/>
    <n v="86.177180282661155"/>
    <d v="2021-07-19T00:00:00"/>
  </r>
  <r>
    <n v="2958"/>
    <x v="0"/>
    <s v="OFM"/>
    <n v="68.941744226128904"/>
    <d v="2021-07-20T00:00:00"/>
  </r>
  <r>
    <n v="2959"/>
    <x v="0"/>
    <s v="OFM"/>
    <n v="86.177180282661155"/>
    <d v="2021-07-21T00:00:00"/>
  </r>
  <r>
    <n v="2960"/>
    <x v="0"/>
    <s v="OFM"/>
    <n v="68.941744226128904"/>
    <d v="2021-07-22T00:00:00"/>
  </r>
  <r>
    <n v="2961"/>
    <x v="0"/>
    <s v="OFM"/>
    <n v="86.177180282661155"/>
    <d v="2021-07-23T00:00:00"/>
  </r>
  <r>
    <n v="2962"/>
    <x v="0"/>
    <s v="OFM"/>
    <n v="86.177180282661155"/>
    <d v="2021-07-24T00:00:00"/>
  </r>
  <r>
    <n v="2963"/>
    <x v="4"/>
    <s v="Apps"/>
    <n v="20.531204171419262"/>
    <d v="2021-07-25T00:00:00"/>
  </r>
  <r>
    <n v="2964"/>
    <x v="4"/>
    <s v="Apps"/>
    <n v="30.796806257128893"/>
    <d v="2021-07-26T00:00:00"/>
  </r>
  <r>
    <n v="2965"/>
    <x v="1"/>
    <s v="Apps"/>
    <n v="66.137566137566139"/>
    <d v="2021-07-27T00:00:00"/>
  </r>
  <r>
    <n v="2966"/>
    <x v="0"/>
    <s v="Tech"/>
    <n v="77.017868145409736"/>
    <d v="2021-07-28T00:00:00"/>
  </r>
  <r>
    <n v="2967"/>
    <x v="0"/>
    <s v="Tech"/>
    <n v="25.696041524803107"/>
    <d v="2021-07-29T00:00:00"/>
  </r>
  <r>
    <n v="2968"/>
    <x v="1"/>
    <s v="Apps"/>
    <n v="66.137566137566139"/>
    <d v="2021-07-30T00:00:00"/>
  </r>
  <r>
    <n v="2969"/>
    <x v="1"/>
    <s v="Apps"/>
    <n v="88.183421516754848"/>
    <d v="2021-07-31T00:00:00"/>
  </r>
  <r>
    <n v="2970"/>
    <x v="0"/>
    <s v="Apps"/>
    <n v="15.403573629081947"/>
    <d v="2021-08-01T00:00:00"/>
  </r>
  <r>
    <n v="2971"/>
    <x v="4"/>
    <s v="Tech"/>
    <n v="22.75"/>
    <d v="2021-08-02T00:00:00"/>
  </r>
  <r>
    <n v="2972"/>
    <x v="4"/>
    <s v="Tech"/>
    <n v="42.365976861658794"/>
    <d v="2021-08-03T00:00:00"/>
  </r>
  <r>
    <n v="2973"/>
    <x v="2"/>
    <s v="Apps"/>
    <n v="56.623954251826746"/>
    <d v="2021-08-04T00:00:00"/>
  </r>
  <r>
    <n v="2974"/>
    <x v="1"/>
    <s v="Tech"/>
    <n v="130"/>
    <d v="2021-08-05T00:00:00"/>
  </r>
  <r>
    <n v="2975"/>
    <x v="3"/>
    <s v="Tech"/>
    <n v="109.90319360363415"/>
    <d v="2021-08-06T00:00:00"/>
  </r>
  <r>
    <n v="2976"/>
    <x v="0"/>
    <s v="Apps"/>
    <n v="128.48020762401552"/>
    <d v="2021-08-07T00:00:00"/>
  </r>
  <r>
    <n v="2977"/>
    <x v="0"/>
    <s v="Apps"/>
    <n v="1284.8020762401552"/>
    <d v="2021-08-08T00:00:00"/>
  </r>
  <r>
    <n v="2978"/>
    <x v="0"/>
    <s v="Tech"/>
    <n v="137.88348845225781"/>
    <d v="2021-08-09T00:00:00"/>
  </r>
  <r>
    <n v="2979"/>
    <x v="0"/>
    <s v="Tech"/>
    <n v="27.576697690451567"/>
    <d v="2021-08-10T00:00:00"/>
  </r>
  <r>
    <n v="2980"/>
    <x v="0"/>
    <s v="Tech"/>
    <n v="27.576697690451567"/>
    <d v="2021-08-11T00:00:00"/>
  </r>
  <r>
    <n v="2981"/>
    <x v="0"/>
    <s v="Tech"/>
    <n v="27.576697690451567"/>
    <d v="2021-08-12T00:00:00"/>
  </r>
  <r>
    <n v="2982"/>
    <x v="0"/>
    <s v="Tech"/>
    <n v="172.35436056532231"/>
    <d v="2021-08-13T00:00:00"/>
  </r>
  <r>
    <n v="2983"/>
    <x v="1"/>
    <s v="Systems"/>
    <n v="110.22927689594357"/>
    <d v="2021-08-14T00:00:00"/>
  </r>
  <r>
    <n v="2984"/>
    <x v="2"/>
    <s v="Apps"/>
    <n v="358.39881393624904"/>
    <d v="2021-08-15T00:00:00"/>
  </r>
  <r>
    <n v="2985"/>
    <x v="0"/>
    <s v="Apps"/>
    <n v="77.017868145409736"/>
    <d v="2021-08-16T00:00:00"/>
  </r>
  <r>
    <n v="2986"/>
    <x v="0"/>
    <s v="Apps"/>
    <n v="77.017868145409736"/>
    <d v="2021-08-17T00:00:00"/>
  </r>
  <r>
    <n v="2987"/>
    <x v="4"/>
    <s v="Apps"/>
    <n v="1439"/>
    <d v="2021-08-18T00:00:00"/>
  </r>
  <r>
    <n v="2988"/>
    <x v="2"/>
    <s v="Tech"/>
    <n v="74.128984432913256"/>
    <d v="2021-08-19T00:00:00"/>
  </r>
  <r>
    <n v="2989"/>
    <x v="0"/>
    <s v="Tech"/>
    <n v="61.614294516327789"/>
    <d v="2021-08-20T00:00:00"/>
  </r>
  <r>
    <n v="2990"/>
    <x v="0"/>
    <s v="Apps"/>
    <n v="92.421441774491683"/>
    <d v="2021-08-21T00:00:00"/>
  </r>
  <r>
    <n v="2991"/>
    <x v="3"/>
    <s v="Tech"/>
    <n v="274.75798400908536"/>
    <d v="2021-08-22T00:00:00"/>
  </r>
  <r>
    <n v="2992"/>
    <x v="2"/>
    <s v="Apps"/>
    <n v="105.89854918987609"/>
    <d v="2021-08-23T00:00:00"/>
  </r>
  <r>
    <n v="2993"/>
    <x v="1"/>
    <s v="Apps"/>
    <n v="44.091710758377424"/>
    <d v="2021-08-24T00:00:00"/>
  </r>
  <r>
    <n v="2994"/>
    <x v="0"/>
    <s v="Apps"/>
    <n v="642.4010381200776"/>
    <d v="2021-08-25T00:00:00"/>
  </r>
  <r>
    <n v="2995"/>
    <x v="0"/>
    <s v="Apps"/>
    <n v="17.235436056532226"/>
    <d v="2021-08-26T00:00:00"/>
  </r>
  <r>
    <n v="2996"/>
    <x v="0"/>
    <s v="Apps"/>
    <n v="102.78416609921243"/>
    <d v="2021-08-27T00:00:00"/>
  </r>
  <r>
    <n v="2997"/>
    <x v="0"/>
    <s v="OFM"/>
    <n v="68.941744226128904"/>
    <d v="2021-08-28T00:00:00"/>
  </r>
  <r>
    <n v="2998"/>
    <x v="0"/>
    <s v="Apps"/>
    <n v="123.22858903265558"/>
    <d v="2021-08-29T00:00:00"/>
  </r>
  <r>
    <n v="2999"/>
    <x v="0"/>
    <s v="Apps"/>
    <n v="77.017868145409736"/>
    <d v="2021-08-30T00:00:00"/>
  </r>
  <r>
    <n v="3000"/>
    <x v="0"/>
    <s v="Apps"/>
    <n v="138.63216266173754"/>
    <d v="2021-08-31T00:00:00"/>
  </r>
  <r>
    <n v="3001"/>
    <x v="0"/>
    <s v="Tech"/>
    <n v="46.210720887245841"/>
    <d v="2021-09-01T00:00:00"/>
  </r>
  <r>
    <n v="3002"/>
    <x v="0"/>
    <s v="Apps"/>
    <n v="107.82501540357363"/>
    <d v="2021-09-02T00:00:00"/>
  </r>
  <r>
    <n v="3003"/>
    <x v="0"/>
    <s v="Tech"/>
    <n v="107.82501540357363"/>
    <d v="2021-09-03T00:00:00"/>
  </r>
  <r>
    <n v="3004"/>
    <x v="1"/>
    <s v="Tech"/>
    <n v="55.114638447971785"/>
    <d v="2021-09-04T00:00:00"/>
  </r>
  <r>
    <n v="3005"/>
    <x v="0"/>
    <s v="Tech"/>
    <n v="8.993614533681086"/>
    <d v="2021-09-05T00:00:00"/>
  </r>
  <r>
    <n v="3006"/>
    <x v="4"/>
    <s v="Tech"/>
    <n v="50"/>
    <d v="2021-09-06T00:00:00"/>
  </r>
  <r>
    <n v="3007"/>
    <x v="4"/>
    <s v="Tech"/>
    <n v="20"/>
    <d v="2021-09-07T00:00:00"/>
  </r>
  <r>
    <n v="3008"/>
    <x v="4"/>
    <s v="Tech"/>
    <n v="65.55"/>
    <d v="2021-09-08T00:00:00"/>
  </r>
  <r>
    <n v="3009"/>
    <x v="4"/>
    <s v="Apps"/>
    <n v="17.438650000000003"/>
    <d v="2021-09-09T00:00:00"/>
  </r>
  <r>
    <n v="3010"/>
    <x v="4"/>
    <s v="Tech"/>
    <n v="250"/>
    <d v="2021-09-10T00:00:00"/>
  </r>
  <r>
    <n v="3011"/>
    <x v="0"/>
    <s v="Tech"/>
    <n v="30.807147258163894"/>
    <d v="2021-09-11T00:00:00"/>
  </r>
  <r>
    <n v="3012"/>
    <x v="4"/>
    <s v="Tech"/>
    <n v="3.2097576632964211"/>
    <d v="2021-09-12T00:00:00"/>
  </r>
  <r>
    <n v="3013"/>
    <x v="0"/>
    <s v="Tech"/>
    <n v="27.576697690451567"/>
    <d v="2021-09-13T00:00:00"/>
  </r>
  <r>
    <n v="3014"/>
    <x v="2"/>
    <s v="Apps"/>
    <n v="121.54606595899845"/>
    <d v="2021-09-14T00:00:00"/>
  </r>
  <r>
    <n v="3015"/>
    <x v="4"/>
    <s v="Apps"/>
    <n v="22.970551752653101"/>
    <d v="2021-09-15T00:00:00"/>
  </r>
  <r>
    <n v="3016"/>
    <x v="1"/>
    <s v="Tech"/>
    <n v="41.235449735449734"/>
    <d v="2021-09-16T00:00:00"/>
  </r>
  <r>
    <n v="3017"/>
    <x v="4"/>
    <s v="OFM"/>
    <n v="102.48"/>
    <d v="2021-09-17T00:00:00"/>
  </r>
  <r>
    <n v="3018"/>
    <x v="1"/>
    <s v="Tech"/>
    <n v="35.273368606701936"/>
    <d v="2021-09-18T00:00:00"/>
  </r>
  <r>
    <n v="3019"/>
    <x v="4"/>
    <s v="Apps"/>
    <n v="45.941103505306202"/>
    <d v="2021-09-19T00:00:00"/>
  </r>
  <r>
    <n v="3020"/>
    <x v="4"/>
    <s v="Apps"/>
    <n v="57.426379381632742"/>
    <d v="2021-09-20T00:00:00"/>
  </r>
  <r>
    <n v="3021"/>
    <x v="4"/>
    <s v="Apps"/>
    <n v="98.712135669959252"/>
    <d v="2021-09-21T00:00:00"/>
  </r>
  <r>
    <n v="3022"/>
    <x v="4"/>
    <s v="Apps"/>
    <n v="98.712135669959252"/>
    <d v="2021-09-22T00:00:00"/>
  </r>
  <r>
    <n v="3023"/>
    <x v="0"/>
    <s v="Apps"/>
    <n v="102.78416609921243"/>
    <d v="2021-09-23T00:00:00"/>
  </r>
  <r>
    <n v="3024"/>
    <x v="4"/>
    <s v="Tech"/>
    <n v="51.369044884458127"/>
    <d v="2021-09-24T00:00:00"/>
  </r>
  <r>
    <n v="3025"/>
    <x v="2"/>
    <s v="Apps"/>
    <n v="0.1058985491898761"/>
    <d v="2021-09-25T00:00:00"/>
  </r>
  <r>
    <n v="3026"/>
    <x v="0"/>
    <s v="Apps"/>
    <n v="64.24010381200776"/>
    <d v="2021-09-26T00:00:00"/>
  </r>
  <r>
    <n v="3027"/>
    <x v="1"/>
    <s v="Apps"/>
    <n v="110.22927689594357"/>
    <d v="2021-09-27T00:00:00"/>
  </r>
  <r>
    <n v="3028"/>
    <x v="1"/>
    <s v="Apps"/>
    <n v="88.183421516754848"/>
    <d v="2021-09-28T00:00:00"/>
  </r>
  <r>
    <n v="3029"/>
    <x v="0"/>
    <s v="Apps"/>
    <n v="107.82501540357363"/>
    <d v="2021-09-29T00:00:00"/>
  </r>
  <r>
    <n v="3030"/>
    <x v="0"/>
    <s v="Apps"/>
    <n v="77.017868145409736"/>
    <d v="2021-09-30T00:00:00"/>
  </r>
  <r>
    <n v="3031"/>
    <x v="1"/>
    <s v="Apps"/>
    <n v="66.137566137566139"/>
    <d v="2021-10-01T00:00:00"/>
  </r>
  <r>
    <n v="3032"/>
    <x v="1"/>
    <s v="Apps"/>
    <n v="88.183421516754848"/>
    <d v="2021-10-02T00:00:00"/>
  </r>
  <r>
    <n v="3033"/>
    <x v="1"/>
    <s v="Tech"/>
    <n v="132.27513227513228"/>
    <d v="2021-10-03T00:00:00"/>
  </r>
  <r>
    <n v="3034"/>
    <x v="4"/>
    <s v="Systems"/>
    <n v="20.060985395602632"/>
    <d v="2021-10-04T00:00:00"/>
  </r>
  <r>
    <n v="3035"/>
    <x v="4"/>
    <s v="Tech"/>
    <n v="79.8"/>
    <d v="2021-10-05T00:00:00"/>
  </r>
  <r>
    <n v="3036"/>
    <x v="4"/>
    <s v="Tech"/>
    <n v="65.55"/>
    <d v="2021-10-06T00:00:00"/>
  </r>
  <r>
    <n v="3037"/>
    <x v="0"/>
    <s v="Apps"/>
    <n v="154.03573629081947"/>
    <d v="2021-10-07T00:00:00"/>
  </r>
  <r>
    <n v="3038"/>
    <x v="0"/>
    <s v="Tech"/>
    <n v="19.528991558850361"/>
    <d v="2021-10-08T00:00:00"/>
  </r>
  <r>
    <n v="3039"/>
    <x v="0"/>
    <s v="Tech"/>
    <n v="1078.2501540357364"/>
    <d v="2021-10-09T00:00:00"/>
  </r>
  <r>
    <n v="3040"/>
    <x v="0"/>
    <s v="Tech"/>
    <n v="104.74430067775724"/>
    <d v="2021-10-10T00:00:00"/>
  </r>
  <r>
    <n v="3041"/>
    <x v="0"/>
    <s v="Tech"/>
    <n v="77.017868145409736"/>
    <d v="2021-10-11T00:00:00"/>
  </r>
  <r>
    <n v="3042"/>
    <x v="2"/>
    <s v="Tech"/>
    <n v="147.47589336358479"/>
    <d v="2021-10-12T00:00:00"/>
  </r>
  <r>
    <n v="3043"/>
    <x v="0"/>
    <s v="Apps"/>
    <n v="61.614294516327789"/>
    <d v="2021-10-13T00:00:00"/>
  </r>
  <r>
    <n v="3044"/>
    <x v="4"/>
    <s v="Apps"/>
    <n v="529.49274594938049"/>
    <d v="2021-10-14T00:00:00"/>
  </r>
  <r>
    <n v="3045"/>
    <x v="4"/>
    <s v="Tech"/>
    <n v="18.92543758901089"/>
    <d v="2021-10-15T00:00:00"/>
  </r>
  <r>
    <n v="3046"/>
    <x v="1"/>
    <s v="Apps"/>
    <n v="143.29805996472663"/>
    <d v="2021-10-16T00:00:00"/>
  </r>
  <r>
    <n v="3047"/>
    <x v="4"/>
    <s v="Tech"/>
    <n v="1.7549999999999999"/>
    <d v="2021-10-17T00:00:00"/>
  </r>
  <r>
    <n v="3048"/>
    <x v="4"/>
    <s v="Tech"/>
    <n v="4.7774999999999999"/>
    <d v="2021-10-18T00:00:00"/>
  </r>
  <r>
    <n v="3049"/>
    <x v="0"/>
    <s v="Tech"/>
    <n v="48.289934505342984"/>
    <d v="2021-10-19T00:00:00"/>
  </r>
  <r>
    <n v="3050"/>
    <x v="4"/>
    <s v="Tech"/>
    <n v="88"/>
    <d v="2021-10-20T00:00:00"/>
  </r>
  <r>
    <n v="3051"/>
    <x v="4"/>
    <s v="Tech"/>
    <n v="50"/>
    <d v="2021-10-21T00:00:00"/>
  </r>
  <r>
    <n v="3052"/>
    <x v="4"/>
    <s v="Tech"/>
    <n v="50"/>
    <d v="2021-10-22T00:00:00"/>
  </r>
  <r>
    <n v="3053"/>
    <x v="4"/>
    <s v="Tech"/>
    <n v="50"/>
    <d v="2021-10-23T00:00:00"/>
  </r>
  <r>
    <n v="3054"/>
    <x v="4"/>
    <s v="Tech"/>
    <n v="50"/>
    <d v="2021-10-24T00:00:00"/>
  </r>
  <r>
    <n v="3055"/>
    <x v="4"/>
    <s v="Tech"/>
    <n v="10.85"/>
    <d v="2021-10-25T00:00:00"/>
  </r>
  <r>
    <n v="3056"/>
    <x v="2"/>
    <s v="Apps"/>
    <n v="179.19940696812452"/>
    <d v="2021-10-26T00:00:00"/>
  </r>
  <r>
    <n v="3057"/>
    <x v="2"/>
    <s v="Apps"/>
    <n v="127.99957640580324"/>
    <d v="2021-10-27T00:00:00"/>
  </r>
  <r>
    <n v="3058"/>
    <x v="2"/>
    <s v="Apps"/>
    <n v="76.799745843481944"/>
    <d v="2021-10-28T00:00:00"/>
  </r>
  <r>
    <n v="3059"/>
    <x v="3"/>
    <s v="Tech"/>
    <n v="137.37899200454268"/>
    <d v="2021-10-29T00:00:00"/>
  </r>
  <r>
    <n v="3060"/>
    <x v="2"/>
    <s v="OFM"/>
    <n v="100"/>
    <d v="2021-10-30T00:00:00"/>
  </r>
  <r>
    <n v="3061"/>
    <x v="1"/>
    <s v="Apps"/>
    <n v="22.045855379188712"/>
    <d v="2021-10-31T00:00:00"/>
  </r>
  <r>
    <n v="3062"/>
    <x v="0"/>
    <s v="Tech"/>
    <n v="231.05360443622922"/>
    <d v="2021-11-01T00:00:00"/>
  </r>
  <r>
    <n v="3063"/>
    <x v="2"/>
    <s v="Tech"/>
    <n v="423.59419675950437"/>
    <d v="2021-11-02T00:00:00"/>
  </r>
  <r>
    <n v="3064"/>
    <x v="0"/>
    <s v="Tech"/>
    <n v="77.017868145409736"/>
    <d v="2021-11-03T00:00:00"/>
  </r>
  <r>
    <n v="3065"/>
    <x v="3"/>
    <s v="OFM"/>
    <n v="73.2687957357561"/>
    <d v="2021-11-04T00:00:00"/>
  </r>
  <r>
    <n v="3066"/>
    <x v="3"/>
    <s v="OFM"/>
    <n v="91.585994669695125"/>
    <d v="2021-11-05T00:00:00"/>
  </r>
  <r>
    <n v="3067"/>
    <x v="3"/>
    <s v="Tech"/>
    <n v="64.110196268786581"/>
    <d v="2021-11-06T00:00:00"/>
  </r>
  <r>
    <n v="3068"/>
    <x v="3"/>
    <s v="Tech"/>
    <n v="192.33058880635974"/>
    <d v="2021-11-07T00:00:00"/>
  </r>
  <r>
    <n v="3069"/>
    <x v="3"/>
    <s v="Tech"/>
    <n v="32.05509813439329"/>
    <d v="2021-11-08T00:00:00"/>
  </r>
  <r>
    <n v="3070"/>
    <x v="3"/>
    <s v="Tech"/>
    <n v="219.8063872072683"/>
    <d v="2021-11-09T00:00:00"/>
  </r>
  <r>
    <n v="3071"/>
    <x v="3"/>
    <s v="OFM"/>
    <n v="228.96498667423779"/>
    <d v="2021-11-10T00:00:00"/>
  </r>
  <r>
    <n v="3072"/>
    <x v="3"/>
    <s v="OFM"/>
    <n v="91.585994669695125"/>
    <d v="2021-11-11T00:00:00"/>
  </r>
  <r>
    <n v="3073"/>
    <x v="3"/>
    <s v="OFM"/>
    <n v="183.17198933939025"/>
    <d v="2021-11-12T00:00:00"/>
  </r>
  <r>
    <n v="3074"/>
    <x v="3"/>
    <s v="OFM"/>
    <n v="64.110196268786581"/>
    <d v="2021-11-13T00:00:00"/>
  </r>
  <r>
    <n v="3075"/>
    <x v="3"/>
    <s v="Tech"/>
    <n v="73.2687957357561"/>
    <d v="2021-11-14T00:00:00"/>
  </r>
  <r>
    <n v="3076"/>
    <x v="4"/>
    <s v="Tech"/>
    <n v="46.178067717186565"/>
    <d v="2021-11-15T00:00:00"/>
  </r>
  <r>
    <n v="3077"/>
    <x v="3"/>
    <s v="Tech"/>
    <n v="45.792997334847563"/>
    <d v="2021-11-16T00:00:00"/>
  </r>
  <r>
    <n v="3078"/>
    <x v="3"/>
    <s v="Tech"/>
    <n v="9.1585994669695125"/>
    <d v="2021-11-17T00:00:00"/>
  </r>
  <r>
    <n v="3079"/>
    <x v="0"/>
    <s v="Apps"/>
    <n v="107.82501540357363"/>
    <d v="2021-11-18T00:00:00"/>
  </r>
  <r>
    <n v="3080"/>
    <x v="3"/>
    <s v="Tech"/>
    <n v="36.63439786787805"/>
    <d v="2021-11-19T00:00:00"/>
  </r>
  <r>
    <n v="3081"/>
    <x v="3"/>
    <s v="OFM"/>
    <n v="91.585994669695125"/>
    <d v="2021-11-20T00:00:00"/>
  </r>
  <r>
    <n v="3082"/>
    <x v="0"/>
    <s v="Tech"/>
    <n v="4.1365046535677346"/>
    <d v="2021-11-21T00:00:00"/>
  </r>
  <r>
    <n v="3083"/>
    <x v="0"/>
    <s v="Tech"/>
    <n v="3.4470872113064459"/>
    <d v="2021-11-22T00:00:00"/>
  </r>
  <r>
    <n v="3084"/>
    <x v="0"/>
    <s v="Tech"/>
    <n v="15.403573629081947"/>
    <d v="2021-11-23T00:00:00"/>
  </r>
  <r>
    <n v="3085"/>
    <x v="0"/>
    <s v="Tech"/>
    <n v="46.210720887245841"/>
    <d v="2021-11-24T00:00:00"/>
  </r>
  <r>
    <n v="3086"/>
    <x v="0"/>
    <s v="Tech"/>
    <n v="23.105360443622921"/>
    <d v="2021-11-25T00:00:00"/>
  </r>
  <r>
    <n v="3087"/>
    <x v="0"/>
    <s v="Tech"/>
    <n v="38.508934072704868"/>
    <d v="2021-11-26T00:00:00"/>
  </r>
  <r>
    <n v="3088"/>
    <x v="4"/>
    <s v="Apps"/>
    <n v="2.2970551752653101"/>
    <d v="2021-11-27T00:00:00"/>
  </r>
  <r>
    <n v="3089"/>
    <x v="0"/>
    <s v="Apps"/>
    <n v="86.177180282661155"/>
    <d v="2021-11-28T00:00:00"/>
  </r>
  <r>
    <n v="3090"/>
    <x v="4"/>
    <s v="Tech"/>
    <n v="32.904045223319756"/>
    <d v="2021-11-29T00:00:00"/>
  </r>
  <r>
    <n v="3091"/>
    <x v="0"/>
    <s v="Tech"/>
    <n v="23.126437372322794"/>
    <d v="2021-11-30T00:00:00"/>
  </r>
  <r>
    <n v="3092"/>
    <x v="0"/>
    <s v="Apps"/>
    <n v="154.03573629081947"/>
    <d v="2021-12-01T00:00:00"/>
  </r>
  <r>
    <n v="3093"/>
    <x v="0"/>
    <s v="Apps"/>
    <n v="154.03573629081947"/>
    <d v="2021-12-02T00:00:00"/>
  </r>
  <r>
    <n v="3094"/>
    <x v="1"/>
    <s v="Tech"/>
    <n v="22.486772486772487"/>
    <d v="2021-12-03T00:00:00"/>
  </r>
  <r>
    <n v="3095"/>
    <x v="2"/>
    <s v="Apps"/>
    <n v="84.718839351900883"/>
    <d v="2021-12-04T00:00:00"/>
  </r>
  <r>
    <n v="3096"/>
    <x v="2"/>
    <s v="Tech"/>
    <n v="84.718839351900883"/>
    <d v="2021-12-05T00:00:00"/>
  </r>
  <r>
    <n v="3097"/>
    <x v="1"/>
    <s v="Apps"/>
    <n v="88.183421516754848"/>
    <d v="2021-12-06T00:00:00"/>
  </r>
  <r>
    <n v="3098"/>
    <x v="0"/>
    <s v="Tech"/>
    <n v="375.84719654959952"/>
    <d v="2021-12-07T00:00:00"/>
  </r>
  <r>
    <n v="3099"/>
    <x v="4"/>
    <s v="Tech"/>
    <n v="40.212481668567705"/>
    <d v="2021-12-08T00:00:00"/>
  </r>
  <r>
    <n v="3100"/>
    <x v="0"/>
    <s v="Tech"/>
    <n v="13.788348845225784"/>
    <d v="2021-12-09T00:00:00"/>
  </r>
  <r>
    <n v="3101"/>
    <x v="0"/>
    <s v="Apps"/>
    <n v="385.08934072704869"/>
    <d v="2021-12-10T00:00:00"/>
  </r>
  <r>
    <n v="3102"/>
    <x v="0"/>
    <s v="Apps"/>
    <n v="38.508934072704868"/>
    <d v="2021-12-11T00:00:00"/>
  </r>
  <r>
    <n v="3103"/>
    <x v="0"/>
    <s v="Apps"/>
    <n v="154.03573629081947"/>
    <d v="2021-12-12T00:00:00"/>
  </r>
  <r>
    <n v="3104"/>
    <x v="1"/>
    <s v="Apps"/>
    <n v="44.091710758377424"/>
    <d v="2021-12-13T00:00:00"/>
  </r>
  <r>
    <n v="3105"/>
    <x v="0"/>
    <s v="Tech"/>
    <n v="14.415479295414542"/>
    <d v="2021-12-14T00:00:00"/>
  </r>
  <r>
    <n v="3106"/>
    <x v="0"/>
    <s v="Tech"/>
    <n v="32.12005190600388"/>
    <d v="2021-12-15T00:00:00"/>
  </r>
  <r>
    <n v="3107"/>
    <x v="1"/>
    <s v="Tech"/>
    <n v="47.420767195767198"/>
    <d v="2021-12-16T00:00:00"/>
  </r>
  <r>
    <n v="3108"/>
    <x v="1"/>
    <s v="Tech"/>
    <n v="22.045855379188712"/>
    <d v="2021-12-17T00:00:00"/>
  </r>
  <r>
    <n v="3109"/>
    <x v="0"/>
    <s v="Tech"/>
    <n v="77.088124574409321"/>
    <d v="2021-12-18T00:00:00"/>
  </r>
  <r>
    <n v="3110"/>
    <x v="1"/>
    <s v="Apps"/>
    <n v="55.114638447971785"/>
    <d v="2021-12-19T00:00:00"/>
  </r>
  <r>
    <n v="3111"/>
    <x v="1"/>
    <s v="Apps"/>
    <n v="66.137566137566139"/>
    <d v="2021-12-20T00:00:00"/>
  </r>
  <r>
    <n v="3112"/>
    <x v="1"/>
    <s v="Apps"/>
    <n v="44.091710758377424"/>
    <d v="2021-12-21T00:00:00"/>
  </r>
  <r>
    <n v="3113"/>
    <x v="1"/>
    <s v="Apps"/>
    <n v="55.114638447971785"/>
    <d v="2021-12-22T00:00:00"/>
  </r>
  <r>
    <n v="3114"/>
    <x v="2"/>
    <s v="Apps"/>
    <n v="529.49274594938049"/>
    <d v="2021-12-23T00:00:00"/>
  </r>
  <r>
    <n v="3115"/>
    <x v="2"/>
    <s v="Apps"/>
    <n v="105.89854918987609"/>
    <d v="2021-12-24T00:00:00"/>
  </r>
  <r>
    <n v="3116"/>
    <x v="2"/>
    <s v="OFM"/>
    <n v="105.89854918987609"/>
    <d v="2021-12-25T00:00:00"/>
  </r>
  <r>
    <n v="3117"/>
    <x v="1"/>
    <s v="Apps"/>
    <n v="55.114638447971785"/>
    <d v="2021-12-26T00:00:00"/>
  </r>
  <r>
    <n v="3118"/>
    <x v="4"/>
    <s v="Tech"/>
    <n v="156.67558689759727"/>
    <d v="2021-12-27T00:00:00"/>
  </r>
  <r>
    <n v="3119"/>
    <x v="2"/>
    <s v="Apps"/>
    <n v="335.48660383352745"/>
    <d v="2021-12-28T00:00:00"/>
  </r>
  <r>
    <n v="3120"/>
    <x v="2"/>
    <s v="Tech"/>
    <n v="24.309213191799692"/>
    <d v="2021-12-29T00:00:00"/>
  </r>
  <r>
    <n v="3121"/>
    <x v="0"/>
    <s v="Apps"/>
    <n v="51.392083049606214"/>
    <d v="2021-12-30T00:00:00"/>
  </r>
  <r>
    <n v="3122"/>
    <x v="3"/>
    <s v="OFM"/>
    <n v="228.96498667423779"/>
    <d v="2021-12-31T00:00:00"/>
  </r>
  <r>
    <n v="3123"/>
    <x v="2"/>
    <s v="Tech"/>
    <n v="84.718839351900883"/>
    <d v="2022-01-01T00:00:00"/>
  </r>
  <r>
    <n v="3124"/>
    <x v="2"/>
    <s v="Apps"/>
    <n v="51.195594620353702"/>
    <d v="2022-01-02T00:00:00"/>
  </r>
  <r>
    <n v="3125"/>
    <x v="2"/>
    <s v="Tech"/>
    <n v="211.79709837975219"/>
    <d v="2022-01-03T00:00:00"/>
  </r>
  <r>
    <n v="3126"/>
    <x v="1"/>
    <s v="Tech"/>
    <n v="115.52028218694885"/>
    <d v="2022-01-04T00:00:00"/>
  </r>
  <r>
    <n v="3127"/>
    <x v="4"/>
    <s v="Tech"/>
    <n v="0.75"/>
    <d v="2022-01-05T00:00:00"/>
  </r>
  <r>
    <n v="3128"/>
    <x v="4"/>
    <s v="Tech"/>
    <n v="0.75"/>
    <d v="2022-01-06T00:00:00"/>
  </r>
  <r>
    <n v="3129"/>
    <x v="0"/>
    <s v="Apps"/>
    <n v="123.22858903265558"/>
    <d v="2022-01-07T00:00:00"/>
  </r>
  <r>
    <n v="3130"/>
    <x v="0"/>
    <s v="OFM"/>
    <n v="18.484288354898336"/>
    <d v="2022-01-08T00:00:00"/>
  </r>
  <r>
    <n v="3131"/>
    <x v="0"/>
    <s v="Apps"/>
    <n v="15.403573629081947"/>
    <d v="2022-01-09T00:00:00"/>
  </r>
  <r>
    <n v="3132"/>
    <x v="0"/>
    <s v="Apps"/>
    <n v="46.210720887245841"/>
    <d v="2022-01-10T00:00:00"/>
  </r>
  <r>
    <n v="3133"/>
    <x v="0"/>
    <s v="Apps"/>
    <n v="4.621072088724584"/>
    <d v="2022-01-11T00:00:00"/>
  </r>
  <r>
    <n v="3134"/>
    <x v="2"/>
    <s v="Apps"/>
    <n v="529.49274594938049"/>
    <d v="2022-01-12T00:00:00"/>
  </r>
  <r>
    <n v="3135"/>
    <x v="2"/>
    <s v="Tech"/>
    <n v="52.949274594938046"/>
    <d v="2022-01-13T00:00:00"/>
  </r>
  <r>
    <n v="3136"/>
    <x v="2"/>
    <s v="Apps"/>
    <n v="52.949274594938046"/>
    <d v="2022-01-14T00:00:00"/>
  </r>
  <r>
    <n v="3137"/>
    <x v="1"/>
    <s v="Apps"/>
    <n v="55.114638447971785"/>
    <d v="2022-01-15T00:00:00"/>
  </r>
  <r>
    <n v="3138"/>
    <x v="1"/>
    <s v="Apps"/>
    <n v="66.137566137566139"/>
    <d v="2022-01-16T00:00:00"/>
  </r>
  <r>
    <n v="3139"/>
    <x v="1"/>
    <s v="Apps"/>
    <n v="55.114638447971785"/>
    <d v="2022-01-17T00:00:00"/>
  </r>
  <r>
    <n v="3140"/>
    <x v="1"/>
    <s v="Apps"/>
    <n v="70.546737213403873"/>
    <d v="2022-01-18T00:00:00"/>
  </r>
  <r>
    <n v="3141"/>
    <x v="1"/>
    <s v="Apps"/>
    <n v="66.137566137566139"/>
    <d v="2022-01-19T00:00:00"/>
  </r>
  <r>
    <n v="3142"/>
    <x v="1"/>
    <s v="Apps"/>
    <n v="8.8183421516754859E-6"/>
    <d v="2022-01-20T00:00:00"/>
  </r>
  <r>
    <n v="3143"/>
    <x v="1"/>
    <s v="Apps"/>
    <n v="55.114638447971785"/>
    <d v="2022-01-21T00:00:00"/>
  </r>
  <r>
    <n v="3144"/>
    <x v="0"/>
    <s v="OFM"/>
    <n v="15.417624914881863"/>
    <d v="2022-01-22T00:00:00"/>
  </r>
  <r>
    <n v="3145"/>
    <x v="1"/>
    <s v="Apps"/>
    <n v="44.091710758377424"/>
    <d v="2022-01-23T00:00:00"/>
  </r>
  <r>
    <n v="3146"/>
    <x v="1"/>
    <s v="Apps"/>
    <n v="55.114638447971785"/>
    <d v="2022-01-24T00:00:00"/>
  </r>
  <r>
    <n v="3147"/>
    <x v="4"/>
    <s v="Tech"/>
    <n v="40.212481668567705"/>
    <d v="2022-01-25T00:00:00"/>
  </r>
  <r>
    <n v="3148"/>
    <x v="3"/>
    <s v="OFM"/>
    <n v="64.110196268786581"/>
    <d v="2022-01-26T00:00:00"/>
  </r>
  <r>
    <n v="3149"/>
    <x v="4"/>
    <s v="Tech"/>
    <n v="72"/>
    <d v="2022-01-27T00:00:00"/>
  </r>
  <r>
    <n v="3150"/>
    <x v="1"/>
    <s v="Apps"/>
    <n v="30.8641975308642"/>
    <d v="2022-01-28T00:00:00"/>
  </r>
  <r>
    <n v="3151"/>
    <x v="0"/>
    <s v="Apps"/>
    <n v="12.848020762401553"/>
    <d v="2022-01-29T00:00:00"/>
  </r>
  <r>
    <n v="3152"/>
    <x v="1"/>
    <s v="Apps"/>
    <n v="132.27513227513228"/>
    <d v="2022-01-30T00:00:00"/>
  </r>
  <r>
    <n v="3153"/>
    <x v="4"/>
    <s v="Apps"/>
    <n v="15"/>
    <d v="2022-01-31T00:00:00"/>
  </r>
  <r>
    <n v="3154"/>
    <x v="0"/>
    <s v="Other"/>
    <n v="107.82501540357363"/>
    <d v="2022-02-01T00:00:00"/>
  </r>
  <r>
    <n v="3155"/>
    <x v="0"/>
    <s v="Tech"/>
    <n v="92.421441774491683"/>
    <d v="2022-02-02T00:00:00"/>
  </r>
  <r>
    <n v="3156"/>
    <x v="1"/>
    <s v="Tech"/>
    <n v="595.2380952380953"/>
    <d v="2022-02-03T00:00:00"/>
  </r>
  <r>
    <n v="3157"/>
    <x v="2"/>
    <s v="Apps"/>
    <n v="209.67912739595468"/>
    <d v="2022-02-04T00:00:00"/>
  </r>
  <r>
    <n v="3158"/>
    <x v="2"/>
    <s v="Apps"/>
    <n v="209.67912739595468"/>
    <d v="2022-02-05T00:00:00"/>
  </r>
  <r>
    <n v="3159"/>
    <x v="2"/>
    <s v="Apps"/>
    <n v="105.89854918987609"/>
    <d v="2022-02-06T00:00:00"/>
  </r>
  <r>
    <n v="3160"/>
    <x v="2"/>
    <s v="Tech"/>
    <n v="15.884782378481413"/>
    <d v="2022-02-07T00:00:00"/>
  </r>
  <r>
    <n v="3161"/>
    <x v="2"/>
    <s v="Apps"/>
    <n v="80"/>
    <d v="2022-02-08T00:00:00"/>
  </r>
  <r>
    <n v="3162"/>
    <x v="0"/>
    <s v="OFM"/>
    <n v="103.41261633919338"/>
    <d v="2022-02-09T00:00:00"/>
  </r>
  <r>
    <n v="3163"/>
    <x v="2"/>
    <s v="OFM"/>
    <n v="52.949274594938046"/>
    <d v="2022-02-10T00:00:00"/>
  </r>
  <r>
    <n v="3164"/>
    <x v="0"/>
    <s v="Tech"/>
    <n v="57.816093430806987"/>
    <d v="2022-02-11T00:00:00"/>
  </r>
  <r>
    <n v="3165"/>
    <x v="0"/>
    <s v="Tech"/>
    <n v="86.177180282661155"/>
    <d v="2022-02-12T00:00:00"/>
  </r>
  <r>
    <n v="3166"/>
    <x v="1"/>
    <s v="Tech"/>
    <n v="66.137566137566139"/>
    <d v="2022-02-13T00:00:00"/>
  </r>
  <r>
    <n v="3167"/>
    <x v="1"/>
    <s v="Tech"/>
    <n v="95.486111111111114"/>
    <d v="2022-02-14T00:00:00"/>
  </r>
  <r>
    <n v="3168"/>
    <x v="1"/>
    <s v="Tech"/>
    <n v="72.162081128747801"/>
    <d v="2022-02-15T00:00:00"/>
  </r>
  <r>
    <n v="3169"/>
    <x v="1"/>
    <s v="Apps"/>
    <n v="55.114638447971785"/>
    <d v="2022-02-16T00:00:00"/>
  </r>
  <r>
    <n v="3170"/>
    <x v="0"/>
    <s v="Apps"/>
    <n v="689.41744226128924"/>
    <d v="2022-02-17T00:00:00"/>
  </r>
  <r>
    <n v="3171"/>
    <x v="1"/>
    <s v="Tech"/>
    <n v="46.905423280423278"/>
    <d v="2022-02-18T00:00:00"/>
  </r>
  <r>
    <n v="3172"/>
    <x v="1"/>
    <s v="Apps"/>
    <n v="44.091710758377424"/>
    <d v="2022-02-19T00:00:00"/>
  </r>
  <r>
    <n v="3173"/>
    <x v="1"/>
    <s v="Apps"/>
    <n v="44.091710758377424"/>
    <d v="2022-02-20T00:00:00"/>
  </r>
  <r>
    <n v="3174"/>
    <x v="1"/>
    <s v="Apps"/>
    <n v="44.091710758377424"/>
    <d v="2022-02-21T00:00:00"/>
  </r>
  <r>
    <n v="3175"/>
    <x v="1"/>
    <s v="Apps"/>
    <n v="44.091710758377424"/>
    <d v="2022-02-22T00:00:00"/>
  </r>
  <r>
    <n v="3176"/>
    <x v="1"/>
    <s v="Apps"/>
    <n v="48.500881834215171"/>
    <d v="2022-02-23T00:00:00"/>
  </r>
  <r>
    <n v="3177"/>
    <x v="1"/>
    <s v="Tech"/>
    <n v="23.478835978835978"/>
    <d v="2022-02-24T00:00:00"/>
  </r>
  <r>
    <n v="3178"/>
    <x v="4"/>
    <s v="Tech"/>
    <n v="801.35710019754674"/>
    <d v="2022-02-25T00:00:00"/>
  </r>
  <r>
    <n v="3179"/>
    <x v="0"/>
    <s v="Tech"/>
    <n v="17.235436056532226"/>
    <d v="2022-02-26T00:00:00"/>
  </r>
  <r>
    <n v="3180"/>
    <x v="2"/>
    <s v="Tech"/>
    <n v="317.69564756962825"/>
    <d v="2022-02-27T00:00:00"/>
  </r>
  <r>
    <n v="3181"/>
    <x v="2"/>
    <s v="Tech"/>
    <n v="317.69564756962825"/>
    <d v="2022-02-28T00:00:00"/>
  </r>
  <r>
    <n v="3182"/>
    <x v="2"/>
    <s v="Tech"/>
    <n v="317.69564756962825"/>
    <d v="2022-03-01T00:00:00"/>
  </r>
  <r>
    <n v="3183"/>
    <x v="4"/>
    <s v="Tech"/>
    <n v="11.355262553406535"/>
    <d v="2022-03-02T00:00:00"/>
  </r>
  <r>
    <n v="3184"/>
    <x v="3"/>
    <s v="Tech"/>
    <n v="50"/>
    <d v="2022-03-03T00:00:00"/>
  </r>
  <r>
    <n v="3185"/>
    <x v="1"/>
    <s v="Tech"/>
    <n v="110.22927689594357"/>
    <d v="2022-03-04T00:00:00"/>
  </r>
  <r>
    <n v="3186"/>
    <x v="1"/>
    <s v="Apps"/>
    <n v="992.06349206349205"/>
    <d v="2022-03-05T00:00:00"/>
  </r>
  <r>
    <n v="3187"/>
    <x v="1"/>
    <s v="Apps"/>
    <n v="330.68783068783068"/>
    <d v="2022-03-06T00:00:00"/>
  </r>
  <r>
    <n v="3188"/>
    <x v="4"/>
    <s v="Tech"/>
    <n v="1643.8094363026601"/>
    <d v="2022-03-07T00:00:00"/>
  </r>
  <r>
    <n v="3189"/>
    <x v="0"/>
    <s v="Apps"/>
    <n v="64.24010381200776"/>
    <d v="2022-03-08T00:00:00"/>
  </r>
  <r>
    <n v="3190"/>
    <x v="0"/>
    <s v="Apps"/>
    <n v="15.403573629081947"/>
    <d v="2022-03-09T00:00:00"/>
  </r>
  <r>
    <n v="3191"/>
    <x v="0"/>
    <s v="Apps"/>
    <n v="23.105360443622921"/>
    <d v="2022-03-10T00:00:00"/>
  </r>
  <r>
    <n v="3192"/>
    <x v="0"/>
    <s v="Apps"/>
    <n v="15.403573629081947"/>
    <d v="2022-03-11T00:00:00"/>
  </r>
  <r>
    <n v="3193"/>
    <x v="0"/>
    <s v="Apps"/>
    <n v="23.105360443622921"/>
    <d v="2022-03-12T00:00:00"/>
  </r>
  <r>
    <n v="3194"/>
    <x v="1"/>
    <s v="Tech"/>
    <n v="50.705467372134038"/>
    <d v="2022-03-13T00:00:00"/>
  </r>
  <r>
    <n v="3195"/>
    <x v="1"/>
    <s v="Tech"/>
    <n v="35.273368606701936"/>
    <d v="2022-03-14T00:00:00"/>
  </r>
  <r>
    <n v="3196"/>
    <x v="2"/>
    <s v="Tech"/>
    <n v="20.257677659833075"/>
    <d v="2022-03-15T00:00:00"/>
  </r>
  <r>
    <n v="3197"/>
    <x v="2"/>
    <s v="Apps"/>
    <n v="52.949274594938046"/>
    <d v="2022-03-16T00:00:00"/>
  </r>
  <r>
    <n v="3198"/>
    <x v="0"/>
    <s v="Apps"/>
    <n v="38.54406228720466"/>
    <d v="2022-03-17T00:00:00"/>
  </r>
  <r>
    <n v="3199"/>
    <x v="1"/>
    <s v="Tech"/>
    <n v="26.803350970017636"/>
    <d v="2022-03-18T00:00:00"/>
  </r>
  <r>
    <n v="3200"/>
    <x v="2"/>
    <s v="Apps"/>
    <n v="211.79709837975219"/>
    <d v="2022-03-19T00:00:00"/>
  </r>
  <r>
    <n v="3201"/>
    <x v="1"/>
    <s v="Apps"/>
    <n v="55.114638447971785"/>
    <d v="2022-03-20T00:00:00"/>
  </r>
  <r>
    <n v="3202"/>
    <x v="1"/>
    <s v="Apps"/>
    <n v="55.114638447971785"/>
    <d v="2022-03-21T00:00:00"/>
  </r>
  <r>
    <n v="3203"/>
    <x v="1"/>
    <s v="Apps"/>
    <n v="55.114638447971785"/>
    <d v="2022-03-22T00:00:00"/>
  </r>
  <r>
    <n v="3204"/>
    <x v="1"/>
    <s v="Apps"/>
    <n v="55.114638447971785"/>
    <d v="2022-03-23T00:00:00"/>
  </r>
  <r>
    <n v="3205"/>
    <x v="4"/>
    <s v="Tech"/>
    <n v="814.73032426266911"/>
    <d v="2022-03-24T00:00:00"/>
  </r>
  <r>
    <n v="3206"/>
    <x v="2"/>
    <s v="Tech"/>
    <n v="0.97236852767198778"/>
    <d v="2022-03-25T00:00:00"/>
  </r>
  <r>
    <n v="3207"/>
    <x v="0"/>
    <s v="Tech"/>
    <n v="46.210720887245841"/>
    <d v="2022-03-26T00:00:00"/>
  </r>
  <r>
    <n v="3208"/>
    <x v="4"/>
    <s v="Tech"/>
    <n v="48.883819455760147"/>
    <d v="2022-03-27T00:00:00"/>
  </r>
  <r>
    <n v="3209"/>
    <x v="4"/>
    <s v="Tech"/>
    <n v="48.883819455760147"/>
    <d v="2022-03-28T00:00:00"/>
  </r>
  <r>
    <n v="3210"/>
    <x v="4"/>
    <s v="Apps"/>
    <n v="184.78083754277333"/>
    <d v="2022-03-29T00:00:00"/>
  </r>
  <r>
    <n v="3211"/>
    <x v="0"/>
    <s v="Apps"/>
    <n v="308.07147258163894"/>
    <d v="2022-03-30T00:00:00"/>
  </r>
  <r>
    <n v="3212"/>
    <x v="0"/>
    <s v="Apps"/>
    <n v="184.84288354898337"/>
    <d v="2022-03-31T00:00:00"/>
  </r>
  <r>
    <n v="3213"/>
    <x v="0"/>
    <s v="Tech"/>
    <n v="7.7017868145409736"/>
    <d v="2022-04-01T00:00:00"/>
  </r>
  <r>
    <n v="3214"/>
    <x v="0"/>
    <s v="Apps"/>
    <n v="7.7017868145409736"/>
    <d v="2022-04-02T00:00:00"/>
  </r>
  <r>
    <n v="3215"/>
    <x v="0"/>
    <s v="Apps"/>
    <n v="123.22858903265558"/>
    <d v="2022-04-03T00:00:00"/>
  </r>
  <r>
    <n v="3216"/>
    <x v="0"/>
    <s v="Tech"/>
    <n v="34.470872113064452"/>
    <d v="2022-04-04T00:00:00"/>
  </r>
  <r>
    <n v="3217"/>
    <x v="0"/>
    <s v="Tech"/>
    <n v="3.4470872113064459"/>
    <d v="2022-04-05T00:00:00"/>
  </r>
  <r>
    <n v="3218"/>
    <x v="3"/>
    <s v="Tech"/>
    <n v="183.17198933939025"/>
    <d v="2022-04-06T00:00:00"/>
  </r>
  <r>
    <n v="3219"/>
    <x v="3"/>
    <s v="Systems"/>
    <n v="457.92997334847558"/>
    <d v="2022-04-07T00:00:00"/>
  </r>
  <r>
    <n v="3220"/>
    <x v="3"/>
    <s v="Tech"/>
    <n v="45.792997334847563"/>
    <d v="2022-04-08T00:00:00"/>
  </r>
  <r>
    <n v="3221"/>
    <x v="3"/>
    <s v="Tech"/>
    <n v="274.75798400908536"/>
    <d v="2022-04-09T00:00:00"/>
  </r>
  <r>
    <n v="3222"/>
    <x v="2"/>
    <s v="Apps"/>
    <n v="52.949274594938046"/>
    <d v="2022-04-10T00:00:00"/>
  </r>
  <r>
    <n v="3223"/>
    <x v="2"/>
    <s v="Tech"/>
    <n v="105.89854918987609"/>
    <d v="2022-04-11T00:00:00"/>
  </r>
  <r>
    <n v="3224"/>
    <x v="2"/>
    <s v="OFM"/>
    <n v="105.89854918987609"/>
    <d v="2022-04-12T00:00:00"/>
  </r>
  <r>
    <n v="3225"/>
    <x v="0"/>
    <s v="Tech"/>
    <n v="25.696041524803107"/>
    <d v="2022-04-13T00:00:00"/>
  </r>
  <r>
    <n v="3226"/>
    <x v="0"/>
    <s v="OFM"/>
    <n v="30.807147258163894"/>
    <d v="2022-04-14T00:00:00"/>
  </r>
  <r>
    <n v="3227"/>
    <x v="0"/>
    <s v="Tech"/>
    <n v="18.484288354898336"/>
    <d v="2022-04-15T00:00:00"/>
  </r>
  <r>
    <n v="3228"/>
    <x v="0"/>
    <s v="Apps"/>
    <n v="77.017868145409736"/>
    <d v="2022-04-16T00:00:00"/>
  </r>
  <r>
    <n v="3229"/>
    <x v="0"/>
    <s v="Apps"/>
    <n v="77.017868145409736"/>
    <d v="2022-04-17T00:00:00"/>
  </r>
  <r>
    <n v="3230"/>
    <x v="0"/>
    <s v="Systems"/>
    <n v="308.07147258163894"/>
    <d v="2022-04-18T00:00:00"/>
  </r>
  <r>
    <n v="3231"/>
    <x v="1"/>
    <s v="Tech"/>
    <n v="132.27513227513228"/>
    <d v="2022-04-19T00:00:00"/>
  </r>
  <r>
    <n v="3232"/>
    <x v="3"/>
    <s v="OFM"/>
    <n v="18.317198933939025"/>
    <d v="2022-04-20T00:00:00"/>
  </r>
  <r>
    <n v="3233"/>
    <x v="3"/>
    <s v="OFM"/>
    <n v="18.317198933939025"/>
    <d v="2022-04-21T00:00:00"/>
  </r>
  <r>
    <n v="3234"/>
    <x v="3"/>
    <s v="Tech"/>
    <n v="549.51596801817072"/>
    <d v="2022-04-22T00:00:00"/>
  </r>
  <r>
    <n v="3235"/>
    <x v="3"/>
    <s v="Tech"/>
    <n v="54.951596801817075"/>
    <d v="2022-04-23T00:00:00"/>
  </r>
  <r>
    <n v="3236"/>
    <x v="0"/>
    <s v="Tech"/>
    <n v="61.614294516327789"/>
    <d v="2022-04-24T00:00:00"/>
  </r>
  <r>
    <n v="3237"/>
    <x v="3"/>
    <s v="OFM"/>
    <n v="18.317198933939025"/>
    <d v="2022-04-25T00:00:00"/>
  </r>
  <r>
    <n v="3238"/>
    <x v="3"/>
    <s v="OFM"/>
    <n v="36.63439786787805"/>
    <d v="2022-04-26T00:00:00"/>
  </r>
  <r>
    <n v="3239"/>
    <x v="3"/>
    <s v="Tech"/>
    <n v="366.3439786787805"/>
    <d v="2022-04-27T00:00:00"/>
  </r>
  <r>
    <n v="3240"/>
    <x v="3"/>
    <s v="OFM"/>
    <n v="45.792997334847563"/>
    <d v="2022-04-28T00:00:00"/>
  </r>
  <r>
    <n v="3241"/>
    <x v="3"/>
    <s v="OFM"/>
    <n v="73.2687957357561"/>
    <d v="2022-04-29T00:00:00"/>
  </r>
  <r>
    <n v="3242"/>
    <x v="3"/>
    <s v="OFM"/>
    <n v="91.585994669695125"/>
    <d v="2022-04-30T00:00:00"/>
  </r>
  <r>
    <n v="3243"/>
    <x v="0"/>
    <s v="Apps"/>
    <n v="231.05360443622922"/>
    <d v="2022-05-01T00:00:00"/>
  </r>
  <r>
    <n v="3244"/>
    <x v="1"/>
    <s v="Tech"/>
    <n v="47.8331569664903"/>
    <d v="2022-05-02T00:00:00"/>
  </r>
  <r>
    <n v="3245"/>
    <x v="1"/>
    <s v="Apps"/>
    <n v="44.091710758377424"/>
    <d v="2022-05-03T00:00:00"/>
  </r>
  <r>
    <n v="3246"/>
    <x v="1"/>
    <s v="Apps"/>
    <n v="55.114638447971785"/>
    <d v="2022-05-04T00:00:00"/>
  </r>
  <r>
    <n v="3247"/>
    <x v="1"/>
    <s v="Apps"/>
    <n v="44.091710758377424"/>
    <d v="2022-05-05T00:00:00"/>
  </r>
  <r>
    <n v="3248"/>
    <x v="0"/>
    <s v="Tech"/>
    <n v="53.912507701786815"/>
    <d v="2022-05-06T00:00:00"/>
  </r>
  <r>
    <n v="3249"/>
    <x v="0"/>
    <s v="Tech"/>
    <n v="154.03573629081947"/>
    <d v="2022-05-07T00:00:00"/>
  </r>
  <r>
    <n v="3250"/>
    <x v="0"/>
    <s v="Tech"/>
    <n v="308.07147258163894"/>
    <d v="2022-05-08T00:00:00"/>
  </r>
  <r>
    <n v="3251"/>
    <x v="0"/>
    <s v="Tech"/>
    <n v="154.03573629081947"/>
    <d v="2022-05-09T00:00:00"/>
  </r>
  <r>
    <n v="3252"/>
    <x v="0"/>
    <s v="Tech"/>
    <n v="154.03573629081947"/>
    <d v="2022-05-10T00:00:00"/>
  </r>
  <r>
    <n v="3253"/>
    <x v="0"/>
    <s v="Tech"/>
    <n v="7.7017868145409736"/>
    <d v="2022-05-11T00:00:00"/>
  </r>
  <r>
    <n v="3254"/>
    <x v="1"/>
    <s v="Tech"/>
    <n v="55.114638447971785"/>
    <d v="2022-05-12T00:00:00"/>
  </r>
  <r>
    <n v="3255"/>
    <x v="4"/>
    <s v="OFM"/>
    <n v="39.107055564608117"/>
    <d v="2022-05-13T00:00:00"/>
  </r>
  <r>
    <n v="3256"/>
    <x v="1"/>
    <s v="Apps"/>
    <n v="44.091710758377424"/>
    <d v="2022-05-14T00:00:00"/>
  </r>
  <r>
    <n v="3257"/>
    <x v="1"/>
    <s v="Apps"/>
    <n v="55.114638447971785"/>
    <d v="2022-05-15T00:00:00"/>
  </r>
  <r>
    <n v="3258"/>
    <x v="0"/>
    <s v="OFM"/>
    <n v="8.4796937031850241"/>
    <d v="2022-05-16T00:00:00"/>
  </r>
  <r>
    <n v="3259"/>
    <x v="0"/>
    <s v="Tech"/>
    <n v="84.719654959950716"/>
    <d v="2022-05-17T00:00:00"/>
  </r>
  <r>
    <n v="3260"/>
    <x v="4"/>
    <s v="Apps"/>
    <n v="70"/>
    <d v="2022-05-18T00:00:00"/>
  </r>
  <r>
    <n v="3261"/>
    <x v="0"/>
    <s v="Tech"/>
    <n v="154.03573629081947"/>
    <d v="2022-05-19T00:00:00"/>
  </r>
  <r>
    <n v="3262"/>
    <x v="0"/>
    <s v="Tech"/>
    <n v="20.332717190388173"/>
    <d v="2022-05-20T00:00:00"/>
  </r>
  <r>
    <n v="3263"/>
    <x v="0"/>
    <s v="Tech"/>
    <n v="17.235436056532226"/>
    <d v="2022-05-21T00:00:00"/>
  </r>
  <r>
    <n v="3264"/>
    <x v="0"/>
    <s v="OFM"/>
    <n v="41.365046535677351"/>
    <d v="2022-05-22T00:00:00"/>
  </r>
  <r>
    <n v="3265"/>
    <x v="0"/>
    <s v="Tech"/>
    <n v="32.12005190600388"/>
    <d v="2022-05-23T00:00:00"/>
  </r>
  <r>
    <n v="3266"/>
    <x v="0"/>
    <s v="Tech"/>
    <n v="154.17624914881864"/>
    <d v="2022-05-24T00:00:00"/>
  </r>
  <r>
    <n v="3267"/>
    <x v="2"/>
    <s v="Apps"/>
    <n v="16.20614212786646"/>
    <d v="2022-05-25T00:00:00"/>
  </r>
  <r>
    <n v="3268"/>
    <x v="2"/>
    <s v="Apps"/>
    <n v="40.515355319666149"/>
    <d v="2022-05-26T00:00:00"/>
  </r>
  <r>
    <n v="3269"/>
    <x v="2"/>
    <s v="OFM"/>
    <n v="52.949274594938046"/>
    <d v="2022-05-27T00:00:00"/>
  </r>
  <r>
    <n v="3270"/>
    <x v="2"/>
    <s v="Tech"/>
    <n v="52.949274594938046"/>
    <d v="2022-05-28T00:00:00"/>
  </r>
  <r>
    <n v="3271"/>
    <x v="0"/>
    <s v="Tech"/>
    <n v="77.017868145409736"/>
    <d v="2022-05-29T00:00:00"/>
  </r>
  <r>
    <n v="3272"/>
    <x v="1"/>
    <s v="Tech"/>
    <n v="110.22927689594357"/>
    <d v="2022-05-30T00:00:00"/>
  </r>
  <r>
    <n v="3273"/>
    <x v="4"/>
    <s v="OFM"/>
    <n v="79.532367709286177"/>
    <d v="2022-05-31T00:00:00"/>
  </r>
  <r>
    <n v="3274"/>
    <x v="1"/>
    <s v="Tech"/>
    <n v="94.797178130511469"/>
    <d v="2022-06-01T00:00:00"/>
  </r>
  <r>
    <n v="3275"/>
    <x v="0"/>
    <s v="OFM"/>
    <n v="8.617718028266113"/>
    <d v="2022-06-02T00:00:00"/>
  </r>
  <r>
    <n v="3276"/>
    <x v="0"/>
    <s v="OFM"/>
    <n v="8.617718028266113"/>
    <d v="2022-06-03T00:00:00"/>
  </r>
  <r>
    <n v="3277"/>
    <x v="0"/>
    <s v="OFM"/>
    <n v="8.617718028266113"/>
    <d v="2022-06-04T00:00:00"/>
  </r>
  <r>
    <n v="3278"/>
    <x v="0"/>
    <s v="OFM"/>
    <n v="8.617718028266113"/>
    <d v="2022-06-05T00:00:00"/>
  </r>
  <r>
    <n v="3279"/>
    <x v="0"/>
    <s v="OFM"/>
    <n v="8.617718028266113"/>
    <d v="2022-06-06T00:00:00"/>
  </r>
  <r>
    <n v="3280"/>
    <x v="0"/>
    <s v="OFM"/>
    <n v="8.617718028266113"/>
    <d v="2022-06-07T00:00:00"/>
  </r>
  <r>
    <n v="3281"/>
    <x v="0"/>
    <s v="Apps"/>
    <n v="84.719654959950716"/>
    <d v="2022-06-08T00:00:00"/>
  </r>
  <r>
    <n v="3282"/>
    <x v="0"/>
    <s v="Tech"/>
    <n v="61.614294516327789"/>
    <d v="2022-06-09T00:00:00"/>
  </r>
  <r>
    <n v="3283"/>
    <x v="0"/>
    <s v="Tech"/>
    <n v="61.614294516327789"/>
    <d v="2022-06-10T00:00:00"/>
  </r>
  <r>
    <n v="3284"/>
    <x v="0"/>
    <s v="OFM"/>
    <n v="69.316081330868769"/>
    <d v="2022-06-11T00:00:00"/>
  </r>
  <r>
    <n v="3285"/>
    <x v="0"/>
    <s v="OFM"/>
    <n v="69.316081330868769"/>
    <d v="2022-06-12T00:00:00"/>
  </r>
  <r>
    <n v="3286"/>
    <x v="0"/>
    <s v="Apps"/>
    <n v="52.757239679605668"/>
    <d v="2022-06-13T00:00:00"/>
  </r>
  <r>
    <n v="3287"/>
    <x v="3"/>
    <s v="Tech"/>
    <n v="274.75798400908536"/>
    <d v="2022-06-14T00:00:00"/>
  </r>
  <r>
    <n v="3288"/>
    <x v="1"/>
    <s v="Tech"/>
    <n v="44.091710758377424"/>
    <d v="2022-06-15T00:00:00"/>
  </r>
  <r>
    <n v="3289"/>
    <x v="0"/>
    <s v="Tech"/>
    <n v="231.05360443622922"/>
    <d v="2022-06-16T00:00:00"/>
  </r>
  <r>
    <n v="3290"/>
    <x v="0"/>
    <s v="Tech"/>
    <n v="231.05360443622922"/>
    <d v="2022-06-17T00:00:00"/>
  </r>
  <r>
    <n v="3291"/>
    <x v="0"/>
    <s v="Apps"/>
    <n v="36.21457178065311"/>
    <d v="2022-06-18T00:00:00"/>
  </r>
  <r>
    <n v="3292"/>
    <x v="1"/>
    <s v="Tech"/>
    <n v="734.50661375661377"/>
    <d v="2022-06-19T00:00:00"/>
  </r>
  <r>
    <n v="3293"/>
    <x v="0"/>
    <s v="OFM"/>
    <n v="11.720096518441917"/>
    <d v="2022-06-20T00:00:00"/>
  </r>
  <r>
    <n v="3294"/>
    <x v="0"/>
    <s v="Tech"/>
    <n v="231.05360443622922"/>
    <d v="2022-06-21T00:00:00"/>
  </r>
  <r>
    <n v="3295"/>
    <x v="0"/>
    <s v="Apps"/>
    <n v="68.941744226128904"/>
    <d v="2022-06-22T00:00:00"/>
  </r>
  <r>
    <n v="3296"/>
    <x v="0"/>
    <s v="OFM"/>
    <n v="539.12507701786819"/>
    <d v="2022-06-23T00:00:00"/>
  </r>
  <r>
    <n v="3297"/>
    <x v="0"/>
    <s v="OFM"/>
    <n v="15.403573629081947"/>
    <d v="2022-06-24T00:00:00"/>
  </r>
  <r>
    <n v="3298"/>
    <x v="0"/>
    <s v="Tech"/>
    <n v="15.403573629081947"/>
    <d v="2022-06-25T00:00:00"/>
  </r>
  <r>
    <n v="3299"/>
    <x v="4"/>
    <s v="Apps"/>
    <n v="40"/>
    <d v="2022-06-26T00:00:00"/>
  </r>
  <r>
    <n v="3300"/>
    <x v="2"/>
    <s v="OFM"/>
    <n v="202.57677659833075"/>
    <d v="2022-06-27T00:00:00"/>
  </r>
  <r>
    <n v="3301"/>
    <x v="2"/>
    <s v="Tech"/>
    <n v="21.179709837975221"/>
    <d v="2022-06-28T00:00:00"/>
  </r>
  <r>
    <n v="3302"/>
    <x v="2"/>
    <s v="Tech"/>
    <n v="222.34826999432786"/>
    <d v="2022-06-29T00:00:00"/>
  </r>
  <r>
    <n v="3303"/>
    <x v="0"/>
    <s v="Tech"/>
    <n v="30.742487119859188"/>
    <d v="2022-06-30T00:00:00"/>
  </r>
  <r>
    <n v="3304"/>
    <x v="1"/>
    <s v="Tech"/>
    <n v="77.160493827160494"/>
    <d v="2022-07-01T00:00:00"/>
  </r>
  <r>
    <n v="3305"/>
    <x v="0"/>
    <s v="Tech"/>
    <n v="23.105360443622921"/>
    <d v="2022-07-02T00:00:00"/>
  </r>
  <r>
    <n v="3306"/>
    <x v="0"/>
    <s v="Apps"/>
    <n v="462.10720887245844"/>
    <d v="2022-07-03T00:00:00"/>
  </r>
  <r>
    <n v="3307"/>
    <x v="0"/>
    <s v="Apps"/>
    <n v="462.10720887245844"/>
    <d v="2022-07-04T00:00:00"/>
  </r>
  <r>
    <n v="3308"/>
    <x v="0"/>
    <s v="Apps"/>
    <n v="616.14294516327789"/>
    <d v="2022-07-05T00:00:00"/>
  </r>
  <r>
    <n v="3309"/>
    <x v="0"/>
    <s v="Apps"/>
    <n v="616.14294516327789"/>
    <d v="2022-07-06T00:00:00"/>
  </r>
  <r>
    <n v="3310"/>
    <x v="4"/>
    <s v="Apps"/>
    <n v="1062.0955574952911"/>
    <d v="2022-07-07T00:00:00"/>
  </r>
  <r>
    <n v="3311"/>
    <x v="0"/>
    <s v="Apps"/>
    <n v="32.12005190600388"/>
    <d v="2022-07-08T00:00:00"/>
  </r>
  <r>
    <n v="3312"/>
    <x v="4"/>
    <s v="Apps"/>
    <n v="12.839030653185684"/>
    <d v="2022-07-09T00:00:00"/>
  </r>
  <r>
    <n v="3313"/>
    <x v="1"/>
    <s v="Apps"/>
    <n v="220.45855379188714"/>
    <d v="2022-07-10T00:00:00"/>
  </r>
  <r>
    <n v="3314"/>
    <x v="1"/>
    <s v="Tech"/>
    <n v="22.045855379188712"/>
    <d v="2022-07-11T00:00:00"/>
  </r>
  <r>
    <n v="3315"/>
    <x v="2"/>
    <s v="Apps"/>
    <n v="21.179709837975221"/>
    <d v="2022-07-12T00:00:00"/>
  </r>
  <r>
    <n v="3316"/>
    <x v="0"/>
    <s v="Tech"/>
    <n v="154.03573629081947"/>
    <d v="2022-07-13T00:00:00"/>
  </r>
  <r>
    <n v="3317"/>
    <x v="0"/>
    <s v="OFM"/>
    <n v="123.22858903265558"/>
    <d v="2022-07-14T00:00:00"/>
  </r>
  <r>
    <n v="3318"/>
    <x v="0"/>
    <s v="OFM"/>
    <n v="123.22858903265558"/>
    <d v="2022-07-15T00:00:00"/>
  </r>
  <r>
    <n v="3319"/>
    <x v="4"/>
    <s v="Apps"/>
    <n v="114.85275876326548"/>
    <d v="2022-07-16T00:00:00"/>
  </r>
  <r>
    <n v="3320"/>
    <x v="0"/>
    <s v="OFM"/>
    <n v="12.848020762401553"/>
    <d v="2022-07-17T00:00:00"/>
  </r>
  <r>
    <n v="3321"/>
    <x v="0"/>
    <s v="Apps"/>
    <n v="25.696041524803107"/>
    <d v="2022-07-18T00:00:00"/>
  </r>
  <r>
    <n v="3322"/>
    <x v="1"/>
    <s v="Tech"/>
    <n v="587.60529100529106"/>
    <d v="2022-07-19T00:00:00"/>
  </r>
  <r>
    <n v="3323"/>
    <x v="4"/>
    <s v="OFM"/>
    <n v="4.3267533301235757"/>
    <d v="2022-07-20T00:00:00"/>
  </r>
  <r>
    <n v="3324"/>
    <x v="4"/>
    <s v="OFM"/>
    <n v="2.1633766650617878"/>
    <d v="2022-07-21T00:00:00"/>
  </r>
  <r>
    <n v="3325"/>
    <x v="1"/>
    <s v="Tech"/>
    <n v="63.657407407407412"/>
    <d v="2022-07-22T00:00:00"/>
  </r>
  <r>
    <n v="3326"/>
    <x v="0"/>
    <s v="Apps"/>
    <n v="308.07147258163894"/>
    <d v="2022-07-23T00:00:00"/>
  </r>
  <r>
    <n v="3327"/>
    <x v="0"/>
    <s v="Apps"/>
    <n v="385.44062287204662"/>
    <d v="2022-07-24T00:00:00"/>
  </r>
  <r>
    <n v="3328"/>
    <x v="0"/>
    <s v="Systems"/>
    <n v="321.2005190600388"/>
    <d v="2022-07-25T00:00:00"/>
  </r>
  <r>
    <n v="3329"/>
    <x v="1"/>
    <s v="Tech"/>
    <n v="165.34391534391534"/>
    <d v="2022-07-26T00:00:00"/>
  </r>
  <r>
    <n v="3330"/>
    <x v="4"/>
    <s v="Apps"/>
    <n v="40"/>
    <d v="2022-07-27T00:00:00"/>
  </r>
  <r>
    <n v="3331"/>
    <x v="2"/>
    <s v="Tech"/>
    <n v="423.59419675950437"/>
    <d v="2022-07-28T00:00:00"/>
  </r>
  <r>
    <n v="3332"/>
    <x v="1"/>
    <s v="Apps"/>
    <n v="55.114638447971785"/>
    <d v="2022-07-29T00:00:00"/>
  </r>
  <r>
    <n v="3333"/>
    <x v="1"/>
    <s v="Apps"/>
    <n v="44.091710758377424"/>
    <d v="2022-07-30T00:00:00"/>
  </r>
  <r>
    <n v="3334"/>
    <x v="4"/>
    <s v="Tech"/>
    <n v="380"/>
    <d v="2022-07-31T00:00:00"/>
  </r>
  <r>
    <n v="3335"/>
    <x v="0"/>
    <s v="Other"/>
    <n v="2569.6041524803104"/>
    <d v="2022-08-01T00:00:00"/>
  </r>
  <r>
    <n v="3336"/>
    <x v="4"/>
    <s v="Tech"/>
    <n v="215.87356949663393"/>
    <d v="2022-08-02T00:00:00"/>
  </r>
  <r>
    <n v="3337"/>
    <x v="1"/>
    <s v="Apps"/>
    <n v="33.06878306878307"/>
    <d v="2022-08-03T00:00:00"/>
  </r>
  <r>
    <n v="3338"/>
    <x v="1"/>
    <s v="Tech"/>
    <n v="342.76967592592598"/>
    <d v="2022-08-04T00:00:00"/>
  </r>
  <r>
    <n v="3339"/>
    <x v="0"/>
    <s v="Tech"/>
    <n v="970.42513863216266"/>
    <d v="2022-08-05T00:00:00"/>
  </r>
  <r>
    <n v="3340"/>
    <x v="0"/>
    <s v="Tech"/>
    <n v="38.607376766632193"/>
    <d v="2022-08-06T00:00:00"/>
  </r>
  <r>
    <n v="3341"/>
    <x v="4"/>
    <s v="Apps"/>
    <n v="15.246348900658001"/>
    <d v="2022-08-07T00:00:00"/>
  </r>
  <r>
    <n v="3342"/>
    <x v="1"/>
    <s v="Other"/>
    <n v="0.55114638447971775"/>
    <d v="2022-08-08T00:00:00"/>
  </r>
  <r>
    <n v="3343"/>
    <x v="1"/>
    <s v="Other"/>
    <n v="1.9841269841269842"/>
    <d v="2022-08-09T00:00:00"/>
  </r>
  <r>
    <n v="3344"/>
    <x v="1"/>
    <s v="Other"/>
    <n v="0.55114638447971775"/>
    <d v="2022-08-10T00:00:00"/>
  </r>
  <r>
    <n v="3345"/>
    <x v="1"/>
    <s v="Other"/>
    <n v="0.88183421516754856"/>
    <d v="2022-08-11T00:00:00"/>
  </r>
  <r>
    <n v="3346"/>
    <x v="3"/>
    <s v="Tech"/>
    <n v="109.90319360363415"/>
    <d v="2022-08-12T00:00:00"/>
  </r>
  <r>
    <n v="3347"/>
    <x v="1"/>
    <s v="Tech"/>
    <n v="60"/>
    <d v="2022-08-13T00:00:00"/>
  </r>
  <r>
    <n v="3348"/>
    <x v="1"/>
    <s v="Apps"/>
    <n v="22.045855379188712"/>
    <d v="2022-08-14T00:00:00"/>
  </r>
  <r>
    <n v="3349"/>
    <x v="1"/>
    <s v="OFM"/>
    <n v="314.42041446208117"/>
    <d v="2022-08-15T00:00:00"/>
  </r>
  <r>
    <n v="3350"/>
    <x v="1"/>
    <s v="OFM"/>
    <n v="22.045855379188712"/>
    <d v="2022-08-16T00:00:00"/>
  </r>
  <r>
    <n v="3351"/>
    <x v="1"/>
    <s v="Tech"/>
    <n v="110.22927689594357"/>
    <d v="2022-08-17T00:00:00"/>
  </r>
  <r>
    <n v="3352"/>
    <x v="1"/>
    <s v="OFM"/>
    <n v="66.137566137566139"/>
    <d v="2022-08-18T00:00:00"/>
  </r>
  <r>
    <n v="3353"/>
    <x v="1"/>
    <s v="Other"/>
    <n v="0.88183421516754856"/>
    <d v="2022-08-19T00:00:00"/>
  </r>
  <r>
    <n v="3354"/>
    <x v="1"/>
    <s v="Other"/>
    <n v="0.88183421516754856"/>
    <d v="2022-08-20T00:00:00"/>
  </r>
  <r>
    <n v="3355"/>
    <x v="1"/>
    <s v="Other"/>
    <n v="0.55114638447971775"/>
    <d v="2022-08-21T00:00:00"/>
  </r>
  <r>
    <n v="3356"/>
    <x v="1"/>
    <s v="Other"/>
    <n v="1.6534391534391535"/>
    <d v="2022-08-22T00:00:00"/>
  </r>
  <r>
    <n v="3357"/>
    <x v="2"/>
    <s v="Apps"/>
    <n v="105.89854918987609"/>
    <d v="2022-08-23T00:00:00"/>
  </r>
  <r>
    <n v="3358"/>
    <x v="0"/>
    <s v="Tech"/>
    <n v="77.017868145409736"/>
    <d v="2022-08-24T00:00:00"/>
  </r>
  <r>
    <n v="3359"/>
    <x v="2"/>
    <s v="Apps"/>
    <n v="350"/>
    <d v="2022-08-25T00:00:00"/>
  </r>
  <r>
    <n v="3360"/>
    <x v="2"/>
    <s v="Apps"/>
    <n v="100"/>
    <d v="2022-08-26T00:00:00"/>
  </r>
  <r>
    <n v="3361"/>
    <x v="2"/>
    <s v="Apps"/>
    <n v="105.89854918987609"/>
    <d v="2022-08-27T00:00:00"/>
  </r>
  <r>
    <n v="3362"/>
    <x v="2"/>
    <s v="Tech"/>
    <n v="105.89854918987609"/>
    <d v="2022-08-28T00:00:00"/>
  </r>
  <r>
    <n v="3363"/>
    <x v="2"/>
    <s v="Apps"/>
    <n v="317.69564756962825"/>
    <d v="2022-08-29T00:00:00"/>
  </r>
  <r>
    <n v="3364"/>
    <x v="1"/>
    <s v="Tech"/>
    <n v="1322.7513227513227"/>
    <d v="2022-08-30T00:00:00"/>
  </r>
  <r>
    <n v="3365"/>
    <x v="1"/>
    <s v="Tech"/>
    <n v="154.32098765432099"/>
    <d v="2022-08-31T00:00:00"/>
  </r>
  <r>
    <n v="3366"/>
    <x v="0"/>
    <s v="Tech"/>
    <n v="46.210720887245841"/>
    <d v="2022-09-01T00:00:00"/>
  </r>
  <r>
    <n v="3367"/>
    <x v="0"/>
    <s v="Tech"/>
    <n v="46.210720887245841"/>
    <d v="2022-09-02T00:00:00"/>
  </r>
  <r>
    <n v="3368"/>
    <x v="0"/>
    <s v="Tech"/>
    <n v="46.210720887245841"/>
    <d v="2022-09-03T00:00:00"/>
  </r>
  <r>
    <n v="3369"/>
    <x v="0"/>
    <s v="Tech"/>
    <n v="46.210720887245841"/>
    <d v="2022-09-04T00:00:00"/>
  </r>
  <r>
    <n v="3370"/>
    <x v="4"/>
    <s v="Apps"/>
    <n v="200.60985395602631"/>
    <d v="2022-09-05T00:00:00"/>
  </r>
  <r>
    <n v="3371"/>
    <x v="0"/>
    <s v="Apps"/>
    <n v="154.03573629081947"/>
    <d v="2022-09-06T00:00:00"/>
  </r>
  <r>
    <n v="3372"/>
    <x v="1"/>
    <s v="Apps"/>
    <n v="88.183421516754848"/>
    <d v="2022-09-07T00:00:00"/>
  </r>
  <r>
    <n v="3373"/>
    <x v="0"/>
    <s v="Tech"/>
    <n v="25.696041524803107"/>
    <d v="2022-09-08T00:00:00"/>
  </r>
  <r>
    <n v="3374"/>
    <x v="1"/>
    <s v="Apps"/>
    <n v="66.137566137566139"/>
    <d v="2022-09-09T00:00:00"/>
  </r>
  <r>
    <n v="3375"/>
    <x v="1"/>
    <s v="Apps"/>
    <n v="55.114638447971785"/>
    <d v="2022-09-10T00:00:00"/>
  </r>
  <r>
    <n v="3376"/>
    <x v="1"/>
    <s v="Apps"/>
    <n v="55.114638447971785"/>
    <d v="2022-09-11T00:00:00"/>
  </r>
  <r>
    <n v="3377"/>
    <x v="1"/>
    <s v="Apps"/>
    <n v="55.114638447971785"/>
    <d v="2022-09-12T00:00:00"/>
  </r>
  <r>
    <n v="3378"/>
    <x v="1"/>
    <s v="Apps"/>
    <n v="55.114638447971785"/>
    <d v="2022-09-13T00:00:00"/>
  </r>
  <r>
    <n v="3379"/>
    <x v="1"/>
    <s v="Apps"/>
    <n v="55.114638447971785"/>
    <d v="2022-09-14T00:00:00"/>
  </r>
  <r>
    <n v="3380"/>
    <x v="1"/>
    <s v="Apps"/>
    <n v="66.137566137566139"/>
    <d v="2022-09-15T00:00:00"/>
  </r>
  <r>
    <n v="3381"/>
    <x v="1"/>
    <s v="Apps"/>
    <n v="66.137566137566139"/>
    <d v="2022-09-16T00:00:00"/>
  </r>
  <r>
    <n v="3382"/>
    <x v="0"/>
    <s v="Apps"/>
    <n v="77.017868145409736"/>
    <d v="2022-09-17T00:00:00"/>
  </r>
  <r>
    <n v="3383"/>
    <x v="0"/>
    <s v="Apps"/>
    <n v="100"/>
    <d v="2022-09-18T00:00:00"/>
  </r>
  <r>
    <n v="3384"/>
    <x v="3"/>
    <s v="OFM"/>
    <n v="91.585994669695125"/>
    <d v="2022-09-19T00:00:00"/>
  </r>
  <r>
    <n v="3385"/>
    <x v="3"/>
    <s v="OFM"/>
    <n v="137.37899200454268"/>
    <d v="2022-09-20T00:00:00"/>
  </r>
  <r>
    <n v="3386"/>
    <x v="3"/>
    <s v="OFM"/>
    <n v="18.317198933939025"/>
    <d v="2022-09-21T00:00:00"/>
  </r>
  <r>
    <n v="3387"/>
    <x v="3"/>
    <s v="OFM"/>
    <n v="18.317198933939025"/>
    <d v="2022-09-22T00:00:00"/>
  </r>
  <r>
    <n v="3388"/>
    <x v="2"/>
    <s v="OFM"/>
    <n v="0"/>
    <d v="2022-09-23T00:00:00"/>
  </r>
  <r>
    <n v="3389"/>
    <x v="0"/>
    <s v="Apps"/>
    <n v="46.210720887245841"/>
    <d v="2022-09-24T00:00:00"/>
  </r>
  <r>
    <n v="3390"/>
    <x v="0"/>
    <s v="Apps"/>
    <n v="77.017868145409736"/>
    <d v="2022-09-25T00:00:00"/>
  </r>
  <r>
    <n v="3391"/>
    <x v="0"/>
    <s v="Apps"/>
    <n v="77.017868145409736"/>
    <d v="2022-09-26T00:00:00"/>
  </r>
  <r>
    <n v="3392"/>
    <x v="0"/>
    <s v="OFM"/>
    <n v="114"/>
    <d v="2022-09-27T00:00:00"/>
  </r>
  <r>
    <n v="3393"/>
    <x v="0"/>
    <s v="Tech"/>
    <n v="12.848020762401553"/>
    <d v="2022-09-28T00:00:00"/>
  </r>
  <r>
    <n v="3394"/>
    <x v="1"/>
    <s v="Tech"/>
    <n v="37.107208994708991"/>
    <d v="2022-09-29T00:00:00"/>
  </r>
  <r>
    <n v="3395"/>
    <x v="1"/>
    <s v="Tech"/>
    <n v="37.107208994708991"/>
    <d v="2022-09-30T00:00:00"/>
  </r>
  <r>
    <n v="3396"/>
    <x v="1"/>
    <s v="Tech"/>
    <n v="37.107208994708991"/>
    <d v="2022-10-01T00:00:00"/>
  </r>
  <r>
    <n v="3397"/>
    <x v="4"/>
    <s v="Systems"/>
    <n v="32.097576632964213"/>
    <d v="2022-10-02T00:00:00"/>
  </r>
  <r>
    <n v="3398"/>
    <x v="1"/>
    <s v="Apps"/>
    <n v="66.137566137566139"/>
    <d v="2022-10-03T00:00:00"/>
  </r>
  <r>
    <n v="3399"/>
    <x v="1"/>
    <s v="Apps"/>
    <n v="66.137566137566139"/>
    <d v="2022-10-04T00:00:00"/>
  </r>
  <r>
    <n v="3400"/>
    <x v="1"/>
    <s v="Apps"/>
    <n v="66.137566137566139"/>
    <d v="2022-10-05T00:00:00"/>
  </r>
  <r>
    <n v="3401"/>
    <x v="0"/>
    <s v="Tech"/>
    <n v="102.78416609921243"/>
    <d v="2022-10-06T00:00:00"/>
  </r>
  <r>
    <n v="3402"/>
    <x v="2"/>
    <s v="Apps"/>
    <n v="200"/>
    <d v="2022-10-07T00:00:00"/>
  </r>
  <r>
    <n v="3403"/>
    <x v="0"/>
    <s v="OFM"/>
    <n v="15.85660117200965"/>
    <d v="2022-10-08T00:00:00"/>
  </r>
  <r>
    <n v="3404"/>
    <x v="0"/>
    <s v="Apps"/>
    <n v="128.48020762401552"/>
    <d v="2022-10-09T00:00:00"/>
  </r>
  <r>
    <n v="3405"/>
    <x v="0"/>
    <s v="Apps"/>
    <n v="256.96041524803104"/>
    <d v="2022-10-10T00:00:00"/>
  </r>
  <r>
    <n v="3406"/>
    <x v="0"/>
    <s v="Apps"/>
    <n v="256.96041524803104"/>
    <d v="2022-10-11T00:00:00"/>
  </r>
  <r>
    <n v="3407"/>
    <x v="3"/>
    <s v="OFM"/>
    <n v="18.317198933939025"/>
    <d v="2022-10-12T00:00:00"/>
  </r>
  <r>
    <n v="3408"/>
    <x v="0"/>
    <s v="Apps"/>
    <n v="50"/>
    <d v="2022-10-13T00:00:00"/>
  </r>
  <r>
    <n v="3409"/>
    <x v="1"/>
    <s v="Tech"/>
    <n v="127.31481481481482"/>
    <d v="2022-10-14T00:00:00"/>
  </r>
  <r>
    <n v="3410"/>
    <x v="1"/>
    <s v="Tech"/>
    <n v="41.887125220458557"/>
    <d v="2022-10-15T00:00:00"/>
  </r>
  <r>
    <n v="3411"/>
    <x v="0"/>
    <s v="Apps"/>
    <n v="128.48020762401552"/>
    <d v="2022-10-16T00:00:00"/>
  </r>
  <r>
    <n v="3412"/>
    <x v="1"/>
    <s v="Apps"/>
    <n v="88.183421516754848"/>
    <d v="2022-10-17T00:00:00"/>
  </r>
  <r>
    <n v="3413"/>
    <x v="1"/>
    <s v="Apps"/>
    <n v="66.137566137566139"/>
    <d v="2022-10-18T00:00:00"/>
  </r>
  <r>
    <n v="3414"/>
    <x v="1"/>
    <s v="Other"/>
    <n v="66.137566137566139"/>
    <d v="2022-10-19T00:00:00"/>
  </r>
  <r>
    <n v="3415"/>
    <x v="1"/>
    <s v="Apps"/>
    <n v="66.137566137566139"/>
    <d v="2022-10-20T00:00:00"/>
  </r>
  <r>
    <n v="3416"/>
    <x v="1"/>
    <s v="Apps"/>
    <n v="66.137566137566139"/>
    <d v="2022-10-21T00:00:00"/>
  </r>
  <r>
    <n v="3417"/>
    <x v="1"/>
    <s v="Apps"/>
    <n v="66.137566137566139"/>
    <d v="2022-10-22T00:00:00"/>
  </r>
  <r>
    <n v="3418"/>
    <x v="1"/>
    <s v="Apps"/>
    <n v="66.137566137566139"/>
    <d v="2022-10-23T00:00:00"/>
  </r>
  <r>
    <n v="3419"/>
    <x v="0"/>
    <s v="Tech"/>
    <n v="34.561175850860181"/>
    <d v="2022-10-24T00:00:00"/>
  </r>
  <r>
    <n v="3420"/>
    <x v="0"/>
    <s v="Tech"/>
    <n v="89.936145336810867"/>
    <d v="2022-10-25T00:00:00"/>
  </r>
  <r>
    <n v="3421"/>
    <x v="2"/>
    <s v="OFM"/>
    <n v="0"/>
    <d v="2022-10-26T00:00:00"/>
  </r>
  <r>
    <n v="3422"/>
    <x v="3"/>
    <s v="Tech"/>
    <n v="146.5375914715122"/>
    <d v="2022-10-27T00:00:00"/>
  </r>
  <r>
    <n v="3423"/>
    <x v="3"/>
    <s v="Tech"/>
    <n v="183.17198933939025"/>
    <d v="2022-10-28T00:00:00"/>
  </r>
  <r>
    <n v="3424"/>
    <x v="0"/>
    <s v="Apps"/>
    <n v="159.34411583487369"/>
    <d v="2022-10-29T00:00:00"/>
  </r>
  <r>
    <n v="3425"/>
    <x v="0"/>
    <s v="Apps"/>
    <n v="154.43484288354898"/>
    <d v="2022-10-30T00:00:00"/>
  </r>
  <r>
    <n v="3426"/>
    <x v="0"/>
    <s v="Apps"/>
    <n v="159.34411583487369"/>
    <d v="2022-10-31T00:00:00"/>
  </r>
  <r>
    <n v="3427"/>
    <x v="0"/>
    <s v="Apps"/>
    <n v="174.95378927911275"/>
    <d v="2022-11-01T00:00:00"/>
  </r>
  <r>
    <n v="3428"/>
    <x v="0"/>
    <s v="Tech"/>
    <n v="21.010474430067774"/>
    <d v="2022-11-02T00:00:00"/>
  </r>
  <r>
    <n v="3429"/>
    <x v="0"/>
    <s v="Apps"/>
    <n v="158.27171903881703"/>
    <d v="2022-11-03T00:00:00"/>
  </r>
  <r>
    <n v="3430"/>
    <x v="0"/>
    <s v="Apps"/>
    <n v="308.07147258163894"/>
    <d v="2022-11-04T00:00:00"/>
  </r>
  <r>
    <n v="3431"/>
    <x v="0"/>
    <s v="Apps"/>
    <n v="308.07147258163894"/>
    <d v="2022-11-05T00:00:00"/>
  </r>
  <r>
    <n v="3432"/>
    <x v="0"/>
    <s v="Apps"/>
    <n v="462.10720887245844"/>
    <d v="2022-11-06T00:00:00"/>
  </r>
  <r>
    <n v="3433"/>
    <x v="0"/>
    <s v="Apps"/>
    <n v="462.10720887245844"/>
    <d v="2022-11-07T00:00:00"/>
  </r>
  <r>
    <n v="3434"/>
    <x v="3"/>
    <s v="Tech"/>
    <n v="27.475798400908538"/>
    <d v="2022-11-08T00:00:00"/>
  </r>
  <r>
    <n v="3435"/>
    <x v="0"/>
    <s v="Apps"/>
    <n v="61.614294516327789"/>
    <d v="2022-11-09T00:00:00"/>
  </r>
  <r>
    <n v="3436"/>
    <x v="2"/>
    <s v="OFM"/>
    <n v="0"/>
    <d v="2022-11-10T00:00:00"/>
  </r>
  <r>
    <n v="3437"/>
    <x v="3"/>
    <s v="Tech"/>
    <n v="137.37899200454268"/>
    <d v="2022-11-11T00:00:00"/>
  </r>
  <r>
    <n v="3438"/>
    <x v="3"/>
    <s v="Apps"/>
    <n v="164.85479040545121"/>
    <d v="2022-11-12T00:00:00"/>
  </r>
  <r>
    <n v="3439"/>
    <x v="3"/>
    <s v="OFM"/>
    <n v="54.951596801817075"/>
    <d v="2022-11-13T00:00:00"/>
  </r>
  <r>
    <n v="3440"/>
    <x v="3"/>
    <s v="OFM"/>
    <n v="8.2427395202725595"/>
    <d v="2022-11-14T00:00:00"/>
  </r>
  <r>
    <n v="3441"/>
    <x v="0"/>
    <s v="Tech"/>
    <n v="103.41261633919338"/>
    <d v="2022-11-15T00:00:00"/>
  </r>
  <r>
    <n v="3442"/>
    <x v="0"/>
    <s v="Tech"/>
    <n v="3.2747328507411235"/>
    <d v="2022-11-16T00:00:00"/>
  </r>
  <r>
    <n v="3443"/>
    <x v="1"/>
    <s v="Apps"/>
    <n v="330.68783068783068"/>
    <d v="2022-11-17T00:00:00"/>
  </r>
  <r>
    <n v="3444"/>
    <x v="1"/>
    <s v="Tech"/>
    <n v="70.546737213403873"/>
    <d v="2022-11-18T00:00:00"/>
  </r>
  <r>
    <n v="3445"/>
    <x v="4"/>
    <s v="Tech"/>
    <n v="81.69"/>
    <d v="2022-11-19T00:00:00"/>
  </r>
  <r>
    <n v="3446"/>
    <x v="1"/>
    <s v="Apps"/>
    <n v="15.28896136989094"/>
    <d v="2022-11-20T00:00:00"/>
  </r>
  <r>
    <n v="3447"/>
    <x v="0"/>
    <s v="Tech"/>
    <n v="61.484974239718376"/>
    <d v="2022-11-21T00:00:00"/>
  </r>
  <r>
    <n v="3448"/>
    <x v="2"/>
    <s v="Tech"/>
    <n v="105.89854918987609"/>
    <d v="2022-11-22T00:00:00"/>
  </r>
  <r>
    <n v="3449"/>
    <x v="1"/>
    <s v="Apps"/>
    <n v="110.22927689594357"/>
    <d v="2022-11-23T00:00:00"/>
  </r>
  <r>
    <n v="3450"/>
    <x v="1"/>
    <s v="Apps"/>
    <n v="66.137566137566139"/>
    <d v="2022-11-24T00:00:00"/>
  </r>
  <r>
    <n v="3451"/>
    <x v="1"/>
    <s v="Apps"/>
    <n v="44.091710758377424"/>
    <d v="2022-11-25T00:00:00"/>
  </r>
  <r>
    <n v="3452"/>
    <x v="1"/>
    <s v="Apps"/>
    <n v="44.091710758377424"/>
    <d v="2022-11-26T00:00:00"/>
  </r>
  <r>
    <n v="3453"/>
    <x v="1"/>
    <s v="Apps"/>
    <n v="11022.927689594357"/>
    <d v="2022-11-27T00:00:00"/>
  </r>
  <r>
    <n v="3454"/>
    <x v="1"/>
    <s v="OFM"/>
    <n v="55.114638447971785"/>
    <d v="2022-11-28T00:00:00"/>
  </r>
  <r>
    <n v="3455"/>
    <x v="0"/>
    <s v="Tech"/>
    <n v="184.84288354898337"/>
    <d v="2022-11-29T00:00:00"/>
  </r>
  <r>
    <n v="3456"/>
    <x v="0"/>
    <s v="Tech"/>
    <n v="184.84288354898337"/>
    <d v="2022-11-30T00:00:00"/>
  </r>
  <r>
    <n v="3457"/>
    <x v="0"/>
    <s v="Apps"/>
    <n v="77.017868145409736"/>
    <d v="2022-12-01T00:00:00"/>
  </r>
  <r>
    <n v="3458"/>
    <x v="0"/>
    <s v="Apps"/>
    <n v="159.34411583487369"/>
    <d v="2022-12-02T00:00:00"/>
  </r>
  <r>
    <n v="3459"/>
    <x v="0"/>
    <s v="OFM"/>
    <n v="169.43930991990143"/>
    <d v="2022-12-03T00:00:00"/>
  </r>
  <r>
    <n v="3460"/>
    <x v="0"/>
    <s v="OFM"/>
    <n v="107.82501540357363"/>
    <d v="2022-12-04T00:00:00"/>
  </r>
  <r>
    <n v="3461"/>
    <x v="0"/>
    <s v="Tech"/>
    <n v="77.017868145409736"/>
    <d v="2022-12-05T00:00:00"/>
  </r>
  <r>
    <n v="3462"/>
    <x v="0"/>
    <s v="Apps"/>
    <n v="123.22858903265558"/>
    <d v="2022-12-06T00:00:00"/>
  </r>
  <r>
    <n v="3463"/>
    <x v="0"/>
    <s v="Tech"/>
    <n v="77.017868145409736"/>
    <d v="2022-12-07T00:00:00"/>
  </r>
  <r>
    <n v="3464"/>
    <x v="0"/>
    <s v="Tech"/>
    <n v="77.017868145409736"/>
    <d v="2022-12-08T00:00:00"/>
  </r>
  <r>
    <n v="3465"/>
    <x v="0"/>
    <s v="OFM"/>
    <n v="77.017868145409736"/>
    <d v="2022-12-09T00:00:00"/>
  </r>
  <r>
    <n v="3466"/>
    <x v="0"/>
    <s v="Apps"/>
    <n v="123.22858903265558"/>
    <d v="2022-12-10T00:00:00"/>
  </r>
  <r>
    <n v="3467"/>
    <x v="3"/>
    <s v="Apps"/>
    <n v="174.01338987242073"/>
    <d v="2022-12-11T00:00:00"/>
  </r>
  <r>
    <n v="3468"/>
    <x v="1"/>
    <s v="Apps"/>
    <n v="55.114638447971785"/>
    <d v="2022-12-12T00:00:00"/>
  </r>
  <r>
    <n v="3469"/>
    <x v="1"/>
    <s v="Tech"/>
    <n v="2350.2645502645505"/>
    <d v="2022-12-13T00:00:00"/>
  </r>
  <r>
    <n v="3470"/>
    <x v="0"/>
    <s v="Systems"/>
    <n v="256.96041524803104"/>
    <d v="2022-12-14T00:00:00"/>
  </r>
  <r>
    <n v="3471"/>
    <x v="1"/>
    <s v="Tech"/>
    <n v="110.22927689594357"/>
    <d v="2022-12-15T00:00:00"/>
  </r>
  <r>
    <n v="3472"/>
    <x v="1"/>
    <s v="Tech"/>
    <n v="66.137566137566139"/>
    <d v="2022-12-16T00:00:00"/>
  </r>
  <r>
    <n v="3473"/>
    <x v="1"/>
    <s v="Apps"/>
    <n v="33.06878306878307"/>
    <d v="2022-12-17T00:00:00"/>
  </r>
  <r>
    <n v="3474"/>
    <x v="0"/>
    <s v="OFM"/>
    <n v="1155.2680221811461"/>
    <d v="2022-12-18T00:00:00"/>
  </r>
  <r>
    <n v="3475"/>
    <x v="1"/>
    <s v="Apps"/>
    <n v="44.091710758377424"/>
    <d v="2022-12-19T00:00:00"/>
  </r>
  <r>
    <n v="3476"/>
    <x v="1"/>
    <s v="Apps"/>
    <n v="44.091710758377424"/>
    <d v="2022-12-20T00:00:00"/>
  </r>
  <r>
    <n v="3477"/>
    <x v="1"/>
    <s v="Apps"/>
    <n v="66.137566137566139"/>
    <d v="2022-12-21T00:00:00"/>
  </r>
  <r>
    <n v="3478"/>
    <x v="1"/>
    <s v="Apps"/>
    <n v="66.137566137566139"/>
    <d v="2022-12-22T00:00:00"/>
  </r>
  <r>
    <n v="3479"/>
    <x v="1"/>
    <s v="Apps"/>
    <n v="66.137566137566139"/>
    <d v="2022-12-23T00:00:00"/>
  </r>
  <r>
    <n v="3480"/>
    <x v="1"/>
    <s v="Apps"/>
    <n v="66.137566137566139"/>
    <d v="2022-12-24T00:00:00"/>
  </r>
  <r>
    <n v="3481"/>
    <x v="4"/>
    <s v="Apps"/>
    <n v="120.3659123736158"/>
    <d v="2022-12-25T00:00:00"/>
  </r>
  <r>
    <n v="3482"/>
    <x v="4"/>
    <s v="OFM"/>
    <n v="80.243941582410528"/>
    <d v="2022-12-26T00:00:00"/>
  </r>
  <r>
    <n v="3483"/>
    <x v="4"/>
    <s v="Systems"/>
    <n v="96.292729898892631"/>
    <d v="2022-12-27T00:00:00"/>
  </r>
  <r>
    <n v="3484"/>
    <x v="4"/>
    <s v="Systems"/>
    <n v="96.292729898892631"/>
    <d v="2022-12-28T00:00:00"/>
  </r>
  <r>
    <n v="3485"/>
    <x v="1"/>
    <s v="Apps"/>
    <n v="44.091710758377424"/>
    <d v="2022-12-29T00:00:00"/>
  </r>
  <r>
    <n v="3486"/>
    <x v="0"/>
    <s v="Apps"/>
    <n v="86.177180282661155"/>
    <d v="2022-12-30T00:00:00"/>
  </r>
  <r>
    <n v="3487"/>
    <x v="0"/>
    <s v="Tech"/>
    <n v="122.05619724281476"/>
    <d v="2022-12-31T00:00:00"/>
  </r>
  <r>
    <n v="3488"/>
    <x v="0"/>
    <s v="Tech"/>
    <n v="310.23784901758017"/>
    <d v="2023-01-01T00:00:00"/>
  </r>
  <r>
    <n v="3489"/>
    <x v="0"/>
    <s v="OFM"/>
    <n v="86.177180282661155"/>
    <d v="2023-01-02T00:00:00"/>
  </r>
  <r>
    <n v="3490"/>
    <x v="4"/>
    <s v="OFM"/>
    <n v="8.0243941582410532"/>
    <d v="2023-01-03T00:00:00"/>
  </r>
  <r>
    <n v="3491"/>
    <x v="4"/>
    <s v="Systems"/>
    <n v="16.048788316482106"/>
    <d v="2023-01-04T00:00:00"/>
  </r>
  <r>
    <n v="3492"/>
    <x v="2"/>
    <s v="Apps"/>
    <n v="423.59419675950437"/>
    <d v="2023-01-05T00:00:00"/>
  </r>
  <r>
    <n v="3493"/>
    <x v="2"/>
    <s v="Apps"/>
    <n v="52.949274594938046"/>
    <d v="2023-01-06T00:00:00"/>
  </r>
  <r>
    <n v="3494"/>
    <x v="2"/>
    <s v="Apps"/>
    <n v="264.74637297469025"/>
    <d v="2023-01-07T00:00:00"/>
  </r>
  <r>
    <n v="3495"/>
    <x v="0"/>
    <s v="Tech"/>
    <n v="30.807147258163894"/>
    <d v="2023-01-08T00:00:00"/>
  </r>
  <r>
    <n v="3496"/>
    <x v="0"/>
    <s v="Tech"/>
    <n v="30.807147258163894"/>
    <d v="2023-01-09T00:00:00"/>
  </r>
  <r>
    <n v="3497"/>
    <x v="0"/>
    <s v="Tech"/>
    <n v="15.403573629081947"/>
    <d v="2023-01-10T00:00:00"/>
  </r>
  <r>
    <n v="3498"/>
    <x v="0"/>
    <s v="Tech"/>
    <n v="30.807147258163894"/>
    <d v="2023-01-11T00:00:00"/>
  </r>
  <r>
    <n v="3499"/>
    <x v="2"/>
    <s v="Tech"/>
    <n v="423.59419675950437"/>
    <d v="2023-01-12T00:00:00"/>
  </r>
  <r>
    <n v="3500"/>
    <x v="1"/>
    <s v="OFM"/>
    <n v="22.045855379188712"/>
    <d v="2023-01-13T00:00:00"/>
  </r>
  <r>
    <n v="3501"/>
    <x v="1"/>
    <s v="OFM"/>
    <n v="33.06878306878307"/>
    <d v="2023-01-14T00:00:00"/>
  </r>
  <r>
    <n v="3502"/>
    <x v="1"/>
    <s v="OFM"/>
    <n v="44.091710758377424"/>
    <d v="2023-01-15T00:00:00"/>
  </r>
  <r>
    <n v="3503"/>
    <x v="1"/>
    <s v="OFM"/>
    <n v="132.27513227513228"/>
    <d v="2023-01-16T00:00:00"/>
  </r>
  <r>
    <n v="3504"/>
    <x v="1"/>
    <s v="OFM"/>
    <n v="132.27513227513228"/>
    <d v="2023-01-17T00:00:00"/>
  </r>
  <r>
    <n v="3505"/>
    <x v="1"/>
    <s v="OFM"/>
    <n v="132.27513227513228"/>
    <d v="2023-01-18T00:00:00"/>
  </r>
  <r>
    <n v="3506"/>
    <x v="1"/>
    <s v="Tech"/>
    <n v="66.137566137566139"/>
    <d v="2023-01-19T00:00:00"/>
  </r>
  <r>
    <n v="3507"/>
    <x v="1"/>
    <s v="Tech"/>
    <n v="55.114638447971785"/>
    <d v="2023-01-20T00:00:00"/>
  </r>
  <r>
    <n v="3508"/>
    <x v="2"/>
    <s v="Tech"/>
    <n v="105.89854918987609"/>
    <d v="2023-01-21T00:00:00"/>
  </r>
  <r>
    <n v="3509"/>
    <x v="0"/>
    <s v="Apps"/>
    <n v="6.1614294516327792"/>
    <d v="2023-01-22T00:00:00"/>
  </r>
  <r>
    <n v="3510"/>
    <x v="0"/>
    <s v="Tech"/>
    <n v="44.670363524337645"/>
    <d v="2023-01-23T00:00:00"/>
  </r>
  <r>
    <n v="3511"/>
    <x v="0"/>
    <s v="Apps"/>
    <n v="77.017868145409736"/>
    <d v="2023-01-24T00:00:00"/>
  </r>
  <r>
    <n v="3512"/>
    <x v="0"/>
    <s v="Tech"/>
    <n v="28.496611213801604"/>
    <d v="2023-01-25T00:00:00"/>
  </r>
  <r>
    <n v="3513"/>
    <x v="0"/>
    <s v="Tech"/>
    <n v="46.210720887245841"/>
    <d v="2023-01-26T00:00:00"/>
  </r>
  <r>
    <n v="3514"/>
    <x v="0"/>
    <s v="Tech"/>
    <n v="7.7017868145409736"/>
    <d v="2023-01-27T00:00:00"/>
  </r>
  <r>
    <n v="3515"/>
    <x v="1"/>
    <s v="Tech"/>
    <n v="88.183421516754848"/>
    <d v="2023-01-28T00:00:00"/>
  </r>
  <r>
    <n v="3516"/>
    <x v="1"/>
    <s v="Tech"/>
    <n v="110.22927689594357"/>
    <d v="2023-01-29T00:00:00"/>
  </r>
  <r>
    <n v="3517"/>
    <x v="4"/>
    <s v="Apps"/>
    <n v="16.294606485253382"/>
    <d v="2023-01-30T00:00:00"/>
  </r>
  <r>
    <n v="3518"/>
    <x v="1"/>
    <s v="Tech"/>
    <n v="110.22927689594357"/>
    <d v="2023-01-31T00:00:00"/>
  </r>
  <r>
    <n v="3519"/>
    <x v="4"/>
    <s v="Apps"/>
    <n v="200"/>
    <d v="2023-02-01T00:00:00"/>
  </r>
  <r>
    <n v="3520"/>
    <x v="0"/>
    <s v="Tech"/>
    <n v="46.210720887245841"/>
    <d v="2023-02-02T00:00:00"/>
  </r>
  <r>
    <n v="3521"/>
    <x v="0"/>
    <s v="Tech"/>
    <n v="92.421441774491683"/>
    <d v="2023-02-03T00:00:00"/>
  </r>
  <r>
    <n v="3522"/>
    <x v="0"/>
    <s v="Tech"/>
    <n v="27.726432532347506"/>
    <d v="2023-02-04T00:00:00"/>
  </r>
  <r>
    <n v="3523"/>
    <x v="0"/>
    <s v="OFM"/>
    <n v="25.163736642537057"/>
    <d v="2023-02-05T00:00:00"/>
  </r>
  <r>
    <n v="3524"/>
    <x v="1"/>
    <s v="Tech"/>
    <n v="771.60493827160496"/>
    <d v="2023-02-06T00:00:00"/>
  </r>
  <r>
    <n v="3525"/>
    <x v="1"/>
    <s v="Apps"/>
    <n v="66.137566137566139"/>
    <d v="2023-02-07T00:00:00"/>
  </r>
  <r>
    <n v="3526"/>
    <x v="1"/>
    <s v="Tech"/>
    <n v="979.34193121693124"/>
    <d v="2023-02-08T00:00:00"/>
  </r>
  <r>
    <n v="3527"/>
    <x v="4"/>
    <s v="Tech"/>
    <n v="2.6654717288577481"/>
    <d v="2023-02-09T00:00:00"/>
  </r>
  <r>
    <n v="3528"/>
    <x v="4"/>
    <s v="Apps"/>
    <n v="57.426379381632742"/>
    <d v="2023-02-10T00:00:00"/>
  </r>
  <r>
    <n v="3529"/>
    <x v="4"/>
    <s v="Apps"/>
    <n v="22.970551752653101"/>
    <d v="2023-02-11T00:00:00"/>
  </r>
  <r>
    <n v="3530"/>
    <x v="0"/>
    <s v="Tech"/>
    <n v="154.03573629081947"/>
    <d v="2023-02-12T00:00:00"/>
  </r>
  <r>
    <n v="3531"/>
    <x v="1"/>
    <s v="Apps"/>
    <n v="66.137566137566139"/>
    <d v="2023-02-13T00:00:00"/>
  </r>
  <r>
    <n v="3532"/>
    <x v="1"/>
    <s v="Apps"/>
    <n v="66.137566137566139"/>
    <d v="2023-02-14T00:00:00"/>
  </r>
  <r>
    <n v="3533"/>
    <x v="1"/>
    <s v="Apps"/>
    <n v="66.137566137566139"/>
    <d v="2023-02-15T00:00:00"/>
  </r>
  <r>
    <n v="3534"/>
    <x v="1"/>
    <s v="Apps"/>
    <n v="66.137566137566139"/>
    <d v="2023-02-16T00:00:00"/>
  </r>
  <r>
    <n v="3535"/>
    <x v="1"/>
    <s v="Apps"/>
    <n v="13.227513227513228"/>
    <d v="2023-02-17T00:00:00"/>
  </r>
  <r>
    <n v="3536"/>
    <x v="1"/>
    <s v="Tech"/>
    <n v="108.24305555555556"/>
    <d v="2023-02-18T00:00:00"/>
  </r>
  <r>
    <n v="3537"/>
    <x v="1"/>
    <s v="Tech"/>
    <n v="26.455026455026456"/>
    <d v="2023-02-19T00:00:00"/>
  </r>
  <r>
    <n v="3538"/>
    <x v="2"/>
    <s v="Tech"/>
    <n v="127.39595467542094"/>
    <d v="2023-02-20T00:00:00"/>
  </r>
  <r>
    <n v="3539"/>
    <x v="3"/>
    <s v="Tech"/>
    <n v="183.17198933939025"/>
    <d v="2023-02-21T00:00:00"/>
  </r>
  <r>
    <n v="3540"/>
    <x v="3"/>
    <s v="OFM"/>
    <n v="137.37899200454268"/>
    <d v="2023-02-22T00:00:00"/>
  </r>
  <r>
    <n v="3541"/>
    <x v="0"/>
    <s v="Apps"/>
    <n v="123.22858903265558"/>
    <d v="2023-02-23T00:00:00"/>
  </r>
  <r>
    <n v="3542"/>
    <x v="0"/>
    <s v="Apps"/>
    <n v="123.22858903265558"/>
    <d v="2023-02-24T00:00:00"/>
  </r>
  <r>
    <n v="3543"/>
    <x v="0"/>
    <s v="Apps"/>
    <n v="123.22858903265558"/>
    <d v="2023-02-25T00:00:00"/>
  </r>
  <r>
    <n v="3544"/>
    <x v="0"/>
    <s v="Apps"/>
    <n v="123.22858903265558"/>
    <d v="2023-02-26T00:00:00"/>
  </r>
  <r>
    <n v="3545"/>
    <x v="0"/>
    <s v="Apps"/>
    <n v="123.22858903265558"/>
    <d v="2023-02-27T00:00:00"/>
  </r>
  <r>
    <n v="3546"/>
    <x v="0"/>
    <s v="Apps"/>
    <n v="123.22858903265558"/>
    <d v="2023-02-28T00:00:00"/>
  </r>
  <r>
    <n v="3547"/>
    <x v="0"/>
    <s v="Apps"/>
    <n v="123.22858903265558"/>
    <d v="2023-03-01T00:00:00"/>
  </r>
  <r>
    <n v="3548"/>
    <x v="1"/>
    <s v="Apps"/>
    <n v="66.137566137566139"/>
    <d v="2023-03-02T00:00:00"/>
  </r>
  <r>
    <n v="3549"/>
    <x v="1"/>
    <s v="Apps"/>
    <n v="66.137566137566139"/>
    <d v="2023-03-03T00:00:00"/>
  </r>
  <r>
    <n v="3550"/>
    <x v="1"/>
    <s v="Apps"/>
    <n v="66.137566137566139"/>
    <d v="2023-03-04T00:00:00"/>
  </r>
  <r>
    <n v="3551"/>
    <x v="1"/>
    <s v="Tech"/>
    <n v="440.91710758377428"/>
    <d v="2023-03-05T00:00:00"/>
  </r>
  <r>
    <n v="3552"/>
    <x v="1"/>
    <s v="Tech"/>
    <n v="88.183421516754848"/>
    <d v="2023-03-06T00:00:00"/>
  </r>
  <r>
    <n v="3553"/>
    <x v="1"/>
    <s v="Apps"/>
    <n v="66.137566137566139"/>
    <d v="2023-03-07T00:00:00"/>
  </r>
  <r>
    <n v="3554"/>
    <x v="0"/>
    <s v="Apps"/>
    <n v="30.807147258163894"/>
    <d v="2023-03-08T00:00:00"/>
  </r>
  <r>
    <n v="3555"/>
    <x v="2"/>
    <s v="Apps"/>
    <n v="18.532246108228314"/>
    <d v="2023-03-09T00:00:00"/>
  </r>
  <r>
    <n v="3556"/>
    <x v="2"/>
    <s v="Systems"/>
    <n v="31.769564756962826"/>
    <d v="2023-03-10T00:00:00"/>
  </r>
  <r>
    <n v="3557"/>
    <x v="3"/>
    <s v="Apps"/>
    <n v="150"/>
    <d v="2023-03-11T00:00:00"/>
  </r>
  <r>
    <n v="3558"/>
    <x v="3"/>
    <s v="OFM"/>
    <n v="54.951596801817075"/>
    <d v="2023-03-12T00:00:00"/>
  </r>
  <r>
    <n v="3559"/>
    <x v="4"/>
    <s v="Tech"/>
    <n v="205.47617953783251"/>
    <d v="2023-03-13T00:00:00"/>
  </r>
  <r>
    <n v="3560"/>
    <x v="0"/>
    <s v="OFM"/>
    <n v="6.8941744226128918"/>
    <d v="2023-03-14T00:00:00"/>
  </r>
  <r>
    <n v="3561"/>
    <x v="1"/>
    <s v="Tech"/>
    <n v="391.73686067019401"/>
    <d v="2023-03-15T00:00:00"/>
  </r>
  <r>
    <n v="3562"/>
    <x v="0"/>
    <s v="Apps"/>
    <n v="231.05360443622922"/>
    <d v="2023-03-16T00:00:00"/>
  </r>
  <r>
    <n v="3563"/>
    <x v="0"/>
    <s v="OFM"/>
    <n v="6.8941744226128918"/>
    <d v="2023-03-17T00:00:00"/>
  </r>
  <r>
    <n v="3564"/>
    <x v="0"/>
    <s v="OFM"/>
    <n v="6.8941744226128918"/>
    <d v="2023-03-18T00:00:00"/>
  </r>
  <r>
    <n v="3565"/>
    <x v="0"/>
    <s v="Apps"/>
    <n v="642.4010381200776"/>
    <d v="2023-03-19T00:00:00"/>
  </r>
  <r>
    <n v="3566"/>
    <x v="1"/>
    <s v="Tech"/>
    <n v="618.77929894179897"/>
    <d v="2023-03-20T00:00:00"/>
  </r>
  <r>
    <n v="3567"/>
    <x v="2"/>
    <s v="OFM"/>
    <n v="810.30710639332301"/>
    <d v="2023-03-21T00:00:00"/>
  </r>
  <r>
    <n v="3568"/>
    <x v="2"/>
    <s v="Tech"/>
    <n v="211.79709837975219"/>
    <d v="2023-03-22T00:00:00"/>
  </r>
  <r>
    <n v="3569"/>
    <x v="0"/>
    <s v="OFM"/>
    <n v="61.614294516327789"/>
    <d v="2023-03-23T00:00:00"/>
  </r>
  <r>
    <n v="3570"/>
    <x v="0"/>
    <s v="Tech"/>
    <n v="138.63216266173754"/>
    <d v="2023-03-24T00:00:00"/>
  </r>
  <r>
    <n v="3571"/>
    <x v="2"/>
    <s v="OFM"/>
    <n v="39.182463200254155"/>
    <d v="2023-03-25T00:00:00"/>
  </r>
  <r>
    <n v="3572"/>
    <x v="4"/>
    <s v="Tech"/>
    <n v="1.5"/>
    <d v="2023-03-26T00:00:00"/>
  </r>
  <r>
    <n v="3573"/>
    <x v="0"/>
    <s v="Apps"/>
    <n v="128.48020762401552"/>
    <d v="2023-03-27T00:00:00"/>
  </r>
  <r>
    <n v="3574"/>
    <x v="4"/>
    <s v="OFM"/>
    <n v="822.60113058299385"/>
    <d v="2023-03-28T00:00:00"/>
  </r>
  <r>
    <n v="3575"/>
    <x v="2"/>
    <s v="Tech"/>
    <n v="211.79709837975219"/>
    <d v="2023-03-29T00:00:00"/>
  </r>
  <r>
    <n v="3576"/>
    <x v="3"/>
    <s v="Tech"/>
    <n v="91.585994669695125"/>
    <d v="2023-03-30T00:00:00"/>
  </r>
  <r>
    <n v="3577"/>
    <x v="1"/>
    <s v="Tech"/>
    <n v="97.934215167548501"/>
    <d v="2023-03-31T00:00:00"/>
  </r>
  <r>
    <n v="3578"/>
    <x v="3"/>
    <s v="Tech"/>
    <n v="54.951596801817075"/>
    <d v="2023-04-01T00:00:00"/>
  </r>
  <r>
    <n v="3579"/>
    <x v="0"/>
    <s v="Apps"/>
    <n v="15.403573629081947"/>
    <d v="2023-04-02T00:00:00"/>
  </r>
  <r>
    <n v="3580"/>
    <x v="0"/>
    <s v="Tech"/>
    <n v="33.887861983980287"/>
    <d v="2023-04-03T00:00:00"/>
  </r>
  <r>
    <n v="3581"/>
    <x v="1"/>
    <s v="Tech"/>
    <n v="28.659611992945326"/>
    <d v="2023-04-04T00:00:00"/>
  </r>
  <r>
    <n v="3582"/>
    <x v="0"/>
    <s v="Apps"/>
    <n v="0"/>
    <d v="2023-04-05T00:00:00"/>
  </r>
  <r>
    <n v="3583"/>
    <x v="1"/>
    <s v="Tech"/>
    <n v="120"/>
    <d v="2023-04-06T00:00:00"/>
  </r>
  <r>
    <n v="3584"/>
    <x v="1"/>
    <s v="Apps"/>
    <n v="132.27513227513228"/>
    <d v="2023-04-07T00:00:00"/>
  </r>
  <r>
    <n v="3585"/>
    <x v="1"/>
    <s v="Tech"/>
    <n v="220.45855379188714"/>
    <d v="2023-04-08T00:00:00"/>
  </r>
  <r>
    <n v="3586"/>
    <x v="1"/>
    <s v="Apps"/>
    <n v="55.114638447971785"/>
    <d v="2023-04-09T00:00:00"/>
  </r>
  <r>
    <n v="3587"/>
    <x v="1"/>
    <s v="Apps"/>
    <n v="44.091710758377424"/>
    <d v="2023-04-10T00:00:00"/>
  </r>
  <r>
    <n v="3588"/>
    <x v="1"/>
    <s v="Apps"/>
    <n v="44.091710758377424"/>
    <d v="2023-04-11T00:00:00"/>
  </r>
  <r>
    <n v="3589"/>
    <x v="1"/>
    <s v="Apps"/>
    <n v="44.091710758377424"/>
    <d v="2023-04-12T00:00:00"/>
  </r>
  <r>
    <n v="3590"/>
    <x v="1"/>
    <s v="Apps"/>
    <n v="55.114638447971785"/>
    <d v="2023-04-13T00:00:00"/>
  </r>
  <r>
    <n v="3591"/>
    <x v="1"/>
    <s v="Apps"/>
    <n v="55.114638447971785"/>
    <d v="2023-04-14T00:00:00"/>
  </r>
  <r>
    <n v="3592"/>
    <x v="0"/>
    <s v="OFM"/>
    <n v="84.719654959950716"/>
    <d v="2023-04-15T00:00:00"/>
  </r>
  <r>
    <n v="3593"/>
    <x v="0"/>
    <s v="OFM"/>
    <n v="308.07147258163894"/>
    <d v="2023-04-16T00:00:00"/>
  </r>
  <r>
    <n v="3594"/>
    <x v="0"/>
    <s v="Apps"/>
    <n v="30.807147258163894"/>
    <d v="2023-04-17T00:00:00"/>
  </r>
  <r>
    <n v="3595"/>
    <x v="2"/>
    <s v="OFM"/>
    <n v="158.84782378481412"/>
    <d v="2023-04-18T00:00:00"/>
  </r>
  <r>
    <n v="3596"/>
    <x v="1"/>
    <s v="Apps"/>
    <n v="132.27513227513228"/>
    <d v="2023-04-19T00:00:00"/>
  </r>
  <r>
    <n v="3597"/>
    <x v="4"/>
    <s v="Tech"/>
    <n v="97.767638911520294"/>
    <d v="2023-04-20T00:00:00"/>
  </r>
  <r>
    <n v="3598"/>
    <x v="0"/>
    <s v="Apps"/>
    <n v="277.26432532347508"/>
    <d v="2023-04-21T00:00:00"/>
  </r>
  <r>
    <n v="3599"/>
    <x v="1"/>
    <s v="Tech"/>
    <n v="36.081018518518519"/>
    <d v="2023-04-22T00:00:00"/>
  </r>
  <r>
    <n v="3600"/>
    <x v="0"/>
    <s v="Tech"/>
    <n v="34.470872113064452"/>
    <d v="2023-04-23T00:00:00"/>
  </r>
  <r>
    <n v="3601"/>
    <x v="0"/>
    <s v="Tech"/>
    <n v="17.235436056532226"/>
    <d v="2023-04-24T00:00:00"/>
  </r>
  <r>
    <n v="3602"/>
    <x v="2"/>
    <s v="OFM"/>
    <n v="105.89854918987609"/>
    <d v="2023-04-25T00:00:00"/>
  </r>
  <r>
    <n v="3603"/>
    <x v="0"/>
    <s v="Tech"/>
    <n v="46.210720887245841"/>
    <d v="2023-04-26T00:00:00"/>
  </r>
  <r>
    <n v="3604"/>
    <x v="2"/>
    <s v="Tech"/>
    <n v="40.515355319666149"/>
    <d v="2023-04-27T00:00:00"/>
  </r>
  <r>
    <n v="3605"/>
    <x v="4"/>
    <s v="Tech"/>
    <n v="50"/>
    <d v="2023-04-28T00:00:00"/>
  </r>
  <r>
    <n v="3606"/>
    <x v="1"/>
    <s v="OFM"/>
    <n v="110.22927689594357"/>
    <d v="2023-04-29T00:00:00"/>
  </r>
  <r>
    <n v="3607"/>
    <x v="0"/>
    <s v="OFM"/>
    <n v="308.07147258163894"/>
    <d v="2023-04-30T00:00:00"/>
  </r>
  <r>
    <n v="3608"/>
    <x v="0"/>
    <s v="Apps"/>
    <n v="92.421441774491683"/>
    <d v="2023-05-01T00:00:00"/>
  </r>
  <r>
    <n v="3609"/>
    <x v="0"/>
    <s v="Tech"/>
    <n v="25.053640486683026"/>
    <d v="2023-05-02T00:00:00"/>
  </r>
  <r>
    <n v="3610"/>
    <x v="0"/>
    <s v="Apps"/>
    <n v="9.2421441774491679"/>
    <d v="2023-05-03T00:00:00"/>
  </r>
  <r>
    <n v="3611"/>
    <x v="1"/>
    <s v="OFM"/>
    <n v="121.25220458553792"/>
    <d v="2023-05-04T00:00:00"/>
  </r>
  <r>
    <n v="3612"/>
    <x v="1"/>
    <s v="Tech"/>
    <n v="97.934215167548501"/>
    <d v="2023-05-05T00:00:00"/>
  </r>
  <r>
    <n v="3613"/>
    <x v="1"/>
    <s v="Apps"/>
    <n v="44.091710758377424"/>
    <d v="2023-05-06T00:00:00"/>
  </r>
  <r>
    <n v="3614"/>
    <x v="1"/>
    <s v="Apps"/>
    <n v="44.091710758377424"/>
    <d v="2023-05-07T00:00:00"/>
  </r>
  <r>
    <n v="3615"/>
    <x v="1"/>
    <s v="Apps"/>
    <n v="44.091710758377424"/>
    <d v="2023-05-08T00:00:00"/>
  </r>
  <r>
    <n v="3616"/>
    <x v="1"/>
    <s v="Apps"/>
    <n v="44.091710758377424"/>
    <d v="2023-05-09T00:00:00"/>
  </r>
  <r>
    <n v="3617"/>
    <x v="0"/>
    <s v="Systems"/>
    <n v="646.95009242144181"/>
    <d v="2023-05-10T00:00:00"/>
  </r>
  <r>
    <n v="3618"/>
    <x v="1"/>
    <s v="Tech"/>
    <n v="587.60582010582004"/>
    <d v="2023-05-11T00:00:00"/>
  </r>
  <r>
    <n v="3619"/>
    <x v="0"/>
    <s v="Apps"/>
    <n v="61.614294516327789"/>
    <d v="2023-05-12T00:00:00"/>
  </r>
  <r>
    <n v="3620"/>
    <x v="4"/>
    <s v="OFM"/>
    <n v="16.452022611659878"/>
    <d v="2023-05-13T00:00:00"/>
  </r>
  <r>
    <n v="3621"/>
    <x v="0"/>
    <s v="Apps"/>
    <n v="61.614294516327789"/>
    <d v="2023-05-14T00:00:00"/>
  </r>
  <r>
    <n v="3622"/>
    <x v="4"/>
    <s v="Apps"/>
    <n v="9.8712135669959267"/>
    <d v="2023-05-15T00:00:00"/>
  </r>
  <r>
    <n v="3623"/>
    <x v="4"/>
    <s v="Tech"/>
    <n v="308.21426930674875"/>
    <d v="2023-05-16T00:00:00"/>
  </r>
  <r>
    <n v="3624"/>
    <x v="0"/>
    <s v="Tech"/>
    <n v="77.017868145409736"/>
    <d v="2023-05-17T00:00:00"/>
  </r>
  <r>
    <n v="3625"/>
    <x v="3"/>
    <s v="Tech"/>
    <n v="119.06179307060366"/>
    <d v="2023-05-18T00:00:00"/>
  </r>
  <r>
    <n v="3626"/>
    <x v="0"/>
    <s v="Apps"/>
    <n v="154.03573629081947"/>
    <d v="2023-05-19T00:00:00"/>
  </r>
  <r>
    <n v="3627"/>
    <x v="0"/>
    <s v="Apps"/>
    <n v="46.210720887245841"/>
    <d v="2023-05-20T00:00:00"/>
  </r>
  <r>
    <n v="3628"/>
    <x v="0"/>
    <s v="Apps"/>
    <n v="46.210720887245841"/>
    <d v="2023-05-21T00:00:00"/>
  </r>
  <r>
    <n v="3629"/>
    <x v="0"/>
    <s v="Apps"/>
    <n v="770.17868145409739"/>
    <d v="2023-05-22T00:00:00"/>
  </r>
  <r>
    <n v="3630"/>
    <x v="3"/>
    <s v="OFM"/>
    <n v="13.737899200454269"/>
    <d v="2023-05-23T00:00:00"/>
  </r>
  <r>
    <n v="3631"/>
    <x v="3"/>
    <s v="OFM"/>
    <n v="27.475798400908538"/>
    <d v="2023-05-24T00:00:00"/>
  </r>
  <r>
    <n v="3632"/>
    <x v="2"/>
    <s v="Tech"/>
    <n v="10.58985491898761"/>
    <d v="2023-05-25T00:00:00"/>
  </r>
  <r>
    <n v="3633"/>
    <x v="0"/>
    <s v="Tech"/>
    <n v="44.968072668405433"/>
    <d v="2023-05-26T00:00:00"/>
  </r>
  <r>
    <n v="3634"/>
    <x v="4"/>
    <s v="Tech"/>
    <n v="22.812449079354735"/>
    <d v="2023-05-27T00:00:00"/>
  </r>
  <r>
    <n v="3635"/>
    <x v="0"/>
    <s v="Tech"/>
    <n v="3.4470872113064459"/>
    <d v="2023-05-28T00:00:00"/>
  </r>
  <r>
    <n v="3636"/>
    <x v="0"/>
    <s v="Tech"/>
    <n v="184.84288354898337"/>
    <d v="2023-05-29T00:00:00"/>
  </r>
  <r>
    <n v="3637"/>
    <x v="0"/>
    <s v="Tech"/>
    <n v="30.807147258163894"/>
    <d v="2023-05-30T00:00:00"/>
  </r>
  <r>
    <n v="3638"/>
    <x v="0"/>
    <s v="Tech"/>
    <n v="15.403573629081947"/>
    <d v="2023-05-31T00:00:00"/>
  </r>
  <r>
    <n v="3639"/>
    <x v="0"/>
    <s v="Tech"/>
    <n v="30.807147258163894"/>
    <d v="2023-06-01T00:00:00"/>
  </r>
  <r>
    <n v="3640"/>
    <x v="0"/>
    <s v="Tech"/>
    <n v="30.807147258163894"/>
    <d v="2023-06-02T00:00:00"/>
  </r>
  <r>
    <n v="3641"/>
    <x v="1"/>
    <s v="Apps"/>
    <n v="132.27513227513228"/>
    <d v="2023-06-03T00:00:00"/>
  </r>
  <r>
    <n v="3642"/>
    <x v="2"/>
    <s v="Tech"/>
    <n v="211.79709837975219"/>
    <d v="2023-06-04T00:00:00"/>
  </r>
  <r>
    <n v="3643"/>
    <x v="2"/>
    <s v="Apps"/>
    <n v="211.79709837975219"/>
    <d v="2023-06-05T00:00:00"/>
  </r>
  <r>
    <n v="3644"/>
    <x v="0"/>
    <s v="Tech"/>
    <n v="15.403573629081947"/>
    <d v="2023-06-06T00:00:00"/>
  </r>
  <r>
    <n v="3645"/>
    <x v="0"/>
    <s v="Tech"/>
    <n v="15.403573629081947"/>
    <d v="2023-06-07T00:00:00"/>
  </r>
  <r>
    <n v="3646"/>
    <x v="2"/>
    <s v="Tech"/>
    <n v="105.89854918987609"/>
    <d v="2023-06-08T00:00:00"/>
  </r>
  <r>
    <n v="3647"/>
    <x v="0"/>
    <s v="Tech"/>
    <n v="104.74430067775724"/>
    <d v="2023-06-09T00:00:00"/>
  </r>
  <r>
    <n v="3648"/>
    <x v="0"/>
    <s v="Tech"/>
    <n v="15.403573629081947"/>
    <d v="2023-06-10T00:00:00"/>
  </r>
  <r>
    <n v="3649"/>
    <x v="0"/>
    <s v="Tech"/>
    <n v="15.403573629081947"/>
    <d v="2023-06-11T00:00:00"/>
  </r>
  <r>
    <n v="3650"/>
    <x v="0"/>
    <s v="Tech"/>
    <n v="15.403573629081947"/>
    <d v="2023-06-12T00:00:00"/>
  </r>
  <r>
    <n v="3651"/>
    <x v="0"/>
    <s v="Tech"/>
    <n v="15.403573629081947"/>
    <d v="2023-06-13T00:00:00"/>
  </r>
  <r>
    <n v="3652"/>
    <x v="0"/>
    <s v="Tech"/>
    <n v="15.403573629081947"/>
    <d v="2023-06-14T00:00:00"/>
  </r>
  <r>
    <n v="3653"/>
    <x v="0"/>
    <s v="Tech"/>
    <n v="15.403573629081947"/>
    <d v="2023-06-15T00:00:00"/>
  </r>
  <r>
    <n v="3654"/>
    <x v="0"/>
    <s v="Tech"/>
    <n v="15.403573629081947"/>
    <d v="2023-06-16T00:00:00"/>
  </r>
  <r>
    <n v="3655"/>
    <x v="2"/>
    <s v="Apps"/>
    <n v="105.89854918987609"/>
    <d v="2023-06-17T00:00:00"/>
  </r>
  <r>
    <n v="3656"/>
    <x v="0"/>
    <s v="Tech"/>
    <n v="15.403573629081947"/>
    <d v="2023-06-18T00:00:00"/>
  </r>
  <r>
    <n v="3657"/>
    <x v="2"/>
    <s v="OFM"/>
    <n v="10.58985491898761"/>
    <d v="2023-06-19T00:00:00"/>
  </r>
  <r>
    <n v="3658"/>
    <x v="0"/>
    <s v="Tech"/>
    <n v="62.84658040665434"/>
    <d v="2023-06-20T00:00:00"/>
  </r>
  <r>
    <n v="3659"/>
    <x v="0"/>
    <s v="Tech"/>
    <n v="15.403573629081947"/>
    <d v="2023-06-21T00:00:00"/>
  </r>
  <r>
    <n v="3660"/>
    <x v="0"/>
    <s v="Tech"/>
    <n v="15.403573629081947"/>
    <d v="2023-06-22T00:00:00"/>
  </r>
  <r>
    <n v="3661"/>
    <x v="0"/>
    <s v="Tech"/>
    <n v="15.403573629081947"/>
    <d v="2023-06-23T00:00:00"/>
  </r>
  <r>
    <n v="3662"/>
    <x v="0"/>
    <s v="Tech"/>
    <n v="15.403573629081947"/>
    <d v="2023-06-24T00:00:00"/>
  </r>
  <r>
    <n v="3663"/>
    <x v="0"/>
    <s v="Tech"/>
    <n v="15.403573629081947"/>
    <d v="2023-06-25T00:00:00"/>
  </r>
  <r>
    <n v="3664"/>
    <x v="0"/>
    <s v="Tech"/>
    <n v="15.403573629081947"/>
    <d v="2023-06-26T00:00:00"/>
  </r>
  <r>
    <n v="3665"/>
    <x v="0"/>
    <s v="Tech"/>
    <n v="15.403573629081947"/>
    <d v="2023-06-27T00:00:00"/>
  </r>
  <r>
    <n v="3666"/>
    <x v="0"/>
    <s v="Tech"/>
    <n v="15.403573629081947"/>
    <d v="2023-06-28T00:00:00"/>
  </r>
  <r>
    <n v="3667"/>
    <x v="4"/>
    <s v="Tech"/>
    <n v="58.660583346912176"/>
    <d v="2023-06-29T00:00:00"/>
  </r>
  <r>
    <n v="3668"/>
    <x v="0"/>
    <s v="Tech"/>
    <n v="15.403573629081947"/>
    <d v="2023-06-30T00:00:00"/>
  </r>
  <r>
    <n v="3669"/>
    <x v="1"/>
    <s v="Tech"/>
    <n v="239.35185185185185"/>
    <d v="2023-07-01T00:00:00"/>
  </r>
  <r>
    <n v="3670"/>
    <x v="2"/>
    <s v="OFM"/>
    <n v="7.4128984432913265"/>
    <d v="2023-07-02T00:00:00"/>
  </r>
  <r>
    <n v="3671"/>
    <x v="0"/>
    <s v="Tech"/>
    <n v="15.403573629081947"/>
    <d v="2023-07-03T00:00:00"/>
  </r>
  <r>
    <n v="3672"/>
    <x v="0"/>
    <s v="Tech"/>
    <n v="15.403573629081947"/>
    <d v="2023-07-04T00:00:00"/>
  </r>
  <r>
    <n v="3673"/>
    <x v="0"/>
    <s v="Tech"/>
    <n v="53.912507701786815"/>
    <d v="2023-07-05T00:00:00"/>
  </r>
  <r>
    <n v="3674"/>
    <x v="2"/>
    <s v="Tech"/>
    <n v="52.949274594938046"/>
    <d v="2023-07-06T00:00:00"/>
  </r>
  <r>
    <n v="3675"/>
    <x v="1"/>
    <s v="Apps"/>
    <n v="0.66137566137566139"/>
    <d v="2023-07-07T00:00:00"/>
  </r>
  <r>
    <n v="3676"/>
    <x v="3"/>
    <s v="Tech"/>
    <n v="54.951596801817075"/>
    <d v="2023-07-08T00:00:00"/>
  </r>
  <r>
    <n v="3677"/>
    <x v="1"/>
    <s v="Tech"/>
    <n v="110.22927689594357"/>
    <d v="2023-07-09T00:00:00"/>
  </r>
  <r>
    <n v="3678"/>
    <x v="0"/>
    <s v="Tech"/>
    <n v="15.403573629081947"/>
    <d v="2023-07-10T00:00:00"/>
  </r>
  <r>
    <n v="3679"/>
    <x v="0"/>
    <s v="Tech"/>
    <n v="161.32368148914165"/>
    <d v="2023-07-11T00:00:00"/>
  </r>
  <r>
    <n v="3680"/>
    <x v="0"/>
    <s v="Tech"/>
    <n v="15.403573629081947"/>
    <d v="2023-07-12T00:00:00"/>
  </r>
  <r>
    <n v="3681"/>
    <x v="4"/>
    <s v="Tech"/>
    <n v="20.106240834283852"/>
    <d v="2023-07-13T00:00:00"/>
  </r>
  <r>
    <n v="3682"/>
    <x v="1"/>
    <s v="Tech"/>
    <n v="130"/>
    <d v="2023-07-14T00:00:00"/>
  </r>
  <r>
    <n v="3683"/>
    <x v="4"/>
    <s v="Apps"/>
    <n v="200.60985395602631"/>
    <d v="2023-07-15T00:00:00"/>
  </r>
  <r>
    <n v="3684"/>
    <x v="1"/>
    <s v="Tech"/>
    <n v="489.63844797178132"/>
    <d v="2023-07-16T00:00:00"/>
  </r>
  <r>
    <n v="3685"/>
    <x v="0"/>
    <s v="Tech"/>
    <n v="92.421441774491683"/>
    <d v="2023-07-17T00:00:00"/>
  </r>
  <r>
    <n v="3686"/>
    <x v="4"/>
    <s v="Apps"/>
    <n v="40.121970791205264"/>
    <d v="2023-07-18T00:00:00"/>
  </r>
  <r>
    <n v="3687"/>
    <x v="0"/>
    <s v="Apps"/>
    <n v="15.403573629081947"/>
    <d v="2023-07-19T00:00:00"/>
  </r>
  <r>
    <n v="3688"/>
    <x v="0"/>
    <s v="Tech"/>
    <n v="92.421441774491683"/>
    <d v="2023-07-20T00:00:00"/>
  </r>
  <r>
    <n v="3689"/>
    <x v="0"/>
    <s v="Tech"/>
    <n v="15.403573629081947"/>
    <d v="2023-07-21T00:00:00"/>
  </r>
  <r>
    <n v="3690"/>
    <x v="0"/>
    <s v="Tech"/>
    <n v="15.403573629081947"/>
    <d v="2023-07-22T00:00:00"/>
  </r>
  <r>
    <n v="3691"/>
    <x v="0"/>
    <s v="Tech"/>
    <n v="15.403573629081947"/>
    <d v="2023-07-23T00:00:00"/>
  </r>
  <r>
    <n v="3692"/>
    <x v="1"/>
    <s v="Apps"/>
    <n v="66.137566137566139"/>
    <d v="2023-07-24T00:00:00"/>
  </r>
  <r>
    <n v="3693"/>
    <x v="2"/>
    <s v="OFM"/>
    <n v="370.64492216456637"/>
    <d v="2023-07-25T00:00:00"/>
  </r>
  <r>
    <n v="3694"/>
    <x v="2"/>
    <s v="Tech"/>
    <n v="32.412284255732921"/>
    <d v="2023-07-26T00:00:00"/>
  </r>
  <r>
    <n v="3695"/>
    <x v="1"/>
    <s v="Tech"/>
    <n v="661.37566137566137"/>
    <d v="2023-07-27T00:00:00"/>
  </r>
  <r>
    <n v="3696"/>
    <x v="0"/>
    <s v="Tech"/>
    <n v="15.403573629081947"/>
    <d v="2023-07-28T00:00:00"/>
  </r>
  <r>
    <n v="3697"/>
    <x v="1"/>
    <s v="Tech"/>
    <n v="97.934215167548501"/>
    <d v="2023-07-29T00:00:00"/>
  </r>
  <r>
    <n v="3698"/>
    <x v="0"/>
    <s v="Tech"/>
    <n v="129.26577042399171"/>
    <d v="2023-07-30T00:00:00"/>
  </r>
  <r>
    <n v="3699"/>
    <x v="2"/>
    <s v="Tech"/>
    <n v="20.652335063009637"/>
    <d v="2023-07-31T00:00:00"/>
  </r>
  <r>
    <n v="3700"/>
    <x v="3"/>
    <s v="Tech"/>
    <n v="91.585994669695125"/>
    <d v="2023-08-01T00:00:00"/>
  </r>
  <r>
    <n v="3701"/>
    <x v="1"/>
    <s v="Apps"/>
    <n v="132.27513227513228"/>
    <d v="2023-08-02T00:00:00"/>
  </r>
  <r>
    <n v="3702"/>
    <x v="0"/>
    <s v="Apps"/>
    <n v="17.235436056532226"/>
    <d v="2023-08-03T00:00:00"/>
  </r>
  <r>
    <n v="3703"/>
    <x v="0"/>
    <s v="Tech"/>
    <n v="24.957640172520023"/>
    <d v="2023-08-04T00:00:00"/>
  </r>
  <r>
    <n v="3704"/>
    <x v="0"/>
    <s v="Tech"/>
    <n v="38.508934072704868"/>
    <d v="2023-08-05T00:00:00"/>
  </r>
  <r>
    <n v="3705"/>
    <x v="1"/>
    <s v="Tech"/>
    <n v="165.34391534391534"/>
    <d v="2023-08-06T00:00:00"/>
  </r>
  <r>
    <n v="3706"/>
    <x v="1"/>
    <s v="Apps"/>
    <n v="55.114638447971785"/>
    <d v="2023-08-07T00:00:00"/>
  </r>
  <r>
    <n v="3707"/>
    <x v="0"/>
    <s v="Tech"/>
    <n v="15.403573629081947"/>
    <d v="2023-08-08T00:00:00"/>
  </r>
  <r>
    <n v="3708"/>
    <x v="0"/>
    <s v="Tech"/>
    <n v="15.403573629081947"/>
    <d v="2023-08-09T00:00:00"/>
  </r>
  <r>
    <n v="3709"/>
    <x v="0"/>
    <s v="Tech"/>
    <n v="15.403573629081947"/>
    <d v="2023-08-10T00:00:00"/>
  </r>
  <r>
    <n v="3710"/>
    <x v="0"/>
    <s v="Tech"/>
    <n v="15.403573629081947"/>
    <d v="2023-08-11T00:00:00"/>
  </r>
  <r>
    <n v="3711"/>
    <x v="0"/>
    <s v="Tech"/>
    <n v="15.403573629081947"/>
    <d v="2023-08-12T00:00:00"/>
  </r>
  <r>
    <n v="3712"/>
    <x v="0"/>
    <s v="Tech"/>
    <n v="15.403573629081947"/>
    <d v="2023-08-13T00:00:00"/>
  </r>
  <r>
    <n v="3713"/>
    <x v="1"/>
    <s v="Apps"/>
    <n v="110.22927689594357"/>
    <d v="2023-08-14T00:00:00"/>
  </r>
  <r>
    <n v="3714"/>
    <x v="0"/>
    <s v="Tech"/>
    <n v="15.403573629081947"/>
    <d v="2023-08-15T00:00:00"/>
  </r>
  <r>
    <n v="3715"/>
    <x v="0"/>
    <s v="Tech"/>
    <n v="15.403573629081947"/>
    <d v="2023-08-16T00:00:00"/>
  </r>
  <r>
    <n v="3716"/>
    <x v="0"/>
    <s v="Tech"/>
    <n v="15.403573629081947"/>
    <d v="2023-08-17T00:00:00"/>
  </r>
  <r>
    <n v="3717"/>
    <x v="0"/>
    <s v="Tech"/>
    <n v="15.403573629081947"/>
    <d v="2023-08-18T00:00:00"/>
  </r>
  <r>
    <n v="3718"/>
    <x v="0"/>
    <s v="Tech"/>
    <n v="15.403573629081947"/>
    <d v="2023-08-19T00:00:00"/>
  </r>
  <r>
    <n v="3719"/>
    <x v="0"/>
    <s v="Tech"/>
    <n v="15.403573629081947"/>
    <d v="2023-08-20T00:00:00"/>
  </r>
  <r>
    <n v="3720"/>
    <x v="0"/>
    <s v="Tech"/>
    <n v="15.403573629081947"/>
    <d v="2023-08-21T00:00:00"/>
  </r>
  <r>
    <n v="3721"/>
    <x v="0"/>
    <s v="Tech"/>
    <n v="15.403573629081947"/>
    <d v="2023-08-22T00:00:00"/>
  </r>
  <r>
    <n v="3722"/>
    <x v="0"/>
    <s v="Tech"/>
    <n v="15.403573629081947"/>
    <d v="2023-08-23T00:00:00"/>
  </r>
  <r>
    <n v="3723"/>
    <x v="2"/>
    <s v="Apps"/>
    <n v="52.949274594938046"/>
    <d v="2023-08-24T00:00:00"/>
  </r>
  <r>
    <n v="3724"/>
    <x v="2"/>
    <s v="Apps"/>
    <n v="105.89854918987609"/>
    <d v="2023-08-25T00:00:00"/>
  </r>
  <r>
    <n v="3725"/>
    <x v="2"/>
    <s v="Tech"/>
    <n v="10.58985491898761"/>
    <d v="2023-08-26T00:00:00"/>
  </r>
  <r>
    <n v="3726"/>
    <x v="0"/>
    <s v="Tech"/>
    <n v="15.403573629081947"/>
    <d v="2023-08-27T00:00:00"/>
  </r>
  <r>
    <n v="3727"/>
    <x v="0"/>
    <s v="Tech"/>
    <n v="7.7017868145409736"/>
    <d v="2023-08-28T00:00:00"/>
  </r>
  <r>
    <n v="3728"/>
    <x v="0"/>
    <s v="Tech"/>
    <n v="15.403573629081947"/>
    <d v="2023-08-29T00:00:00"/>
  </r>
  <r>
    <n v="3729"/>
    <x v="0"/>
    <s v="Tech"/>
    <n v="15.403573629081947"/>
    <d v="2023-08-30T00:00:00"/>
  </r>
  <r>
    <n v="3730"/>
    <x v="0"/>
    <s v="Tech"/>
    <n v="15.403573629081947"/>
    <d v="2023-08-31T00:00:00"/>
  </r>
  <r>
    <n v="3731"/>
    <x v="0"/>
    <s v="Tech"/>
    <n v="15.403573629081947"/>
    <d v="2023-09-01T00:00:00"/>
  </r>
  <r>
    <n v="3732"/>
    <x v="0"/>
    <s v="OFM"/>
    <n v="1540.3573629081948"/>
    <d v="2023-09-02T00:00:00"/>
  </r>
  <r>
    <n v="3733"/>
    <x v="0"/>
    <s v="Tech"/>
    <n v="15.403573629081947"/>
    <d v="2023-09-03T00:00:00"/>
  </r>
  <r>
    <n v="3734"/>
    <x v="0"/>
    <s v="Tech"/>
    <n v="15.403573629081947"/>
    <d v="2023-09-04T00:00:00"/>
  </r>
  <r>
    <n v="3735"/>
    <x v="0"/>
    <s v="Tech"/>
    <n v="15.403573629081947"/>
    <d v="2023-09-05T00:00:00"/>
  </r>
  <r>
    <n v="3736"/>
    <x v="0"/>
    <s v="OFM"/>
    <n v="46.210720887245841"/>
    <d v="2023-09-06T00:00:00"/>
  </r>
  <r>
    <n v="3737"/>
    <x v="0"/>
    <s v="Tech"/>
    <n v="15.403573629081947"/>
    <d v="2023-09-07T00:00:00"/>
  </r>
  <r>
    <n v="3738"/>
    <x v="0"/>
    <s v="Tech"/>
    <n v="15.403573629081947"/>
    <d v="2023-09-08T00:00:00"/>
  </r>
  <r>
    <n v="3739"/>
    <x v="0"/>
    <s v="Tech"/>
    <n v="15.403573629081947"/>
    <d v="2023-09-09T00:00:00"/>
  </r>
  <r>
    <n v="3740"/>
    <x v="0"/>
    <s v="Tech"/>
    <n v="15.403573629081947"/>
    <d v="2023-09-10T00:00:00"/>
  </r>
  <r>
    <n v="3741"/>
    <x v="0"/>
    <s v="Tech"/>
    <n v="34.470872113064452"/>
    <d v="2023-09-11T00:00:00"/>
  </r>
  <r>
    <n v="3742"/>
    <x v="0"/>
    <s v="Tech"/>
    <n v="15.403573629081947"/>
    <d v="2023-09-12T00:00:00"/>
  </r>
  <r>
    <n v="3743"/>
    <x v="0"/>
    <s v="Tech"/>
    <n v="46.210720887245841"/>
    <d v="2023-09-13T00:00:00"/>
  </r>
  <r>
    <n v="3744"/>
    <x v="0"/>
    <s v="OFM"/>
    <n v="92.421441774491683"/>
    <d v="2023-09-14T00:00:00"/>
  </r>
  <r>
    <n v="3745"/>
    <x v="0"/>
    <s v="Tech"/>
    <n v="92.421441774491683"/>
    <d v="2023-09-15T00:00:00"/>
  </r>
  <r>
    <n v="3746"/>
    <x v="0"/>
    <s v="Apps"/>
    <n v="385.08934072704869"/>
    <d v="2023-09-16T00:00:00"/>
  </r>
  <r>
    <n v="3747"/>
    <x v="2"/>
    <s v="OFM"/>
    <n v="52.949274594938046"/>
    <d v="2023-09-17T00:00:00"/>
  </r>
  <r>
    <n v="3748"/>
    <x v="0"/>
    <s v="Apps"/>
    <n v="106.85970355049982"/>
    <d v="2023-09-18T00:00:00"/>
  </r>
  <r>
    <n v="3749"/>
    <x v="2"/>
    <s v="OFM"/>
    <n v="2117.970983797522"/>
    <d v="2023-09-19T00:00:00"/>
  </r>
  <r>
    <n v="3750"/>
    <x v="4"/>
    <s v="Tech"/>
    <n v="300"/>
    <d v="2023-09-20T00:00:00"/>
  </r>
  <r>
    <n v="3751"/>
    <x v="1"/>
    <s v="Apps"/>
    <n v="8.8183421516754841"/>
    <d v="2023-09-21T00:00:00"/>
  </r>
  <r>
    <n v="3752"/>
    <x v="1"/>
    <s v="Apps"/>
    <n v="33.06878306878307"/>
    <d v="2023-09-22T00:00:00"/>
  </r>
  <r>
    <n v="3753"/>
    <x v="4"/>
    <s v="Tech"/>
    <n v="0.55800000000000005"/>
    <d v="2023-09-23T00:00:00"/>
  </r>
  <r>
    <n v="3754"/>
    <x v="2"/>
    <s v="Apps"/>
    <n v="81.030710639332298"/>
    <d v="2023-09-24T00:00:00"/>
  </r>
  <r>
    <n v="3755"/>
    <x v="2"/>
    <s v="Apps"/>
    <n v="81.030710639332298"/>
    <d v="2023-09-25T00:00:00"/>
  </r>
  <r>
    <n v="3756"/>
    <x v="1"/>
    <s v="Tech"/>
    <n v="33.06878306878307"/>
    <d v="2023-09-26T00:00:00"/>
  </r>
  <r>
    <n v="3757"/>
    <x v="1"/>
    <s v="Apps"/>
    <n v="88.183421516754848"/>
    <d v="2023-09-27T00:00:00"/>
  </r>
  <r>
    <n v="3758"/>
    <x v="1"/>
    <s v="Tech"/>
    <n v="440.91710758377428"/>
    <d v="2023-09-28T00:00:00"/>
  </r>
  <r>
    <n v="3759"/>
    <x v="1"/>
    <s v="Tech"/>
    <n v="48.500881834215171"/>
    <d v="2023-09-29T00:00:00"/>
  </r>
  <r>
    <n v="3760"/>
    <x v="0"/>
    <s v="Tech"/>
    <n v="15.403573629081947"/>
    <d v="2023-09-30T00:00:00"/>
  </r>
  <r>
    <n v="3761"/>
    <x v="0"/>
    <s v="Tech"/>
    <n v="15.403573629081947"/>
    <d v="2023-10-01T00:00:00"/>
  </r>
  <r>
    <n v="3762"/>
    <x v="0"/>
    <s v="Tech"/>
    <n v="15.403573629081947"/>
    <d v="2023-10-02T00:00:00"/>
  </r>
  <r>
    <n v="3763"/>
    <x v="0"/>
    <s v="Tech"/>
    <n v="15.403573629081947"/>
    <d v="2023-10-03T00:00:00"/>
  </r>
  <r>
    <n v="3764"/>
    <x v="1"/>
    <s v="Tech"/>
    <n v="661.37566137566137"/>
    <d v="2023-10-04T00:00:00"/>
  </r>
  <r>
    <n v="3765"/>
    <x v="1"/>
    <s v="Tech"/>
    <n v="24.250440917107586"/>
    <d v="2023-10-05T00:00:00"/>
  </r>
  <r>
    <n v="3766"/>
    <x v="0"/>
    <s v="Tech"/>
    <n v="154.03573629081947"/>
    <d v="2023-10-06T00:00:00"/>
  </r>
  <r>
    <n v="3767"/>
    <x v="1"/>
    <s v="Tech"/>
    <n v="66.137566137566139"/>
    <d v="2023-10-07T00:00:00"/>
  </r>
  <r>
    <n v="3768"/>
    <x v="2"/>
    <s v="Apps"/>
    <n v="211.79709837975219"/>
    <d v="2023-10-08T00:00:00"/>
  </r>
  <r>
    <n v="3769"/>
    <x v="0"/>
    <s v="Tech"/>
    <n v="122.96994847943675"/>
    <d v="2023-10-09T00:00:00"/>
  </r>
  <r>
    <n v="3770"/>
    <x v="1"/>
    <s v="Tech"/>
    <n v="110.22927689594357"/>
    <d v="2023-10-10T00:00:00"/>
  </r>
  <r>
    <n v="3771"/>
    <x v="0"/>
    <s v="Tech"/>
    <n v="61.614294516327789"/>
    <d v="2023-10-11T00:00:00"/>
  </r>
  <r>
    <n v="3772"/>
    <x v="0"/>
    <s v="OFM"/>
    <n v="154.03573629081947"/>
    <d v="2023-10-12T00:00:00"/>
  </r>
  <r>
    <n v="3773"/>
    <x v="1"/>
    <s v="Tech"/>
    <n v="110.22927689594357"/>
    <d v="2023-10-13T00:00:00"/>
  </r>
  <r>
    <n v="3774"/>
    <x v="1"/>
    <s v="Tech"/>
    <n v="110.22927689594357"/>
    <d v="2023-10-14T00:00:00"/>
  </r>
  <r>
    <n v="3775"/>
    <x v="1"/>
    <s v="Apps"/>
    <n v="55.114638447971785"/>
    <d v="2023-10-15T00:00:00"/>
  </r>
  <r>
    <n v="3776"/>
    <x v="1"/>
    <s v="Tech"/>
    <n v="391.73677248677251"/>
    <d v="2023-10-16T00:00:00"/>
  </r>
  <r>
    <n v="3777"/>
    <x v="0"/>
    <s v="Apps"/>
    <n v="103.41261633919338"/>
    <d v="2023-10-17T00:00:00"/>
  </r>
  <r>
    <n v="3778"/>
    <x v="2"/>
    <s v="OFM"/>
    <n v="31.769564756962826"/>
    <d v="2023-10-18T00:00:00"/>
  </r>
  <r>
    <n v="3779"/>
    <x v="0"/>
    <s v="Tech"/>
    <n v="231.05360443622922"/>
    <d v="2023-10-19T00:00:00"/>
  </r>
  <r>
    <n v="3780"/>
    <x v="1"/>
    <s v="Apps"/>
    <n v="66.137566137566139"/>
    <d v="2023-10-20T00:00:00"/>
  </r>
  <r>
    <n v="3781"/>
    <x v="1"/>
    <s v="Apps"/>
    <n v="66.137566137566139"/>
    <d v="2023-10-21T00:00:00"/>
  </r>
  <r>
    <n v="3782"/>
    <x v="1"/>
    <s v="Tech"/>
    <n v="220.45855379188714"/>
    <d v="2023-10-22T00:00:00"/>
  </r>
  <r>
    <n v="3783"/>
    <x v="0"/>
    <s v="Tech"/>
    <n v="46.210720887245841"/>
    <d v="2023-10-23T00:00:00"/>
  </r>
  <r>
    <n v="3784"/>
    <x v="1"/>
    <s v="Tech"/>
    <n v="881.83421516754856"/>
    <d v="2023-10-24T00:00:00"/>
  </r>
  <r>
    <n v="3785"/>
    <x v="0"/>
    <s v="Apps"/>
    <n v="123.22858903265558"/>
    <d v="2023-10-25T00:00:00"/>
  </r>
  <r>
    <n v="3786"/>
    <x v="0"/>
    <s v="Systems"/>
    <n v="770.88124574409323"/>
    <d v="2023-10-26T00:00:00"/>
  </r>
  <r>
    <n v="3787"/>
    <x v="1"/>
    <s v="Tech"/>
    <n v="220.45855379188714"/>
    <d v="2023-10-27T00:00:00"/>
  </r>
  <r>
    <n v="3788"/>
    <x v="1"/>
    <s v="Tech"/>
    <n v="165.34391534391534"/>
    <d v="2023-10-28T00:00:00"/>
  </r>
  <r>
    <n v="3789"/>
    <x v="2"/>
    <s v="Tech"/>
    <n v="615.83340085892553"/>
    <d v="2023-10-29T00:00:00"/>
  </r>
  <r>
    <n v="3790"/>
    <x v="3"/>
    <s v="Tech"/>
    <n v="549.51596801817072"/>
    <d v="2023-10-30T00:00:00"/>
  </r>
  <r>
    <n v="3791"/>
    <x v="2"/>
    <s v="Tech"/>
    <n v="21.179709837975221"/>
    <d v="2023-10-31T00:00:00"/>
  </r>
  <r>
    <n v="3792"/>
    <x v="2"/>
    <s v="OFM"/>
    <n v="52.949274594938046"/>
    <d v="2023-11-01T00:00:00"/>
  </r>
  <r>
    <n v="3793"/>
    <x v="3"/>
    <s v="Tech"/>
    <n v="91.585994669695125"/>
    <d v="2023-11-02T00:00:00"/>
  </r>
  <r>
    <n v="3794"/>
    <x v="2"/>
    <s v="Tech"/>
    <n v="4.0515355319666151"/>
    <d v="2023-11-03T00:00:00"/>
  </r>
  <r>
    <n v="3795"/>
    <x v="0"/>
    <s v="Tech"/>
    <n v="41.365046535677351"/>
    <d v="2023-11-04T00:00:00"/>
  </r>
  <r>
    <n v="3796"/>
    <x v="4"/>
    <s v="Apps"/>
    <n v="28.404417039030776"/>
    <d v="2023-11-05T00:00:00"/>
  </r>
  <r>
    <n v="3797"/>
    <x v="1"/>
    <s v="Tech"/>
    <n v="10.824294532627865"/>
    <d v="2023-11-06T00:00:00"/>
  </r>
  <r>
    <n v="3798"/>
    <x v="4"/>
    <s v="Apps"/>
    <n v="60.871686497909678"/>
    <d v="2023-11-07T00:00:00"/>
  </r>
  <r>
    <n v="3799"/>
    <x v="4"/>
    <s v="Other"/>
    <n v="60.871686497909678"/>
    <d v="2023-11-08T00:00:00"/>
  </r>
  <r>
    <n v="3800"/>
    <x v="1"/>
    <s v="Tech"/>
    <n v="391.73721340388005"/>
    <d v="2023-11-09T00:00:00"/>
  </r>
  <r>
    <n v="3801"/>
    <x v="0"/>
    <s v="Apps"/>
    <n v="41.365046535677351"/>
    <d v="2023-11-10T00:00:00"/>
  </r>
  <r>
    <n v="3802"/>
    <x v="4"/>
    <s v="Tech"/>
    <n v="397.97491615748606"/>
    <d v="2023-11-11T00:00:00"/>
  </r>
  <r>
    <n v="3803"/>
    <x v="1"/>
    <s v="Tech"/>
    <n v="337.19135802469134"/>
    <d v="2023-11-12T00:00:00"/>
  </r>
  <r>
    <n v="3804"/>
    <x v="1"/>
    <s v="Tech"/>
    <n v="189.68306878306879"/>
    <d v="2023-11-13T00:00:00"/>
  </r>
  <r>
    <n v="3805"/>
    <x v="0"/>
    <s v="Tech"/>
    <n v="38.54406228720466"/>
    <d v="2023-11-14T00:00:00"/>
  </r>
  <r>
    <n v="3806"/>
    <x v="1"/>
    <s v="Tech"/>
    <n v="24.250440917107586"/>
    <d v="2023-11-15T00:00:00"/>
  </r>
  <r>
    <n v="3807"/>
    <x v="1"/>
    <s v="Tech"/>
    <n v="79.365079365079367"/>
    <d v="2023-11-16T00:00:00"/>
  </r>
  <r>
    <n v="3808"/>
    <x v="0"/>
    <s v="Tech"/>
    <n v="48.259220958290243"/>
    <d v="2023-11-17T00:00:00"/>
  </r>
  <r>
    <n v="3809"/>
    <x v="0"/>
    <s v="Apps"/>
    <n v="25.696041524803107"/>
    <d v="2023-11-18T00:00:00"/>
  </r>
  <r>
    <n v="3810"/>
    <x v="1"/>
    <s v="OFM"/>
    <n v="4.409171075837742"/>
    <d v="2023-11-19T00:00:00"/>
  </r>
  <r>
    <n v="3811"/>
    <x v="1"/>
    <s v="Apps"/>
    <n v="440.91710758377428"/>
    <d v="2023-11-20T00:00:00"/>
  </r>
  <r>
    <n v="3812"/>
    <x v="4"/>
    <s v="Tech"/>
    <n v="50"/>
    <d v="2023-11-21T00:00:00"/>
  </r>
  <r>
    <n v="3813"/>
    <x v="2"/>
    <s v="Tech"/>
    <n v="31.769564756962826"/>
    <d v="2023-11-22T00:00:00"/>
  </r>
  <r>
    <n v="3814"/>
    <x v="1"/>
    <s v="Apps"/>
    <n v="44.091710758377424"/>
    <d v="2023-11-23T00:00:00"/>
  </r>
  <r>
    <n v="3815"/>
    <x v="2"/>
    <s v="OFM"/>
    <n v="0"/>
    <d v="2023-11-24T00:00:00"/>
  </r>
  <r>
    <n v="3816"/>
    <x v="2"/>
    <s v="Tech"/>
    <n v="8.4718839351900872"/>
    <d v="2023-11-25T00:00:00"/>
  </r>
  <r>
    <n v="3817"/>
    <x v="4"/>
    <s v="Apps"/>
    <n v="100"/>
    <d v="2023-11-26T00:00:00"/>
  </r>
  <r>
    <n v="3818"/>
    <x v="4"/>
    <s v="Apps"/>
    <n v="83.842238250562772"/>
    <d v="2023-11-27T00:00:00"/>
  </r>
  <r>
    <n v="3819"/>
    <x v="1"/>
    <s v="Tech"/>
    <n v="60.045194003527335"/>
    <d v="2023-11-28T00:00:00"/>
  </r>
  <r>
    <n v="3820"/>
    <x v="4"/>
    <s v="Tech"/>
    <n v="34.218673619032103"/>
    <d v="2023-11-29T00:00:00"/>
  </r>
  <r>
    <n v="3821"/>
    <x v="4"/>
    <s v="OFM"/>
    <n v="70"/>
    <d v="2023-11-30T00:00:00"/>
  </r>
  <r>
    <n v="3822"/>
    <x v="4"/>
    <s v="Apps"/>
    <n v="200"/>
    <d v="2023-12-01T00:00:00"/>
  </r>
  <r>
    <n v="3823"/>
    <x v="0"/>
    <s v="OFM"/>
    <n v="27.576697690451567"/>
    <d v="2023-12-02T00:00:00"/>
  </r>
  <r>
    <n v="3824"/>
    <x v="0"/>
    <s v="Apps"/>
    <n v="16.173752310536045"/>
    <d v="2023-12-03T00:00:00"/>
  </r>
  <r>
    <n v="3825"/>
    <x v="4"/>
    <s v="Tech"/>
    <n v="128.32577637094704"/>
    <d v="2023-12-04T00:00:00"/>
  </r>
  <r>
    <n v="3826"/>
    <x v="4"/>
    <s v="Other"/>
    <n v="100"/>
    <d v="2023-12-05T00:00:00"/>
  </r>
  <r>
    <n v="3827"/>
    <x v="1"/>
    <s v="Apps"/>
    <n v="26.455026455026456"/>
    <d v="2023-12-06T00:00:00"/>
  </r>
  <r>
    <n v="3828"/>
    <x v="0"/>
    <s v="Tech"/>
    <n v="4.1365046535677346"/>
    <d v="2023-12-07T00:00:00"/>
  </r>
  <r>
    <n v="3829"/>
    <x v="1"/>
    <s v="Tech"/>
    <n v="330.68783068783068"/>
    <d v="2023-12-08T00:00:00"/>
  </r>
  <r>
    <n v="3830"/>
    <x v="0"/>
    <s v="Tech"/>
    <n v="77.017868145409736"/>
    <d v="2023-12-09T00:00:00"/>
  </r>
  <r>
    <n v="3831"/>
    <x v="4"/>
    <s v="Tech"/>
    <n v="26.071370376405412"/>
    <d v="2023-12-10T00:00:00"/>
  </r>
  <r>
    <n v="3832"/>
    <x v="0"/>
    <s v="Tech"/>
    <n v="154.03573629081947"/>
    <d v="2023-12-11T00:00:00"/>
  </r>
  <r>
    <n v="3833"/>
    <x v="4"/>
    <s v="Tech"/>
    <n v="32.904045223319756"/>
    <d v="2023-12-12T00:00:00"/>
  </r>
  <r>
    <n v="3834"/>
    <x v="0"/>
    <s v="Apps"/>
    <n v="68.941744226128904"/>
    <d v="2023-12-13T00:00:00"/>
  </r>
  <r>
    <n v="3835"/>
    <x v="1"/>
    <s v="Systems"/>
    <n v="440.91710758377428"/>
    <d v="2023-12-14T00:00:00"/>
  </r>
  <r>
    <n v="3836"/>
    <x v="1"/>
    <s v="Tech"/>
    <n v="9.0200617283950617"/>
    <d v="2023-12-15T00:00:00"/>
  </r>
  <r>
    <n v="3837"/>
    <x v="1"/>
    <s v="Tech"/>
    <n v="24.483575837742503"/>
    <d v="2023-12-16T00:00:00"/>
  </r>
  <r>
    <n v="3838"/>
    <x v="0"/>
    <s v="Apps"/>
    <n v="46.210720887245841"/>
    <d v="2023-12-17T00:00:00"/>
  </r>
  <r>
    <n v="3839"/>
    <x v="2"/>
    <s v="Apps"/>
    <n v="1588.4782378481414"/>
    <d v="2023-12-18T00:00:00"/>
  </r>
  <r>
    <n v="3840"/>
    <x v="2"/>
    <s v="Apps"/>
    <n v="1058.985491898761"/>
    <d v="2023-12-19T00:00:00"/>
  </r>
  <r>
    <n v="3841"/>
    <x v="2"/>
    <s v="Apps"/>
    <n v="201.20724346076457"/>
    <d v="2023-12-20T00:00:00"/>
  </r>
  <r>
    <n v="3842"/>
    <x v="0"/>
    <s v="Systems"/>
    <n v="34.470872113064452"/>
    <d v="2023-12-21T00:00:00"/>
  </r>
  <r>
    <n v="3843"/>
    <x v="3"/>
    <s v="Tech"/>
    <n v="50.189125078992923"/>
    <d v="2023-12-22T00:00:00"/>
  </r>
  <r>
    <n v="3844"/>
    <x v="4"/>
    <s v="Apps"/>
    <n v="201.3"/>
    <d v="2023-12-23T00:00:00"/>
  </r>
  <r>
    <n v="3845"/>
    <x v="4"/>
    <s v="Apps"/>
    <n v="100"/>
    <d v="2023-12-24T00:00:00"/>
  </r>
  <r>
    <n v="3846"/>
    <x v="0"/>
    <s v="Tech"/>
    <n v="22.652345406190175"/>
    <d v="2023-12-25T00:00:00"/>
  </r>
  <r>
    <n v="3847"/>
    <x v="1"/>
    <s v="Tech"/>
    <n v="97.938712522045861"/>
    <d v="2023-12-26T00:00:00"/>
  </r>
  <r>
    <n v="3848"/>
    <x v="3"/>
    <s v="OFM"/>
    <n v="9.1585994669695125"/>
    <d v="2023-12-27T00:00:00"/>
  </r>
  <r>
    <n v="3849"/>
    <x v="1"/>
    <s v="Apps"/>
    <n v="55.114638447971785"/>
    <d v="2023-12-28T00:00:00"/>
  </r>
  <r>
    <n v="3850"/>
    <x v="3"/>
    <s v="Tech"/>
    <n v="183.17198933939025"/>
    <d v="2023-12-29T00:00:00"/>
  </r>
  <r>
    <n v="3851"/>
    <x v="1"/>
    <s v="Apps"/>
    <n v="44.091710758377424"/>
    <d v="2023-12-30T00:00:00"/>
  </r>
  <r>
    <n v="3852"/>
    <x v="1"/>
    <s v="Apps"/>
    <n v="55.114638447971785"/>
    <d v="2023-12-31T00:00:00"/>
  </r>
  <r>
    <n v="3853"/>
    <x v="1"/>
    <s v="Tech"/>
    <n v="112.24801587301587"/>
    <d v="2024-01-01T00:00:00"/>
  </r>
  <r>
    <n v="3854"/>
    <x v="0"/>
    <s v="Tech"/>
    <n v="46.210720887245841"/>
    <d v="2024-01-02T00:00:00"/>
  </r>
  <r>
    <n v="3855"/>
    <x v="4"/>
    <s v="Tech"/>
    <n v="5.5"/>
    <d v="2024-01-03T00:00:00"/>
  </r>
  <r>
    <n v="3856"/>
    <x v="2"/>
    <s v="Apps"/>
    <n v="1058.985491898761"/>
    <d v="2024-01-04T00:00:00"/>
  </r>
  <r>
    <n v="3857"/>
    <x v="2"/>
    <s v="Tech"/>
    <n v="180.02753362278938"/>
    <d v="2024-01-05T00:00:00"/>
  </r>
  <r>
    <n v="3858"/>
    <x v="4"/>
    <s v="Apps"/>
    <n v="236.16750855466842"/>
    <d v="2024-01-06T00:00:00"/>
  </r>
  <r>
    <n v="3859"/>
    <x v="0"/>
    <s v="Apps"/>
    <n v="30.807147258163894"/>
    <d v="2024-01-07T00:00:00"/>
  </r>
  <r>
    <n v="3860"/>
    <x v="2"/>
    <s v="Tech"/>
    <n v="84.718839351900883"/>
    <d v="2024-01-08T00:00:00"/>
  </r>
  <r>
    <n v="3861"/>
    <x v="2"/>
    <s v="Tech"/>
    <n v="6.4068622259875037"/>
    <d v="2024-01-09T00:00:00"/>
  </r>
  <r>
    <n v="3862"/>
    <x v="0"/>
    <s v="Tech"/>
    <n v="1540.3573629081948"/>
    <d v="2024-01-10T00:00:00"/>
  </r>
  <r>
    <n v="3863"/>
    <x v="0"/>
    <s v="Tech"/>
    <n v="161.73752310536045"/>
    <d v="2024-01-11T00:00:00"/>
  </r>
  <r>
    <n v="3864"/>
    <x v="0"/>
    <s v="Tech"/>
    <n v="246.45717806531115"/>
    <d v="2024-01-12T00:00:00"/>
  </r>
  <r>
    <n v="3865"/>
    <x v="0"/>
    <s v="OFM"/>
    <n v="286.31646328852116"/>
    <d v="2024-01-13T00:00:00"/>
  </r>
  <r>
    <n v="3866"/>
    <x v="0"/>
    <s v="Tech"/>
    <n v="17.235436056532226"/>
    <d v="2024-01-14T00:00:00"/>
  </r>
  <r>
    <n v="3867"/>
    <x v="0"/>
    <s v="Apps"/>
    <n v="103.41261633919338"/>
    <d v="2024-01-15T00:00:00"/>
  </r>
  <r>
    <n v="3868"/>
    <x v="0"/>
    <s v="Tech"/>
    <n v="62.047569803516026"/>
    <d v="2024-01-16T00:00:00"/>
  </r>
  <r>
    <n v="3869"/>
    <x v="0"/>
    <s v="Apps"/>
    <n v="6.1614294516327792"/>
    <d v="2024-01-17T00:00:00"/>
  </r>
  <r>
    <n v="3870"/>
    <x v="0"/>
    <s v="Tech"/>
    <n v="6.4240103812007767"/>
    <d v="2024-01-18T00:00:00"/>
  </r>
  <r>
    <n v="3871"/>
    <x v="3"/>
    <s v="Tech"/>
    <n v="32.05509813439329"/>
    <d v="2024-01-19T00:00:00"/>
  </r>
  <r>
    <n v="3872"/>
    <x v="2"/>
    <s v="Apps"/>
    <n v="52.949274594938046"/>
    <d v="2024-01-20T00:00:00"/>
  </r>
  <r>
    <n v="3873"/>
    <x v="0"/>
    <s v="Apps"/>
    <n v="701.5019336271248"/>
    <d v="2024-01-21T00:00:00"/>
  </r>
  <r>
    <n v="3874"/>
    <x v="0"/>
    <s v="Tech"/>
    <n v="385.44062287204662"/>
    <d v="2024-01-22T00:00:00"/>
  </r>
  <r>
    <n v="3875"/>
    <x v="0"/>
    <s v="Tech"/>
    <n v="77.017868145409736"/>
    <d v="2024-01-23T00:00:00"/>
  </r>
  <r>
    <n v="3876"/>
    <x v="1"/>
    <s v="Tech"/>
    <n v="32.675999999999995"/>
    <d v="2024-01-24T00:00:00"/>
  </r>
  <r>
    <n v="3877"/>
    <x v="0"/>
    <s v="Apps"/>
    <n v="92.505749489291176"/>
    <d v="2024-01-25T00:00:00"/>
  </r>
  <r>
    <n v="3878"/>
    <x v="1"/>
    <s v="Apps"/>
    <n v="2.204585537918871"/>
    <d v="2024-01-26T00:00:00"/>
  </r>
  <r>
    <n v="3879"/>
    <x v="0"/>
    <s v="OFM"/>
    <n v="12.848020762401553"/>
    <d v="2024-01-27T00:00:00"/>
  </r>
  <r>
    <n v="3880"/>
    <x v="1"/>
    <s v="Tech"/>
    <n v="440.91710758377428"/>
    <d v="2024-01-28T00:00:00"/>
  </r>
  <r>
    <n v="3881"/>
    <x v="1"/>
    <s v="Apps"/>
    <n v="55.114638447971785"/>
    <d v="2024-01-29T00:00:00"/>
  </r>
  <r>
    <n v="3882"/>
    <x v="0"/>
    <s v="OFM"/>
    <n v="154.03573629081947"/>
    <d v="2024-01-30T00:00:00"/>
  </r>
  <r>
    <n v="3883"/>
    <x v="4"/>
    <s v="OFM"/>
    <n v="18.097224872825862"/>
    <d v="2024-01-31T00:00:00"/>
  </r>
  <r>
    <n v="3884"/>
    <x v="0"/>
    <s v="Apps"/>
    <n v="25.696041524803107"/>
    <d v="2024-02-01T00:00:00"/>
  </r>
  <r>
    <n v="3885"/>
    <x v="4"/>
    <s v="Tech"/>
    <n v="45.5"/>
    <d v="2024-02-02T00:00:00"/>
  </r>
  <r>
    <n v="3886"/>
    <x v="0"/>
    <s v="Tech"/>
    <n v="68.941744226128904"/>
    <d v="2024-02-03T00:00:00"/>
  </r>
  <r>
    <n v="3887"/>
    <x v="0"/>
    <s v="Tech"/>
    <n v="22.652345406190175"/>
    <d v="2024-02-04T00:00:00"/>
  </r>
  <r>
    <n v="3888"/>
    <x v="4"/>
    <s v="Apps"/>
    <n v="96.292729898892631"/>
    <d v="2024-02-05T00:00:00"/>
  </r>
  <r>
    <n v="3889"/>
    <x v="1"/>
    <s v="Apps"/>
    <n v="110.22927689594357"/>
    <d v="2024-02-06T00:00:00"/>
  </r>
  <r>
    <n v="3890"/>
    <x v="1"/>
    <s v="Apps"/>
    <n v="66.137566137566139"/>
    <d v="2024-02-07T00:00:00"/>
  </r>
  <r>
    <n v="3891"/>
    <x v="4"/>
    <s v="Apps"/>
    <n v="100"/>
    <d v="2024-02-08T00:00:00"/>
  </r>
  <r>
    <n v="3892"/>
    <x v="4"/>
    <s v="Other"/>
    <n v="200"/>
    <d v="2024-02-09T00:00:00"/>
  </r>
  <r>
    <n v="3893"/>
    <x v="0"/>
    <s v="Tech"/>
    <n v="77.017868145409736"/>
    <d v="2024-02-10T00:00:00"/>
  </r>
  <r>
    <n v="3894"/>
    <x v="4"/>
    <s v="Tech"/>
    <n v="48.883819455760147"/>
    <d v="2024-02-11T00:00:00"/>
  </r>
  <r>
    <n v="3895"/>
    <x v="4"/>
    <s v="Tech"/>
    <n v="71.696268535114882"/>
    <d v="2024-02-12T00:00:00"/>
  </r>
  <r>
    <n v="3896"/>
    <x v="4"/>
    <s v="Apps"/>
    <n v="100"/>
    <d v="2024-02-13T00:00:00"/>
  </r>
  <r>
    <n v="3897"/>
    <x v="0"/>
    <s v="OFM"/>
    <n v="8.993614533681086"/>
    <d v="2024-02-14T00:00:00"/>
  </r>
  <r>
    <n v="3898"/>
    <x v="0"/>
    <s v="Tech"/>
    <n v="84.719654959950716"/>
    <d v="2024-02-15T00:00:00"/>
  </r>
  <r>
    <n v="3899"/>
    <x v="0"/>
    <s v="Tech"/>
    <n v="12.848020762401553"/>
    <d v="2024-02-16T00:00:00"/>
  </r>
  <r>
    <n v="3900"/>
    <x v="0"/>
    <s v="Tech"/>
    <n v="422.05791743684534"/>
    <d v="2024-02-17T00:00:00"/>
  </r>
  <r>
    <n v="3901"/>
    <x v="0"/>
    <s v="Tech"/>
    <n v="52.372150338878619"/>
    <d v="2024-02-18T00:00:00"/>
  </r>
  <r>
    <n v="3902"/>
    <x v="0"/>
    <s v="Tech"/>
    <n v="8.617718028266113"/>
    <d v="2024-02-19T00:00:00"/>
  </r>
  <r>
    <n v="3903"/>
    <x v="0"/>
    <s v="Tech"/>
    <n v="123.22858903265558"/>
    <d v="2024-02-20T00:00:00"/>
  </r>
  <r>
    <n v="3904"/>
    <x v="1"/>
    <s v="Tech"/>
    <n v="5.0825837742504412"/>
    <d v="2024-02-21T00:00:00"/>
  </r>
  <r>
    <n v="3905"/>
    <x v="0"/>
    <s v="Tech"/>
    <n v="107.82501540357363"/>
    <d v="2024-02-22T00:00:00"/>
  </r>
  <r>
    <n v="3906"/>
    <x v="0"/>
    <s v="Tech"/>
    <n v="24.645717806531117"/>
    <d v="2024-02-23T00:00:00"/>
  </r>
  <r>
    <n v="3907"/>
    <x v="0"/>
    <s v="Apps"/>
    <n v="46.210720887245841"/>
    <d v="2024-02-24T00:00:00"/>
  </r>
  <r>
    <n v="3908"/>
    <x v="0"/>
    <s v="Tech"/>
    <n v="6.8941744226128918"/>
    <d v="2024-02-25T00:00:00"/>
  </r>
  <r>
    <n v="3909"/>
    <x v="4"/>
    <s v="OFM"/>
    <n v="27.3"/>
    <d v="2024-02-26T00:00:00"/>
  </r>
  <r>
    <n v="3910"/>
    <x v="0"/>
    <s v="Tech"/>
    <n v="51.392083049606214"/>
    <d v="2024-02-27T00:00:00"/>
  </r>
  <r>
    <n v="3911"/>
    <x v="0"/>
    <s v="Tech"/>
    <n v="32.12005190600388"/>
    <d v="2024-02-28T00:00:00"/>
  </r>
  <r>
    <n v="3912"/>
    <x v="0"/>
    <s v="Tech"/>
    <n v="42.359827479975358"/>
    <d v="2024-02-29T00:00:00"/>
  </r>
  <r>
    <n v="3913"/>
    <x v="4"/>
    <s v="OFM"/>
    <n v="197.4242713399185"/>
    <d v="2024-03-01T00:00:00"/>
  </r>
  <r>
    <n v="3914"/>
    <x v="1"/>
    <s v="Apps"/>
    <n v="2.204585537918871"/>
    <d v="2024-03-02T00:00:00"/>
  </r>
  <r>
    <n v="3915"/>
    <x v="0"/>
    <s v="Apps"/>
    <n v="86.177180282661155"/>
    <d v="2024-03-03T00:00:00"/>
  </r>
  <r>
    <n v="3916"/>
    <x v="0"/>
    <s v="Tech"/>
    <n v="92.421441774491683"/>
    <d v="2024-03-04T00:00:00"/>
  </r>
  <r>
    <n v="3917"/>
    <x v="1"/>
    <s v="Apps"/>
    <n v="33.06878306878307"/>
    <d v="2024-03-05T00:00:00"/>
  </r>
  <r>
    <n v="3918"/>
    <x v="0"/>
    <s v="Apps"/>
    <n v="24.260628465804068"/>
    <d v="2024-03-06T00:00:00"/>
  </r>
  <r>
    <n v="3919"/>
    <x v="2"/>
    <s v="Tech"/>
    <n v="84.718839351900883"/>
    <d v="2024-03-07T00:00:00"/>
  </r>
  <r>
    <n v="3920"/>
    <x v="1"/>
    <s v="Apps"/>
    <n v="110.22927689594357"/>
    <d v="2024-03-08T00:00:00"/>
  </r>
  <r>
    <n v="3921"/>
    <x v="1"/>
    <s v="Apps"/>
    <n v="66.137566137566139"/>
    <d v="2024-03-09T00:00:00"/>
  </r>
  <r>
    <n v="3922"/>
    <x v="2"/>
    <s v="Apps"/>
    <n v="21.179709837975221"/>
    <d v="2024-03-10T00:00:00"/>
  </r>
  <r>
    <n v="3923"/>
    <x v="4"/>
    <s v="Apps"/>
    <n v="16.048788316482106"/>
    <d v="2024-03-11T00:00:00"/>
  </r>
  <r>
    <n v="3924"/>
    <x v="2"/>
    <s v="Tech"/>
    <n v="48.618426383599385"/>
    <d v="2024-03-12T00:00:00"/>
  </r>
  <r>
    <n v="3925"/>
    <x v="1"/>
    <s v="Tech"/>
    <n v="176.3668430335097"/>
    <d v="2024-03-13T00:00:00"/>
  </r>
  <r>
    <n v="3926"/>
    <x v="0"/>
    <s v="Apps"/>
    <n v="154.03573629081947"/>
    <d v="2024-03-14T00:00:00"/>
  </r>
  <r>
    <n v="3927"/>
    <x v="1"/>
    <s v="Apps"/>
    <n v="88.183421516754848"/>
    <d v="2024-03-15T00:00:00"/>
  </r>
  <r>
    <n v="3928"/>
    <x v="1"/>
    <s v="Apps"/>
    <n v="66.137566137566139"/>
    <d v="2024-03-16T00:00:00"/>
  </r>
  <r>
    <n v="3929"/>
    <x v="4"/>
    <s v="Apps"/>
    <n v="32.097576632964213"/>
    <d v="2024-03-17T00:00:00"/>
  </r>
  <r>
    <n v="3930"/>
    <x v="1"/>
    <s v="Apps"/>
    <n v="661.37566137566137"/>
    <d v="2024-03-18T00:00:00"/>
  </r>
  <r>
    <n v="3931"/>
    <x v="1"/>
    <s v="Apps"/>
    <n v="48.500881834215171"/>
    <d v="2024-03-19T00:00:00"/>
  </r>
  <r>
    <n v="3932"/>
    <x v="0"/>
    <s v="Tech"/>
    <n v="53.912507701786815"/>
    <d v="2024-03-20T00:00:00"/>
  </r>
  <r>
    <n v="3933"/>
    <x v="0"/>
    <s v="Apps"/>
    <n v="102.78416609921243"/>
    <d v="2024-03-21T00:00:00"/>
  </r>
  <r>
    <n v="3934"/>
    <x v="0"/>
    <s v="Tech"/>
    <n v="41.11366643968497"/>
    <d v="2024-03-22T00:00:00"/>
  </r>
  <r>
    <n v="3935"/>
    <x v="1"/>
    <s v="Apps"/>
    <n v="55.114638447971785"/>
    <d v="2024-03-23T00:00:00"/>
  </r>
  <r>
    <n v="3936"/>
    <x v="0"/>
    <s v="Apps"/>
    <n v="50"/>
    <d v="2024-03-24T00:00:00"/>
  </r>
  <r>
    <n v="3937"/>
    <x v="0"/>
    <s v="Tech"/>
    <n v="51.392083049606214"/>
    <d v="2024-03-25T00:00:00"/>
  </r>
  <r>
    <n v="3938"/>
    <x v="2"/>
    <s v="Apps"/>
    <n v="105.89854918987609"/>
    <d v="2024-03-26T00:00:00"/>
  </r>
  <r>
    <n v="3939"/>
    <x v="2"/>
    <s v="Apps"/>
    <n v="132.37318648734512"/>
    <d v="2024-03-27T00:00:00"/>
  </r>
  <r>
    <n v="3940"/>
    <x v="2"/>
    <s v="Tech"/>
    <n v="40.515355319666149"/>
    <d v="2024-03-28T00:00:00"/>
  </r>
  <r>
    <n v="3941"/>
    <x v="0"/>
    <s v="Tech"/>
    <n v="34.470872113064452"/>
    <d v="2024-03-29T00:00:00"/>
  </r>
  <r>
    <n v="3942"/>
    <x v="0"/>
    <s v="Tech"/>
    <n v="256.96041524803104"/>
    <d v="2024-03-30T00:00:00"/>
  </r>
  <r>
    <n v="3943"/>
    <x v="4"/>
    <s v="Apps"/>
    <n v="37.269662792300274"/>
    <d v="2024-03-31T00:00:00"/>
  </r>
  <r>
    <n v="3944"/>
    <x v="4"/>
    <s v="Tech"/>
    <n v="3.77"/>
    <d v="2024-04-01T00:00:00"/>
  </r>
  <r>
    <n v="3945"/>
    <x v="0"/>
    <s v="Tech"/>
    <n v="38.508934072704868"/>
    <d v="2024-04-02T00:00:00"/>
  </r>
  <r>
    <n v="3946"/>
    <x v="4"/>
    <s v="Apps"/>
    <n v="120.3659123736158"/>
    <d v="2024-04-03T00:00:00"/>
  </r>
  <r>
    <n v="3947"/>
    <x v="4"/>
    <s v="Tech"/>
    <n v="798.96659605670538"/>
    <d v="2024-04-04T00:00:00"/>
  </r>
  <r>
    <n v="3948"/>
    <x v="1"/>
    <s v="Tech"/>
    <n v="195.868430335097"/>
    <d v="2024-04-05T00:00:00"/>
  </r>
  <r>
    <n v="3949"/>
    <x v="2"/>
    <s v="Apps"/>
    <n v="211.79709837975219"/>
    <d v="2024-04-06T00:00:00"/>
  </r>
  <r>
    <n v="3950"/>
    <x v="0"/>
    <s v="OFM"/>
    <n v="30.807147258163894"/>
    <d v="2024-04-07T00:00:00"/>
  </r>
  <r>
    <n v="3951"/>
    <x v="2"/>
    <s v="Apps"/>
    <n v="51.195594620353702"/>
    <d v="2024-04-08T00:00:00"/>
  </r>
  <r>
    <n v="3952"/>
    <x v="4"/>
    <s v="Systems"/>
    <n v="600"/>
    <d v="2024-04-09T00:00:00"/>
  </r>
  <r>
    <n v="3953"/>
    <x v="1"/>
    <s v="Apps"/>
    <n v="66.137566137566139"/>
    <d v="2024-04-10T00:00:00"/>
  </r>
  <r>
    <n v="3954"/>
    <x v="4"/>
    <s v="Other"/>
    <n v="299.7"/>
    <d v="2024-04-11T00:00:00"/>
  </r>
  <r>
    <n v="3955"/>
    <x v="0"/>
    <s v="Tech"/>
    <n v="24.645717806531117"/>
    <d v="2024-04-12T00:00:00"/>
  </r>
  <r>
    <n v="3956"/>
    <x v="0"/>
    <s v="Apps"/>
    <n v="107.82501540357363"/>
    <d v="2024-04-13T00:00:00"/>
  </r>
  <r>
    <n v="3957"/>
    <x v="2"/>
    <s v="Tech"/>
    <n v="211.79709837975219"/>
    <d v="2024-04-14T00:00:00"/>
  </r>
  <r>
    <n v="3958"/>
    <x v="0"/>
    <s v="Tech"/>
    <n v="154.03573629081947"/>
    <d v="2024-04-15T00:00:00"/>
  </r>
  <r>
    <n v="3959"/>
    <x v="1"/>
    <s v="Apps"/>
    <n v="66.137566137566139"/>
    <d v="2024-04-16T00:00:00"/>
  </r>
  <r>
    <n v="3960"/>
    <x v="1"/>
    <s v="Apps"/>
    <n v="44.091710758377424"/>
    <d v="2024-04-17T00:00:00"/>
  </r>
  <r>
    <n v="3961"/>
    <x v="1"/>
    <s v="Apps"/>
    <n v="44.091710758377424"/>
    <d v="2024-04-18T00:00:00"/>
  </r>
  <r>
    <n v="3962"/>
    <x v="1"/>
    <s v="Apps"/>
    <n v="55.114638447971785"/>
    <d v="2024-04-19T00:00:00"/>
  </r>
  <r>
    <n v="3963"/>
    <x v="1"/>
    <s v="Apps"/>
    <n v="44.091710758377424"/>
    <d v="2024-04-20T00:00:00"/>
  </r>
  <r>
    <n v="3964"/>
    <x v="0"/>
    <s v="OFM"/>
    <n v="62.047569803516026"/>
    <d v="2024-04-21T00:00:00"/>
  </r>
  <r>
    <n v="3965"/>
    <x v="1"/>
    <s v="Apps"/>
    <n v="220.45855379188714"/>
    <d v="2024-04-22T00:00:00"/>
  </r>
  <r>
    <n v="3966"/>
    <x v="1"/>
    <s v="Tech"/>
    <n v="881.83421516754856"/>
    <d v="2024-04-23T00:00:00"/>
  </r>
  <r>
    <n v="3967"/>
    <x v="0"/>
    <s v="Apps"/>
    <n v="23.105360443622921"/>
    <d v="2024-04-24T00:00:00"/>
  </r>
  <r>
    <n v="3968"/>
    <x v="0"/>
    <s v="Apps"/>
    <n v="23.105360443622921"/>
    <d v="2024-04-25T00:00:00"/>
  </r>
  <r>
    <n v="3969"/>
    <x v="1"/>
    <s v="Tech"/>
    <n v="2.4162257495590831"/>
    <d v="2024-04-26T00:00:00"/>
  </r>
  <r>
    <n v="3970"/>
    <x v="1"/>
    <s v="Tech"/>
    <n v="220.45855379188714"/>
    <d v="2024-04-27T00:00:00"/>
  </r>
  <r>
    <n v="3971"/>
    <x v="1"/>
    <s v="Apps"/>
    <n v="66.137566137566139"/>
    <d v="2024-04-28T00:00:00"/>
  </r>
  <r>
    <n v="3972"/>
    <x v="3"/>
    <s v="Tech"/>
    <n v="91.585994669695125"/>
    <d v="2024-04-29T00:00:00"/>
  </r>
  <r>
    <n v="3973"/>
    <x v="4"/>
    <s v="Tech"/>
    <n v="100"/>
    <d v="2024-04-30T00:00:00"/>
  </r>
  <r>
    <n v="3974"/>
    <x v="3"/>
    <s v="OFM"/>
    <n v="27.475798400908538"/>
    <d v="2024-05-01T00:00:00"/>
  </r>
  <r>
    <n v="3975"/>
    <x v="0"/>
    <s v="Apps"/>
    <n v="154.03573629081947"/>
    <d v="2024-05-02T00:00:00"/>
  </r>
  <r>
    <n v="3976"/>
    <x v="0"/>
    <s v="Apps"/>
    <n v="154.03573629081947"/>
    <d v="2024-05-03T00:00:00"/>
  </r>
  <r>
    <n v="3977"/>
    <x v="3"/>
    <s v="Tech"/>
    <n v="27.475798400908538"/>
    <d v="2024-05-04T00:00:00"/>
  </r>
  <r>
    <n v="3978"/>
    <x v="1"/>
    <s v="Tech"/>
    <n v="110.22927689594357"/>
    <d v="2024-05-05T00:00:00"/>
  </r>
  <r>
    <n v="3979"/>
    <x v="0"/>
    <s v="Tech"/>
    <n v="46.210720887245841"/>
    <d v="2024-05-06T00:00:00"/>
  </r>
  <r>
    <n v="3980"/>
    <x v="1"/>
    <s v="Apps"/>
    <n v="44.091710758377424"/>
    <d v="2024-05-07T00:00:00"/>
  </r>
  <r>
    <n v="3981"/>
    <x v="0"/>
    <s v="Tech"/>
    <n v="7.7017868145409736"/>
    <d v="2024-05-08T00:00:00"/>
  </r>
  <r>
    <n v="3982"/>
    <x v="1"/>
    <s v="Tech"/>
    <n v="88.183421516754848"/>
    <d v="2024-05-09T00:00:00"/>
  </r>
  <r>
    <n v="3983"/>
    <x v="0"/>
    <s v="Tech"/>
    <n v="154.03573629081947"/>
    <d v="2024-05-10T00:00:00"/>
  </r>
  <r>
    <n v="3984"/>
    <x v="2"/>
    <s v="Apps"/>
    <n v="21.179709837975221"/>
    <d v="2024-05-11T00:00:00"/>
  </r>
  <r>
    <n v="3985"/>
    <x v="4"/>
    <s v="Apps"/>
    <n v="45.941103505306202"/>
    <d v="2024-05-12T00:00:00"/>
  </r>
  <r>
    <n v="3986"/>
    <x v="1"/>
    <s v="Tech"/>
    <n v="132.27513227513228"/>
    <d v="2024-05-13T00:00:00"/>
  </r>
  <r>
    <n v="3987"/>
    <x v="1"/>
    <s v="Tech"/>
    <n v="24.801587301587301"/>
    <d v="2024-05-14T00:00:00"/>
  </r>
  <r>
    <n v="3988"/>
    <x v="1"/>
    <s v="Tech"/>
    <n v="156.52557319223985"/>
    <d v="2024-05-15T00:00:00"/>
  </r>
  <r>
    <n v="3989"/>
    <x v="1"/>
    <s v="OFM"/>
    <n v="110.22927689594357"/>
    <d v="2024-05-16T00:00:00"/>
  </r>
  <r>
    <n v="3990"/>
    <x v="2"/>
    <s v="Tech"/>
    <n v="158.84782378481412"/>
    <d v="2024-05-17T00:00:00"/>
  </r>
  <r>
    <n v="3991"/>
    <x v="0"/>
    <s v="OFM"/>
    <n v="8.617718028266113"/>
    <d v="2024-05-18T00:00:00"/>
  </r>
  <r>
    <n v="3992"/>
    <x v="3"/>
    <s v="Tech"/>
    <n v="119.06179307060366"/>
    <d v="2024-05-19T00:00:00"/>
  </r>
  <r>
    <n v="3993"/>
    <x v="1"/>
    <s v="Tech"/>
    <n v="119.46649029982363"/>
    <d v="2024-05-20T00:00:00"/>
  </r>
  <r>
    <n v="3994"/>
    <x v="0"/>
    <s v="Tech"/>
    <n v="46.210720887245841"/>
    <d v="2024-05-21T00:00:00"/>
  </r>
  <r>
    <n v="3995"/>
    <x v="4"/>
    <s v="Tech"/>
    <n v="20.480896310929388"/>
    <d v="2024-05-22T00:00:00"/>
  </r>
  <r>
    <n v="3996"/>
    <x v="3"/>
    <s v="Tech"/>
    <n v="549.51596801817072"/>
    <d v="2024-05-23T00:00:00"/>
  </r>
  <r>
    <n v="3997"/>
    <x v="1"/>
    <s v="Tech"/>
    <n v="661.37566137566137"/>
    <d v="2024-05-24T00:00:00"/>
  </r>
  <r>
    <n v="3998"/>
    <x v="1"/>
    <s v="Tech"/>
    <n v="661.37566137566137"/>
    <d v="2024-05-25T00:00:00"/>
  </r>
  <r>
    <n v="3999"/>
    <x v="2"/>
    <s v="Apps"/>
    <n v="264.74637297469025"/>
    <d v="2024-05-26T00:00:00"/>
  </r>
  <r>
    <n v="4000"/>
    <x v="0"/>
    <s v="Tech"/>
    <n v="231.05360443622922"/>
    <d v="2024-05-27T00:00:00"/>
  </r>
  <r>
    <n v="4001"/>
    <x v="2"/>
    <s v="Apps"/>
    <n v="42.359419675950441"/>
    <d v="2024-05-28T00:00:00"/>
  </r>
  <r>
    <n v="4002"/>
    <x v="4"/>
    <s v="Tech"/>
    <n v="0"/>
    <d v="2024-05-29T00:00:00"/>
  </r>
  <r>
    <n v="4003"/>
    <x v="0"/>
    <s v="Apps"/>
    <n v="61.614294516327789"/>
    <d v="2024-05-30T00:00:00"/>
  </r>
  <r>
    <n v="4004"/>
    <x v="0"/>
    <s v="Tech"/>
    <n v="79.362288865908297"/>
    <d v="2024-05-31T00:00:00"/>
  </r>
  <r>
    <n v="4005"/>
    <x v="2"/>
    <s v="Tech"/>
    <n v="63.539129513925651"/>
    <d v="2024-06-01T00:00:00"/>
  </r>
  <r>
    <n v="4006"/>
    <x v="2"/>
    <s v="Apps"/>
    <n v="42.359419675950441"/>
    <d v="2024-06-02T00:00:00"/>
  </r>
  <r>
    <n v="4007"/>
    <x v="2"/>
    <s v="Tech"/>
    <n v="317.69564756962825"/>
    <d v="2024-06-03T00:00:00"/>
  </r>
  <r>
    <n v="4008"/>
    <x v="1"/>
    <s v="Tech"/>
    <n v="52.910052910052912"/>
    <d v="2024-06-04T00:00:00"/>
  </r>
  <r>
    <n v="4009"/>
    <x v="0"/>
    <s v="Tech"/>
    <n v="154.03573629081947"/>
    <d v="2024-06-05T00:00:00"/>
  </r>
  <r>
    <n v="4010"/>
    <x v="0"/>
    <s v="Apps"/>
    <n v="18.484288354898336"/>
    <d v="2024-06-06T00:00:00"/>
  </r>
  <r>
    <n v="4011"/>
    <x v="4"/>
    <s v="OFM"/>
    <n v="2.1633766650617878"/>
    <d v="2024-06-07T00:00:00"/>
  </r>
  <r>
    <n v="4012"/>
    <x v="1"/>
    <s v="Apps"/>
    <n v="33.06878306878307"/>
    <d v="2024-06-08T00:00:00"/>
  </r>
  <r>
    <n v="4013"/>
    <x v="1"/>
    <s v="Apps"/>
    <n v="44.091710758377424"/>
    <d v="2024-06-09T00:00:00"/>
  </r>
  <r>
    <n v="4014"/>
    <x v="1"/>
    <s v="Apps"/>
    <n v="88.183421516754848"/>
    <d v="2024-06-10T00:00:00"/>
  </r>
  <r>
    <n v="4015"/>
    <x v="2"/>
    <s v="Tech"/>
    <n v="423.59419675950437"/>
    <d v="2024-06-11T00:00:00"/>
  </r>
  <r>
    <n v="4016"/>
    <x v="2"/>
    <s v="Apps"/>
    <n v="1.0589854918987609E-5"/>
    <d v="2024-06-12T00:00:00"/>
  </r>
  <r>
    <n v="4017"/>
    <x v="2"/>
    <s v="Tech"/>
    <n v="317.69564756962825"/>
    <d v="2024-06-13T00:00:00"/>
  </r>
  <r>
    <n v="4018"/>
    <x v="3"/>
    <s v="Tech"/>
    <n v="54.951596801817075"/>
    <d v="2024-06-14T00:00:00"/>
  </r>
  <r>
    <n v="4019"/>
    <x v="1"/>
    <s v="Apps"/>
    <n v="26.455026455026456"/>
    <d v="2024-06-15T00:00:00"/>
  </r>
  <r>
    <n v="4020"/>
    <x v="3"/>
    <s v="Tech"/>
    <n v="27.475798400908538"/>
    <d v="2024-06-16T00:00:00"/>
  </r>
  <r>
    <n v="4021"/>
    <x v="3"/>
    <s v="Tech"/>
    <n v="27.475798400908538"/>
    <d v="2024-06-17T00:00:00"/>
  </r>
  <r>
    <n v="4022"/>
    <x v="1"/>
    <s v="Tech"/>
    <n v="110.22927689594357"/>
    <d v="2024-06-18T00:00:00"/>
  </r>
  <r>
    <n v="4023"/>
    <x v="4"/>
    <s v="Apps"/>
    <n v="15.246348900658001"/>
    <d v="2024-06-19T00:00:00"/>
  </r>
  <r>
    <n v="4024"/>
    <x v="0"/>
    <s v="Apps"/>
    <n v="770.17868145409739"/>
    <d v="2024-06-20T00:00:00"/>
  </r>
  <r>
    <n v="4025"/>
    <x v="0"/>
    <s v="Tech"/>
    <n v="77.017868145409736"/>
    <d v="2024-06-21T00:00:00"/>
  </r>
  <r>
    <n v="4026"/>
    <x v="0"/>
    <s v="Apps"/>
    <n v="154.03573629081947"/>
    <d v="2024-06-22T00:00:00"/>
  </r>
  <r>
    <n v="4027"/>
    <x v="1"/>
    <s v="Tech"/>
    <n v="264.55026455026456"/>
    <d v="2024-06-23T00:00:00"/>
  </r>
  <r>
    <n v="4028"/>
    <x v="4"/>
    <s v="Systems"/>
    <n v="70.614668592521269"/>
    <d v="2024-06-24T00:00:00"/>
  </r>
  <r>
    <n v="4029"/>
    <x v="1"/>
    <s v="Apps"/>
    <n v="55.114638447971785"/>
    <d v="2024-06-25T00:00:00"/>
  </r>
  <r>
    <n v="4030"/>
    <x v="0"/>
    <s v="Apps"/>
    <n v="77.017868145409736"/>
    <d v="2024-06-26T00:00:00"/>
  </r>
  <r>
    <n v="4031"/>
    <x v="0"/>
    <s v="Apps"/>
    <n v="77.017868145409736"/>
    <d v="2024-06-27T00:00:00"/>
  </r>
  <r>
    <n v="4032"/>
    <x v="4"/>
    <s v="Apps"/>
    <n v="120.3659123736158"/>
    <d v="2024-06-28T00:00:00"/>
  </r>
  <r>
    <n v="4033"/>
    <x v="4"/>
    <s v="Tech"/>
    <n v="380"/>
    <d v="2024-06-29T00:00:00"/>
  </r>
  <r>
    <n v="4034"/>
    <x v="0"/>
    <s v="Tech"/>
    <n v="246.45717806531115"/>
    <d v="2024-06-30T00:00:00"/>
  </r>
  <r>
    <n v="4035"/>
    <x v="0"/>
    <s v="Apps"/>
    <n v="77.017868145409736"/>
    <d v="2024-07-01T00:00:00"/>
  </r>
  <r>
    <n v="4036"/>
    <x v="3"/>
    <s v="OFM"/>
    <n v="18.317198933939025"/>
    <d v="2024-07-02T00:00:00"/>
  </r>
  <r>
    <n v="4037"/>
    <x v="1"/>
    <s v="Tech"/>
    <n v="3527.3368606701943"/>
    <d v="2024-07-03T00:00:00"/>
  </r>
  <r>
    <n v="4038"/>
    <x v="2"/>
    <s v="OFM"/>
    <n v="52.949274594938046"/>
    <d v="2024-07-04T00:00:00"/>
  </r>
  <r>
    <n v="4039"/>
    <x v="2"/>
    <s v="OFM"/>
    <n v="102.90900251195202"/>
    <d v="2024-07-05T00:00:00"/>
  </r>
  <r>
    <n v="4040"/>
    <x v="2"/>
    <s v="Apps"/>
    <n v="130.25521550354759"/>
    <d v="2024-07-06T00:00:00"/>
  </r>
  <r>
    <n v="4041"/>
    <x v="2"/>
    <s v="Apps"/>
    <n v="18.108651911468812"/>
    <d v="2024-07-07T00:00:00"/>
  </r>
  <r>
    <n v="4042"/>
    <x v="2"/>
    <s v="Apps"/>
    <n v="476.54347135444243"/>
    <d v="2024-07-08T00:00:00"/>
  </r>
  <r>
    <n v="4043"/>
    <x v="0"/>
    <s v="Apps"/>
    <n v="174.95378927911275"/>
    <d v="2024-07-09T00:00:00"/>
  </r>
  <r>
    <n v="4044"/>
    <x v="0"/>
    <s v="Apps"/>
    <n v="159.34411583487369"/>
    <d v="2024-07-10T00:00:00"/>
  </r>
  <r>
    <n v="4045"/>
    <x v="3"/>
    <s v="Tech"/>
    <n v="183.17198933939025"/>
    <d v="2024-07-11T00:00:00"/>
  </r>
  <r>
    <n v="4046"/>
    <x v="1"/>
    <s v="Apps"/>
    <n v="44.091710758377424"/>
    <d v="2024-07-12T00:00:00"/>
  </r>
  <r>
    <n v="4047"/>
    <x v="0"/>
    <s v="OFM"/>
    <n v="241.29610479145123"/>
    <d v="2024-07-13T00:00:00"/>
  </r>
  <r>
    <n v="4048"/>
    <x v="3"/>
    <s v="Apps"/>
    <n v="170"/>
    <d v="2024-07-14T00:00:00"/>
  </r>
  <r>
    <n v="4049"/>
    <x v="1"/>
    <s v="Apps"/>
    <n v="2.2266313932980597E-5"/>
    <d v="2024-07-15T00:00:00"/>
  </r>
  <r>
    <n v="4050"/>
    <x v="2"/>
    <s v="OFM"/>
    <n v="200"/>
    <d v="2024-07-16T00:00:00"/>
  </r>
  <r>
    <n v="4051"/>
    <x v="1"/>
    <s v="OFM"/>
    <n v="35.273368606701936"/>
    <d v="2024-07-17T00:00:00"/>
  </r>
  <r>
    <n v="4052"/>
    <x v="1"/>
    <s v="Apps"/>
    <n v="66.137566137566139"/>
    <d v="2024-07-18T00:00:00"/>
  </r>
  <r>
    <n v="4053"/>
    <x v="4"/>
    <s v="Systems"/>
    <n v="40.121970791205264"/>
    <d v="2024-07-19T00:00:00"/>
  </r>
  <r>
    <n v="4054"/>
    <x v="0"/>
    <s v="Tech"/>
    <n v="12.064805239572561"/>
    <d v="2024-07-20T00:00:00"/>
  </r>
  <r>
    <n v="4055"/>
    <x v="0"/>
    <s v="Tech"/>
    <n v="55.153395380903135"/>
    <d v="2024-07-21T00:00:00"/>
  </r>
  <r>
    <n v="4056"/>
    <x v="0"/>
    <s v="Apps"/>
    <n v="154.43484288354898"/>
    <d v="2024-07-22T00:00:00"/>
  </r>
  <r>
    <n v="4057"/>
    <x v="0"/>
    <s v="Apps"/>
    <n v="159.34411583487369"/>
    <d v="2024-07-23T00:00:00"/>
  </r>
  <r>
    <n v="4058"/>
    <x v="1"/>
    <s v="OFM"/>
    <n v="176.3668430335097"/>
    <d v="2024-07-24T00:00:00"/>
  </r>
  <r>
    <n v="4059"/>
    <x v="0"/>
    <s v="Apps"/>
    <n v="211.02895871842267"/>
    <d v="2024-07-25T00:00:00"/>
  </r>
  <r>
    <n v="4060"/>
    <x v="3"/>
    <s v="Tech"/>
    <n v="164.85479040545121"/>
    <d v="2024-07-26T00:00:00"/>
  </r>
  <r>
    <n v="4061"/>
    <x v="0"/>
    <s v="Tech"/>
    <n v="46.210720887245841"/>
    <d v="2024-07-27T00:00:00"/>
  </r>
  <r>
    <n v="4062"/>
    <x v="4"/>
    <s v="OFM"/>
    <n v="50"/>
    <d v="2024-07-28T00:00:00"/>
  </r>
  <r>
    <n v="4063"/>
    <x v="0"/>
    <s v="OFM"/>
    <n v="41.365046535677351"/>
    <d v="2024-07-29T00:00:00"/>
  </r>
  <r>
    <n v="4064"/>
    <x v="3"/>
    <s v="Apps"/>
    <n v="155.69619093848172"/>
    <d v="2024-07-30T00:00:00"/>
  </r>
  <r>
    <n v="4065"/>
    <x v="2"/>
    <s v="Tech"/>
    <n v="23.29768082177274"/>
    <d v="2024-07-31T00:00:00"/>
  </r>
  <r>
    <n v="4066"/>
    <x v="0"/>
    <s v="Tech"/>
    <n v="46.210720887245841"/>
    <d v="2024-08-01T00:00:00"/>
  </r>
  <r>
    <n v="4067"/>
    <x v="0"/>
    <s v="Apps"/>
    <n v="308.07147258163894"/>
    <d v="2024-08-02T00:00:00"/>
  </r>
  <r>
    <n v="4068"/>
    <x v="2"/>
    <s v="Tech"/>
    <n v="105.89854918987609"/>
    <d v="2024-08-03T00:00:00"/>
  </r>
  <r>
    <n v="4069"/>
    <x v="3"/>
    <s v="Tech"/>
    <n v="137.37899200454268"/>
    <d v="2024-08-04T00:00:00"/>
  </r>
  <r>
    <n v="4070"/>
    <x v="0"/>
    <s v="Apps"/>
    <n v="123.22858903265558"/>
    <d v="2024-08-05T00:00:00"/>
  </r>
  <r>
    <n v="4071"/>
    <x v="3"/>
    <s v="Tech"/>
    <n v="50.372297068332315"/>
    <d v="2024-08-06T00:00:00"/>
  </r>
  <r>
    <n v="4072"/>
    <x v="0"/>
    <s v="Apps"/>
    <n v="123.22858903265558"/>
    <d v="2024-08-07T00:00:00"/>
  </r>
  <r>
    <n v="4073"/>
    <x v="1"/>
    <s v="Tech"/>
    <n v="17"/>
    <d v="2024-08-08T00:00:00"/>
  </r>
  <r>
    <n v="4074"/>
    <x v="1"/>
    <s v="Tech"/>
    <n v="26.455026455026456"/>
    <d v="2024-08-09T00:00:00"/>
  </r>
  <r>
    <n v="4075"/>
    <x v="1"/>
    <s v="Apps"/>
    <n v="66.137566137566139"/>
    <d v="2024-08-10T00:00:00"/>
  </r>
  <r>
    <n v="4076"/>
    <x v="1"/>
    <s v="Apps"/>
    <n v="66.137566137566139"/>
    <d v="2024-08-11T00:00:00"/>
  </r>
  <r>
    <n v="4077"/>
    <x v="1"/>
    <s v="Apps"/>
    <n v="66.137566137566139"/>
    <d v="2024-08-12T00:00:00"/>
  </r>
  <r>
    <n v="4078"/>
    <x v="2"/>
    <s v="Tech"/>
    <n v="211.79709837975219"/>
    <d v="2024-08-13T00:00:00"/>
  </r>
  <r>
    <n v="4079"/>
    <x v="4"/>
    <s v="Apps"/>
    <n v="146.65145836728044"/>
    <d v="2024-08-14T00:00:00"/>
  </r>
  <r>
    <n v="4080"/>
    <x v="2"/>
    <s v="Apps"/>
    <n v="162.0614212786646"/>
    <d v="2024-08-15T00:00:00"/>
  </r>
  <r>
    <n v="4081"/>
    <x v="2"/>
    <s v="Apps"/>
    <n v="162.0614212786646"/>
    <d v="2024-08-16T00:00:00"/>
  </r>
  <r>
    <n v="4082"/>
    <x v="1"/>
    <s v="OFM"/>
    <n v="132.27513227513228"/>
    <d v="2024-08-17T00:00:00"/>
  </r>
  <r>
    <n v="4083"/>
    <x v="3"/>
    <s v="OFM"/>
    <n v="384.66117761271948"/>
    <d v="2024-08-18T00:00:00"/>
  </r>
  <r>
    <n v="4084"/>
    <x v="3"/>
    <s v="OFM"/>
    <n v="366.3439786787805"/>
    <d v="2024-08-19T00:00:00"/>
  </r>
  <r>
    <n v="4085"/>
    <x v="1"/>
    <s v="Apps"/>
    <n v="55.114638447971785"/>
    <d v="2024-08-20T00:00:00"/>
  </r>
  <r>
    <n v="4086"/>
    <x v="1"/>
    <s v="Apps"/>
    <n v="220.45855379188714"/>
    <d v="2024-08-21T00:00:00"/>
  </r>
  <r>
    <n v="4087"/>
    <x v="2"/>
    <s v="Apps"/>
    <n v="21.179709837975221"/>
    <d v="2024-08-22T00:00:00"/>
  </r>
  <r>
    <n v="4088"/>
    <x v="2"/>
    <s v="Apps"/>
    <n v="104.90945674044265"/>
    <d v="2024-08-23T00:00:00"/>
  </r>
  <r>
    <n v="4089"/>
    <x v="2"/>
    <s v="Apps"/>
    <n v="255.99915281160648"/>
    <d v="2024-08-24T00:00:00"/>
  </r>
  <r>
    <n v="4090"/>
    <x v="2"/>
    <s v="Tech"/>
    <n v="211.79709837975219"/>
    <d v="2024-08-25T00:00:00"/>
  </r>
  <r>
    <n v="4091"/>
    <x v="2"/>
    <s v="Apps"/>
    <n v="52.949274594938046"/>
    <d v="2024-08-26T00:00:00"/>
  </r>
  <r>
    <n v="4092"/>
    <x v="2"/>
    <s v="Apps"/>
    <n v="211.79709837975219"/>
    <d v="2024-08-27T00:00:00"/>
  </r>
  <r>
    <n v="4093"/>
    <x v="2"/>
    <s v="Apps"/>
    <n v="423.59419675950437"/>
    <d v="2024-08-28T00:00:00"/>
  </r>
  <r>
    <n v="4094"/>
    <x v="2"/>
    <s v="Apps"/>
    <n v="158.84782378481412"/>
    <d v="2024-08-29T00:00:00"/>
  </r>
  <r>
    <n v="4095"/>
    <x v="2"/>
    <s v="Apps"/>
    <n v="56.721497447532613"/>
    <d v="2024-08-30T00:00:00"/>
  </r>
  <r>
    <n v="4096"/>
    <x v="2"/>
    <s v="Tech"/>
    <n v="300"/>
    <d v="2024-08-31T00:00:00"/>
  </r>
  <r>
    <n v="4097"/>
    <x v="2"/>
    <s v="Tech"/>
    <n v="48.618426383599385"/>
    <d v="2024-09-01T00:00:00"/>
  </r>
  <r>
    <n v="4098"/>
    <x v="0"/>
    <s v="Apps"/>
    <n v="77.017868145409736"/>
    <d v="2024-09-02T00:00:00"/>
  </r>
  <r>
    <n v="4099"/>
    <x v="2"/>
    <s v="Tech"/>
    <n v="13.775220808686493"/>
    <d v="2024-09-03T00:00:00"/>
  </r>
  <r>
    <n v="4100"/>
    <x v="2"/>
    <s v="Tech"/>
    <n v="34.843205574912893"/>
    <d v="2024-09-04T00:00:00"/>
  </r>
  <r>
    <n v="4101"/>
    <x v="2"/>
    <s v="Tech"/>
    <n v="52.669961915566006"/>
    <d v="2024-09-05T00:00:00"/>
  </r>
  <r>
    <n v="4102"/>
    <x v="2"/>
    <s v="Tech"/>
    <n v="7.2927639575399077"/>
    <d v="2024-09-06T00:00:00"/>
  </r>
  <r>
    <n v="4103"/>
    <x v="2"/>
    <s v="Tech"/>
    <n v="5.6721497447532618"/>
    <d v="2024-09-07T00:00:00"/>
  </r>
  <r>
    <n v="4104"/>
    <x v="1"/>
    <s v="Tech"/>
    <n v="48.082671957671955"/>
    <d v="2024-09-08T00:00:00"/>
  </r>
  <r>
    <n v="4105"/>
    <x v="3"/>
    <s v="Tech"/>
    <n v="45.792997334847563"/>
    <d v="2024-09-09T00:00:00"/>
  </r>
  <r>
    <n v="4106"/>
    <x v="4"/>
    <s v="Tech"/>
    <n v="40.121970791205264"/>
    <d v="2024-09-10T00:00:00"/>
  </r>
  <r>
    <n v="4107"/>
    <x v="4"/>
    <s v="Tech"/>
    <n v="40.121970791205264"/>
    <d v="2024-09-11T00:00:00"/>
  </r>
  <r>
    <n v="4108"/>
    <x v="2"/>
    <s v="Apps"/>
    <n v="105.89854918987609"/>
    <d v="2024-09-12T00:00:00"/>
  </r>
  <r>
    <n v="4109"/>
    <x v="2"/>
    <s v="Apps"/>
    <n v="132.37318648734512"/>
    <d v="2024-09-13T00:00:00"/>
  </r>
  <r>
    <n v="4110"/>
    <x v="0"/>
    <s v="OFM"/>
    <n v="92.421441774491683"/>
    <d v="2024-09-14T00:00:00"/>
  </r>
  <r>
    <n v="4111"/>
    <x v="0"/>
    <s v="OFM"/>
    <n v="92.421441774491683"/>
    <d v="2024-09-15T00:00:00"/>
  </r>
  <r>
    <n v="4112"/>
    <x v="0"/>
    <s v="Apps"/>
    <n v="50"/>
    <d v="2024-09-16T00:00:00"/>
  </r>
  <r>
    <n v="4113"/>
    <x v="4"/>
    <s v="Apps"/>
    <n v="160"/>
    <d v="2024-09-17T00:00:00"/>
  </r>
  <r>
    <n v="4114"/>
    <x v="3"/>
    <s v="Tech"/>
    <n v="59.530896535301828"/>
    <d v="2024-09-18T00:00:00"/>
  </r>
  <r>
    <n v="4115"/>
    <x v="3"/>
    <s v="Tech"/>
    <n v="164.85479040545121"/>
    <d v="2024-09-19T00:00:00"/>
  </r>
  <r>
    <n v="4116"/>
    <x v="3"/>
    <s v="OFM"/>
    <n v="73.2687957357561"/>
    <d v="2024-09-20T00:00:00"/>
  </r>
  <r>
    <n v="4117"/>
    <x v="0"/>
    <s v="Tech"/>
    <n v="46.210720887245841"/>
    <d v="2024-09-21T00:00:00"/>
  </r>
  <r>
    <n v="4118"/>
    <x v="4"/>
    <s v="Tech"/>
    <n v="154.10713465337437"/>
    <d v="2024-09-22T00:00:00"/>
  </r>
  <r>
    <n v="4119"/>
    <x v="3"/>
    <s v="Tech"/>
    <n v="183.17198933939025"/>
    <d v="2024-09-23T00:00:00"/>
  </r>
  <r>
    <n v="4120"/>
    <x v="0"/>
    <s v="Tech"/>
    <n v="56.993222427603207"/>
    <d v="2024-09-24T00:00:00"/>
  </r>
  <r>
    <n v="4121"/>
    <x v="0"/>
    <s v="Tech"/>
    <n v="427.48783117683303"/>
    <d v="2024-09-25T00:00:00"/>
  </r>
  <r>
    <n v="4122"/>
    <x v="0"/>
    <s v="Tech"/>
    <n v="154.03573629081947"/>
    <d v="2024-09-26T00:00:00"/>
  </r>
  <r>
    <n v="4123"/>
    <x v="0"/>
    <s v="Tech"/>
    <n v="693.16081330868769"/>
    <d v="2024-09-27T00:00:00"/>
  </r>
  <r>
    <n v="4124"/>
    <x v="4"/>
    <s v="Tech"/>
    <n v="48.50319290669362"/>
    <d v="2024-09-28T00:00:00"/>
  </r>
  <r>
    <n v="4125"/>
    <x v="4"/>
    <s v="Apps"/>
    <n v="65.178425941013529"/>
    <d v="2024-09-29T00:00:00"/>
  </r>
  <r>
    <n v="4126"/>
    <x v="0"/>
    <s v="Tech"/>
    <n v="103.41261633919338"/>
    <d v="2024-09-30T00:00:00"/>
  </r>
  <r>
    <n v="4127"/>
    <x v="1"/>
    <s v="Tech"/>
    <n v="266"/>
    <d v="2024-10-01T00:00:00"/>
  </r>
  <r>
    <n v="4128"/>
    <x v="4"/>
    <s v="Tech"/>
    <n v="37.850875178021781"/>
    <d v="2024-10-02T00:00:00"/>
  </r>
  <r>
    <n v="4129"/>
    <x v="2"/>
    <s v="Apps"/>
    <n v="13.59954622802042"/>
    <d v="2024-10-03T00:00:00"/>
  </r>
  <r>
    <n v="4130"/>
    <x v="0"/>
    <s v="Apps"/>
    <n v="154.03573629081947"/>
    <d v="2024-10-04T00:00:00"/>
  </r>
  <r>
    <n v="4131"/>
    <x v="0"/>
    <s v="Apps"/>
    <n v="154.03573629081947"/>
    <d v="2024-10-05T00:00:00"/>
  </r>
  <r>
    <n v="4132"/>
    <x v="0"/>
    <s v="Tech"/>
    <n v="7.4429355157837938"/>
    <d v="2024-10-06T00:00:00"/>
  </r>
  <r>
    <n v="4133"/>
    <x v="1"/>
    <s v="Tech"/>
    <n v="8.5978835978835981"/>
    <d v="2024-10-07T00:00:00"/>
  </r>
  <r>
    <n v="4134"/>
    <x v="0"/>
    <s v="OFM"/>
    <n v="27.576697690451567"/>
    <d v="2024-10-08T00:00:00"/>
  </r>
  <r>
    <n v="4135"/>
    <x v="0"/>
    <s v="Tech"/>
    <n v="68.941744226128904"/>
    <d v="2024-10-09T00:00:00"/>
  </r>
  <r>
    <n v="4136"/>
    <x v="3"/>
    <s v="OFM"/>
    <n v="45.792997334847563"/>
    <d v="2024-10-10T00:00:00"/>
  </r>
  <r>
    <n v="4137"/>
    <x v="0"/>
    <s v="Tech"/>
    <n v="48.259220958290243"/>
    <d v="2024-10-11T00:00:00"/>
  </r>
  <r>
    <n v="4138"/>
    <x v="0"/>
    <s v="Apps"/>
    <n v="68.941744226128904"/>
    <d v="2024-10-12T00:00:00"/>
  </r>
  <r>
    <n v="4139"/>
    <x v="1"/>
    <s v="Apps"/>
    <n v="22.045855379188712"/>
    <d v="2024-10-13T00:00:00"/>
  </r>
  <r>
    <n v="4140"/>
    <x v="1"/>
    <s v="Tech"/>
    <n v="1410.9347442680776"/>
    <d v="2024-10-14T00:00:00"/>
  </r>
  <r>
    <n v="4141"/>
    <x v="1"/>
    <s v="Apps"/>
    <n v="661.37566137566137"/>
    <d v="2024-10-15T00:00:00"/>
  </r>
  <r>
    <n v="4142"/>
    <x v="4"/>
    <s v="OFM"/>
    <n v="30"/>
    <d v="2024-10-16T00:00:00"/>
  </r>
  <r>
    <n v="4143"/>
    <x v="1"/>
    <s v="Apps"/>
    <n v="66.137566137566139"/>
    <d v="2024-10-17T00:00:00"/>
  </r>
  <r>
    <n v="4144"/>
    <x v="1"/>
    <s v="Apps"/>
    <n v="66.137566137566139"/>
    <d v="2024-10-18T00:00:00"/>
  </r>
  <r>
    <n v="4145"/>
    <x v="1"/>
    <s v="Tech"/>
    <n v="110.22927689594357"/>
    <d v="2024-10-19T00:00:00"/>
  </r>
  <r>
    <n v="4146"/>
    <x v="1"/>
    <s v="Apps"/>
    <n v="66.137566137566139"/>
    <d v="2024-10-20T00:00:00"/>
  </r>
  <r>
    <n v="4147"/>
    <x v="1"/>
    <s v="Apps"/>
    <n v="66.137566137566139"/>
    <d v="2024-10-21T00:00:00"/>
  </r>
  <r>
    <n v="4148"/>
    <x v="1"/>
    <s v="Apps"/>
    <n v="66.137566137566139"/>
    <d v="2024-10-22T00:00:00"/>
  </r>
  <r>
    <n v="4149"/>
    <x v="1"/>
    <s v="Apps"/>
    <n v="66.137566137566139"/>
    <d v="2024-10-23T00:00:00"/>
  </r>
  <r>
    <n v="4150"/>
    <x v="1"/>
    <s v="Apps"/>
    <n v="66.137566137566139"/>
    <d v="2024-10-24T00:00:00"/>
  </r>
  <r>
    <n v="4151"/>
    <x v="0"/>
    <s v="OFM"/>
    <n v="269.99229821318545"/>
    <d v="2024-10-25T00:00:00"/>
  </r>
  <r>
    <n v="4152"/>
    <x v="0"/>
    <s v="Apps"/>
    <n v="100"/>
    <d v="2024-10-26T00:00:00"/>
  </r>
  <r>
    <n v="4153"/>
    <x v="1"/>
    <s v="Tech"/>
    <n v="36.0810405643739"/>
    <d v="2024-10-27T00:00:00"/>
  </r>
  <r>
    <n v="4154"/>
    <x v="0"/>
    <s v="Apps"/>
    <n v="80"/>
    <d v="2024-10-28T00:00:00"/>
  </r>
  <r>
    <n v="4155"/>
    <x v="4"/>
    <s v="Other"/>
    <n v="100"/>
    <d v="2024-10-29T00:00:00"/>
  </r>
  <r>
    <n v="4156"/>
    <x v="1"/>
    <s v="Tech"/>
    <n v="110.22927689594357"/>
    <d v="2024-10-30T00:00:00"/>
  </r>
  <r>
    <n v="4157"/>
    <x v="1"/>
    <s v="Apps"/>
    <n v="220.45855379188714"/>
    <d v="2024-10-31T00:00:00"/>
  </r>
  <r>
    <n v="4158"/>
    <x v="0"/>
    <s v="Tech"/>
    <n v="12.848020762401553"/>
    <d v="2024-11-01T00:00:00"/>
  </r>
  <r>
    <n v="4159"/>
    <x v="1"/>
    <s v="Tech"/>
    <n v="77.160493827160494"/>
    <d v="2024-11-02T00:00:00"/>
  </r>
  <r>
    <n v="4160"/>
    <x v="4"/>
    <s v="Apps"/>
    <n v="6.8939221117810012"/>
    <d v="2024-11-03T00:00:00"/>
  </r>
  <r>
    <n v="4161"/>
    <x v="4"/>
    <s v="Apps"/>
    <n v="379.14290369887567"/>
    <d v="2024-11-04T00:00:00"/>
  </r>
  <r>
    <n v="4162"/>
    <x v="4"/>
    <s v="Apps"/>
    <n v="6.8939221117810012"/>
    <d v="2024-11-05T00:00:00"/>
  </r>
  <r>
    <n v="4163"/>
    <x v="0"/>
    <s v="Tech"/>
    <n v="17.993795243019648"/>
    <d v="2024-11-06T00:00:00"/>
  </r>
  <r>
    <n v="4164"/>
    <x v="0"/>
    <s v="Tech"/>
    <n v="34.470872113064452"/>
    <d v="2024-11-07T00:00:00"/>
  </r>
  <r>
    <n v="4165"/>
    <x v="0"/>
    <s v="Systems"/>
    <n v="689.41744226128924"/>
    <d v="2024-11-08T00:00:00"/>
  </r>
  <r>
    <n v="4166"/>
    <x v="0"/>
    <s v="Tech"/>
    <n v="5.2395725611857982"/>
    <d v="2024-11-09T00:00:00"/>
  </r>
  <r>
    <n v="4167"/>
    <x v="2"/>
    <s v="Tech"/>
    <n v="7.4128984432913265"/>
    <d v="2024-11-10T00:00:00"/>
  </r>
  <r>
    <n v="4168"/>
    <x v="1"/>
    <s v="Tech"/>
    <n v="11.022927689594356"/>
    <d v="2024-11-11T00:00:00"/>
  </r>
  <r>
    <n v="4169"/>
    <x v="1"/>
    <s v="Tech"/>
    <n v="35.273368606701936"/>
    <d v="2024-11-12T00:00:00"/>
  </r>
  <r>
    <n v="4170"/>
    <x v="0"/>
    <s v="Apps"/>
    <n v="15.403573629081947"/>
    <d v="2024-11-13T00:00:00"/>
  </r>
  <r>
    <n v="4171"/>
    <x v="3"/>
    <s v="OFM"/>
    <n v="9.1585994669695125"/>
    <d v="2024-11-14T00:00:00"/>
  </r>
  <r>
    <n v="4172"/>
    <x v="3"/>
    <s v="OFM"/>
    <n v="45.792997334847563"/>
    <d v="2024-11-15T00:00:00"/>
  </r>
  <r>
    <n v="4173"/>
    <x v="3"/>
    <s v="Tech"/>
    <n v="45.792997334847563"/>
    <d v="2024-11-16T00:00:00"/>
  </r>
  <r>
    <n v="4174"/>
    <x v="3"/>
    <s v="OFM"/>
    <n v="109.90319360363415"/>
    <d v="2024-11-17T00:00:00"/>
  </r>
  <r>
    <n v="4175"/>
    <x v="0"/>
    <s v="Apps"/>
    <n v="80"/>
    <d v="2024-11-18T00:00:00"/>
  </r>
  <r>
    <n v="4176"/>
    <x v="3"/>
    <s v="Tech"/>
    <n v="91.585994669695125"/>
    <d v="2024-11-19T00:00:00"/>
  </r>
  <r>
    <n v="4177"/>
    <x v="3"/>
    <s v="Tech"/>
    <n v="183.17198933939025"/>
    <d v="2024-11-20T00:00:00"/>
  </r>
  <r>
    <n v="4178"/>
    <x v="3"/>
    <s v="Tech"/>
    <n v="45.792997334847563"/>
    <d v="2024-11-21T00:00:00"/>
  </r>
  <r>
    <n v="4179"/>
    <x v="2"/>
    <s v="Tech"/>
    <n v="79.026792332945035"/>
    <d v="2024-11-22T00:00:00"/>
  </r>
  <r>
    <n v="4180"/>
    <x v="2"/>
    <s v="Tech"/>
    <n v="52.949274594938046"/>
    <d v="2024-11-23T00:00:00"/>
  </r>
  <r>
    <n v="4181"/>
    <x v="2"/>
    <s v="Tech"/>
    <n v="7.4128984432913265"/>
    <d v="2024-11-24T00:00:00"/>
  </r>
  <r>
    <n v="4182"/>
    <x v="0"/>
    <s v="OFM"/>
    <n v="64"/>
    <d v="2024-11-25T00:00:00"/>
  </r>
  <r>
    <n v="4183"/>
    <x v="1"/>
    <s v="Apps"/>
    <n v="66.137566137566139"/>
    <d v="2024-11-26T00:00:00"/>
  </r>
  <r>
    <n v="4184"/>
    <x v="1"/>
    <s v="Apps"/>
    <n v="66.137566137566139"/>
    <d v="2024-11-27T00:00:00"/>
  </r>
  <r>
    <n v="4185"/>
    <x v="1"/>
    <s v="Apps"/>
    <n v="66.137566137566139"/>
    <d v="2024-11-28T00:00:00"/>
  </r>
  <r>
    <n v="4186"/>
    <x v="1"/>
    <s v="Tech"/>
    <n v="110.22927689594357"/>
    <d v="2024-11-29T00:00:00"/>
  </r>
  <r>
    <n v="4187"/>
    <x v="1"/>
    <s v="Apps"/>
    <n v="66.137566137566139"/>
    <d v="2024-11-30T00:00:00"/>
  </r>
  <r>
    <n v="4188"/>
    <x v="0"/>
    <s v="Tech"/>
    <n v="385.44062287204662"/>
    <d v="2024-12-01T00:00:00"/>
  </r>
  <r>
    <n v="4189"/>
    <x v="1"/>
    <s v="Apps"/>
    <n v="55.114638447971785"/>
    <d v="2024-12-02T00:00:00"/>
  </r>
  <r>
    <n v="4190"/>
    <x v="2"/>
    <s v="Apps"/>
    <n v="40.515355319666149"/>
    <d v="2024-12-03T00:00:00"/>
  </r>
  <r>
    <n v="4191"/>
    <x v="1"/>
    <s v="Apps"/>
    <n v="88.183421516754848"/>
    <d v="2024-12-04T00:00:00"/>
  </r>
  <r>
    <n v="4192"/>
    <x v="1"/>
    <s v="OFM"/>
    <n v="55.114638447971785"/>
    <d v="2024-12-05T00:00:00"/>
  </r>
  <r>
    <n v="4193"/>
    <x v="0"/>
    <s v="Apps"/>
    <n v="167.02426991122019"/>
    <d v="2024-12-06T00:00:00"/>
  </r>
  <r>
    <n v="4194"/>
    <x v="4"/>
    <s v="Tech"/>
    <n v="164.52022611659876"/>
    <d v="2024-12-07T00:00:00"/>
  </r>
  <r>
    <n v="4195"/>
    <x v="0"/>
    <s v="Tech"/>
    <n v="69.241581334395434"/>
    <d v="2024-12-08T00:00:00"/>
  </r>
  <r>
    <n v="4196"/>
    <x v="1"/>
    <s v="Apps"/>
    <n v="77.160493827160494"/>
    <d v="2024-12-09T00:00:00"/>
  </r>
  <r>
    <n v="4197"/>
    <x v="1"/>
    <s v="Tech"/>
    <n v="44.091710758377424"/>
    <d v="2024-12-10T00:00:00"/>
  </r>
  <r>
    <n v="4198"/>
    <x v="0"/>
    <s v="Tech"/>
    <n v="41.365046535677351"/>
    <d v="2024-12-11T00:00:00"/>
  </r>
  <r>
    <n v="4199"/>
    <x v="0"/>
    <s v="Apps"/>
    <n v="344.70872113064462"/>
    <d v="2024-12-12T00:00:00"/>
  </r>
  <r>
    <n v="4200"/>
    <x v="1"/>
    <s v="Tech"/>
    <n v="165.34391534391534"/>
    <d v="2024-12-13T00:00:00"/>
  </r>
  <r>
    <n v="4201"/>
    <x v="0"/>
    <s v="Tech"/>
    <n v="61.614294516327789"/>
    <d v="2024-12-14T00:00:00"/>
  </r>
  <r>
    <n v="4202"/>
    <x v="0"/>
    <s v="Apps"/>
    <n v="308.07147258163894"/>
    <d v="2024-12-15T00:00:00"/>
  </r>
  <r>
    <n v="4203"/>
    <x v="0"/>
    <s v="OFM"/>
    <n v="154.03573629081947"/>
    <d v="2024-12-16T00:00:00"/>
  </r>
  <r>
    <n v="4204"/>
    <x v="0"/>
    <s v="Apps"/>
    <n v="194.64751455038353"/>
    <d v="2024-12-17T00:00:00"/>
  </r>
  <r>
    <n v="4205"/>
    <x v="0"/>
    <s v="Apps"/>
    <n v="123.22858903265558"/>
    <d v="2024-12-18T00:00:00"/>
  </r>
  <r>
    <n v="4206"/>
    <x v="4"/>
    <s v="Apps"/>
    <n v="18.957145184943784"/>
    <d v="2024-12-19T00:00:00"/>
  </r>
  <r>
    <n v="4207"/>
    <x v="1"/>
    <s v="Tech"/>
    <n v="391.73686067019401"/>
    <d v="2024-12-20T00:00:00"/>
  </r>
  <r>
    <n v="4208"/>
    <x v="1"/>
    <s v="Apps"/>
    <n v="33.06878306878307"/>
    <d v="2024-12-21T00:00:00"/>
  </r>
  <r>
    <n v="4209"/>
    <x v="0"/>
    <s v="Apps"/>
    <n v="435.61906962415281"/>
    <d v="2024-12-22T00:00:00"/>
  </r>
  <r>
    <n v="4210"/>
    <x v="1"/>
    <s v="Tech"/>
    <n v="220.45855379188714"/>
    <d v="2024-12-23T00:00:00"/>
  </r>
  <r>
    <n v="4211"/>
    <x v="1"/>
    <s v="Tech"/>
    <n v="1.8077601410934742E-5"/>
    <d v="2024-12-24T00:00:00"/>
  </r>
  <r>
    <n v="4212"/>
    <x v="4"/>
    <s v="Tech"/>
    <n v="107.93678474831697"/>
    <d v="2024-12-25T00:00:00"/>
  </r>
  <r>
    <n v="4213"/>
    <x v="2"/>
    <s v="Tech"/>
    <n v="105.89854918987609"/>
    <d v="2024-12-26T00:00:00"/>
  </r>
  <r>
    <n v="4214"/>
    <x v="1"/>
    <s v="OFM"/>
    <n v="176.3668430335097"/>
    <d v="2024-12-27T00:00:00"/>
  </r>
  <r>
    <n v="4215"/>
    <x v="1"/>
    <s v="OFM"/>
    <n v="220.45855379188714"/>
    <d v="2024-12-28T00:00:00"/>
  </r>
  <r>
    <n v="4216"/>
    <x v="1"/>
    <s v="OFM"/>
    <n v="154.32098765432099"/>
    <d v="2024-12-29T00:00:00"/>
  </r>
  <r>
    <n v="4217"/>
    <x v="1"/>
    <s v="OFM"/>
    <n v="154.32098765432099"/>
    <d v="2024-12-30T00:00:00"/>
  </r>
  <r>
    <n v="4218"/>
    <x v="1"/>
    <s v="OFM"/>
    <n v="154.32098765432099"/>
    <d v="2024-12-31T00:00:00"/>
  </r>
  <r>
    <n v="4219"/>
    <x v="1"/>
    <s v="Tech"/>
    <n v="46.957671957671955"/>
    <d v="2025-01-01T00:00:00"/>
  </r>
  <r>
    <n v="4220"/>
    <x v="1"/>
    <s v="Apps"/>
    <n v="0.88183421516754856"/>
    <d v="2025-01-02T00:00:00"/>
  </r>
  <r>
    <n v="4221"/>
    <x v="1"/>
    <s v="Tech"/>
    <n v="100"/>
    <d v="2025-01-03T00:00:00"/>
  </r>
  <r>
    <n v="4222"/>
    <x v="4"/>
    <s v="Systems"/>
    <n v="30"/>
    <d v="2025-01-04T00:00:00"/>
  </r>
  <r>
    <n v="4223"/>
    <x v="1"/>
    <s v="OFM"/>
    <n v="176.3668430335097"/>
    <d v="2025-01-05T00:00:00"/>
  </r>
  <r>
    <n v="4224"/>
    <x v="1"/>
    <s v="OFM"/>
    <n v="70.546737213403873"/>
    <d v="2025-01-06T00:00:00"/>
  </r>
  <r>
    <n v="4225"/>
    <x v="1"/>
    <s v="OFM"/>
    <n v="220.45855379188714"/>
    <d v="2025-01-07T00:00:00"/>
  </r>
  <r>
    <n v="4226"/>
    <x v="1"/>
    <s v="OFM"/>
    <n v="132.27513227513228"/>
    <d v="2025-01-08T00:00:00"/>
  </r>
  <r>
    <n v="4227"/>
    <x v="0"/>
    <s v="Tech"/>
    <n v="38.54406228720466"/>
    <d v="2025-01-09T00:00:00"/>
  </r>
  <r>
    <n v="4228"/>
    <x v="1"/>
    <s v="Tech"/>
    <n v="200.61728395061726"/>
    <d v="2025-01-10T00:00:00"/>
  </r>
  <r>
    <n v="4229"/>
    <x v="1"/>
    <s v="OFM"/>
    <n v="66.137566137566139"/>
    <d v="2025-01-11T00:00:00"/>
  </r>
  <r>
    <n v="4230"/>
    <x v="0"/>
    <s v="Tech"/>
    <n v="104.74430067775724"/>
    <d v="2025-01-12T00:00:00"/>
  </r>
  <r>
    <n v="4231"/>
    <x v="0"/>
    <s v="Tech"/>
    <n v="61.614294516327789"/>
    <d v="2025-01-13T00:00:00"/>
  </r>
  <r>
    <n v="4232"/>
    <x v="0"/>
    <s v="Tech"/>
    <n v="10.341261633919338"/>
    <d v="2025-01-14T00:00:00"/>
  </r>
  <r>
    <n v="4233"/>
    <x v="0"/>
    <s v="Tech"/>
    <n v="308.07147258163894"/>
    <d v="2025-01-15T00:00:00"/>
  </r>
  <r>
    <n v="4234"/>
    <x v="0"/>
    <s v="Tech"/>
    <n v="107.70596346087555"/>
    <d v="2025-01-16T00:00:00"/>
  </r>
  <r>
    <n v="4235"/>
    <x v="0"/>
    <s v="Tech"/>
    <n v="385.08934072704869"/>
    <d v="2025-01-17T00:00:00"/>
  </r>
  <r>
    <n v="4236"/>
    <x v="0"/>
    <s v="OFM"/>
    <n v="462.10720887245844"/>
    <d v="2025-01-18T00:00:00"/>
  </r>
  <r>
    <n v="4237"/>
    <x v="0"/>
    <s v="Tech"/>
    <n v="79.283005860048263"/>
    <d v="2025-01-19T00:00:00"/>
  </r>
  <r>
    <n v="4238"/>
    <x v="2"/>
    <s v="Apps"/>
    <n v="40.515355319666149"/>
    <d v="2025-01-20T00:00:00"/>
  </r>
  <r>
    <n v="4239"/>
    <x v="3"/>
    <s v="Tech"/>
    <n v="54.951596801817075"/>
    <d v="2025-01-21T00:00:00"/>
  </r>
  <r>
    <n v="4240"/>
    <x v="3"/>
    <s v="Tech"/>
    <n v="183.17198933939025"/>
    <d v="2025-01-22T00:00:00"/>
  </r>
  <r>
    <n v="4241"/>
    <x v="3"/>
    <s v="Tech"/>
    <n v="164.85479040545121"/>
    <d v="2025-01-23T00:00:00"/>
  </r>
  <r>
    <n v="4242"/>
    <x v="0"/>
    <s v="Tech"/>
    <n v="53.912507701786815"/>
    <d v="2025-01-24T00:00:00"/>
  </r>
  <r>
    <n v="4243"/>
    <x v="0"/>
    <s v="Tech"/>
    <n v="231.05360443622922"/>
    <d v="2025-01-25T00:00:00"/>
  </r>
  <r>
    <n v="4244"/>
    <x v="0"/>
    <s v="OFM"/>
    <n v="77.017868145409736"/>
    <d v="2025-01-26T00:00:00"/>
  </r>
  <r>
    <n v="4245"/>
    <x v="1"/>
    <s v="Apps"/>
    <n v="440.91710758377428"/>
    <d v="2025-01-27T00:00:00"/>
  </r>
  <r>
    <n v="4246"/>
    <x v="2"/>
    <s v="Tech"/>
    <n v="52.949274594938046"/>
    <d v="2025-01-28T00:00:00"/>
  </r>
  <r>
    <n v="4247"/>
    <x v="4"/>
    <s v="Apps"/>
    <n v="100"/>
    <d v="2025-01-29T00:00:00"/>
  </r>
  <r>
    <n v="4248"/>
    <x v="4"/>
    <s v="Apps"/>
    <n v="50"/>
    <d v="2025-01-30T00:00:00"/>
  </r>
  <r>
    <n v="4249"/>
    <x v="0"/>
    <s v="Apps"/>
    <n v="154.03573629081947"/>
    <d v="2025-01-31T00:00:00"/>
  </r>
  <r>
    <n v="4250"/>
    <x v="0"/>
    <s v="Apps"/>
    <n v="231.05360443622922"/>
    <d v="2025-02-01T00:00:00"/>
  </r>
  <r>
    <n v="4251"/>
    <x v="0"/>
    <s v="Apps"/>
    <n v="154.03573629081947"/>
    <d v="2025-02-02T00:00:00"/>
  </r>
  <r>
    <n v="4252"/>
    <x v="0"/>
    <s v="OFM"/>
    <n v="77.017868145409736"/>
    <d v="2025-02-03T00:00:00"/>
  </r>
  <r>
    <n v="4253"/>
    <x v="1"/>
    <s v="Tech"/>
    <n v="110.22927689594357"/>
    <d v="2025-02-04T00:00:00"/>
  </r>
  <r>
    <n v="4254"/>
    <x v="1"/>
    <s v="Tech"/>
    <n v="37.47795414462081"/>
    <d v="2025-02-05T00:00:00"/>
  </r>
  <r>
    <n v="4255"/>
    <x v="0"/>
    <s v="Apps"/>
    <n v="1.5403573629081948"/>
    <d v="2025-02-06T00:00:00"/>
  </r>
  <r>
    <n v="4256"/>
    <x v="0"/>
    <s v="Tech"/>
    <n v="46.210720887245841"/>
    <d v="2025-02-07T00:00:00"/>
  </r>
  <r>
    <n v="4257"/>
    <x v="0"/>
    <s v="OFM"/>
    <n v="7.7017868145409736"/>
    <d v="2025-02-08T00:00:00"/>
  </r>
  <r>
    <n v="4258"/>
    <x v="0"/>
    <s v="OFM"/>
    <n v="77.017868145409736"/>
    <d v="2025-02-09T00:00:00"/>
  </r>
  <r>
    <n v="4259"/>
    <x v="0"/>
    <s v="Tech"/>
    <n v="32.85032747328507"/>
    <d v="2025-02-10T00:00:00"/>
  </r>
  <r>
    <n v="4260"/>
    <x v="1"/>
    <s v="Tech"/>
    <n v="72.134038800705468"/>
    <d v="2025-02-11T00:00:00"/>
  </r>
  <r>
    <n v="4261"/>
    <x v="2"/>
    <s v="OFM"/>
    <n v="158.84782378481412"/>
    <d v="2025-02-12T00:00:00"/>
  </r>
  <r>
    <n v="4262"/>
    <x v="1"/>
    <s v="Apps"/>
    <n v="1102.2927689594355"/>
    <d v="2025-02-13T00:00:00"/>
  </r>
  <r>
    <n v="4263"/>
    <x v="1"/>
    <s v="Apps"/>
    <n v="1102.2927689594355"/>
    <d v="2025-02-14T00:00:00"/>
  </r>
  <r>
    <n v="4264"/>
    <x v="1"/>
    <s v="Apps"/>
    <n v="154.32098765432099"/>
    <d v="2025-02-15T00:00:00"/>
  </r>
  <r>
    <n v="4265"/>
    <x v="1"/>
    <s v="Apps"/>
    <n v="88.183421516754848"/>
    <d v="2025-02-16T00:00:00"/>
  </r>
  <r>
    <n v="4266"/>
    <x v="1"/>
    <s v="Apps"/>
    <n v="110.22927689594357"/>
    <d v="2025-02-17T00:00:00"/>
  </r>
  <r>
    <n v="4267"/>
    <x v="0"/>
    <s v="Other"/>
    <n v="115.52680221811461"/>
    <d v="2025-02-18T00:00:00"/>
  </r>
  <r>
    <n v="4268"/>
    <x v="0"/>
    <s v="OFM"/>
    <n v="115.52680221811461"/>
    <d v="2025-02-19T00:00:00"/>
  </r>
  <r>
    <n v="4269"/>
    <x v="2"/>
    <s v="Tech"/>
    <n v="264.74637297469025"/>
    <d v="2025-02-20T00:00:00"/>
  </r>
  <r>
    <n v="4270"/>
    <x v="2"/>
    <s v="OFM"/>
    <n v="52.949274594938046"/>
    <d v="2025-02-21T00:00:00"/>
  </r>
  <r>
    <n v="4271"/>
    <x v="2"/>
    <s v="Apps"/>
    <n v="264.74637297469025"/>
    <d v="2025-02-22T00:00:00"/>
  </r>
  <r>
    <n v="4272"/>
    <x v="1"/>
    <s v="Tech"/>
    <n v="44.091710758377424"/>
    <d v="2025-02-23T00:00:00"/>
  </r>
  <r>
    <n v="4273"/>
    <x v="1"/>
    <s v="OFM"/>
    <n v="88.183421516754848"/>
    <d v="2025-02-24T00:00:00"/>
  </r>
  <r>
    <n v="4274"/>
    <x v="1"/>
    <s v="Tech"/>
    <n v="141.09347442680775"/>
    <d v="2025-02-25T00:00:00"/>
  </r>
  <r>
    <n v="4275"/>
    <x v="0"/>
    <s v="Tech"/>
    <n v="6.9316081330868764"/>
    <d v="2025-02-26T00:00:00"/>
  </r>
  <r>
    <n v="4276"/>
    <x v="0"/>
    <s v="Apps"/>
    <n v="123.22858903265558"/>
    <d v="2025-02-27T00:00:00"/>
  </r>
  <r>
    <n v="4277"/>
    <x v="0"/>
    <s v="Tech"/>
    <n v="539.12507701786819"/>
    <d v="2025-02-28T00:00:00"/>
  </r>
  <r>
    <n v="4278"/>
    <x v="0"/>
    <s v="Tech"/>
    <n v="110.30679076180627"/>
    <d v="2025-03-01T00:00:00"/>
  </r>
  <r>
    <n v="4279"/>
    <x v="1"/>
    <s v="Tech"/>
    <n v="3.306878306878307"/>
    <d v="2025-03-02T00:00:00"/>
  </r>
  <r>
    <n v="4280"/>
    <x v="1"/>
    <s v="Tech"/>
    <n v="180.77601410934744"/>
    <d v="2025-03-03T00:00:00"/>
  </r>
  <r>
    <n v="4281"/>
    <x v="4"/>
    <s v="Tech"/>
    <n v="40.121970791205264"/>
    <d v="2025-03-04T00:00:00"/>
  </r>
  <r>
    <n v="4282"/>
    <x v="4"/>
    <s v="Tech"/>
    <n v="40.121970791205264"/>
    <d v="2025-03-05T00:00:00"/>
  </r>
  <r>
    <n v="4283"/>
    <x v="1"/>
    <s v="Tech"/>
    <n v="220.45855379188714"/>
    <d v="2025-03-06T00:00:00"/>
  </r>
  <r>
    <n v="4284"/>
    <x v="1"/>
    <s v="Tech"/>
    <n v="60"/>
    <d v="2025-03-07T00:00:00"/>
  </r>
  <r>
    <n v="4285"/>
    <x v="0"/>
    <s v="Tech"/>
    <n v="16.943930991990143"/>
    <d v="2025-03-08T00:00:00"/>
  </r>
  <r>
    <n v="4286"/>
    <x v="0"/>
    <s v="Tech"/>
    <n v="77.017868145409736"/>
    <d v="2025-03-09T00:00:00"/>
  </r>
  <r>
    <n v="4287"/>
    <x v="4"/>
    <s v="Tech"/>
    <n v="644"/>
    <d v="2025-03-10T00:00:00"/>
  </r>
  <r>
    <n v="4288"/>
    <x v="4"/>
    <s v="Systems"/>
    <n v="400"/>
    <d v="2025-03-11T00:00:00"/>
  </r>
  <r>
    <n v="4289"/>
    <x v="1"/>
    <s v="Tech"/>
    <n v="141.09347442680775"/>
    <d v="2025-03-12T00:00:00"/>
  </r>
  <r>
    <n v="4290"/>
    <x v="1"/>
    <s v="Apps"/>
    <n v="55.114638447971785"/>
    <d v="2025-03-13T00:00:00"/>
  </r>
  <r>
    <n v="4291"/>
    <x v="1"/>
    <s v="Apps"/>
    <n v="66.137566137566139"/>
    <d v="2025-03-14T00:00:00"/>
  </r>
  <r>
    <n v="4292"/>
    <x v="1"/>
    <s v="Tech"/>
    <n v="176.07548500881833"/>
    <d v="2025-03-15T00:00:00"/>
  </r>
  <r>
    <n v="4293"/>
    <x v="0"/>
    <s v="Tech"/>
    <n v="74.518520421928997"/>
    <d v="2025-03-16T00:00:00"/>
  </r>
  <r>
    <n v="4294"/>
    <x v="4"/>
    <s v="Tech"/>
    <n v="45.5"/>
    <d v="2025-03-17T00:00:00"/>
  </r>
  <r>
    <n v="4295"/>
    <x v="4"/>
    <s v="Tech"/>
    <n v="1.7549999999999999"/>
    <d v="2025-03-18T00:00:00"/>
  </r>
  <r>
    <n v="4296"/>
    <x v="4"/>
    <s v="Tech"/>
    <n v="61.75"/>
    <d v="2025-03-19T00:00:00"/>
  </r>
  <r>
    <n v="4297"/>
    <x v="4"/>
    <s v="Tech"/>
    <n v="2.2749999999999999"/>
    <d v="2025-03-20T00:00:00"/>
  </r>
  <r>
    <n v="4298"/>
    <x v="1"/>
    <s v="Tech"/>
    <n v="95.664902998236329"/>
    <d v="2025-03-21T00:00:00"/>
  </r>
  <r>
    <n v="4299"/>
    <x v="1"/>
    <s v="Apps"/>
    <n v="66.137566137566139"/>
    <d v="2025-03-22T00:00:00"/>
  </r>
  <r>
    <n v="4300"/>
    <x v="1"/>
    <s v="Apps"/>
    <n v="66.137566137566139"/>
    <d v="2025-03-23T00:00:00"/>
  </r>
  <r>
    <n v="4301"/>
    <x v="1"/>
    <s v="Apps"/>
    <n v="66.137566137566139"/>
    <d v="2025-03-24T00:00:00"/>
  </r>
  <r>
    <n v="4302"/>
    <x v="1"/>
    <s v="Apps"/>
    <n v="66.137566137566139"/>
    <d v="2025-03-25T00:00:00"/>
  </r>
  <r>
    <n v="4303"/>
    <x v="1"/>
    <s v="Apps"/>
    <n v="66.137566137566139"/>
    <d v="2025-03-26T00:00:00"/>
  </r>
  <r>
    <n v="4304"/>
    <x v="1"/>
    <s v="Apps"/>
    <n v="66.137566137566139"/>
    <d v="2025-03-27T00:00:00"/>
  </r>
  <r>
    <n v="4305"/>
    <x v="1"/>
    <s v="Apps"/>
    <n v="55.114638447971785"/>
    <d v="2025-03-28T00:00:00"/>
  </r>
  <r>
    <n v="4306"/>
    <x v="1"/>
    <s v="Apps"/>
    <n v="55.114638447971785"/>
    <d v="2025-03-29T00:00:00"/>
  </r>
  <r>
    <n v="4307"/>
    <x v="1"/>
    <s v="Apps"/>
    <n v="66.137566137566139"/>
    <d v="2025-03-30T00:00:00"/>
  </r>
  <r>
    <n v="4308"/>
    <x v="1"/>
    <s v="Tech"/>
    <n v="149.97473544973545"/>
    <d v="2025-03-31T00:00:00"/>
  </r>
  <r>
    <n v="4309"/>
    <x v="2"/>
    <s v="Tech"/>
    <n v="52.949274594938046"/>
    <d v="2025-04-01T00:00:00"/>
  </r>
  <r>
    <n v="4310"/>
    <x v="4"/>
    <s v="Apps"/>
    <n v="22.970551752653101"/>
    <d v="2025-04-02T00:00:00"/>
  </r>
  <r>
    <n v="4311"/>
    <x v="1"/>
    <s v="Tech"/>
    <n v="330.68783068783068"/>
    <d v="2025-04-03T00:00:00"/>
  </r>
  <r>
    <n v="4312"/>
    <x v="0"/>
    <s v="Apps"/>
    <n v="80"/>
    <d v="2025-04-04T00:00:00"/>
  </r>
  <r>
    <n v="4313"/>
    <x v="0"/>
    <s v="Apps"/>
    <n v="80"/>
    <d v="2025-04-05T00:00:00"/>
  </r>
  <r>
    <n v="4314"/>
    <x v="0"/>
    <s v="Apps"/>
    <n v="50"/>
    <d v="2025-04-06T00:00:00"/>
  </r>
  <r>
    <n v="4315"/>
    <x v="0"/>
    <s v="Apps"/>
    <n v="50"/>
    <d v="2025-04-07T00:00:00"/>
  </r>
  <r>
    <n v="4316"/>
    <x v="0"/>
    <s v="Apps"/>
    <n v="50"/>
    <d v="2025-04-08T00:00:00"/>
  </r>
  <r>
    <n v="4317"/>
    <x v="0"/>
    <s v="Apps"/>
    <n v="50"/>
    <d v="2025-04-09T00:00:00"/>
  </r>
  <r>
    <n v="4318"/>
    <x v="0"/>
    <s v="Apps"/>
    <n v="50"/>
    <d v="2025-04-10T00:00:00"/>
  </r>
  <r>
    <n v="4319"/>
    <x v="1"/>
    <s v="Apps"/>
    <n v="55.114638447971785"/>
    <d v="2025-04-11T00:00:00"/>
  </r>
  <r>
    <n v="4320"/>
    <x v="1"/>
    <s v="Apps"/>
    <n v="55.114638447971785"/>
    <d v="2025-04-12T00:00:00"/>
  </r>
  <r>
    <n v="4321"/>
    <x v="1"/>
    <s v="Apps"/>
    <n v="66.137566137566139"/>
    <d v="2025-04-13T00:00:00"/>
  </r>
  <r>
    <n v="4322"/>
    <x v="1"/>
    <s v="Apps"/>
    <n v="66.137566137566139"/>
    <d v="2025-04-14T00:00:00"/>
  </r>
  <r>
    <n v="4323"/>
    <x v="1"/>
    <s v="Apps"/>
    <n v="66.137566137566139"/>
    <d v="2025-04-15T00:00:00"/>
  </r>
  <r>
    <n v="4324"/>
    <x v="1"/>
    <s v="Tech"/>
    <n v="110.22927689594357"/>
    <d v="2025-04-16T00:00:00"/>
  </r>
  <r>
    <n v="4325"/>
    <x v="4"/>
    <s v="OFM"/>
    <n v="48.883819455760147"/>
    <d v="2025-04-17T00:00:00"/>
  </r>
  <r>
    <n v="4326"/>
    <x v="1"/>
    <s v="Apps"/>
    <n v="66.137566137566139"/>
    <d v="2025-04-18T00:00:00"/>
  </r>
  <r>
    <n v="4327"/>
    <x v="1"/>
    <s v="Apps"/>
    <n v="66.137566137566139"/>
    <d v="2025-04-19T00:00:00"/>
  </r>
  <r>
    <n v="4328"/>
    <x v="1"/>
    <s v="Apps"/>
    <n v="66.137566137566139"/>
    <d v="2025-04-20T00:00:00"/>
  </r>
  <r>
    <n v="4329"/>
    <x v="1"/>
    <s v="Apps"/>
    <n v="110.22927689594357"/>
    <d v="2025-04-21T00:00:00"/>
  </r>
  <r>
    <n v="4330"/>
    <x v="1"/>
    <s v="Apps"/>
    <n v="66.137566137566139"/>
    <d v="2025-04-22T00:00:00"/>
  </r>
  <r>
    <n v="4331"/>
    <x v="1"/>
    <s v="Tech"/>
    <n v="1102.2927689594355"/>
    <d v="2025-04-23T00:00:00"/>
  </r>
  <r>
    <n v="4332"/>
    <x v="1"/>
    <s v="Apps"/>
    <n v="55.114638447971785"/>
    <d v="2025-04-24T00:00:00"/>
  </r>
  <r>
    <n v="4333"/>
    <x v="4"/>
    <s v="Apps"/>
    <n v="22.970551752653101"/>
    <d v="2025-04-25T00:00:00"/>
  </r>
  <r>
    <n v="4334"/>
    <x v="4"/>
    <s v="Apps"/>
    <n v="2.2970551752653101"/>
    <d v="2025-04-26T00:00:00"/>
  </r>
  <r>
    <n v="4335"/>
    <x v="4"/>
    <s v="Apps"/>
    <n v="2.2970551752653101"/>
    <d v="2025-04-27T00:00:00"/>
  </r>
  <r>
    <n v="4336"/>
    <x v="4"/>
    <s v="Apps"/>
    <n v="22.970551752653101"/>
    <d v="2025-04-28T00:00:00"/>
  </r>
  <r>
    <n v="4337"/>
    <x v="1"/>
    <s v="OFM"/>
    <n v="66.137566137566139"/>
    <d v="2025-04-29T00:00:00"/>
  </r>
  <r>
    <n v="4338"/>
    <x v="1"/>
    <s v="Tech"/>
    <n v="43.786129629629407"/>
    <d v="2025-04-30T00:00:00"/>
  </r>
  <r>
    <n v="4339"/>
    <x v="0"/>
    <s v="Tech"/>
    <n v="100.12322858903266"/>
    <d v="2025-05-01T00:00:00"/>
  </r>
  <r>
    <n v="4340"/>
    <x v="2"/>
    <s v="Apps"/>
    <n v="105.89854918987609"/>
    <d v="2025-05-02T00:00:00"/>
  </r>
  <r>
    <n v="4341"/>
    <x v="0"/>
    <s v="Tech"/>
    <n v="28.712261244608747"/>
    <d v="2025-05-03T00:00:00"/>
  </r>
  <r>
    <n v="4342"/>
    <x v="0"/>
    <s v="Tech"/>
    <n v="107.82501540357363"/>
    <d v="2025-05-04T00:00:00"/>
  </r>
  <r>
    <n v="4343"/>
    <x v="1"/>
    <s v="Apps"/>
    <n v="66.137566137566139"/>
    <d v="2025-05-05T00:00:00"/>
  </r>
  <r>
    <n v="4344"/>
    <x v="1"/>
    <s v="Apps"/>
    <n v="66.137566137566139"/>
    <d v="2025-05-06T00:00:00"/>
  </r>
  <r>
    <n v="4345"/>
    <x v="1"/>
    <s v="Tech"/>
    <n v="22.045855379188712"/>
    <d v="2025-05-07T00:00:00"/>
  </r>
  <r>
    <n v="4346"/>
    <x v="1"/>
    <s v="Apps"/>
    <n v="66.137566137566139"/>
    <d v="2025-05-08T00:00:00"/>
  </r>
  <r>
    <n v="4347"/>
    <x v="1"/>
    <s v="Tech"/>
    <n v="162.54876543209878"/>
    <d v="2025-05-09T00:00:00"/>
  </r>
  <r>
    <n v="4348"/>
    <x v="4"/>
    <s v="Apps"/>
    <n v="22.970551752653101"/>
    <d v="2025-05-10T00:00:00"/>
  </r>
  <r>
    <n v="4349"/>
    <x v="4"/>
    <s v="Apps"/>
    <n v="22.970551752653101"/>
    <d v="2025-05-11T00:00:00"/>
  </r>
  <r>
    <n v="4350"/>
    <x v="4"/>
    <s v="Apps"/>
    <n v="22.970551752653101"/>
    <d v="2025-05-12T00:00:00"/>
  </r>
  <r>
    <n v="4351"/>
    <x v="1"/>
    <s v="Other"/>
    <n v="1102.2927689594355"/>
    <d v="2025-05-13T00:00:00"/>
  </r>
  <r>
    <n v="4352"/>
    <x v="1"/>
    <s v="Other"/>
    <n v="661.37566137566137"/>
    <d v="2025-05-14T00:00:00"/>
  </r>
  <r>
    <n v="4353"/>
    <x v="0"/>
    <s v="Tech"/>
    <n v="46.231053604436234"/>
    <d v="2025-05-15T00:00:00"/>
  </r>
  <r>
    <n v="4354"/>
    <x v="0"/>
    <s v="Tech"/>
    <n v="4.621072088724584"/>
    <d v="2025-05-16T00:00:00"/>
  </r>
  <r>
    <n v="4355"/>
    <x v="2"/>
    <s v="Tech"/>
    <n v="106.95753468177485"/>
    <d v="2025-05-17T00:00:00"/>
  </r>
  <r>
    <n v="4356"/>
    <x v="0"/>
    <s v="Tech"/>
    <n v="385.08934072704869"/>
    <d v="2025-05-18T00:00:00"/>
  </r>
  <r>
    <n v="4357"/>
    <x v="0"/>
    <s v="Tech"/>
    <n v="30.807147258163894"/>
    <d v="2025-05-19T00:00:00"/>
  </r>
  <r>
    <n v="4358"/>
    <x v="0"/>
    <s v="Tech"/>
    <n v="46.210720887245841"/>
    <d v="2025-05-20T00:00:00"/>
  </r>
  <r>
    <n v="4359"/>
    <x v="0"/>
    <s v="Tech"/>
    <n v="53.912507701786815"/>
    <d v="2025-05-21T00:00:00"/>
  </r>
  <r>
    <n v="4360"/>
    <x v="1"/>
    <s v="OFM"/>
    <n v="2.204585537918871"/>
    <d v="2025-05-22T00:00:00"/>
  </r>
  <r>
    <n v="4361"/>
    <x v="3"/>
    <s v="OFM"/>
    <n v="250.56462765713869"/>
    <d v="2025-05-23T00:00:00"/>
  </r>
  <r>
    <n v="4362"/>
    <x v="1"/>
    <s v="Tech"/>
    <n v="374.77954144620816"/>
    <d v="2025-05-24T00:00:00"/>
  </r>
  <r>
    <n v="4363"/>
    <x v="1"/>
    <s v="Apps"/>
    <n v="110.22927689594357"/>
    <d v="2025-05-25T00:00:00"/>
  </r>
  <r>
    <n v="4364"/>
    <x v="1"/>
    <s v="Apps"/>
    <n v="66.137566137566139"/>
    <d v="2025-05-26T00:00:00"/>
  </r>
  <r>
    <n v="4365"/>
    <x v="1"/>
    <s v="Apps"/>
    <n v="66.137566137566139"/>
    <d v="2025-05-27T00:00:00"/>
  </r>
  <r>
    <n v="4366"/>
    <x v="1"/>
    <s v="Apps"/>
    <n v="66.137566137566139"/>
    <d v="2025-05-28T00:00:00"/>
  </r>
  <r>
    <n v="4367"/>
    <x v="1"/>
    <s v="Tech"/>
    <n v="44.091710758377424"/>
    <d v="2025-05-29T00:00:00"/>
  </r>
  <r>
    <n v="4368"/>
    <x v="0"/>
    <s v="OFM"/>
    <n v="15.417624914881863"/>
    <d v="2025-05-30T00:00:00"/>
  </r>
  <r>
    <n v="4369"/>
    <x v="2"/>
    <s v="Apps"/>
    <n v="84.718839351900883"/>
    <d v="2025-05-31T00:00:00"/>
  </r>
  <r>
    <n v="4370"/>
    <x v="2"/>
    <s v="Apps"/>
    <n v="97.236852767198769"/>
    <d v="2025-06-01T00:00:00"/>
  </r>
  <r>
    <n v="4371"/>
    <x v="2"/>
    <s v="Apps"/>
    <n v="529.49274594938049"/>
    <d v="2025-06-02T00:00:00"/>
  </r>
  <r>
    <n v="4372"/>
    <x v="1"/>
    <s v="Other"/>
    <n v="330.68783068783068"/>
    <d v="2025-06-03T00:00:00"/>
  </r>
  <r>
    <n v="4373"/>
    <x v="2"/>
    <s v="Apps"/>
    <n v="100"/>
    <d v="2025-06-04T00:00:00"/>
  </r>
  <r>
    <n v="4374"/>
    <x v="2"/>
    <s v="Tech"/>
    <n v="423.59419675950437"/>
    <d v="2025-06-05T00:00:00"/>
  </r>
  <r>
    <n v="4375"/>
    <x v="3"/>
    <s v="OFM"/>
    <n v="274.75798400908536"/>
    <d v="2025-06-06T00:00:00"/>
  </r>
  <r>
    <n v="4376"/>
    <x v="1"/>
    <s v="Tech"/>
    <n v="194.00352733686069"/>
    <d v="2025-06-07T00:00:00"/>
  </r>
  <r>
    <n v="4377"/>
    <x v="0"/>
    <s v="Tech"/>
    <n v="38.54406228720466"/>
    <d v="2025-06-08T00:00:00"/>
  </r>
  <r>
    <n v="4378"/>
    <x v="1"/>
    <s v="Tech"/>
    <n v="60"/>
    <d v="2025-06-09T00:00:00"/>
  </r>
  <r>
    <n v="4379"/>
    <x v="4"/>
    <s v="Tech"/>
    <n v="790.09746178195144"/>
    <d v="2025-06-10T00:00:00"/>
  </r>
  <r>
    <n v="4380"/>
    <x v="1"/>
    <s v="Apps"/>
    <n v="30.8641975308642"/>
    <d v="2025-06-11T00:00:00"/>
  </r>
  <r>
    <n v="4381"/>
    <x v="1"/>
    <s v="Tech"/>
    <n v="30"/>
    <d v="2025-06-12T00:00:00"/>
  </r>
  <r>
    <n v="4382"/>
    <x v="4"/>
    <s v="Tech"/>
    <n v="22.970551752653101"/>
    <d v="2025-06-13T00:00:00"/>
  </r>
  <r>
    <n v="4383"/>
    <x v="1"/>
    <s v="Tech"/>
    <n v="156.5184523809524"/>
    <d v="2025-06-14T00:00:00"/>
  </r>
  <r>
    <n v="4384"/>
    <x v="4"/>
    <s v="Tech"/>
    <n v="126"/>
    <d v="2025-06-15T00:00:00"/>
  </r>
  <r>
    <n v="4385"/>
    <x v="0"/>
    <s v="Tech"/>
    <n v="68.941744226128904"/>
    <d v="2025-06-16T00:00:00"/>
  </r>
  <r>
    <n v="4386"/>
    <x v="1"/>
    <s v="Tech"/>
    <n v="330.68783068783068"/>
    <d v="2025-06-17T00:00:00"/>
  </r>
  <r>
    <n v="4387"/>
    <x v="1"/>
    <s v="Apps"/>
    <n v="110.22927689594357"/>
    <d v="2025-06-18T00:00:00"/>
  </r>
  <r>
    <n v="4388"/>
    <x v="1"/>
    <s v="Tech"/>
    <n v="110.22927689594357"/>
    <d v="2025-06-19T00:00:00"/>
  </r>
  <r>
    <n v="4389"/>
    <x v="0"/>
    <s v="Apps"/>
    <n v="154.03573629081947"/>
    <d v="2025-06-20T00:00:00"/>
  </r>
  <r>
    <n v="4390"/>
    <x v="4"/>
    <s v="Tech"/>
    <n v="300"/>
    <d v="2025-06-21T00:00:00"/>
  </r>
  <r>
    <n v="4391"/>
    <x v="1"/>
    <s v="Tech"/>
    <n v="194.00352733686069"/>
    <d v="2025-06-22T00:00:00"/>
  </r>
  <r>
    <n v="4392"/>
    <x v="1"/>
    <s v="Tech"/>
    <n v="5.9523809523809526"/>
    <d v="2025-06-23T00:00:00"/>
  </r>
  <r>
    <n v="4393"/>
    <x v="4"/>
    <s v="Apps"/>
    <n v="440"/>
    <d v="2025-06-24T00:00:00"/>
  </r>
  <r>
    <n v="4394"/>
    <x v="1"/>
    <s v="Tech"/>
    <n v="33.06878306878307"/>
    <d v="2025-06-25T00:00:00"/>
  </r>
  <r>
    <n v="4395"/>
    <x v="0"/>
    <s v="OFM"/>
    <n v="308.07147258163894"/>
    <d v="2025-06-26T00:00:00"/>
  </r>
  <r>
    <n v="4396"/>
    <x v="0"/>
    <s v="OFM"/>
    <n v="61.614294516327789"/>
    <d v="2025-06-27T00:00:00"/>
  </r>
  <r>
    <n v="4397"/>
    <x v="1"/>
    <s v="OFM"/>
    <n v="88.183421516754848"/>
    <d v="2025-06-28T00:00:00"/>
  </r>
  <r>
    <n v="4398"/>
    <x v="1"/>
    <s v="OFM"/>
    <n v="88.183421516754848"/>
    <d v="2025-06-29T00:00:00"/>
  </r>
  <r>
    <n v="4399"/>
    <x v="2"/>
    <s v="Apps"/>
    <n v="8.1030710639332302"/>
    <d v="2025-06-30T00:00:00"/>
  </r>
  <r>
    <n v="4400"/>
    <x v="2"/>
    <s v="OFM"/>
    <n v="105.89854918987609"/>
    <d v="2025-07-01T00:00:00"/>
  </r>
  <r>
    <n v="4401"/>
    <x v="2"/>
    <s v="Apps"/>
    <n v="24.309213191799692"/>
    <d v="2025-07-02T00:00:00"/>
  </r>
  <r>
    <n v="4402"/>
    <x v="2"/>
    <s v="Systems"/>
    <n v="97.236852767198769"/>
    <d v="2025-07-03T00:00:00"/>
  </r>
  <r>
    <n v="4403"/>
    <x v="0"/>
    <s v="Apps"/>
    <n v="256.96041524803104"/>
    <d v="2025-07-04T00:00:00"/>
  </r>
  <r>
    <n v="4404"/>
    <x v="4"/>
    <s v="Tech"/>
    <n v="51.951194394655374"/>
    <d v="2025-07-05T00:00:00"/>
  </r>
  <r>
    <n v="4405"/>
    <x v="4"/>
    <s v="Tech"/>
    <n v="123.5"/>
    <d v="2025-07-06T00:00:00"/>
  </r>
  <r>
    <n v="4406"/>
    <x v="4"/>
    <s v="Tech"/>
    <n v="372.77499999999998"/>
    <d v="2025-07-07T00:00:00"/>
  </r>
  <r>
    <n v="4407"/>
    <x v="4"/>
    <s v="Tech"/>
    <n v="31.335117379519456"/>
    <d v="2025-07-08T00:00:00"/>
  </r>
  <r>
    <n v="4408"/>
    <x v="2"/>
    <s v="OFM"/>
    <n v="1588.4782378481414"/>
    <d v="2025-07-09T00:00:00"/>
  </r>
  <r>
    <n v="4409"/>
    <x v="1"/>
    <s v="Apps"/>
    <n v="33.06878306878307"/>
    <d v="2025-07-10T00:00:00"/>
  </r>
  <r>
    <n v="4410"/>
    <x v="4"/>
    <s v="Apps"/>
    <n v="80.243941582410528"/>
    <d v="2025-07-11T00:00:00"/>
  </r>
  <r>
    <n v="4411"/>
    <x v="0"/>
    <s v="OFM"/>
    <n v="55.153395380903135"/>
    <d v="2025-07-12T00:00:00"/>
  </r>
  <r>
    <n v="4412"/>
    <x v="4"/>
    <s v="Apps"/>
    <n v="120.3659123736158"/>
    <d v="2025-07-13T00:00:00"/>
  </r>
  <r>
    <n v="4413"/>
    <x v="1"/>
    <s v="Tech"/>
    <n v="1102.2927689594355"/>
    <d v="2025-07-14T00:00:00"/>
  </r>
  <r>
    <n v="4414"/>
    <x v="0"/>
    <s v="Tech"/>
    <n v="46.210720887245841"/>
    <d v="2025-07-15T00:00:00"/>
  </r>
  <r>
    <n v="4415"/>
    <x v="0"/>
    <s v="Tech"/>
    <n v="60.0739371534196"/>
    <d v="2025-07-16T00:00:00"/>
  </r>
  <r>
    <n v="4416"/>
    <x v="0"/>
    <s v="Apps"/>
    <n v="15.617221195317313"/>
    <d v="2025-07-17T00:00:00"/>
  </r>
  <r>
    <n v="4417"/>
    <x v="4"/>
    <s v="Tech"/>
    <n v="19.883091927321544"/>
    <d v="2025-07-18T00:00:00"/>
  </r>
  <r>
    <n v="4418"/>
    <x v="2"/>
    <s v="Tech"/>
    <n v="42.359419675950441"/>
    <d v="2025-07-19T00:00:00"/>
  </r>
  <r>
    <n v="4419"/>
    <x v="2"/>
    <s v="Apps"/>
    <n v="10.58985491898761"/>
    <d v="2025-07-20T00:00:00"/>
  </r>
  <r>
    <n v="4420"/>
    <x v="2"/>
    <s v="Tech"/>
    <n v="63.539129513925651"/>
    <d v="2025-07-21T00:00:00"/>
  </r>
  <r>
    <n v="4421"/>
    <x v="2"/>
    <s v="Tech"/>
    <n v="529.49274594938049"/>
    <d v="2025-07-22T00:00:00"/>
  </r>
  <r>
    <n v="4422"/>
    <x v="1"/>
    <s v="Tech"/>
    <n v="110.22927689594357"/>
    <d v="2025-07-23T00:00:00"/>
  </r>
  <r>
    <n v="4423"/>
    <x v="1"/>
    <s v="Apps"/>
    <n v="11.022927689594356"/>
    <d v="2025-07-24T00:00:00"/>
  </r>
  <r>
    <n v="4424"/>
    <x v="0"/>
    <s v="Tech"/>
    <n v="77.017868145409736"/>
    <d v="2025-07-25T00:00:00"/>
  </r>
  <r>
    <n v="4425"/>
    <x v="0"/>
    <s v="Tech"/>
    <n v="385.08934072704869"/>
    <d v="2025-07-26T00:00:00"/>
  </r>
  <r>
    <n v="4426"/>
    <x v="0"/>
    <s v="Tech"/>
    <n v="462.10720887245844"/>
    <d v="2025-07-27T00:00:00"/>
  </r>
  <r>
    <n v="4427"/>
    <x v="1"/>
    <s v="Tech"/>
    <n v="110.22927689594357"/>
    <d v="2025-07-28T00:00:00"/>
  </r>
  <r>
    <n v="4428"/>
    <x v="0"/>
    <s v="Tech"/>
    <n v="29.922982131854592"/>
    <d v="2025-07-29T00:00:00"/>
  </r>
  <r>
    <n v="4429"/>
    <x v="1"/>
    <s v="OFM"/>
    <n v="440.91710758377428"/>
    <d v="2025-07-30T00:00:00"/>
  </r>
  <r>
    <n v="4430"/>
    <x v="1"/>
    <s v="OFM"/>
    <n v="88.183421516754848"/>
    <d v="2025-07-31T00:00:00"/>
  </r>
  <r>
    <n v="4431"/>
    <x v="4"/>
    <s v="Tech"/>
    <n v="97.767638911520294"/>
    <d v="2025-08-01T00:00:00"/>
  </r>
  <r>
    <n v="4432"/>
    <x v="4"/>
    <s v="OFM"/>
    <n v="32.589212970506765"/>
    <d v="2025-08-02T00:00:00"/>
  </r>
  <r>
    <n v="4433"/>
    <x v="1"/>
    <s v="Tech"/>
    <n v="55.114638447971785"/>
    <d v="2025-08-03T00:00:00"/>
  </r>
  <r>
    <n v="4434"/>
    <x v="1"/>
    <s v="OFM"/>
    <n v="41.887125220458557"/>
    <d v="2025-08-04T00:00:00"/>
  </r>
  <r>
    <n v="4435"/>
    <x v="1"/>
    <s v="Apps"/>
    <n v="88.183421516754848"/>
    <d v="2025-08-05T00:00:00"/>
  </r>
  <r>
    <n v="4436"/>
    <x v="1"/>
    <s v="Apps"/>
    <n v="110.22927689594357"/>
    <d v="2025-08-06T00:00:00"/>
  </r>
  <r>
    <n v="4437"/>
    <x v="1"/>
    <s v="Tech"/>
    <n v="5.9744268077601408"/>
    <d v="2025-08-07T00:00:00"/>
  </r>
  <r>
    <n v="4438"/>
    <x v="1"/>
    <s v="Tech"/>
    <n v="220.45855379188714"/>
    <d v="2025-08-08T00:00:00"/>
  </r>
  <r>
    <n v="4439"/>
    <x v="1"/>
    <s v="Apps"/>
    <n v="110.22927689594357"/>
    <d v="2025-08-09T00:00:00"/>
  </r>
  <r>
    <n v="4440"/>
    <x v="2"/>
    <s v="Apps"/>
    <n v="5.2949274594938052"/>
    <d v="2025-08-10T00:00:00"/>
  </r>
  <r>
    <n v="4441"/>
    <x v="4"/>
    <s v="Tech"/>
    <n v="18.92543758901089"/>
    <d v="2025-08-11T00:00:00"/>
  </r>
  <r>
    <n v="4442"/>
    <x v="1"/>
    <s v="OFM"/>
    <n v="198.4126984126984"/>
    <d v="2025-08-12T00:00:00"/>
  </r>
  <r>
    <n v="4443"/>
    <x v="4"/>
    <s v="Tech"/>
    <n v="1500"/>
    <d v="2025-08-13T00:00:00"/>
  </r>
  <r>
    <n v="4444"/>
    <x v="1"/>
    <s v="Apps"/>
    <n v="44.091710758377424"/>
    <d v="2025-08-14T00:00:00"/>
  </r>
  <r>
    <n v="4445"/>
    <x v="0"/>
    <s v="Tech"/>
    <n v="53.912507701786815"/>
    <d v="2025-08-15T00:00:00"/>
  </r>
  <r>
    <n v="4446"/>
    <x v="0"/>
    <s v="Apps"/>
    <n v="77.017868145409736"/>
    <d v="2025-08-16T00:00:00"/>
  </r>
  <r>
    <n v="4447"/>
    <x v="0"/>
    <s v="Tech"/>
    <n v="30.807147258163894"/>
    <d v="2025-08-17T00:00:00"/>
  </r>
  <r>
    <n v="4448"/>
    <x v="0"/>
    <s v="Tech"/>
    <n v="231.05360443622922"/>
    <d v="2025-08-18T00:00:00"/>
  </r>
  <r>
    <n v="4449"/>
    <x v="0"/>
    <s v="Tech"/>
    <n v="277.26432532347508"/>
    <d v="2025-08-19T00:00:00"/>
  </r>
  <r>
    <n v="4450"/>
    <x v="0"/>
    <s v="Tech"/>
    <n v="38.508934072704868"/>
    <d v="2025-08-20T00:00:00"/>
  </r>
  <r>
    <n v="4451"/>
    <x v="0"/>
    <s v="Tech"/>
    <n v="38.508934072704868"/>
    <d v="2025-08-21T00:00:00"/>
  </r>
  <r>
    <n v="4452"/>
    <x v="2"/>
    <s v="Apps"/>
    <n v="105.89854918987609"/>
    <d v="2025-08-22T00:00:00"/>
  </r>
  <r>
    <n v="4453"/>
    <x v="0"/>
    <s v="Apps"/>
    <n v="50"/>
    <d v="2025-08-23T00:00:00"/>
  </r>
  <r>
    <n v="4454"/>
    <x v="0"/>
    <s v="Tech"/>
    <n v="172.35436056532231"/>
    <d v="2025-08-24T00:00:00"/>
  </r>
  <r>
    <n v="4455"/>
    <x v="1"/>
    <s v="Apps"/>
    <n v="1102.2927689594355"/>
    <d v="2025-08-25T00:00:00"/>
  </r>
  <r>
    <n v="4456"/>
    <x v="1"/>
    <s v="Tech"/>
    <n v="79.365079365079367"/>
    <d v="2025-08-26T00:00:00"/>
  </r>
  <r>
    <n v="4457"/>
    <x v="1"/>
    <s v="Tech"/>
    <n v="440.91710758377428"/>
    <d v="2025-08-27T00:00:00"/>
  </r>
  <r>
    <n v="4458"/>
    <x v="2"/>
    <s v="Tech"/>
    <n v="211.79709837975219"/>
    <d v="2025-08-28T00:00:00"/>
  </r>
  <r>
    <n v="4459"/>
    <x v="2"/>
    <s v="Apps"/>
    <n v="423.59419675950437"/>
    <d v="2025-08-29T00:00:00"/>
  </r>
  <r>
    <n v="4460"/>
    <x v="2"/>
    <s v="OFM"/>
    <n v="202.57677659833075"/>
    <d v="2025-08-30T00:00:00"/>
  </r>
  <r>
    <n v="4461"/>
    <x v="1"/>
    <s v="Tech"/>
    <n v="44.091710758377424"/>
    <d v="2025-08-31T00:00:00"/>
  </r>
  <r>
    <n v="4462"/>
    <x v="1"/>
    <s v="Apps"/>
    <n v="44.091710758377424"/>
    <d v="2025-09-01T00:00:00"/>
  </r>
  <r>
    <n v="4463"/>
    <x v="1"/>
    <s v="Tech"/>
    <n v="489.67096560846562"/>
    <d v="2025-09-02T00:00:00"/>
  </r>
  <r>
    <n v="4464"/>
    <x v="1"/>
    <s v="Tech"/>
    <n v="3.7477954144620811"/>
    <d v="2025-09-03T00:00:00"/>
  </r>
  <r>
    <n v="4465"/>
    <x v="0"/>
    <s v="Tech"/>
    <n v="184.64430254519291"/>
    <d v="2025-09-04T00:00:00"/>
  </r>
  <r>
    <n v="4466"/>
    <x v="0"/>
    <s v="Tech"/>
    <n v="10.278416609921242"/>
    <d v="2025-09-05T00:00:00"/>
  </r>
  <r>
    <n v="4467"/>
    <x v="3"/>
    <s v="OFM"/>
    <n v="64.110196268786581"/>
    <d v="2025-09-06T00:00:00"/>
  </r>
  <r>
    <n v="4468"/>
    <x v="2"/>
    <s v="Tech"/>
    <n v="127.0782590278513"/>
    <d v="2025-09-07T00:00:00"/>
  </r>
  <r>
    <n v="4469"/>
    <x v="0"/>
    <s v="Tech"/>
    <n v="27.726432532347506"/>
    <d v="2025-09-08T00:00:00"/>
  </r>
  <r>
    <n v="4470"/>
    <x v="0"/>
    <s v="Apps"/>
    <n v="435.61906962415281"/>
    <d v="2025-09-09T00:00:00"/>
  </r>
  <r>
    <n v="4471"/>
    <x v="0"/>
    <s v="Tech"/>
    <n v="27.726432532347506"/>
    <d v="2025-09-10T00:00:00"/>
  </r>
  <r>
    <n v="4472"/>
    <x v="0"/>
    <s v="Tech"/>
    <n v="259.39617991374001"/>
    <d v="2025-09-11T00:00:00"/>
  </r>
  <r>
    <n v="4473"/>
    <x v="0"/>
    <s v="Apps"/>
    <n v="94.963031423290204"/>
    <d v="2025-09-12T00:00:00"/>
  </r>
  <r>
    <n v="4474"/>
    <x v="0"/>
    <s v="Apps"/>
    <n v="94.963031423290204"/>
    <d v="2025-09-13T00:00:00"/>
  </r>
  <r>
    <n v="4475"/>
    <x v="0"/>
    <s v="Tech"/>
    <n v="539.12507701786819"/>
    <d v="2025-09-14T00:00:00"/>
  </r>
  <r>
    <n v="4476"/>
    <x v="1"/>
    <s v="Apps"/>
    <n v="88.183421516754848"/>
    <d v="2025-09-15T00:00:00"/>
  </r>
  <r>
    <n v="4477"/>
    <x v="1"/>
    <s v="Apps"/>
    <n v="22.045855379188712"/>
    <d v="2025-09-16T00:00:00"/>
  </r>
  <r>
    <n v="4478"/>
    <x v="1"/>
    <s v="Tech"/>
    <n v="55.114638447971785"/>
    <d v="2025-09-17T00:00:00"/>
  </r>
  <r>
    <n v="4479"/>
    <x v="1"/>
    <s v="Apps"/>
    <n v="22.045855379188712"/>
    <d v="2025-09-18T00:00:00"/>
  </r>
  <r>
    <n v="4480"/>
    <x v="2"/>
    <s v="Apps"/>
    <n v="52.949274594938046"/>
    <d v="2025-09-19T00:00:00"/>
  </r>
  <r>
    <n v="4481"/>
    <x v="1"/>
    <s v="Tech"/>
    <n v="36.0810405643739"/>
    <d v="2025-09-20T00:00:00"/>
  </r>
  <r>
    <n v="4482"/>
    <x v="1"/>
    <s v="Tech"/>
    <n v="36.0810405643739"/>
    <d v="2025-09-21T00:00:00"/>
  </r>
  <r>
    <n v="4483"/>
    <x v="1"/>
    <s v="Tech"/>
    <n v="36.0810405643739"/>
    <d v="2025-09-22T00:00:00"/>
  </r>
  <r>
    <n v="4484"/>
    <x v="1"/>
    <s v="Tech"/>
    <n v="36.0810405643739"/>
    <d v="2025-09-23T00:00:00"/>
  </r>
  <r>
    <n v="4485"/>
    <x v="1"/>
    <s v="Tech"/>
    <n v="180.40784832451499"/>
    <d v="2025-09-24T00:00:00"/>
  </r>
  <r>
    <n v="4486"/>
    <x v="1"/>
    <s v="Tech"/>
    <n v="24.483575837742503"/>
    <d v="2025-09-25T00:00:00"/>
  </r>
  <r>
    <n v="4487"/>
    <x v="0"/>
    <s v="Apps"/>
    <n v="110"/>
    <d v="2025-09-26T00:00:00"/>
  </r>
  <r>
    <n v="4488"/>
    <x v="1"/>
    <s v="Apps"/>
    <n v="22.045855379188712"/>
    <d v="2025-09-27T00:00:00"/>
  </r>
  <r>
    <n v="4489"/>
    <x v="1"/>
    <s v="Apps"/>
    <n v="22.045855379188712"/>
    <d v="2025-09-28T00:00:00"/>
  </r>
  <r>
    <n v="4490"/>
    <x v="0"/>
    <s v="Tech"/>
    <n v="9.2421441774491679"/>
    <d v="2025-09-29T00:00:00"/>
  </r>
  <r>
    <n v="4491"/>
    <x v="1"/>
    <s v="Tech"/>
    <n v="210"/>
    <d v="2025-09-30T00:00:00"/>
  </r>
  <r>
    <n v="4492"/>
    <x v="1"/>
    <s v="Tech"/>
    <n v="270.6078042328042"/>
    <d v="2025-10-01T00:00:00"/>
  </r>
  <r>
    <n v="4493"/>
    <x v="1"/>
    <s v="Tech"/>
    <n v="35.273368606701936"/>
    <d v="2025-10-02T00:00:00"/>
  </r>
  <r>
    <n v="4494"/>
    <x v="1"/>
    <s v="Apps"/>
    <n v="88.183421516754848"/>
    <d v="2025-10-03T00:00:00"/>
  </r>
  <r>
    <n v="4495"/>
    <x v="1"/>
    <s v="Other"/>
    <n v="11.022927689594356"/>
    <d v="2025-10-04T00:00:00"/>
  </r>
  <r>
    <n v="4496"/>
    <x v="1"/>
    <s v="Tech"/>
    <n v="2.204585537918871"/>
    <d v="2025-10-05T00:00:00"/>
  </r>
  <r>
    <n v="4497"/>
    <x v="1"/>
    <s v="OFM"/>
    <n v="72.162037037037038"/>
    <d v="2025-10-06T00:00:00"/>
  </r>
  <r>
    <n v="4498"/>
    <x v="1"/>
    <s v="Apps"/>
    <n v="220.45855379188714"/>
    <d v="2025-10-07T00:00:00"/>
  </r>
  <r>
    <n v="4499"/>
    <x v="1"/>
    <s v="Apps"/>
    <n v="110.22927689594357"/>
    <d v="2025-10-08T00:00:00"/>
  </r>
  <r>
    <n v="4500"/>
    <x v="1"/>
    <s v="Tech"/>
    <n v="11.022927689594356"/>
    <d v="2025-10-09T00:00:00"/>
  </r>
  <r>
    <n v="4501"/>
    <x v="0"/>
    <s v="Apps"/>
    <n v="138.63216266173754"/>
    <d v="2025-10-10T00:00:00"/>
  </r>
  <r>
    <n v="4502"/>
    <x v="0"/>
    <s v="Other"/>
    <n v="123.22858903265558"/>
    <d v="2025-10-11T00:00:00"/>
  </r>
  <r>
    <n v="4503"/>
    <x v="0"/>
    <s v="Tech"/>
    <n v="472.48783117683303"/>
    <d v="2025-10-12T00:00:00"/>
  </r>
  <r>
    <n v="4504"/>
    <x v="0"/>
    <s v="Tech"/>
    <n v="46.210720887245841"/>
    <d v="2025-10-13T00:00:00"/>
  </r>
  <r>
    <n v="4505"/>
    <x v="4"/>
    <s v="Tech"/>
    <n v="60"/>
    <d v="2025-10-14T00:00:00"/>
  </r>
  <r>
    <n v="4506"/>
    <x v="1"/>
    <s v="Tech"/>
    <n v="18.033509700176367"/>
    <d v="2025-10-15T00:00:00"/>
  </r>
  <r>
    <n v="4507"/>
    <x v="1"/>
    <s v="Apps"/>
    <n v="44.091710758377424"/>
    <d v="2025-10-16T00:00:00"/>
  </r>
  <r>
    <n v="4508"/>
    <x v="0"/>
    <s v="Tech"/>
    <n v="9.2421441774491679"/>
    <d v="2025-10-17T00:00:00"/>
  </r>
  <r>
    <n v="4509"/>
    <x v="2"/>
    <s v="OFM"/>
    <n v="211.79709837975219"/>
    <d v="2025-10-18T00:00:00"/>
  </r>
  <r>
    <n v="4510"/>
    <x v="0"/>
    <s v="OFM"/>
    <n v="34.470872113064452"/>
    <d v="2025-10-19T00:00:00"/>
  </r>
  <r>
    <n v="4511"/>
    <x v="4"/>
    <s v="Tech"/>
    <n v="110.89084412037616"/>
    <d v="2025-10-20T00:00:00"/>
  </r>
  <r>
    <n v="4512"/>
    <x v="2"/>
    <s v="Apps"/>
    <n v="18.998199724663774"/>
    <d v="2025-10-21T00:00:00"/>
  </r>
  <r>
    <n v="4513"/>
    <x v="0"/>
    <s v="Tech"/>
    <n v="123.22858903265558"/>
    <d v="2025-10-22T00:00:00"/>
  </r>
  <r>
    <n v="4514"/>
    <x v="0"/>
    <s v="Tech"/>
    <n v="77.017868145409736"/>
    <d v="2025-10-23T00:00:00"/>
  </r>
  <r>
    <n v="4515"/>
    <x v="0"/>
    <s v="Tech"/>
    <n v="77.017868145409736"/>
    <d v="2025-10-24T00:00:00"/>
  </r>
  <r>
    <n v="4516"/>
    <x v="0"/>
    <s v="Tech"/>
    <n v="38.508934072704868"/>
    <d v="2025-10-25T00:00:00"/>
  </r>
  <r>
    <n v="4517"/>
    <x v="0"/>
    <s v="Tech"/>
    <n v="30.807147258163894"/>
    <d v="2025-10-26T00:00:00"/>
  </r>
  <r>
    <n v="4518"/>
    <x v="0"/>
    <s v="Tech"/>
    <n v="197.10189589796619"/>
    <d v="2025-10-27T00:00:00"/>
  </r>
  <r>
    <n v="4519"/>
    <x v="1"/>
    <s v="Tech"/>
    <n v="146.90145502645501"/>
    <d v="2025-10-28T00:00:00"/>
  </r>
  <r>
    <n v="4520"/>
    <x v="1"/>
    <s v="Apps"/>
    <n v="44.091710758377424"/>
    <d v="2025-10-29T00:00:00"/>
  </r>
  <r>
    <n v="4521"/>
    <x v="1"/>
    <s v="Tech"/>
    <n v="35.273368606701936"/>
    <d v="2025-10-30T00:00:00"/>
  </r>
  <r>
    <n v="4522"/>
    <x v="2"/>
    <s v="Apps"/>
    <n v="405.15355319666151"/>
    <d v="2025-10-31T00:00:00"/>
  </r>
  <r>
    <n v="4523"/>
    <x v="4"/>
    <s v="Apps"/>
    <n v="32.589212970506765"/>
    <d v="2025-11-01T00:00:00"/>
  </r>
  <r>
    <n v="4524"/>
    <x v="1"/>
    <s v="Tech"/>
    <n v="1.7174162257495591"/>
    <d v="2025-11-02T00:00:00"/>
  </r>
  <r>
    <n v="4525"/>
    <x v="1"/>
    <s v="Apps"/>
    <n v="110.22927689594357"/>
    <d v="2025-11-03T00:00:00"/>
  </r>
  <r>
    <n v="4526"/>
    <x v="1"/>
    <s v="Tech"/>
    <n v="60"/>
    <d v="2025-11-04T00:00:00"/>
  </r>
  <r>
    <n v="4527"/>
    <x v="1"/>
    <s v="Tech"/>
    <n v="39.173721340388006"/>
    <d v="2025-11-05T00:00:00"/>
  </r>
  <r>
    <n v="4528"/>
    <x v="4"/>
    <s v="Apps"/>
    <n v="264.55026455026456"/>
    <d v="2025-11-06T00:00:00"/>
  </r>
  <r>
    <n v="4529"/>
    <x v="4"/>
    <s v="Apps"/>
    <n v="110.22927689594357"/>
    <d v="2025-11-07T00:00:00"/>
  </r>
  <r>
    <n v="4530"/>
    <x v="4"/>
    <s v="Apps"/>
    <n v="132.27513227513228"/>
    <d v="2025-11-08T00:00:00"/>
  </r>
  <r>
    <n v="4531"/>
    <x v="1"/>
    <s v="Tech"/>
    <n v="88.183421516754848"/>
    <d v="2025-11-09T00:00:00"/>
  </r>
  <r>
    <n v="4532"/>
    <x v="1"/>
    <s v="Tech"/>
    <n v="440.91710758377428"/>
    <d v="2025-11-10T00:00:00"/>
  </r>
  <r>
    <n v="4533"/>
    <x v="1"/>
    <s v="Tech"/>
    <n v="39.173677248677244"/>
    <d v="2025-11-11T00:00:00"/>
  </r>
  <r>
    <n v="4534"/>
    <x v="1"/>
    <s v="Tech"/>
    <n v="120"/>
    <d v="2025-11-12T00:00:00"/>
  </r>
  <r>
    <n v="4535"/>
    <x v="3"/>
    <s v="Tech"/>
    <n v="183.17198933939025"/>
    <d v="2025-11-13T00:00:00"/>
  </r>
  <r>
    <n v="4536"/>
    <x v="0"/>
    <s v="Apps"/>
    <n v="462.10720887245844"/>
    <d v="2025-11-14T00:00:00"/>
  </r>
  <r>
    <n v="4537"/>
    <x v="0"/>
    <s v="OFM"/>
    <n v="86.177180282661155"/>
    <d v="2025-11-15T00:00:00"/>
  </r>
  <r>
    <n v="4538"/>
    <x v="0"/>
    <s v="Tech"/>
    <n v="46.210720887245841"/>
    <d v="2025-11-16T00:00:00"/>
  </r>
  <r>
    <n v="4539"/>
    <x v="1"/>
    <s v="Apps"/>
    <n v="66.137566137566139"/>
    <d v="2025-11-17T00:00:00"/>
  </r>
  <r>
    <n v="4540"/>
    <x v="0"/>
    <s v="Apps"/>
    <n v="154.03573629081947"/>
    <d v="2025-11-18T00:00:00"/>
  </r>
  <r>
    <n v="4541"/>
    <x v="0"/>
    <s v="Apps"/>
    <n v="107.82501540357363"/>
    <d v="2025-11-19T00:00:00"/>
  </r>
  <r>
    <n v="4542"/>
    <x v="1"/>
    <s v="Tech"/>
    <n v="22.045855379188712"/>
    <d v="2025-11-20T00:00:00"/>
  </r>
  <r>
    <n v="4543"/>
    <x v="0"/>
    <s v="Apps"/>
    <n v="51.706308169596689"/>
    <d v="2025-11-21T00:00:00"/>
  </r>
  <r>
    <n v="4544"/>
    <x v="0"/>
    <s v="Apps"/>
    <n v="103.41261633919338"/>
    <d v="2025-11-22T00:00:00"/>
  </r>
  <r>
    <n v="4545"/>
    <x v="0"/>
    <s v="Tech"/>
    <n v="5.1706308169596689"/>
    <d v="2025-11-23T00:00:00"/>
  </r>
  <r>
    <n v="4546"/>
    <x v="0"/>
    <s v="Tech"/>
    <n v="67.218200620475685"/>
    <d v="2025-11-24T00:00:00"/>
  </r>
  <r>
    <n v="4547"/>
    <x v="0"/>
    <s v="Tech"/>
    <n v="5.1706308169596689"/>
    <d v="2025-11-25T00:00:00"/>
  </r>
  <r>
    <n v="4548"/>
    <x v="0"/>
    <s v="Tech"/>
    <n v="3.1023784901758011"/>
    <d v="2025-11-26T00:00:00"/>
  </r>
  <r>
    <n v="4549"/>
    <x v="0"/>
    <s v="Tech"/>
    <n v="3.4470872113064459"/>
    <d v="2025-11-27T00:00:00"/>
  </r>
  <r>
    <n v="4550"/>
    <x v="0"/>
    <s v="Tech"/>
    <n v="254.15896487985214"/>
    <d v="2025-11-28T00:00:00"/>
  </r>
  <r>
    <n v="4551"/>
    <x v="0"/>
    <s v="Apps"/>
    <n v="154.03573629081947"/>
    <d v="2025-11-29T00:00:00"/>
  </r>
  <r>
    <n v="4552"/>
    <x v="0"/>
    <s v="Apps"/>
    <n v="123.22858903265558"/>
    <d v="2025-11-30T00:00:00"/>
  </r>
  <r>
    <n v="4553"/>
    <x v="0"/>
    <s v="Apps"/>
    <n v="107.82501540357363"/>
    <d v="2025-12-01T00:00:00"/>
  </r>
  <r>
    <n v="4554"/>
    <x v="0"/>
    <s v="OFM"/>
    <n v="53.912507701786815"/>
    <d v="2025-12-02T00:00:00"/>
  </r>
  <r>
    <n v="4555"/>
    <x v="0"/>
    <s v="OFM"/>
    <n v="53.912507701786815"/>
    <d v="2025-12-03T00:00:00"/>
  </r>
  <r>
    <n v="4556"/>
    <x v="1"/>
    <s v="Apps"/>
    <n v="88.183421516754848"/>
    <d v="2025-12-04T00:00:00"/>
  </r>
  <r>
    <n v="4557"/>
    <x v="0"/>
    <s v="Tech"/>
    <n v="230.80544242159496"/>
    <d v="2025-12-05T00:00:00"/>
  </r>
  <r>
    <n v="4558"/>
    <x v="1"/>
    <s v="Tech"/>
    <n v="110.22927689594357"/>
    <d v="2025-12-06T00:00:00"/>
  </r>
  <r>
    <n v="4559"/>
    <x v="4"/>
    <s v="Tech"/>
    <n v="1.5"/>
    <d v="2025-12-07T00:00:00"/>
  </r>
  <r>
    <n v="4560"/>
    <x v="1"/>
    <s v="Tech"/>
    <n v="99.206349206349202"/>
    <d v="2025-12-08T00:00:00"/>
  </r>
  <r>
    <n v="4561"/>
    <x v="0"/>
    <s v="Tech"/>
    <n v="154.03573629081947"/>
    <d v="2025-12-09T00:00:00"/>
  </r>
  <r>
    <n v="4562"/>
    <x v="0"/>
    <s v="Tech"/>
    <n v="23.567467652495381"/>
    <d v="2025-12-10T00:00:00"/>
  </r>
  <r>
    <n v="4563"/>
    <x v="1"/>
    <s v="Apps"/>
    <n v="0.44091710758377428"/>
    <d v="2025-12-11T00:00:00"/>
  </r>
  <r>
    <n v="4564"/>
    <x v="1"/>
    <s v="Tech"/>
    <n v="110.22927689594357"/>
    <d v="2025-12-12T00:00:00"/>
  </r>
  <r>
    <n v="4565"/>
    <x v="1"/>
    <s v="Tech"/>
    <n v="220.45855379188714"/>
    <d v="2025-12-13T00:00:00"/>
  </r>
  <r>
    <n v="4566"/>
    <x v="1"/>
    <s v="Tech"/>
    <n v="110.22927689594357"/>
    <d v="2025-12-14T00:00:00"/>
  </r>
  <r>
    <n v="4567"/>
    <x v="4"/>
    <s v="Apps"/>
    <n v="65.178425941013529"/>
    <d v="2025-12-15T00:00:00"/>
  </r>
  <r>
    <n v="4568"/>
    <x v="1"/>
    <s v="Systems"/>
    <n v="145.50264550264549"/>
    <d v="2025-12-16T00:00:00"/>
  </r>
  <r>
    <n v="4569"/>
    <x v="0"/>
    <s v="Tech"/>
    <n v="6.8941744226128918"/>
    <d v="2025-12-17T00:00:00"/>
  </r>
  <r>
    <n v="4570"/>
    <x v="1"/>
    <s v="Tech"/>
    <n v="119.04761904761905"/>
    <d v="2025-12-18T00:00:00"/>
  </r>
  <r>
    <n v="4571"/>
    <x v="4"/>
    <s v="Systems"/>
    <n v="100"/>
    <d v="2025-12-19T00:00:00"/>
  </r>
  <r>
    <n v="4572"/>
    <x v="0"/>
    <s v="Apps"/>
    <n v="316.54343807763405"/>
    <d v="2025-12-20T00:00:00"/>
  </r>
  <r>
    <n v="4573"/>
    <x v="4"/>
    <s v="Tech"/>
    <n v="112.34151821537475"/>
    <d v="2025-12-21T00:00:00"/>
  </r>
  <r>
    <n v="4574"/>
    <x v="0"/>
    <s v="Tech"/>
    <n v="206.82523267838675"/>
    <d v="2025-12-22T00:00:00"/>
  </r>
  <r>
    <n v="4575"/>
    <x v="3"/>
    <s v="Tech"/>
    <n v="45.792997334847563"/>
    <d v="2025-12-23T00:00:00"/>
  </r>
  <r>
    <n v="4576"/>
    <x v="0"/>
    <s v="Tech"/>
    <n v="3.8886321626617373"/>
    <d v="2025-12-24T00:00:00"/>
  </r>
  <r>
    <n v="4577"/>
    <x v="1"/>
    <s v="Tech"/>
    <n v="132.27513227513228"/>
    <d v="2025-12-25T00:00:00"/>
  </r>
  <r>
    <n v="4578"/>
    <x v="0"/>
    <s v="Apps"/>
    <n v="316.54343807763405"/>
    <d v="2025-12-26T00:00:00"/>
  </r>
  <r>
    <n v="4579"/>
    <x v="0"/>
    <s v="Apps"/>
    <n v="738.60135551447934"/>
    <d v="2025-12-27T00:00:00"/>
  </r>
  <r>
    <n v="4580"/>
    <x v="0"/>
    <s v="Tech"/>
    <n v="12.848020762401553"/>
    <d v="2025-12-28T00:00:00"/>
  </r>
  <r>
    <n v="4581"/>
    <x v="4"/>
    <s v="Tech"/>
    <n v="15.944239856607464"/>
    <d v="2025-12-29T00:00:00"/>
  </r>
  <r>
    <n v="4582"/>
    <x v="0"/>
    <s v="Tech"/>
    <n v="86.177180282661155"/>
    <d v="2025-12-30T00:00:00"/>
  </r>
  <r>
    <n v="4583"/>
    <x v="1"/>
    <s v="Tech"/>
    <n v="5.7728395061728399"/>
    <d v="2025-12-31T00:00:00"/>
  </r>
  <r>
    <n v="4584"/>
    <x v="4"/>
    <s v="Tech"/>
    <n v="102.63157894736842"/>
    <d v="2026-01-01T00:00:00"/>
  </r>
  <r>
    <n v="4585"/>
    <x v="1"/>
    <s v="Apps"/>
    <n v="48.500881834215171"/>
    <d v="2026-01-02T00:00:00"/>
  </r>
  <r>
    <n v="4586"/>
    <x v="1"/>
    <s v="Apps"/>
    <n v="48.500881834215171"/>
    <d v="2026-01-03T00:00:00"/>
  </r>
  <r>
    <n v="4587"/>
    <x v="1"/>
    <s v="Apps"/>
    <n v="55.114638447971785"/>
    <d v="2026-01-04T00:00:00"/>
  </r>
  <r>
    <n v="4588"/>
    <x v="1"/>
    <s v="Apps"/>
    <n v="48.500881834215171"/>
    <d v="2026-01-05T00:00:00"/>
  </r>
  <r>
    <n v="4589"/>
    <x v="1"/>
    <s v="Apps"/>
    <n v="66.137566137566139"/>
    <d v="2026-01-06T00:00:00"/>
  </r>
  <r>
    <n v="4590"/>
    <x v="1"/>
    <s v="Tech"/>
    <n v="66.137566137566139"/>
    <d v="2026-01-07T00:00:00"/>
  </r>
  <r>
    <n v="4591"/>
    <x v="4"/>
    <s v="Tech"/>
    <n v="5.3261593612514258"/>
    <d v="2026-01-08T00:00:00"/>
  </r>
  <r>
    <n v="4592"/>
    <x v="4"/>
    <s v="Tech"/>
    <n v="129.82499592634838"/>
    <d v="2026-01-09T00:00:00"/>
  </r>
  <r>
    <n v="4593"/>
    <x v="4"/>
    <s v="Other"/>
    <n v="49.356067834979626"/>
    <d v="2026-01-10T00:00:00"/>
  </r>
  <r>
    <n v="4594"/>
    <x v="4"/>
    <s v="Other"/>
    <n v="26.323236178655804"/>
    <d v="2026-01-11T00:00:00"/>
  </r>
  <r>
    <n v="4595"/>
    <x v="4"/>
    <s v="Other"/>
    <n v="32.904045223319756"/>
    <d v="2026-01-12T00:00:00"/>
  </r>
  <r>
    <n v="4596"/>
    <x v="4"/>
    <s v="Tech"/>
    <n v="42.609274890011406"/>
    <d v="2026-01-13T00:00:00"/>
  </r>
  <r>
    <n v="4597"/>
    <x v="4"/>
    <s v="OFM"/>
    <n v="8.8453641844549455"/>
    <d v="2026-01-14T00:00:00"/>
  </r>
  <r>
    <n v="4598"/>
    <x v="1"/>
    <s v="Apps"/>
    <n v="55.114638447971785"/>
    <d v="2026-01-15T00:00:00"/>
  </r>
  <r>
    <n v="4599"/>
    <x v="0"/>
    <s v="OFM"/>
    <n v="30.807147258163894"/>
    <d v="2026-01-16T00:00:00"/>
  </r>
  <r>
    <n v="4600"/>
    <x v="0"/>
    <s v="Tech"/>
    <n v="154.03573629081947"/>
    <d v="2026-01-17T00:00:00"/>
  </r>
  <r>
    <n v="4601"/>
    <x v="3"/>
    <s v="Tech"/>
    <n v="58.615036588604873"/>
    <d v="2026-01-18T00:00:00"/>
  </r>
  <r>
    <n v="4602"/>
    <x v="3"/>
    <s v="OFM"/>
    <n v="21.980638720726827"/>
    <d v="2026-01-19T00:00:00"/>
  </r>
  <r>
    <n v="4603"/>
    <x v="4"/>
    <s v="Apps"/>
    <n v="5.8660583346912167"/>
    <d v="2026-01-20T00:00:00"/>
  </r>
  <r>
    <n v="4604"/>
    <x v="4"/>
    <s v="Tech"/>
    <n v="150"/>
    <d v="2026-01-21T00:00:00"/>
  </r>
  <r>
    <n v="4605"/>
    <x v="4"/>
    <s v="Apps"/>
    <n v="131.61618089327902"/>
    <d v="2026-01-22T00:00:00"/>
  </r>
  <r>
    <n v="4606"/>
    <x v="4"/>
    <s v="Apps"/>
    <n v="32.904045223319756"/>
    <d v="2026-01-23T00:00:00"/>
  </r>
  <r>
    <n v="4607"/>
    <x v="4"/>
    <s v="Apps"/>
    <n v="49.356067834979626"/>
    <d v="2026-01-24T00:00:00"/>
  </r>
  <r>
    <n v="4608"/>
    <x v="1"/>
    <s v="Tech"/>
    <n v="88.183421516754848"/>
    <d v="2026-01-25T00:00:00"/>
  </r>
  <r>
    <n v="4609"/>
    <x v="0"/>
    <s v="Tech"/>
    <n v="12.848020762401553"/>
    <d v="2026-01-26T00:00:00"/>
  </r>
  <r>
    <n v="4610"/>
    <x v="0"/>
    <s v="OFM"/>
    <n v="102.78416609921243"/>
    <d v="2026-01-27T00:00:00"/>
  </r>
  <r>
    <n v="4611"/>
    <x v="1"/>
    <s v="Tech"/>
    <n v="171.21545083774251"/>
    <d v="2026-01-28T00:00:00"/>
  </r>
  <r>
    <n v="4612"/>
    <x v="1"/>
    <s v="Other"/>
    <n v="55.114638447971785"/>
    <d v="2026-01-29T00:00:00"/>
  </r>
  <r>
    <n v="4613"/>
    <x v="1"/>
    <s v="Other"/>
    <n v="6.6137566137566139"/>
    <d v="2026-01-30T00:00:00"/>
  </r>
  <r>
    <n v="4614"/>
    <x v="1"/>
    <s v="Other"/>
    <n v="6.6137566137566139"/>
    <d v="2026-01-31T00:00:00"/>
  </r>
  <r>
    <n v="4615"/>
    <x v="3"/>
    <s v="Tech"/>
    <n v="45.792997334847563"/>
    <d v="2026-02-01T00:00:00"/>
  </r>
  <r>
    <n v="4616"/>
    <x v="3"/>
    <s v="OFM"/>
    <n v="5.9530896535301823"/>
    <d v="2026-02-02T00:00:00"/>
  </r>
  <r>
    <n v="4617"/>
    <x v="3"/>
    <s v="OFM"/>
    <n v="111.83863463599147"/>
    <d v="2026-02-03T00:00:00"/>
  </r>
  <r>
    <n v="4618"/>
    <x v="3"/>
    <s v="OFM"/>
    <n v="60.135730444100496"/>
    <d v="2026-02-04T00:00:00"/>
  </r>
  <r>
    <n v="4619"/>
    <x v="3"/>
    <s v="OFM"/>
    <n v="29.307518294302437"/>
    <d v="2026-02-05T00:00:00"/>
  </r>
  <r>
    <n v="4620"/>
    <x v="1"/>
    <s v="Tech"/>
    <n v="330.68783068783068"/>
    <d v="2026-02-06T00:00:00"/>
  </r>
  <r>
    <n v="4621"/>
    <x v="0"/>
    <s v="Apps"/>
    <n v="200.24645717806533"/>
    <d v="2026-02-07T00:00:00"/>
  </r>
  <r>
    <n v="4622"/>
    <x v="4"/>
    <s v="Tech"/>
    <n v="50"/>
    <d v="2026-02-08T00:00:00"/>
  </r>
  <r>
    <n v="4623"/>
    <x v="1"/>
    <s v="Other"/>
    <n v="154.32098765432099"/>
    <d v="2026-02-09T00:00:00"/>
  </r>
  <r>
    <n v="4624"/>
    <x v="0"/>
    <s v="Tech"/>
    <n v="51.392083049606214"/>
    <d v="2026-02-10T00:00:00"/>
  </r>
  <r>
    <n v="4625"/>
    <x v="1"/>
    <s v="OFM"/>
    <n v="55.114638447971785"/>
    <d v="2026-02-11T00:00:00"/>
  </r>
  <r>
    <n v="4626"/>
    <x v="2"/>
    <s v="Apps"/>
    <n v="95.308694270888495"/>
    <d v="2026-02-12T00:00:00"/>
  </r>
  <r>
    <n v="4627"/>
    <x v="4"/>
    <s v="Tech"/>
    <n v="130"/>
    <d v="2026-02-13T00:00:00"/>
  </r>
  <r>
    <n v="4628"/>
    <x v="4"/>
    <s v="Apps"/>
    <n v="22.975000000000001"/>
    <d v="2026-02-14T00:00:00"/>
  </r>
  <r>
    <n v="4629"/>
    <x v="1"/>
    <s v="OFM"/>
    <n v="176.3668430335097"/>
    <d v="2026-02-15T00:00:00"/>
  </r>
  <r>
    <n v="4630"/>
    <x v="4"/>
    <s v="Tech"/>
    <n v="150"/>
    <d v="2026-02-16T00:00:00"/>
  </r>
  <r>
    <n v="4631"/>
    <x v="0"/>
    <s v="Tech"/>
    <n v="107.82501540357363"/>
    <d v="2026-02-17T00:00:00"/>
  </r>
  <r>
    <n v="4632"/>
    <x v="0"/>
    <s v="OFM"/>
    <n v="61.614294516327789"/>
    <d v="2026-02-18T00:00:00"/>
  </r>
  <r>
    <n v="4633"/>
    <x v="3"/>
    <s v="Tech"/>
    <n v="137.37899200454268"/>
    <d v="2026-02-19T00:00:00"/>
  </r>
  <r>
    <n v="4634"/>
    <x v="3"/>
    <s v="OFM"/>
    <n v="22.896498667423781"/>
    <d v="2026-02-20T00:00:00"/>
  </r>
  <r>
    <n v="4635"/>
    <x v="3"/>
    <s v="Tech"/>
    <n v="54.951596801817075"/>
    <d v="2026-02-21T00:00:00"/>
  </r>
  <r>
    <n v="4636"/>
    <x v="2"/>
    <s v="Systems"/>
    <n v="21.179709837975221"/>
    <d v="2026-02-22T00:00:00"/>
  </r>
  <r>
    <n v="4637"/>
    <x v="4"/>
    <s v="Tech"/>
    <n v="112.34151821537475"/>
    <d v="2026-02-23T00:00:00"/>
  </r>
  <r>
    <n v="4638"/>
    <x v="1"/>
    <s v="Tech"/>
    <n v="110.22927689594357"/>
    <d v="2026-02-24T00:00:00"/>
  </r>
  <r>
    <n v="4639"/>
    <x v="0"/>
    <s v="Tech"/>
    <n v="61.614294516327789"/>
    <d v="2026-02-25T00:00:00"/>
  </r>
  <r>
    <n v="4640"/>
    <x v="0"/>
    <s v="Tech"/>
    <n v="107.82501540357363"/>
    <d v="2026-02-26T00:00:00"/>
  </r>
  <r>
    <n v="4641"/>
    <x v="3"/>
    <s v="Tech"/>
    <n v="91.585994669695125"/>
    <d v="2026-02-27T00:00:00"/>
  </r>
  <r>
    <n v="4642"/>
    <x v="4"/>
    <s v="Tech"/>
    <n v="19.099560045624902"/>
    <d v="2026-02-28T00:00:00"/>
  </r>
  <r>
    <n v="4643"/>
    <x v="1"/>
    <s v="Tech"/>
    <n v="11.022927689594356"/>
    <d v="2026-03-01T00:00:00"/>
  </r>
  <r>
    <n v="4644"/>
    <x v="1"/>
    <s v="Apps"/>
    <n v="33.06878306878307"/>
    <d v="2026-03-02T00:00:00"/>
  </r>
  <r>
    <n v="4645"/>
    <x v="2"/>
    <s v="Tech"/>
    <n v="36.463819787699542"/>
    <d v="2026-03-03T00:00:00"/>
  </r>
  <r>
    <n v="4646"/>
    <x v="2"/>
    <s v="Tech"/>
    <n v="34.032898468519569"/>
    <d v="2026-03-04T00:00:00"/>
  </r>
  <r>
    <n v="4647"/>
    <x v="0"/>
    <s v="Apps"/>
    <n v="154.03573629081947"/>
    <d v="2026-03-05T00:00:00"/>
  </r>
  <r>
    <n v="4648"/>
    <x v="4"/>
    <s v="Apps"/>
    <n v="55.114638447971785"/>
    <d v="2026-03-06T00:00:00"/>
  </r>
  <r>
    <n v="4649"/>
    <x v="1"/>
    <s v="Apps"/>
    <n v="44.091710758377424"/>
    <d v="2026-03-07T00:00:00"/>
  </r>
  <r>
    <n v="4650"/>
    <x v="1"/>
    <s v="Apps"/>
    <n v="30.8641975308642"/>
    <d v="2026-03-08T00:00:00"/>
  </r>
  <r>
    <n v="4651"/>
    <x v="1"/>
    <s v="Apps"/>
    <n v="30.8641975308642"/>
    <d v="2026-03-09T00:00:00"/>
  </r>
  <r>
    <n v="4652"/>
    <x v="1"/>
    <s v="Tech"/>
    <n v="56.28641975308642"/>
    <d v="2026-03-10T00:00:00"/>
  </r>
  <r>
    <n v="4653"/>
    <x v="0"/>
    <s v="Tech"/>
    <n v="25.696041524803107"/>
    <d v="2026-03-11T00:00:00"/>
  </r>
  <r>
    <n v="4654"/>
    <x v="1"/>
    <s v="Apps"/>
    <n v="8.9285714285714288"/>
    <d v="2026-03-12T00:00:00"/>
  </r>
  <r>
    <n v="4655"/>
    <x v="1"/>
    <s v="Apps"/>
    <n v="8.9285714285714288"/>
    <d v="2026-03-13T00:00:00"/>
  </r>
  <r>
    <n v="4656"/>
    <x v="0"/>
    <s v="Apps"/>
    <n v="385.44062287204662"/>
    <d v="2026-03-14T00:00:00"/>
  </r>
  <r>
    <n v="4657"/>
    <x v="0"/>
    <s v="Tech"/>
    <n v="143.39882799034817"/>
    <d v="2026-03-15T00:00:00"/>
  </r>
  <r>
    <n v="4658"/>
    <x v="2"/>
    <s v="Apps"/>
    <n v="105.89854918987609"/>
    <d v="2026-03-16T00:00:00"/>
  </r>
  <r>
    <n v="4659"/>
    <x v="4"/>
    <s v="Tech"/>
    <n v="9.3293791754929138"/>
    <d v="2026-03-17T00:00:00"/>
  </r>
  <r>
    <n v="4660"/>
    <x v="1"/>
    <s v="Tech"/>
    <n v="53.154078483245151"/>
    <d v="2026-03-18T00:00:00"/>
  </r>
  <r>
    <n v="4661"/>
    <x v="1"/>
    <s v="Tech"/>
    <n v="97.934215167548501"/>
    <d v="2026-03-19T00:00:00"/>
  </r>
  <r>
    <n v="4662"/>
    <x v="4"/>
    <s v="Tech"/>
    <n v="100.16963752469334"/>
    <d v="2026-03-20T00:00:00"/>
  </r>
  <r>
    <n v="4663"/>
    <x v="4"/>
    <s v="Apps"/>
    <n v="11.5"/>
    <d v="2026-03-21T00:00:00"/>
  </r>
  <r>
    <n v="4664"/>
    <x v="1"/>
    <s v="Tech"/>
    <n v="13.227513227513228"/>
    <d v="2026-03-22T00:00:00"/>
  </r>
  <r>
    <n v="4665"/>
    <x v="1"/>
    <s v="Apps"/>
    <n v="55.114638447971785"/>
    <d v="2026-03-23T00:00:00"/>
  </r>
  <r>
    <n v="4666"/>
    <x v="0"/>
    <s v="Tech"/>
    <n v="21.258335153469609"/>
    <d v="2026-03-24T00:00:00"/>
  </r>
  <r>
    <n v="4667"/>
    <x v="3"/>
    <s v="Tech"/>
    <n v="91.585994669695125"/>
    <d v="2026-03-25T00:00:00"/>
  </r>
  <r>
    <n v="4668"/>
    <x v="0"/>
    <s v="Tech"/>
    <n v="77.017868145409736"/>
    <d v="2026-03-26T00:00:00"/>
  </r>
  <r>
    <n v="4669"/>
    <x v="0"/>
    <s v="Tech"/>
    <n v="61.614294516327789"/>
    <d v="2026-03-27T00:00:00"/>
  </r>
  <r>
    <n v="4670"/>
    <x v="0"/>
    <s v="Tech"/>
    <n v="23.105360443622921"/>
    <d v="2026-03-28T00:00:00"/>
  </r>
  <r>
    <n v="4671"/>
    <x v="3"/>
    <s v="Tech"/>
    <n v="228.96498667423779"/>
    <d v="2026-03-29T00:00:00"/>
  </r>
  <r>
    <n v="4672"/>
    <x v="1"/>
    <s v="Apps"/>
    <n v="2.2045855379188711E-5"/>
    <d v="2026-03-30T00:00:00"/>
  </r>
  <r>
    <n v="4673"/>
    <x v="1"/>
    <s v="Apps"/>
    <n v="44.091710758377424"/>
    <d v="2026-03-31T00:00:00"/>
  </r>
  <r>
    <n v="4674"/>
    <x v="1"/>
    <s v="Apps"/>
    <n v="66.137566137566139"/>
    <d v="2026-04-01T00:00:00"/>
  </r>
  <r>
    <n v="4675"/>
    <x v="1"/>
    <s v="Apps"/>
    <n v="66.137566137566139"/>
    <d v="2026-04-02T00:00:00"/>
  </r>
  <r>
    <n v="4676"/>
    <x v="1"/>
    <s v="Tech"/>
    <n v="44.091710758377424"/>
    <d v="2026-04-03T00:00:00"/>
  </r>
  <r>
    <n v="4677"/>
    <x v="1"/>
    <s v="Tech"/>
    <n v="26.455026455026456"/>
    <d v="2026-04-04T00:00:00"/>
  </r>
  <r>
    <n v="4678"/>
    <x v="1"/>
    <s v="Tech"/>
    <n v="1.3916997354497356"/>
    <d v="2026-04-05T00:00:00"/>
  </r>
  <r>
    <n v="4679"/>
    <x v="0"/>
    <s v="OFM"/>
    <n v="64.24010381200776"/>
    <d v="2026-04-06T00:00:00"/>
  </r>
  <r>
    <n v="4680"/>
    <x v="0"/>
    <s v="OFM"/>
    <n v="102.78416609921243"/>
    <d v="2026-04-07T00:00:00"/>
  </r>
  <r>
    <n v="4681"/>
    <x v="0"/>
    <s v="Tech"/>
    <n v="245.9398969588735"/>
    <d v="2026-04-08T00:00:00"/>
  </r>
  <r>
    <n v="4682"/>
    <x v="0"/>
    <s v="Tech"/>
    <n v="54.989528863078647"/>
    <d v="2026-04-09T00:00:00"/>
  </r>
  <r>
    <n v="4683"/>
    <x v="0"/>
    <s v="Tech"/>
    <n v="32.12005190600388"/>
    <d v="2026-04-10T00:00:00"/>
  </r>
  <r>
    <n v="4684"/>
    <x v="4"/>
    <s v="Apps"/>
    <n v="4"/>
    <d v="2026-04-11T00:00:00"/>
  </r>
  <r>
    <n v="4685"/>
    <x v="2"/>
    <s v="Apps"/>
    <n v="529.49274594938049"/>
    <d v="2026-04-12T00:00:00"/>
  </r>
  <r>
    <n v="4686"/>
    <x v="2"/>
    <s v="Apps"/>
    <n v="529.49274594938049"/>
    <d v="2026-04-13T00:00:00"/>
  </r>
  <r>
    <n v="4687"/>
    <x v="4"/>
    <s v="Tech"/>
    <n v="86.554740101026567"/>
    <d v="2026-04-14T00:00:00"/>
  </r>
  <r>
    <n v="4688"/>
    <x v="1"/>
    <s v="OFM"/>
    <n v="36.684303350970019"/>
    <d v="2026-04-15T00:00:00"/>
  </r>
  <r>
    <n v="4689"/>
    <x v="3"/>
    <s v="Tech"/>
    <n v="228.96498667423779"/>
    <d v="2026-04-16T00:00:00"/>
  </r>
  <r>
    <n v="4690"/>
    <x v="0"/>
    <s v="Tech"/>
    <n v="19.338159255429161"/>
    <d v="2026-04-17T00:00:00"/>
  </r>
  <r>
    <n v="4691"/>
    <x v="1"/>
    <s v="Apps"/>
    <n v="77.160493827160494"/>
    <d v="2026-04-18T00:00:00"/>
  </r>
  <r>
    <n v="4692"/>
    <x v="0"/>
    <s v="Apps"/>
    <n v="92.421441774491683"/>
    <d v="2026-04-19T00:00:00"/>
  </r>
  <r>
    <n v="4693"/>
    <x v="0"/>
    <s v="Tech"/>
    <n v="92.421441774491683"/>
    <d v="2026-04-20T00:00:00"/>
  </r>
  <r>
    <n v="4694"/>
    <x v="0"/>
    <s v="Tech"/>
    <n v="78.938297138917605"/>
    <d v="2026-04-21T00:00:00"/>
  </r>
  <r>
    <n v="4695"/>
    <x v="0"/>
    <s v="Systems"/>
    <n v="308.07147258163894"/>
    <d v="2026-04-22T00:00:00"/>
  </r>
  <r>
    <n v="4696"/>
    <x v="0"/>
    <s v="Systems"/>
    <n v="5.1706308169596689"/>
    <d v="2026-04-23T00:00:00"/>
  </r>
  <r>
    <n v="4697"/>
    <x v="0"/>
    <s v="Systems"/>
    <n v="17.235436056532226"/>
    <d v="2026-04-24T00:00:00"/>
  </r>
  <r>
    <n v="4698"/>
    <x v="0"/>
    <s v="Systems"/>
    <n v="17.235436056532226"/>
    <d v="2026-04-25T00:00:00"/>
  </r>
  <r>
    <n v="4699"/>
    <x v="2"/>
    <s v="Apps"/>
    <n v="529.49274594938049"/>
    <d v="2026-04-26T00:00:00"/>
  </r>
  <r>
    <n v="4700"/>
    <x v="4"/>
    <s v="Tech"/>
    <n v="23"/>
    <d v="2026-04-27T00:00:00"/>
  </r>
  <r>
    <n v="4701"/>
    <x v="0"/>
    <s v="Tech"/>
    <n v="46.210720887245841"/>
    <d v="2026-04-28T00:00:00"/>
  </r>
  <r>
    <n v="4702"/>
    <x v="0"/>
    <s v="Tech"/>
    <n v="12.848020762401553"/>
    <d v="2026-04-29T00:00:00"/>
  </r>
  <r>
    <n v="4703"/>
    <x v="1"/>
    <s v="Other"/>
    <n v="35.273368606701936"/>
    <d v="2026-04-30T00:00:00"/>
  </r>
  <r>
    <n v="4704"/>
    <x v="1"/>
    <s v="OFM"/>
    <n v="308.64197530864197"/>
    <d v="2026-05-01T00:00:00"/>
  </r>
  <r>
    <n v="4705"/>
    <x v="0"/>
    <s v="OFM"/>
    <n v="77.017868145409736"/>
    <d v="2026-05-02T00:00:00"/>
  </r>
  <r>
    <n v="4706"/>
    <x v="0"/>
    <s v="Tech"/>
    <n v="30.807147258163894"/>
    <d v="2026-05-03T00:00:00"/>
  </r>
  <r>
    <n v="4707"/>
    <x v="3"/>
    <s v="Tech"/>
    <n v="91.585994669695125"/>
    <d v="2026-05-04T00:00:00"/>
  </r>
  <r>
    <n v="4708"/>
    <x v="3"/>
    <s v="Tech"/>
    <n v="45.792997334847563"/>
    <d v="2026-05-05T00:00:00"/>
  </r>
  <r>
    <n v="4709"/>
    <x v="1"/>
    <s v="OFM"/>
    <n v="46.296296296296298"/>
    <d v="2026-05-06T00:00:00"/>
  </r>
  <r>
    <n v="4710"/>
    <x v="1"/>
    <s v="Tech"/>
    <n v="44.091710758377424"/>
    <d v="2026-05-07T00:00:00"/>
  </r>
  <r>
    <n v="4711"/>
    <x v="0"/>
    <s v="Tech"/>
    <n v="12.848020762401553"/>
    <d v="2026-05-08T00:00:00"/>
  </r>
  <r>
    <n v="4712"/>
    <x v="0"/>
    <s v="Systems"/>
    <n v="1078.2501540357364"/>
    <d v="2026-05-09T00:00:00"/>
  </r>
  <r>
    <n v="4713"/>
    <x v="1"/>
    <s v="Tech"/>
    <n v="190"/>
    <d v="2026-05-10T00:00:00"/>
  </r>
  <r>
    <n v="4714"/>
    <x v="1"/>
    <s v="Tech"/>
    <n v="88.183421516754848"/>
    <d v="2026-05-11T00:00:00"/>
  </r>
  <r>
    <n v="4715"/>
    <x v="4"/>
    <s v="Systems"/>
    <n v="99.061145883485807"/>
    <d v="2026-05-12T00:00:00"/>
  </r>
  <r>
    <n v="4716"/>
    <x v="0"/>
    <s v="Tech"/>
    <n v="38.508934072704868"/>
    <d v="2026-05-13T00:00:00"/>
  </r>
  <r>
    <n v="4717"/>
    <x v="3"/>
    <s v="Tech"/>
    <n v="45.792997334847563"/>
    <d v="2026-05-14T00:00:00"/>
  </r>
  <r>
    <n v="4718"/>
    <x v="1"/>
    <s v="OFM"/>
    <n v="66.137566137566139"/>
    <d v="2026-05-15T00:00:00"/>
  </r>
  <r>
    <n v="4719"/>
    <x v="3"/>
    <s v="Tech"/>
    <n v="23"/>
    <d v="2026-05-16T00:00:00"/>
  </r>
  <r>
    <n v="4720"/>
    <x v="0"/>
    <s v="Tech"/>
    <n v="27.726432532347506"/>
    <d v="2026-05-17T00:00:00"/>
  </r>
  <r>
    <n v="4721"/>
    <x v="4"/>
    <s v="Systems"/>
    <n v="493.56067834979632"/>
    <d v="2026-05-18T00:00:00"/>
  </r>
  <r>
    <n v="4722"/>
    <x v="1"/>
    <s v="Tech"/>
    <n v="22.045855379188712"/>
    <d v="2026-05-19T00:00:00"/>
  </r>
  <r>
    <n v="4723"/>
    <x v="1"/>
    <s v="Tech"/>
    <n v="22.045855379188712"/>
    <d v="2026-05-20T00:00:00"/>
  </r>
  <r>
    <n v="4724"/>
    <x v="0"/>
    <s v="Apps"/>
    <n v="462.10720887245844"/>
    <d v="2026-05-21T00:00:00"/>
  </r>
  <r>
    <n v="4725"/>
    <x v="0"/>
    <s v="Tech"/>
    <n v="107.82501540357363"/>
    <d v="2026-05-22T00:00:00"/>
  </r>
  <r>
    <n v="4726"/>
    <x v="4"/>
    <s v="OFM"/>
    <n v="40"/>
    <d v="2026-05-23T00:00:00"/>
  </r>
  <r>
    <n v="4727"/>
    <x v="4"/>
    <s v="Tech"/>
    <n v="10"/>
    <d v="2026-05-24T00:00:00"/>
  </r>
  <r>
    <n v="4728"/>
    <x v="0"/>
    <s v="Tech"/>
    <n v="11.326172703095088"/>
    <d v="2026-05-25T00:00:00"/>
  </r>
  <r>
    <n v="4729"/>
    <x v="1"/>
    <s v="Tech"/>
    <n v="180.135582010582"/>
    <d v="2026-05-26T00:00:00"/>
  </r>
  <r>
    <n v="4730"/>
    <x v="1"/>
    <s v="Apps"/>
    <n v="23.148148148148149"/>
    <d v="2026-05-27T00:00:00"/>
  </r>
  <r>
    <n v="4731"/>
    <x v="1"/>
    <s v="Apps"/>
    <n v="30.8641975308642"/>
    <d v="2026-05-28T00:00:00"/>
  </r>
  <r>
    <n v="4732"/>
    <x v="2"/>
    <s v="Tech"/>
    <n v="15.884782378481413"/>
    <d v="2026-05-29T00:00:00"/>
  </r>
  <r>
    <n v="4733"/>
    <x v="2"/>
    <s v="Tech"/>
    <n v="12.154606595899846"/>
    <d v="2026-05-30T00:00:00"/>
  </r>
  <r>
    <n v="4734"/>
    <x v="0"/>
    <s v="OFM"/>
    <n v="124.09513960703205"/>
    <d v="2026-05-31T00:00:00"/>
  </r>
  <r>
    <n v="4735"/>
    <x v="0"/>
    <s v="Tech"/>
    <n v="46.210720887245841"/>
    <d v="2026-06-01T00:00:00"/>
  </r>
  <r>
    <n v="4736"/>
    <x v="0"/>
    <s v="Tech"/>
    <n v="46.210720887245841"/>
    <d v="2026-06-02T00:00:00"/>
  </r>
  <r>
    <n v="4737"/>
    <x v="2"/>
    <s v="Apps"/>
    <n v="81.030710639332298"/>
    <d v="2026-06-03T00:00:00"/>
  </r>
  <r>
    <n v="4738"/>
    <x v="0"/>
    <s v="Tech"/>
    <n v="12.581868321268528"/>
    <d v="2026-06-04T00:00:00"/>
  </r>
  <r>
    <n v="4739"/>
    <x v="0"/>
    <s v="Tech"/>
    <n v="64.460530851430534"/>
    <d v="2026-06-05T00:00:00"/>
  </r>
  <r>
    <n v="4740"/>
    <x v="0"/>
    <s v="Systems"/>
    <n v="68.941744226128904"/>
    <d v="2026-06-06T00:00:00"/>
  </r>
  <r>
    <n v="4741"/>
    <x v="0"/>
    <s v="Systems"/>
    <n v="34.470872113064452"/>
    <d v="2026-06-07T00:00:00"/>
  </r>
  <r>
    <n v="4742"/>
    <x v="0"/>
    <s v="Tech"/>
    <n v="107.82501540357363"/>
    <d v="2026-06-08T00:00:00"/>
  </r>
  <r>
    <n v="4743"/>
    <x v="2"/>
    <s v="OFM"/>
    <n v="0"/>
    <d v="2026-06-09T00:00:00"/>
  </r>
  <r>
    <n v="4744"/>
    <x v="0"/>
    <s v="Tech"/>
    <n v="134.43640124095137"/>
    <d v="2026-06-10T00:00:00"/>
  </r>
  <r>
    <n v="4745"/>
    <x v="4"/>
    <s v="Tech"/>
    <n v="654.89066319048402"/>
    <d v="2026-06-11T00:00:00"/>
  </r>
  <r>
    <n v="4746"/>
    <x v="0"/>
    <s v="Systems"/>
    <n v="17.235436056532226"/>
    <d v="2026-06-12T00:00:00"/>
  </r>
  <r>
    <n v="4747"/>
    <x v="0"/>
    <s v="Tech"/>
    <n v="55.153395380903135"/>
    <d v="2026-06-13T00:00:00"/>
  </r>
  <r>
    <n v="4748"/>
    <x v="0"/>
    <s v="Systems"/>
    <n v="20.682523267838675"/>
    <d v="2026-06-14T00:00:00"/>
  </r>
  <r>
    <n v="4749"/>
    <x v="0"/>
    <s v="Systems"/>
    <n v="24.129610479145121"/>
    <d v="2026-06-15T00:00:00"/>
  </r>
  <r>
    <n v="4750"/>
    <x v="0"/>
    <s v="Systems"/>
    <n v="1.723543605653223"/>
    <d v="2026-06-16T00:00:00"/>
  </r>
  <r>
    <n v="4751"/>
    <x v="0"/>
    <s v="Tech"/>
    <n v="32.747328507411233"/>
    <d v="2026-06-17T00:00:00"/>
  </r>
  <r>
    <n v="4752"/>
    <x v="0"/>
    <s v="Apps"/>
    <n v="123.22858903265558"/>
    <d v="2026-06-18T00:00:00"/>
  </r>
  <r>
    <n v="4753"/>
    <x v="0"/>
    <s v="OFM"/>
    <n v="15.403573629081947"/>
    <d v="2026-06-19T00:00:00"/>
  </r>
  <r>
    <n v="4754"/>
    <x v="0"/>
    <s v="Apps"/>
    <n v="7701.7868145409739"/>
    <d v="2026-06-20T00:00:00"/>
  </r>
  <r>
    <n v="4755"/>
    <x v="0"/>
    <s v="Tech"/>
    <n v="7.7017868145409736"/>
    <d v="2026-06-21T00:00:00"/>
  </r>
  <r>
    <n v="4756"/>
    <x v="0"/>
    <s v="Apps"/>
    <n v="92.421441774491683"/>
    <d v="2026-06-22T00:00:00"/>
  </r>
  <r>
    <n v="4757"/>
    <x v="0"/>
    <s v="Apps"/>
    <n v="61.614294516327789"/>
    <d v="2026-06-23T00:00:00"/>
  </r>
  <r>
    <n v="4758"/>
    <x v="0"/>
    <s v="Apps"/>
    <n v="123.22858903265558"/>
    <d v="2026-06-24T00:00:00"/>
  </r>
  <r>
    <n v="4759"/>
    <x v="0"/>
    <s v="OFM"/>
    <n v="7.7017868145409736"/>
    <d v="2026-06-25T00:00:00"/>
  </r>
  <r>
    <n v="4760"/>
    <x v="0"/>
    <s v="Tech"/>
    <n v="32.34750462107209"/>
    <d v="2026-06-26T00:00:00"/>
  </r>
  <r>
    <n v="4761"/>
    <x v="0"/>
    <s v="OFM"/>
    <n v="77.017868145409736"/>
    <d v="2026-06-27T00:00:00"/>
  </r>
  <r>
    <n v="4762"/>
    <x v="0"/>
    <s v="Apps"/>
    <n v="123.22858903265558"/>
    <d v="2026-06-28T00:00:00"/>
  </r>
  <r>
    <n v="4763"/>
    <x v="4"/>
    <s v="Tech"/>
    <n v="100"/>
    <d v="2026-06-29T00:00:00"/>
  </r>
  <r>
    <n v="4764"/>
    <x v="2"/>
    <s v="Tech"/>
    <n v="17.802605104310071"/>
    <d v="2026-06-30T00:00:00"/>
  </r>
  <r>
    <n v="4765"/>
    <x v="3"/>
    <s v="Tech"/>
    <n v="73.2687957357561"/>
    <d v="2026-07-01T00:00:00"/>
  </r>
  <r>
    <n v="4766"/>
    <x v="0"/>
    <s v="Apps"/>
    <n v="924.21441774491689"/>
    <d v="2026-07-02T00:00:00"/>
  </r>
  <r>
    <n v="4767"/>
    <x v="0"/>
    <s v="OFM"/>
    <n v="123.22858903265558"/>
    <d v="2026-07-03T00:00:00"/>
  </r>
  <r>
    <n v="4768"/>
    <x v="0"/>
    <s v="OFM"/>
    <n v="154.03573629081947"/>
    <d v="2026-07-04T00:00:00"/>
  </r>
  <r>
    <n v="4769"/>
    <x v="0"/>
    <s v="OFM"/>
    <n v="154.03573629081947"/>
    <d v="2026-07-05T00:00:00"/>
  </r>
  <r>
    <n v="4770"/>
    <x v="2"/>
    <s v="Apps"/>
    <n v="264.74637297469025"/>
    <d v="2026-07-06T00:00:00"/>
  </r>
  <r>
    <n v="4771"/>
    <x v="0"/>
    <s v="Tech"/>
    <n v="23.105360443622921"/>
    <d v="2026-07-07T00:00:00"/>
  </r>
  <r>
    <n v="4772"/>
    <x v="0"/>
    <s v="Tech"/>
    <n v="38.508934072704868"/>
    <d v="2026-07-08T00:00:00"/>
  </r>
  <r>
    <n v="4773"/>
    <x v="0"/>
    <s v="OFM"/>
    <n v="38.54406228720466"/>
    <d v="2026-07-09T00:00:00"/>
  </r>
  <r>
    <n v="4774"/>
    <x v="1"/>
    <s v="Tech"/>
    <n v="5.511463844797178"/>
    <d v="2026-07-10T00:00:00"/>
  </r>
  <r>
    <n v="4775"/>
    <x v="0"/>
    <s v="OFM"/>
    <n v="25.696041524803107"/>
    <d v="2026-07-11T00:00:00"/>
  </r>
  <r>
    <n v="4776"/>
    <x v="1"/>
    <s v="Apps"/>
    <n v="33.06878306878307"/>
    <d v="2026-07-12T00:00:00"/>
  </r>
  <r>
    <n v="4777"/>
    <x v="4"/>
    <s v="Tech"/>
    <n v="94.62718794505443"/>
    <d v="2026-07-13T00:00:00"/>
  </r>
  <r>
    <n v="4778"/>
    <x v="1"/>
    <s v="Tech"/>
    <n v="661.37566137566137"/>
    <d v="2026-07-14T00:00:00"/>
  </r>
  <r>
    <n v="4779"/>
    <x v="0"/>
    <s v="Tech"/>
    <n v="770.17868145409739"/>
    <d v="2026-07-15T00:00:00"/>
  </r>
  <r>
    <n v="4780"/>
    <x v="0"/>
    <s v="Tech"/>
    <n v="62.047569803516026"/>
    <d v="2026-07-16T00:00:00"/>
  </r>
  <r>
    <n v="4781"/>
    <x v="0"/>
    <s v="Tech"/>
    <n v="103.41261633919338"/>
    <d v="2026-07-17T00:00:00"/>
  </r>
  <r>
    <n v="4782"/>
    <x v="4"/>
    <s v="OFM"/>
    <n v="65.178425941013529"/>
    <d v="2026-07-18T00:00:00"/>
  </r>
  <r>
    <n v="4783"/>
    <x v="1"/>
    <s v="Apps"/>
    <n v="19.841269841269842"/>
    <d v="2026-07-19T00:00:00"/>
  </r>
  <r>
    <n v="4784"/>
    <x v="2"/>
    <s v="Tech"/>
    <n v="211.79709837975219"/>
    <d v="2026-07-20T00:00:00"/>
  </r>
  <r>
    <n v="4785"/>
    <x v="2"/>
    <s v="OFM"/>
    <n v="105.89854918987609"/>
    <d v="2026-07-21T00:00:00"/>
  </r>
  <r>
    <n v="4786"/>
    <x v="2"/>
    <s v="Apps"/>
    <n v="105.89854918987609"/>
    <d v="2026-07-22T00:00:00"/>
  </r>
  <r>
    <n v="4787"/>
    <x v="2"/>
    <s v="Apps"/>
    <n v="20.257677659833075"/>
    <d v="2026-07-23T00:00:00"/>
  </r>
  <r>
    <n v="4788"/>
    <x v="2"/>
    <s v="Apps"/>
    <n v="12.707825902785132"/>
    <d v="2026-07-24T00:00:00"/>
  </r>
  <r>
    <n v="4789"/>
    <x v="0"/>
    <s v="OFM"/>
    <n v="86.177180282661155"/>
    <d v="2026-07-25T00:00:00"/>
  </r>
  <r>
    <n v="4790"/>
    <x v="1"/>
    <s v="Tech"/>
    <n v="17.636684303350968"/>
    <d v="2026-07-26T00:00:00"/>
  </r>
  <r>
    <n v="4791"/>
    <x v="0"/>
    <s v="Tech"/>
    <n v="61.484974239718376"/>
    <d v="2026-07-27T00:00:00"/>
  </r>
  <r>
    <n v="4792"/>
    <x v="0"/>
    <s v="OFM"/>
    <n v="123.22858903265558"/>
    <d v="2026-07-28T00:00:00"/>
  </r>
  <r>
    <n v="4793"/>
    <x v="0"/>
    <s v="OFM"/>
    <n v="77.017868145409736"/>
    <d v="2026-07-29T00:00:00"/>
  </r>
  <r>
    <n v="4794"/>
    <x v="0"/>
    <s v="OFM"/>
    <n v="46.210720887245841"/>
    <d v="2026-07-30T00:00:00"/>
  </r>
  <r>
    <n v="4795"/>
    <x v="0"/>
    <s v="OFM"/>
    <n v="123.22858903265558"/>
    <d v="2026-07-31T00:00:00"/>
  </r>
  <r>
    <n v="4796"/>
    <x v="0"/>
    <s v="OFM"/>
    <n v="77.017868145409736"/>
    <d v="2026-08-01T00:00:00"/>
  </r>
  <r>
    <n v="4797"/>
    <x v="0"/>
    <s v="OFM"/>
    <n v="23.105360443622921"/>
    <d v="2026-08-02T00:00:00"/>
  </r>
  <r>
    <n v="4798"/>
    <x v="4"/>
    <s v="OFM"/>
    <n v="1695.3527130519799"/>
    <d v="2026-08-03T00:00:00"/>
  </r>
  <r>
    <n v="4799"/>
    <x v="1"/>
    <s v="Tech"/>
    <n v="1.7636684303350971"/>
    <d v="2026-08-04T00:00:00"/>
  </r>
  <r>
    <n v="4800"/>
    <x v="1"/>
    <s v="Tech"/>
    <n v="44.091710758377424"/>
    <d v="2026-08-05T00:00:00"/>
  </r>
  <r>
    <n v="4801"/>
    <x v="2"/>
    <s v="Tech"/>
    <n v="158.84782378481412"/>
    <d v="2026-08-06T00:00:00"/>
  </r>
  <r>
    <n v="4802"/>
    <x v="2"/>
    <s v="Tech"/>
    <n v="52.949274594938046"/>
    <d v="2026-08-07T00:00:00"/>
  </r>
  <r>
    <n v="4803"/>
    <x v="2"/>
    <s v="OFM"/>
    <n v="21.179709837975221"/>
    <d v="2026-08-08T00:00:00"/>
  </r>
  <r>
    <n v="4804"/>
    <x v="2"/>
    <s v="Apps"/>
    <n v="52.949274594938046"/>
    <d v="2026-08-09T00:00:00"/>
  </r>
  <r>
    <n v="4805"/>
    <x v="2"/>
    <s v="Apps"/>
    <n v="105.89854918987609"/>
    <d v="2026-08-10T00:00:00"/>
  </r>
  <r>
    <n v="4806"/>
    <x v="2"/>
    <s v="Apps"/>
    <n v="8.4718839351900872"/>
    <d v="2026-08-11T00:00:00"/>
  </r>
  <r>
    <n v="4807"/>
    <x v="2"/>
    <s v="Apps"/>
    <n v="254.15651805570261"/>
    <d v="2026-08-12T00:00:00"/>
  </r>
  <r>
    <n v="4808"/>
    <x v="1"/>
    <s v="Tech"/>
    <n v="1763.6684303350971"/>
    <d v="2026-08-13T00:00:00"/>
  </r>
  <r>
    <n v="4809"/>
    <x v="1"/>
    <s v="Tech"/>
    <n v="881.83421516754856"/>
    <d v="2026-08-14T00:00:00"/>
  </r>
  <r>
    <n v="4810"/>
    <x v="2"/>
    <s v="Other"/>
    <n v="211.79709837975219"/>
    <d v="2026-08-15T00:00:00"/>
  </r>
  <r>
    <n v="4811"/>
    <x v="1"/>
    <s v="Apps"/>
    <n v="55.114638447971785"/>
    <d v="2026-08-16T00:00:00"/>
  </r>
  <r>
    <n v="4812"/>
    <x v="1"/>
    <s v="Apps"/>
    <n v="33.06878306878307"/>
    <d v="2026-08-17T00:00:00"/>
  </r>
  <r>
    <n v="4813"/>
    <x v="1"/>
    <s v="Apps"/>
    <n v="44.091710758377424"/>
    <d v="2026-08-18T00:00:00"/>
  </r>
  <r>
    <n v="4814"/>
    <x v="4"/>
    <s v="Systems"/>
    <n v="400"/>
    <d v="2026-08-19T00:00:00"/>
  </r>
  <r>
    <n v="4815"/>
    <x v="0"/>
    <s v="Tech"/>
    <n v="46.210720887245841"/>
    <d v="2026-08-20T00:00:00"/>
  </r>
  <r>
    <n v="4816"/>
    <x v="3"/>
    <s v="Tech"/>
    <n v="13.737899200454269"/>
    <d v="2026-08-21T00:00:00"/>
  </r>
  <r>
    <n v="4817"/>
    <x v="3"/>
    <s v="OFM"/>
    <n v="54.951596801817075"/>
    <d v="2026-08-22T00:00:00"/>
  </r>
  <r>
    <n v="4818"/>
    <x v="1"/>
    <s v="Tech"/>
    <n v="295.30423280423281"/>
    <d v="2026-08-23T00:00:00"/>
  </r>
  <r>
    <n v="4819"/>
    <x v="4"/>
    <s v="Apps"/>
    <n v="26.071370376405412"/>
    <d v="2026-08-24T00:00:00"/>
  </r>
  <r>
    <n v="4820"/>
    <x v="4"/>
    <s v="Apps"/>
    <n v="918.82207010612387"/>
    <d v="2026-08-25T00:00:00"/>
  </r>
  <r>
    <n v="4821"/>
    <x v="0"/>
    <s v="Tech"/>
    <n v="122.96994847943675"/>
    <d v="2026-08-26T00:00:00"/>
  </r>
  <r>
    <n v="4822"/>
    <x v="0"/>
    <s v="Tech"/>
    <n v="154.03573629081947"/>
    <d v="2026-08-27T00:00:00"/>
  </r>
  <r>
    <n v="4823"/>
    <x v="0"/>
    <s v="OFM"/>
    <n v="89.340727048675291"/>
    <d v="2026-08-28T00:00:00"/>
  </r>
  <r>
    <n v="4824"/>
    <x v="0"/>
    <s v="Tech"/>
    <n v="27.576697690451567"/>
    <d v="2026-08-29T00:00:00"/>
  </r>
  <r>
    <n v="4825"/>
    <x v="0"/>
    <s v="Tech"/>
    <n v="34.470872113064452"/>
    <d v="2026-08-30T00:00:00"/>
  </r>
  <r>
    <n v="4826"/>
    <x v="0"/>
    <s v="Systems"/>
    <n v="27.576697690451567"/>
    <d v="2026-08-31T00:00:00"/>
  </r>
  <r>
    <n v="4827"/>
    <x v="0"/>
    <s v="Tech"/>
    <n v="8.617718028266113"/>
    <d v="2026-09-01T00:00:00"/>
  </r>
  <r>
    <n v="4828"/>
    <x v="1"/>
    <s v="Tech"/>
    <n v="55.114638447971785"/>
    <d v="2026-09-02T00:00:00"/>
  </r>
  <r>
    <n v="4829"/>
    <x v="2"/>
    <s v="Apps"/>
    <n v="105.89854918987609"/>
    <d v="2026-09-03T00:00:00"/>
  </r>
  <r>
    <n v="4830"/>
    <x v="2"/>
    <s v="Systems"/>
    <n v="741.28984432913273"/>
    <d v="2026-09-04T00:00:00"/>
  </r>
  <r>
    <n v="4831"/>
    <x v="2"/>
    <s v="OFM"/>
    <n v="211.79709837975219"/>
    <d v="2026-09-05T00:00:00"/>
  </r>
  <r>
    <n v="4832"/>
    <x v="0"/>
    <s v="Tech"/>
    <n v="30.807147258163894"/>
    <d v="2026-09-06T00:00:00"/>
  </r>
  <r>
    <n v="4833"/>
    <x v="0"/>
    <s v="OFM"/>
    <n v="123.22858903265558"/>
    <d v="2026-09-07T00:00:00"/>
  </r>
  <r>
    <n v="4834"/>
    <x v="0"/>
    <s v="Apps"/>
    <n v="308.07147258163894"/>
    <d v="2026-09-08T00:00:00"/>
  </r>
  <r>
    <n v="4835"/>
    <x v="0"/>
    <s v="Apps"/>
    <n v="15.403573629081947"/>
    <d v="2026-09-09T00:00:00"/>
  </r>
  <r>
    <n v="4836"/>
    <x v="0"/>
    <s v="Apps"/>
    <n v="924.21441774491689"/>
    <d v="2026-09-10T00:00:00"/>
  </r>
  <r>
    <n v="4837"/>
    <x v="0"/>
    <s v="Apps"/>
    <n v="308.07147258163894"/>
    <d v="2026-09-11T00:00:00"/>
  </r>
  <r>
    <n v="4838"/>
    <x v="0"/>
    <s v="Apps"/>
    <n v="924.21441774491689"/>
    <d v="2026-09-12T00:00:00"/>
  </r>
  <r>
    <n v="4839"/>
    <x v="0"/>
    <s v="Apps"/>
    <n v="462.10720887245844"/>
    <d v="2026-09-13T00:00:00"/>
  </r>
  <r>
    <n v="4840"/>
    <x v="0"/>
    <s v="OFM"/>
    <n v="30.807147258163894"/>
    <d v="2026-09-14T00:00:00"/>
  </r>
  <r>
    <n v="4841"/>
    <x v="0"/>
    <s v="Apps"/>
    <n v="462.10720887245844"/>
    <d v="2026-09-15T00:00:00"/>
  </r>
  <r>
    <n v="4842"/>
    <x v="0"/>
    <s v="Tech"/>
    <n v="46.210720887245841"/>
    <d v="2026-09-16T00:00:00"/>
  </r>
  <r>
    <n v="4843"/>
    <x v="0"/>
    <s v="Tech"/>
    <n v="77.017868145409736"/>
    <d v="2026-09-17T00:00:00"/>
  </r>
  <r>
    <n v="4844"/>
    <x v="0"/>
    <s v="Apps"/>
    <n v="462.10720887245844"/>
    <d v="2026-09-18T00:00:00"/>
  </r>
  <r>
    <n v="4845"/>
    <x v="0"/>
    <s v="Apps"/>
    <n v="1.5403573629081945E-4"/>
    <d v="2026-09-19T00:00:00"/>
  </r>
  <r>
    <n v="4846"/>
    <x v="0"/>
    <s v="Tech"/>
    <n v="46.210720887245841"/>
    <d v="2026-09-20T00:00:00"/>
  </r>
  <r>
    <n v="4847"/>
    <x v="0"/>
    <s v="Tech"/>
    <n v="61.614294516327789"/>
    <d v="2026-09-21T00:00:00"/>
  </r>
  <r>
    <n v="4848"/>
    <x v="0"/>
    <s v="Tech"/>
    <n v="61.614294516327789"/>
    <d v="2026-09-22T00:00:00"/>
  </r>
  <r>
    <n v="4849"/>
    <x v="0"/>
    <s v="OFM"/>
    <n v="61.614294516327789"/>
    <d v="2026-09-23T00:00:00"/>
  </r>
  <r>
    <n v="4850"/>
    <x v="0"/>
    <s v="OFM"/>
    <n v="61.614294516327789"/>
    <d v="2026-09-24T00:00:00"/>
  </r>
  <r>
    <n v="4851"/>
    <x v="0"/>
    <s v="Tech"/>
    <n v="61.614294516327789"/>
    <d v="2026-09-25T00:00:00"/>
  </r>
  <r>
    <n v="4852"/>
    <x v="0"/>
    <s v="Tech"/>
    <n v="61.614294516327789"/>
    <d v="2026-09-26T00:00:00"/>
  </r>
  <r>
    <n v="4853"/>
    <x v="0"/>
    <s v="Tech"/>
    <n v="61.614294516327789"/>
    <d v="2026-09-27T00:00:00"/>
  </r>
  <r>
    <n v="4854"/>
    <x v="0"/>
    <s v="Tech"/>
    <n v="46.210720887245841"/>
    <d v="2026-09-28T00:00:00"/>
  </r>
  <r>
    <n v="4855"/>
    <x v="0"/>
    <s v="Tech"/>
    <n v="61.614294516327789"/>
    <d v="2026-09-29T00:00:00"/>
  </r>
  <r>
    <n v="4856"/>
    <x v="0"/>
    <s v="Tech"/>
    <n v="46.210720887245841"/>
    <d v="2026-09-30T00:00:00"/>
  </r>
  <r>
    <n v="4857"/>
    <x v="0"/>
    <s v="Tech"/>
    <n v="0.61614294516327783"/>
    <d v="2026-10-01T00:00:00"/>
  </r>
  <r>
    <n v="4858"/>
    <x v="0"/>
    <s v="Tech"/>
    <n v="0.61614294516327783"/>
    <d v="2026-10-02T00:00:00"/>
  </r>
  <r>
    <n v="4859"/>
    <x v="0"/>
    <s v="Apps"/>
    <n v="77.017868145409736"/>
    <d v="2026-10-03T00:00:00"/>
  </r>
  <r>
    <n v="4860"/>
    <x v="0"/>
    <s v="Systems"/>
    <n v="31.023784901758013"/>
    <d v="2026-10-04T00:00:00"/>
  </r>
  <r>
    <n v="4861"/>
    <x v="0"/>
    <s v="Tech"/>
    <n v="2.5853154084798344"/>
    <d v="2026-10-05T00:00:00"/>
  </r>
  <r>
    <n v="4862"/>
    <x v="0"/>
    <s v="Tech"/>
    <n v="34.470872113064452"/>
    <d v="2026-10-06T00:00:00"/>
  </r>
  <r>
    <n v="4863"/>
    <x v="0"/>
    <s v="Tech"/>
    <n v="9.6518441916580482"/>
    <d v="2026-10-07T00:00:00"/>
  </r>
  <r>
    <n v="4864"/>
    <x v="0"/>
    <s v="Other"/>
    <n v="2.6393689052201506"/>
    <d v="2026-10-08T00:00:00"/>
  </r>
  <r>
    <n v="4865"/>
    <x v="0"/>
    <s v="Apps"/>
    <n v="38.508934072704868"/>
    <d v="2026-10-09T00:00:00"/>
  </r>
  <r>
    <n v="4866"/>
    <x v="0"/>
    <s v="Tech"/>
    <n v="308.07147258163894"/>
    <d v="2026-10-10T00:00:00"/>
  </r>
  <r>
    <n v="4867"/>
    <x v="2"/>
    <s v="Apps"/>
    <n v="58.99819972466377"/>
    <d v="2026-10-11T00:00:00"/>
  </r>
  <r>
    <n v="4868"/>
    <x v="3"/>
    <s v="Tech"/>
    <n v="137.37899200454268"/>
    <d v="2026-10-12T00:00:00"/>
  </r>
  <r>
    <n v="4869"/>
    <x v="4"/>
    <s v="Apps"/>
    <n v="9.65"/>
    <d v="2026-10-13T00:00:00"/>
  </r>
  <r>
    <n v="4870"/>
    <x v="0"/>
    <s v="Apps"/>
    <n v="107.82501540357363"/>
    <d v="2026-10-14T00:00:00"/>
  </r>
  <r>
    <n v="4871"/>
    <x v="0"/>
    <s v="Tech"/>
    <n v="46.210720887245841"/>
    <d v="2026-10-15T00:00:00"/>
  </r>
  <r>
    <n v="4872"/>
    <x v="0"/>
    <s v="Apps"/>
    <n v="308.07147258163894"/>
    <d v="2026-10-16T00:00:00"/>
  </r>
  <r>
    <n v="4873"/>
    <x v="1"/>
    <s v="Tech"/>
    <n v="881.83421516754856"/>
    <d v="2026-10-17T00:00:00"/>
  </r>
  <r>
    <n v="4874"/>
    <x v="1"/>
    <s v="Tech"/>
    <n v="48.967151675485006"/>
    <d v="2026-10-18T00:00:00"/>
  </r>
  <r>
    <n v="4875"/>
    <x v="1"/>
    <s v="Apps"/>
    <n v="220.45855379188714"/>
    <d v="2026-10-19T00:00:00"/>
  </r>
  <r>
    <n v="4876"/>
    <x v="1"/>
    <s v="Tech"/>
    <n v="489.67151675485013"/>
    <d v="2026-10-20T00:00:00"/>
  </r>
  <r>
    <n v="4877"/>
    <x v="0"/>
    <s v="OFM"/>
    <n v="115.63218686161397"/>
    <d v="2026-10-21T00:00:00"/>
  </r>
  <r>
    <n v="4878"/>
    <x v="1"/>
    <s v="Tech"/>
    <n v="62.60030864197531"/>
    <d v="2026-10-22T00:00:00"/>
  </r>
  <r>
    <n v="4879"/>
    <x v="3"/>
    <s v="Tech"/>
    <n v="641.10196268786581"/>
    <d v="2026-10-23T00:00:00"/>
  </r>
  <r>
    <n v="4880"/>
    <x v="0"/>
    <s v="OFM"/>
    <n v="77.017868145409736"/>
    <d v="2026-10-24T00:00:00"/>
  </r>
  <r>
    <n v="4881"/>
    <x v="0"/>
    <s v="Tech"/>
    <n v="53.912507701786815"/>
    <d v="2026-10-25T00:00:00"/>
  </r>
  <r>
    <n v="4882"/>
    <x v="3"/>
    <s v="Tech"/>
    <n v="183.17198933939025"/>
    <d v="2026-10-26T00:00:00"/>
  </r>
  <r>
    <n v="4883"/>
    <x v="3"/>
    <s v="OFM"/>
    <n v="48.540577174938413"/>
    <d v="2026-10-27T00:00:00"/>
  </r>
  <r>
    <n v="4884"/>
    <x v="0"/>
    <s v="Apps"/>
    <n v="105.51447935921134"/>
    <d v="2026-10-28T00:00:00"/>
  </r>
  <r>
    <n v="4885"/>
    <x v="0"/>
    <s v="Tech"/>
    <n v="46.210720887245841"/>
    <d v="2026-10-29T00:00:00"/>
  </r>
  <r>
    <n v="4886"/>
    <x v="0"/>
    <s v="Tech"/>
    <n v="46.210720887245841"/>
    <d v="2026-10-30T00:00:00"/>
  </r>
  <r>
    <n v="4887"/>
    <x v="0"/>
    <s v="OFM"/>
    <n v="61.614294516327789"/>
    <d v="2026-10-31T00:00:00"/>
  </r>
  <r>
    <n v="4888"/>
    <x v="0"/>
    <s v="OFM"/>
    <n v="77.017868145409736"/>
    <d v="2026-11-01T00:00:00"/>
  </r>
  <r>
    <n v="4889"/>
    <x v="0"/>
    <s v="OFM"/>
    <n v="77.017868145409736"/>
    <d v="2026-11-02T00:00:00"/>
  </r>
  <r>
    <n v="4890"/>
    <x v="0"/>
    <s v="OFM"/>
    <n v="77.017868145409736"/>
    <d v="2026-11-03T00:00:00"/>
  </r>
  <r>
    <n v="4891"/>
    <x v="1"/>
    <s v="Apps"/>
    <n v="50"/>
    <d v="2026-11-04T00:00:00"/>
  </r>
  <r>
    <n v="4892"/>
    <x v="1"/>
    <s v="Tech"/>
    <n v="62"/>
    <d v="2026-11-05T00:00:00"/>
  </r>
  <r>
    <n v="4893"/>
    <x v="0"/>
    <s v="Apps"/>
    <n v="924.21441774491689"/>
    <d v="2026-11-06T00:00:00"/>
  </r>
  <r>
    <n v="4894"/>
    <x v="0"/>
    <s v="Apps"/>
    <n v="616.14294516327789"/>
    <d v="2026-11-07T00:00:00"/>
  </r>
  <r>
    <n v="4895"/>
    <x v="0"/>
    <s v="Tech"/>
    <n v="616.14294516327789"/>
    <d v="2026-11-08T00:00:00"/>
  </r>
  <r>
    <n v="4896"/>
    <x v="4"/>
    <s v="OFM"/>
    <n v="50"/>
    <d v="2026-11-09T00:00:00"/>
  </r>
  <r>
    <n v="4897"/>
    <x v="4"/>
    <s v="Tech"/>
    <n v="94.508717614469617"/>
    <d v="2026-11-10T00:00:00"/>
  </r>
  <r>
    <n v="4898"/>
    <x v="3"/>
    <s v="Tech"/>
    <n v="45.792997334847563"/>
    <d v="2026-11-11T00:00:00"/>
  </r>
  <r>
    <n v="4899"/>
    <x v="1"/>
    <s v="Tech"/>
    <n v="43.454585537918874"/>
    <d v="2026-11-12T00:00:00"/>
  </r>
  <r>
    <n v="4900"/>
    <x v="4"/>
    <s v="Systems"/>
    <n v="29.861717278449028"/>
    <d v="2026-11-13T00:00:00"/>
  </r>
  <r>
    <n v="4901"/>
    <x v="0"/>
    <s v="Tech"/>
    <n v="48.410996208204068"/>
    <d v="2026-11-14T00:00:00"/>
  </r>
  <r>
    <n v="4902"/>
    <x v="1"/>
    <s v="Other"/>
    <n v="2425.0440917107585"/>
    <d v="2026-11-15T00:00:00"/>
  </r>
  <r>
    <n v="4903"/>
    <x v="1"/>
    <s v="Tech"/>
    <n v="13.401675485008818"/>
    <d v="2026-11-16T00:00:00"/>
  </r>
  <r>
    <n v="4904"/>
    <x v="0"/>
    <s v="Tech"/>
    <n v="55.153395380903135"/>
    <d v="2026-11-17T00:00:00"/>
  </r>
  <r>
    <n v="4905"/>
    <x v="1"/>
    <s v="Apps"/>
    <n v="15.4320987654321"/>
    <d v="2026-11-18T00:00:00"/>
  </r>
  <r>
    <n v="4906"/>
    <x v="1"/>
    <s v="Apps"/>
    <n v="30.8641975308642"/>
    <d v="2026-11-19T00:00:00"/>
  </r>
  <r>
    <n v="4907"/>
    <x v="0"/>
    <s v="Apps"/>
    <n v="17.235436056532226"/>
    <d v="2026-11-20T00:00:00"/>
  </r>
  <r>
    <n v="4908"/>
    <x v="3"/>
    <s v="Tech"/>
    <n v="97.081154349876826"/>
    <d v="2026-11-21T00:00:00"/>
  </r>
  <r>
    <n v="4909"/>
    <x v="1"/>
    <s v="Apps"/>
    <n v="110.22927689594357"/>
    <d v="2026-11-22T00:00:00"/>
  </r>
  <r>
    <n v="4910"/>
    <x v="1"/>
    <s v="Tech"/>
    <n v="440.91710758377428"/>
    <d v="2026-11-23T00:00:00"/>
  </r>
  <r>
    <n v="4911"/>
    <x v="1"/>
    <s v="Tech"/>
    <n v="66.137566137566139"/>
    <d v="2026-11-24T00:00:00"/>
  </r>
  <r>
    <n v="4912"/>
    <x v="2"/>
    <s v="Apps"/>
    <n v="78.331038864767564"/>
    <d v="2026-11-25T00:00:00"/>
  </r>
  <r>
    <n v="4913"/>
    <x v="4"/>
    <s v="OFM"/>
    <n v="75"/>
    <d v="2026-11-26T00:00:00"/>
  </r>
  <r>
    <n v="4914"/>
    <x v="0"/>
    <s v="Apps"/>
    <n v="154.03573629081947"/>
    <d v="2026-11-27T00:00:00"/>
  </r>
  <r>
    <n v="4915"/>
    <x v="0"/>
    <s v="Apps"/>
    <n v="77.017868145409736"/>
    <d v="2026-11-28T00:00:00"/>
  </r>
  <r>
    <n v="4916"/>
    <x v="2"/>
    <s v="Apps"/>
    <n v="31.769564756962826"/>
    <d v="2026-11-29T00:00:00"/>
  </r>
  <r>
    <n v="4917"/>
    <x v="0"/>
    <s v="Tech"/>
    <n v="137.88348845225781"/>
    <d v="2026-11-30T00:00:00"/>
  </r>
  <r>
    <n v="4918"/>
    <x v="1"/>
    <s v="Tech"/>
    <n v="33.06878306878307"/>
    <d v="2026-12-01T00:00:00"/>
  </r>
  <r>
    <n v="4919"/>
    <x v="2"/>
    <s v="Apps"/>
    <n v="472.30752938684742"/>
    <d v="2026-12-02T00:00:00"/>
  </r>
  <r>
    <n v="4920"/>
    <x v="2"/>
    <s v="Apps"/>
    <n v="52.949274594938046"/>
    <d v="2026-12-03T00:00:00"/>
  </r>
  <r>
    <n v="4921"/>
    <x v="0"/>
    <s v="Apps"/>
    <n v="107.82501540357363"/>
    <d v="2026-12-04T00:00:00"/>
  </r>
  <r>
    <n v="4922"/>
    <x v="0"/>
    <s v="Apps"/>
    <n v="308.07147258163894"/>
    <d v="2026-12-05T00:00:00"/>
  </r>
  <r>
    <n v="4923"/>
    <x v="0"/>
    <s v="Tech"/>
    <n v="34.470872113064452"/>
    <d v="2026-12-06T00:00:00"/>
  </r>
  <r>
    <n v="4924"/>
    <x v="0"/>
    <s v="Tech"/>
    <n v="30.807147258163894"/>
    <d v="2026-12-07T00:00:00"/>
  </r>
  <r>
    <n v="4925"/>
    <x v="2"/>
    <s v="Tech"/>
    <n v="529.49274594938049"/>
    <d v="2026-12-08T00:00:00"/>
  </r>
  <r>
    <n v="4926"/>
    <x v="4"/>
    <s v="Tech"/>
    <n v="18.92543758901089"/>
    <d v="2026-12-09T00:00:00"/>
  </r>
  <r>
    <n v="4927"/>
    <x v="0"/>
    <s v="Apps"/>
    <n v="105.51447935921134"/>
    <d v="2026-12-10T00:00:00"/>
  </r>
  <r>
    <n v="4928"/>
    <x v="0"/>
    <s v="Apps"/>
    <n v="310.23784901758017"/>
    <d v="2026-12-11T00:00:00"/>
  </r>
  <r>
    <n v="4929"/>
    <x v="0"/>
    <s v="Apps"/>
    <n v="27.576697690451567"/>
    <d v="2026-12-12T00:00:00"/>
  </r>
  <r>
    <n v="4930"/>
    <x v="0"/>
    <s v="Tech"/>
    <n v="25.853154084798344"/>
    <d v="2026-12-13T00:00:00"/>
  </r>
  <r>
    <n v="4931"/>
    <x v="0"/>
    <s v="Tech"/>
    <n v="30.807147258163894"/>
    <d v="2026-12-14T00:00:00"/>
  </r>
  <r>
    <n v="4932"/>
    <x v="3"/>
    <s v="OFM"/>
    <n v="45.792997334847563"/>
    <d v="2026-12-15T00:00:00"/>
  </r>
  <r>
    <n v="4933"/>
    <x v="3"/>
    <s v="Tech"/>
    <n v="137.37899200454268"/>
    <d v="2026-12-16T00:00:00"/>
  </r>
  <r>
    <n v="4934"/>
    <x v="3"/>
    <s v="OFM"/>
    <n v="45.792997334847563"/>
    <d v="2026-12-17T00:00:00"/>
  </r>
  <r>
    <n v="4935"/>
    <x v="0"/>
    <s v="Tech"/>
    <n v="48.259220958290243"/>
    <d v="2026-12-18T00:00:00"/>
  </r>
  <r>
    <n v="4936"/>
    <x v="0"/>
    <s v="OFM"/>
    <n v="10"/>
    <d v="2026-12-19T00:00:00"/>
  </r>
  <r>
    <n v="4937"/>
    <x v="0"/>
    <s v="OFM"/>
    <n v="10"/>
    <d v="2026-12-20T00:00:00"/>
  </r>
  <r>
    <n v="4938"/>
    <x v="0"/>
    <s v="OFM"/>
    <n v="10"/>
    <d v="2026-12-21T00:00:00"/>
  </r>
  <r>
    <n v="4939"/>
    <x v="0"/>
    <s v="OFM"/>
    <n v="34.470872113064452"/>
    <d v="2026-12-22T00:00:00"/>
  </r>
  <r>
    <n v="4940"/>
    <x v="0"/>
    <s v="Tech"/>
    <n v="18"/>
    <d v="2026-12-23T00:00:00"/>
  </r>
  <r>
    <n v="4941"/>
    <x v="0"/>
    <s v="Tech"/>
    <n v="5"/>
    <d v="2026-12-24T00:00:00"/>
  </r>
  <r>
    <n v="4942"/>
    <x v="0"/>
    <s v="OFM"/>
    <n v="8"/>
    <d v="2026-12-25T00:00:00"/>
  </r>
  <r>
    <n v="4943"/>
    <x v="0"/>
    <s v="OFM"/>
    <n v="10"/>
    <d v="2026-12-26T00:00:00"/>
  </r>
  <r>
    <n v="4944"/>
    <x v="0"/>
    <s v="Tech"/>
    <n v="154.03573629081947"/>
    <d v="2026-12-27T00:00:00"/>
  </r>
  <r>
    <n v="4945"/>
    <x v="0"/>
    <s v="Tech"/>
    <n v="123.22858903265558"/>
    <d v="2026-12-28T00:00:00"/>
  </r>
  <r>
    <n v="4946"/>
    <x v="0"/>
    <s v="Tech"/>
    <n v="46.210720887245841"/>
    <d v="2026-12-29T00:00:00"/>
  </r>
  <r>
    <n v="4947"/>
    <x v="0"/>
    <s v="Tech"/>
    <n v="1617.3752310536045"/>
    <d v="2026-12-30T00:00:00"/>
  </r>
  <r>
    <n v="4948"/>
    <x v="0"/>
    <s v="OFM"/>
    <n v="115.63218686161397"/>
    <d v="2026-12-31T00:00:00"/>
  </r>
  <r>
    <n v="4949"/>
    <x v="0"/>
    <s v="Tech"/>
    <n v="34.470872113064452"/>
    <d v="2027-01-01T00:00:00"/>
  </r>
  <r>
    <n v="4950"/>
    <x v="0"/>
    <s v="Tech"/>
    <n v="17.235436056532226"/>
    <d v="2027-01-02T00:00:00"/>
  </r>
  <r>
    <n v="4951"/>
    <x v="0"/>
    <s v="Tech"/>
    <n v="34.470872113064452"/>
    <d v="2027-01-03T00:00:00"/>
  </r>
  <r>
    <n v="4952"/>
    <x v="0"/>
    <s v="Tech"/>
    <n v="43.088590141330577"/>
    <d v="2027-01-04T00:00:00"/>
  </r>
  <r>
    <n v="4953"/>
    <x v="0"/>
    <s v="OFM"/>
    <n v="10"/>
    <d v="2027-01-05T00:00:00"/>
  </r>
  <r>
    <n v="4954"/>
    <x v="0"/>
    <s v="OFM"/>
    <n v="10"/>
    <d v="2027-01-06T00:00:00"/>
  </r>
  <r>
    <n v="4955"/>
    <x v="0"/>
    <s v="OFM"/>
    <n v="10"/>
    <d v="2027-01-07T00:00:00"/>
  </r>
  <r>
    <n v="4956"/>
    <x v="0"/>
    <s v="Tech"/>
    <n v="51.706308169596689"/>
    <d v="2027-01-08T00:00:00"/>
  </r>
  <r>
    <n v="4957"/>
    <x v="0"/>
    <s v="Tech"/>
    <n v="62.047569803516026"/>
    <d v="2027-01-09T00:00:00"/>
  </r>
  <r>
    <n v="4958"/>
    <x v="0"/>
    <s v="Tech"/>
    <n v="1.5403573629081948"/>
    <d v="2027-01-10T00:00:00"/>
  </r>
  <r>
    <n v="4959"/>
    <x v="0"/>
    <s v="OFM"/>
    <n v="1.5403573629081948"/>
    <d v="2027-01-11T00:00:00"/>
  </r>
  <r>
    <n v="4960"/>
    <x v="0"/>
    <s v="Tech"/>
    <n v="1.5403573629081948"/>
    <d v="2027-01-12T00:00:00"/>
  </r>
  <r>
    <n v="4961"/>
    <x v="0"/>
    <s v="OFM"/>
    <n v="1.5403573629081948"/>
    <d v="2027-01-13T00:00:00"/>
  </r>
  <r>
    <n v="4962"/>
    <x v="0"/>
    <s v="OFM"/>
    <n v="1.5403573629081948"/>
    <d v="2027-01-14T00:00:00"/>
  </r>
  <r>
    <n v="4963"/>
    <x v="0"/>
    <s v="Tech"/>
    <n v="1.5403573629081948"/>
    <d v="2027-01-15T00:00:00"/>
  </r>
  <r>
    <n v="4964"/>
    <x v="0"/>
    <s v="OFM"/>
    <n v="1.5403573629081948"/>
    <d v="2027-01-16T00:00:00"/>
  </r>
  <r>
    <n v="4965"/>
    <x v="0"/>
    <s v="Tech"/>
    <n v="1.5403573629081948"/>
    <d v="2027-01-17T00:00:00"/>
  </r>
  <r>
    <n v="4966"/>
    <x v="0"/>
    <s v="Tech"/>
    <n v="1.5403573629081948"/>
    <d v="2027-01-18T00:00:00"/>
  </r>
  <r>
    <n v="4967"/>
    <x v="0"/>
    <s v="OFM"/>
    <n v="1.5403573629081948"/>
    <d v="2027-01-19T00:00:00"/>
  </r>
  <r>
    <n v="4968"/>
    <x v="0"/>
    <s v="Tech"/>
    <n v="1.5403573629081948"/>
    <d v="2027-01-20T00:00:00"/>
  </r>
  <r>
    <n v="4969"/>
    <x v="0"/>
    <s v="OFM"/>
    <n v="1.5403573629081948"/>
    <d v="2027-01-21T00:00:00"/>
  </r>
  <r>
    <n v="4970"/>
    <x v="2"/>
    <s v="Apps"/>
    <n v="211.79709837975219"/>
    <d v="2027-01-22T00:00:00"/>
  </r>
  <r>
    <n v="4971"/>
    <x v="2"/>
    <s v="Tech"/>
    <n v="81.030710639332298"/>
    <d v="2027-01-23T00:00:00"/>
  </r>
  <r>
    <n v="4972"/>
    <x v="0"/>
    <s v="Apps"/>
    <n v="58.841651263093034"/>
    <d v="2027-01-24T00:00:00"/>
  </r>
  <r>
    <n v="4973"/>
    <x v="2"/>
    <s v="Tech"/>
    <n v="40.515355319666149"/>
    <d v="2027-01-25T00:00:00"/>
  </r>
  <r>
    <n v="4974"/>
    <x v="1"/>
    <s v="Tech"/>
    <n v="66.137566137566139"/>
    <d v="2027-01-26T00:00:00"/>
  </r>
  <r>
    <n v="4975"/>
    <x v="1"/>
    <s v="Tech"/>
    <n v="55.114638447971785"/>
    <d v="2027-01-27T00:00:00"/>
  </r>
  <r>
    <n v="4976"/>
    <x v="4"/>
    <s v="Tech"/>
    <n v="205.47617953783251"/>
    <d v="2027-01-28T00:00:00"/>
  </r>
  <r>
    <n v="4977"/>
    <x v="2"/>
    <s v="OFM"/>
    <n v="47.654347135444247"/>
    <d v="2027-01-29T00:00:00"/>
  </r>
  <r>
    <n v="4978"/>
    <x v="2"/>
    <s v="Apps"/>
    <n v="52.949274594938046"/>
    <d v="2027-01-30T00:00:00"/>
  </r>
  <r>
    <n v="4979"/>
    <x v="0"/>
    <s v="Tech"/>
    <n v="15.403573629081947"/>
    <d v="2027-01-31T00:00:00"/>
  </r>
  <r>
    <n v="4980"/>
    <x v="0"/>
    <s v="OFM"/>
    <n v="18.484288354898336"/>
    <d v="2027-02-01T00:00:00"/>
  </r>
  <r>
    <n v="4981"/>
    <x v="0"/>
    <s v="OFM"/>
    <n v="12.322858903265558"/>
    <d v="2027-02-02T00:00:00"/>
  </r>
  <r>
    <n v="4982"/>
    <x v="0"/>
    <s v="OFM"/>
    <n v="15.403573629081947"/>
    <d v="2027-02-03T00:00:00"/>
  </r>
  <r>
    <n v="4983"/>
    <x v="1"/>
    <s v="Apps"/>
    <n v="88.183421516754848"/>
    <d v="2027-02-04T00:00:00"/>
  </r>
  <r>
    <n v="4984"/>
    <x v="0"/>
    <s v="Tech"/>
    <n v="25.696041524803107"/>
    <d v="2027-02-05T00:00:00"/>
  </r>
  <r>
    <n v="4985"/>
    <x v="3"/>
    <s v="OFM"/>
    <n v="412.13697601362799"/>
    <d v="2027-02-06T00:00:00"/>
  </r>
  <r>
    <n v="4986"/>
    <x v="0"/>
    <s v="Systems"/>
    <n v="13.788348845225784"/>
    <d v="2027-02-07T00:00:00"/>
  </r>
  <r>
    <n v="4987"/>
    <x v="0"/>
    <s v="Tech"/>
    <n v="103.41261633919338"/>
    <d v="2027-02-08T00:00:00"/>
  </r>
  <r>
    <n v="4988"/>
    <x v="0"/>
    <s v="Systems"/>
    <n v="689.41744226128924"/>
    <d v="2027-02-09T00:00:00"/>
  </r>
  <r>
    <n v="4989"/>
    <x v="1"/>
    <s v="Tech"/>
    <n v="44.091710758377424"/>
    <d v="2027-02-10T00:00:00"/>
  </r>
  <r>
    <n v="4990"/>
    <x v="1"/>
    <s v="Tech"/>
    <n v="90.202557319223985"/>
    <d v="2027-02-11T00:00:00"/>
  </r>
  <r>
    <n v="4991"/>
    <x v="1"/>
    <s v="Apps"/>
    <n v="30.8641975308642"/>
    <d v="2027-02-12T00:00:00"/>
  </r>
  <r>
    <n v="4992"/>
    <x v="4"/>
    <s v="Tech"/>
    <n v="32.589212970506765"/>
    <d v="2027-02-13T00:00:00"/>
  </r>
  <r>
    <n v="4993"/>
    <x v="4"/>
    <s v="Systems"/>
    <n v="44.735997432193869"/>
    <d v="2027-02-14T00:00:00"/>
  </r>
  <r>
    <n v="4994"/>
    <x v="1"/>
    <s v="Tech"/>
    <n v="28.659611992945326"/>
    <d v="2027-02-15T00:00:00"/>
  </r>
  <r>
    <n v="4995"/>
    <x v="1"/>
    <s v="OFM"/>
    <n v="132.27513227513228"/>
    <d v="2027-02-16T00:00:00"/>
  </r>
  <r>
    <n v="4996"/>
    <x v="2"/>
    <s v="Apps"/>
    <n v="317.69564756962825"/>
    <d v="2027-02-17T00:00:00"/>
  </r>
  <r>
    <n v="4997"/>
    <x v="2"/>
    <s v="Apps"/>
    <n v="211.79709837975219"/>
    <d v="2027-02-18T00:00:00"/>
  </r>
  <r>
    <n v="4998"/>
    <x v="2"/>
    <s v="Apps"/>
    <n v="317.69564756962825"/>
    <d v="2027-02-19T00:00:00"/>
  </r>
  <r>
    <n v="4999"/>
    <x v="2"/>
    <s v="Apps"/>
    <n v="317.69564756962825"/>
    <d v="2027-02-20T00:00:00"/>
  </r>
  <r>
    <n v="5000"/>
    <x v="4"/>
    <s v="Tech"/>
    <n v="427.75258790315684"/>
    <d v="2027-02-21T00:00:00"/>
  </r>
  <r>
    <n v="5001"/>
    <x v="2"/>
    <s v="Apps"/>
    <n v="211.79709837975219"/>
    <d v="2027-02-22T00:00:00"/>
  </r>
  <r>
    <n v="5002"/>
    <x v="0"/>
    <s v="Tech"/>
    <n v="68.941744226128904"/>
    <d v="2027-02-23T00:00:00"/>
  </r>
  <r>
    <n v="5003"/>
    <x v="4"/>
    <s v="Tech"/>
    <n v="24.687530091478092"/>
    <d v="2027-02-24T00:00:00"/>
  </r>
  <r>
    <n v="5004"/>
    <x v="0"/>
    <s v="Apps"/>
    <n v="5"/>
    <d v="2027-02-25T00:00:00"/>
  </r>
  <r>
    <n v="5005"/>
    <x v="3"/>
    <s v="Tech"/>
    <n v="137.37899200454268"/>
    <d v="2027-02-26T00:00:00"/>
  </r>
  <r>
    <n v="5006"/>
    <x v="4"/>
    <s v="OFM"/>
    <n v="70"/>
    <d v="2027-02-27T00:00:00"/>
  </r>
  <r>
    <n v="5007"/>
    <x v="4"/>
    <s v="OFM"/>
    <n v="100"/>
    <d v="2027-02-28T00:00:00"/>
  </r>
  <r>
    <n v="5008"/>
    <x v="1"/>
    <s v="Tech"/>
    <n v="22.707231040564373"/>
    <d v="2027-03-01T00:00:00"/>
  </r>
  <r>
    <n v="5009"/>
    <x v="1"/>
    <s v="Tech"/>
    <n v="587.60515873015868"/>
    <d v="2027-03-02T00:00:00"/>
  </r>
  <r>
    <n v="5010"/>
    <x v="1"/>
    <s v="Apps"/>
    <n v="26.455026455026456"/>
    <d v="2027-03-03T00:00:00"/>
  </r>
  <r>
    <n v="5011"/>
    <x v="1"/>
    <s v="Tech"/>
    <n v="97.976190476190467"/>
    <d v="2027-03-04T00:00:00"/>
  </r>
  <r>
    <n v="5012"/>
    <x v="0"/>
    <s v="OFM"/>
    <n v="4.621072088724584"/>
    <d v="2027-03-05T00:00:00"/>
  </r>
  <r>
    <n v="5013"/>
    <x v="0"/>
    <s v="Tech"/>
    <n v="46.210720887245841"/>
    <d v="2027-03-06T00:00:00"/>
  </r>
  <r>
    <n v="5014"/>
    <x v="0"/>
    <s v="Apps"/>
    <n v="154.03573629081947"/>
    <d v="2027-03-07T00:00:00"/>
  </r>
  <r>
    <n v="5015"/>
    <x v="0"/>
    <s v="Apps"/>
    <n v="154.03573629081947"/>
    <d v="2027-03-08T00:00:00"/>
  </r>
  <r>
    <n v="5016"/>
    <x v="2"/>
    <s v="Apps"/>
    <n v="105.79688658265381"/>
    <d v="2027-03-09T00:00:00"/>
  </r>
  <r>
    <n v="5017"/>
    <x v="0"/>
    <s v="Apps"/>
    <n v="385.08934072704869"/>
    <d v="2027-03-10T00:00:00"/>
  </r>
  <r>
    <n v="5018"/>
    <x v="0"/>
    <s v="Tech"/>
    <n v="61.614294516327789"/>
    <d v="2027-03-11T00:00:00"/>
  </r>
  <r>
    <n v="5019"/>
    <x v="0"/>
    <s v="Systems"/>
    <n v="27.576697690451567"/>
    <d v="2027-03-12T00:00:00"/>
  </r>
  <r>
    <n v="5020"/>
    <x v="0"/>
    <s v="Tech"/>
    <n v="20.682523267838675"/>
    <d v="2027-03-13T00:00:00"/>
  </r>
  <r>
    <n v="5021"/>
    <x v="2"/>
    <s v="Tech"/>
    <n v="529.49274594938049"/>
    <d v="2027-03-14T00:00:00"/>
  </r>
  <r>
    <n v="5022"/>
    <x v="3"/>
    <s v="Tech"/>
    <n v="59.530896535301828"/>
    <d v="2027-03-15T00:00:00"/>
  </r>
  <r>
    <n v="5023"/>
    <x v="0"/>
    <s v="Tech"/>
    <n v="24.129610479145121"/>
    <d v="2027-03-16T00:00:00"/>
  </r>
  <r>
    <n v="5024"/>
    <x v="0"/>
    <s v="Tech"/>
    <n v="68.941744226128904"/>
    <d v="2027-03-17T00:00:00"/>
  </r>
  <r>
    <n v="5025"/>
    <x v="0"/>
    <s v="Tech"/>
    <n v="68.941744226128904"/>
    <d v="2027-03-18T00:00:00"/>
  </r>
  <r>
    <n v="5026"/>
    <x v="0"/>
    <s v="Tech"/>
    <n v="68.941744226128904"/>
    <d v="2027-03-19T00:00:00"/>
  </r>
  <r>
    <n v="5027"/>
    <x v="0"/>
    <s v="Tech"/>
    <n v="46.144260599793178"/>
    <d v="2027-03-20T00:00:00"/>
  </r>
  <r>
    <n v="5028"/>
    <x v="3"/>
    <s v="OFM"/>
    <n v="115.39835328381585"/>
    <d v="2027-03-21T00:00:00"/>
  </r>
  <r>
    <n v="5029"/>
    <x v="3"/>
    <s v="OFM"/>
    <n v="36.63439786787805"/>
    <d v="2027-03-22T00:00:00"/>
  </r>
  <r>
    <n v="5030"/>
    <x v="3"/>
    <s v="OFM"/>
    <n v="36.63439786787805"/>
    <d v="2027-03-23T00:00:00"/>
  </r>
  <r>
    <n v="5031"/>
    <x v="1"/>
    <s v="Apps"/>
    <n v="55.114638447971785"/>
    <d v="2027-03-24T00:00:00"/>
  </r>
  <r>
    <n v="5032"/>
    <x v="1"/>
    <s v="Other"/>
    <n v="165.34391534391534"/>
    <d v="2027-03-25T00:00:00"/>
  </r>
  <r>
    <n v="5033"/>
    <x v="1"/>
    <s v="Apps"/>
    <n v="88.183421516754848"/>
    <d v="2027-03-26T00:00:00"/>
  </r>
  <r>
    <n v="5034"/>
    <x v="0"/>
    <s v="Tech"/>
    <n v="77.088124574409321"/>
    <d v="2027-03-27T00:00:00"/>
  </r>
  <r>
    <n v="5035"/>
    <x v="4"/>
    <s v="Apps"/>
    <n v="41.08"/>
    <d v="2027-03-28T00:00:00"/>
  </r>
  <r>
    <n v="5036"/>
    <x v="0"/>
    <s v="Apps"/>
    <n v="15.403573629081947"/>
    <d v="2027-03-29T00:00:00"/>
  </r>
  <r>
    <n v="5037"/>
    <x v="1"/>
    <s v="OFM"/>
    <n v="13.227513227513228"/>
    <d v="2027-03-30T00:00:00"/>
  </r>
  <r>
    <n v="5038"/>
    <x v="1"/>
    <s v="Apps"/>
    <n v="33.06878306878307"/>
    <d v="2027-03-31T00:00:00"/>
  </r>
  <r>
    <n v="5039"/>
    <x v="4"/>
    <s v="Tech"/>
    <n v="98.712135669959252"/>
    <d v="2027-04-01T00:00:00"/>
  </r>
  <r>
    <n v="5040"/>
    <x v="0"/>
    <s v="Tech"/>
    <n v="15.403573629081947"/>
    <d v="2027-04-02T00:00:00"/>
  </r>
  <r>
    <n v="5041"/>
    <x v="1"/>
    <s v="Tech"/>
    <n v="66.137566137566139"/>
    <d v="2027-04-03T00:00:00"/>
  </r>
  <r>
    <n v="5042"/>
    <x v="1"/>
    <s v="Tech"/>
    <n v="44.091710758377424"/>
    <d v="2027-04-04T00:00:00"/>
  </r>
  <r>
    <n v="5043"/>
    <x v="1"/>
    <s v="Apps"/>
    <n v="165.34391534391534"/>
    <d v="2027-04-05T00:00:00"/>
  </r>
  <r>
    <n v="5044"/>
    <x v="4"/>
    <s v="Apps"/>
    <n v="14.907837552258007"/>
    <d v="2027-04-06T00:00:00"/>
  </r>
  <r>
    <n v="5045"/>
    <x v="4"/>
    <s v="Apps"/>
    <n v="5.6170759107687376"/>
    <d v="2027-04-07T00:00:00"/>
  </r>
  <r>
    <n v="5046"/>
    <x v="4"/>
    <s v="Apps"/>
    <n v="22.970551752653101"/>
    <d v="2027-04-08T00:00:00"/>
  </r>
  <r>
    <n v="5047"/>
    <x v="2"/>
    <s v="Apps"/>
    <n v="14.296304140633271"/>
    <d v="2027-04-09T00:00:00"/>
  </r>
  <r>
    <n v="5048"/>
    <x v="0"/>
    <s v="OFM"/>
    <n v="115.63218686161397"/>
    <d v="2027-04-10T00:00:00"/>
  </r>
  <r>
    <n v="5049"/>
    <x v="0"/>
    <s v="Apps"/>
    <n v="128.48020762401552"/>
    <d v="2027-04-11T00:00:00"/>
  </r>
  <r>
    <n v="5050"/>
    <x v="4"/>
    <s v="OFM"/>
    <n v="2.1633766650617878"/>
    <d v="2027-04-12T00:00:00"/>
  </r>
  <r>
    <n v="5051"/>
    <x v="3"/>
    <s v="OFM"/>
    <n v="274.75798400908536"/>
    <d v="2027-04-13T00:00:00"/>
  </r>
  <r>
    <n v="5052"/>
    <x v="1"/>
    <s v="Tech"/>
    <n v="32.42398589065256"/>
    <d v="2027-04-14T00:00:00"/>
  </r>
  <r>
    <n v="5053"/>
    <x v="1"/>
    <s v="Apps"/>
    <n v="77.160493827160494"/>
    <d v="2027-04-15T00:00:00"/>
  </r>
  <r>
    <n v="5054"/>
    <x v="4"/>
    <s v="Tech"/>
    <n v="20.106240834283852"/>
    <d v="2027-04-16T00:00:00"/>
  </r>
  <r>
    <n v="5055"/>
    <x v="2"/>
    <s v="Apps"/>
    <n v="16.20614212786646"/>
    <d v="2027-04-17T00:00:00"/>
  </r>
  <r>
    <n v="5056"/>
    <x v="0"/>
    <s v="Apps"/>
    <n v="25.696041524803107"/>
    <d v="2027-04-18T00:00:00"/>
  </r>
  <r>
    <n v="5057"/>
    <x v="1"/>
    <s v="Tech"/>
    <n v="110.22927689594357"/>
    <d v="2027-04-19T00:00:00"/>
  </r>
  <r>
    <n v="5058"/>
    <x v="2"/>
    <s v="Apps"/>
    <n v="42.359419675950441"/>
    <d v="2027-04-20T00:00:00"/>
  </r>
  <r>
    <n v="5059"/>
    <x v="1"/>
    <s v="OFM"/>
    <n v="12.566137566137566"/>
    <d v="2027-04-21T00:00:00"/>
  </r>
  <r>
    <n v="5060"/>
    <x v="0"/>
    <s v="Apps"/>
    <n v="25.696041524803107"/>
    <d v="2027-04-22T00:00:00"/>
  </r>
  <r>
    <n v="5061"/>
    <x v="1"/>
    <s v="Apps"/>
    <n v="110.22927689594357"/>
    <d v="2027-04-23T00:00:00"/>
  </r>
  <r>
    <n v="5062"/>
    <x v="1"/>
    <s v="Apps"/>
    <n v="110.22927689594357"/>
    <d v="2027-04-24T00:00:00"/>
  </r>
  <r>
    <n v="5063"/>
    <x v="1"/>
    <s v="Apps"/>
    <n v="77.160493827160494"/>
    <d v="2027-04-25T00:00:00"/>
  </r>
  <r>
    <n v="5064"/>
    <x v="1"/>
    <s v="Apps"/>
    <n v="55.114638447971785"/>
    <d v="2027-04-26T00:00:00"/>
  </r>
  <r>
    <n v="5065"/>
    <x v="1"/>
    <s v="Tech"/>
    <n v="141.09347442680775"/>
    <d v="2027-04-27T00:00:00"/>
  </r>
  <r>
    <n v="5066"/>
    <x v="1"/>
    <s v="Apps"/>
    <n v="66.137566137566139"/>
    <d v="2027-04-28T00:00:00"/>
  </r>
  <r>
    <n v="5067"/>
    <x v="1"/>
    <s v="Tech"/>
    <n v="22"/>
    <d v="2027-04-29T00:00:00"/>
  </r>
  <r>
    <n v="5068"/>
    <x v="4"/>
    <s v="Apps"/>
    <n v="18.38"/>
    <d v="2027-04-30T00:00:00"/>
  </r>
  <r>
    <n v="5069"/>
    <x v="2"/>
    <s v="Apps"/>
    <n v="17.050482132728305"/>
    <d v="2027-05-01T00:00:00"/>
  </r>
  <r>
    <n v="5070"/>
    <x v="2"/>
    <s v="Apps"/>
    <n v="3.1769564756962829"/>
    <d v="2027-05-02T00:00:00"/>
  </r>
  <r>
    <n v="5071"/>
    <x v="1"/>
    <s v="Tech"/>
    <n v="110.22927689594357"/>
    <d v="2027-05-03T00:00:00"/>
  </r>
  <r>
    <n v="5072"/>
    <x v="2"/>
    <s v="Systems"/>
    <n v="21.179709837975221"/>
    <d v="2027-05-04T00:00:00"/>
  </r>
  <r>
    <n v="5073"/>
    <x v="2"/>
    <s v="Apps"/>
    <n v="74.128984432913256"/>
    <d v="2027-05-05T00:00:00"/>
  </r>
  <r>
    <n v="5074"/>
    <x v="2"/>
    <s v="Apps"/>
    <n v="105.89854918987609"/>
    <d v="2027-05-06T00:00:00"/>
  </r>
  <r>
    <n v="5075"/>
    <x v="1"/>
    <s v="Apps"/>
    <n v="22.045855379188712"/>
    <d v="2027-05-07T00:00:00"/>
  </r>
  <r>
    <n v="5076"/>
    <x v="1"/>
    <s v="Apps"/>
    <n v="88.183421516754848"/>
    <d v="2027-05-08T00:00:00"/>
  </r>
  <r>
    <n v="5077"/>
    <x v="1"/>
    <s v="OFM"/>
    <n v="110.22927689594357"/>
    <d v="2027-05-09T00:00:00"/>
  </r>
  <r>
    <n v="5078"/>
    <x v="1"/>
    <s v="Tech"/>
    <n v="194.00352733686069"/>
    <d v="2027-05-10T00:00:00"/>
  </r>
  <r>
    <n v="5079"/>
    <x v="2"/>
    <s v="Apps"/>
    <n v="52.949274594938046"/>
    <d v="2027-05-11T00:00:00"/>
  </r>
  <r>
    <n v="5080"/>
    <x v="4"/>
    <s v="Apps"/>
    <n v="22.975000000000001"/>
    <d v="2027-05-12T00:00:00"/>
  </r>
  <r>
    <n v="5081"/>
    <x v="1"/>
    <s v="OFM"/>
    <n v="154.32098765432099"/>
    <d v="2027-05-13T00:00:00"/>
  </r>
  <r>
    <n v="5082"/>
    <x v="1"/>
    <s v="Tech"/>
    <n v="22.045855379188712"/>
    <d v="2027-05-14T00:00:00"/>
  </r>
  <r>
    <n v="5083"/>
    <x v="4"/>
    <s v="Tech"/>
    <n v="75.701750356043561"/>
    <d v="2027-05-15T00:00:00"/>
  </r>
  <r>
    <n v="5084"/>
    <x v="1"/>
    <s v="Apps"/>
    <n v="2.4801587301587302"/>
    <d v="2027-05-16T00:00:00"/>
  </r>
  <r>
    <n v="5085"/>
    <x v="4"/>
    <s v="Tech"/>
    <n v="151.40350071208712"/>
    <d v="2027-05-17T00:00:00"/>
  </r>
  <r>
    <n v="5086"/>
    <x v="4"/>
    <s v="OFM"/>
    <n v="400"/>
    <d v="2027-05-18T00:00:00"/>
  </r>
  <r>
    <n v="5087"/>
    <x v="4"/>
    <s v="OFM"/>
    <n v="300"/>
    <d v="2027-05-19T00:00:00"/>
  </r>
  <r>
    <n v="5088"/>
    <x v="2"/>
    <s v="OFM"/>
    <n v="264.74637297469025"/>
    <d v="2027-05-20T00:00:00"/>
  </r>
  <r>
    <n v="5089"/>
    <x v="4"/>
    <s v="Systems"/>
    <n v="82.260113058299382"/>
    <d v="2027-05-21T00:00:00"/>
  </r>
  <r>
    <n v="5090"/>
    <x v="4"/>
    <s v="Systems"/>
    <n v="46.065663312647658"/>
    <d v="2027-05-22T00:00:00"/>
  </r>
  <r>
    <n v="5091"/>
    <x v="4"/>
    <s v="Systems"/>
    <n v="88.840922102963333"/>
    <d v="2027-05-23T00:00:00"/>
  </r>
  <r>
    <n v="5092"/>
    <x v="4"/>
    <s v="Systems"/>
    <n v="23.690912560790224"/>
    <d v="2027-05-24T00:00:00"/>
  </r>
  <r>
    <n v="5093"/>
    <x v="4"/>
    <s v="Systems"/>
    <n v="32.904045223319756"/>
    <d v="2027-05-25T00:00:00"/>
  </r>
  <r>
    <n v="5094"/>
    <x v="4"/>
    <s v="Systems"/>
    <n v="65.808090446639511"/>
    <d v="2027-05-26T00:00:00"/>
  </r>
  <r>
    <n v="5095"/>
    <x v="4"/>
    <s v="Systems"/>
    <n v="3.2904045223319756"/>
    <d v="2027-05-27T00:00:00"/>
  </r>
  <r>
    <n v="5096"/>
    <x v="4"/>
    <s v="Tech"/>
    <n v="0.9"/>
    <d v="2027-05-28T00:00:00"/>
  </r>
  <r>
    <n v="5097"/>
    <x v="1"/>
    <s v="Tech"/>
    <n v="44.091710758377424"/>
    <d v="2027-05-29T00:00:00"/>
  </r>
  <r>
    <n v="5098"/>
    <x v="2"/>
    <s v="Tech"/>
    <n v="11.6"/>
    <d v="2027-05-30T00:00:00"/>
  </r>
  <r>
    <n v="5099"/>
    <x v="4"/>
    <s v="Apps"/>
    <n v="130.35685188202706"/>
    <d v="2027-05-31T00:00:00"/>
  </r>
  <r>
    <n v="5100"/>
    <x v="1"/>
    <s v="Tech"/>
    <n v="4.409171075837742"/>
    <d v="2027-06-01T00:00:00"/>
  </r>
  <r>
    <n v="5101"/>
    <x v="0"/>
    <s v="Systems"/>
    <n v="17.235436056532226"/>
    <d v="2027-06-02T00:00:00"/>
  </r>
  <r>
    <n v="5102"/>
    <x v="4"/>
    <s v="Apps"/>
    <n v="162.94606485253382"/>
    <d v="2027-06-03T00:00:00"/>
  </r>
  <r>
    <n v="5103"/>
    <x v="4"/>
    <s v="Apps"/>
    <n v="48.883819455760147"/>
    <d v="2027-06-04T00:00:00"/>
  </r>
  <r>
    <n v="5104"/>
    <x v="1"/>
    <s v="Apps"/>
    <n v="110.22927689594357"/>
    <d v="2027-06-05T00:00:00"/>
  </r>
  <r>
    <n v="5105"/>
    <x v="1"/>
    <s v="Apps"/>
    <n v="66.137566137566139"/>
    <d v="2027-06-06T00:00:00"/>
  </r>
  <r>
    <n v="5106"/>
    <x v="0"/>
    <s v="Systems"/>
    <n v="137.88348845225781"/>
    <d v="2027-06-07T00:00:00"/>
  </r>
  <r>
    <n v="5107"/>
    <x v="1"/>
    <s v="Apps"/>
    <n v="66.137566137566139"/>
    <d v="2027-06-08T00:00:00"/>
  </r>
  <r>
    <n v="5108"/>
    <x v="1"/>
    <s v="Apps"/>
    <n v="88.183421516754848"/>
    <d v="2027-06-09T00:00:00"/>
  </r>
  <r>
    <n v="5109"/>
    <x v="1"/>
    <s v="Apps"/>
    <n v="88.183421516754848"/>
    <d v="2027-06-10T00:00:00"/>
  </r>
  <r>
    <n v="5110"/>
    <x v="1"/>
    <s v="Apps"/>
    <n v="110.22927689594357"/>
    <d v="2027-06-11T00:00:00"/>
  </r>
  <r>
    <n v="5111"/>
    <x v="1"/>
    <s v="Apps"/>
    <n v="66.137566137566139"/>
    <d v="2027-06-12T00:00:00"/>
  </r>
  <r>
    <n v="5112"/>
    <x v="1"/>
    <s v="Apps"/>
    <n v="66.137566137566139"/>
    <d v="2027-06-13T00:00:00"/>
  </r>
  <r>
    <n v="5113"/>
    <x v="1"/>
    <s v="Apps"/>
    <n v="66.137566137566139"/>
    <d v="2027-06-14T00:00:00"/>
  </r>
  <r>
    <n v="5114"/>
    <x v="1"/>
    <s v="Apps"/>
    <n v="66.137566137566139"/>
    <d v="2027-06-15T00:00:00"/>
  </r>
  <r>
    <n v="5115"/>
    <x v="4"/>
    <s v="Other"/>
    <n v="11.243278474824834"/>
    <d v="2027-06-16T00:00:00"/>
  </r>
  <r>
    <n v="5116"/>
    <x v="2"/>
    <s v="Systems"/>
    <n v="794.23911892407068"/>
    <d v="2027-06-17T00:00:00"/>
  </r>
  <r>
    <n v="5117"/>
    <x v="1"/>
    <s v="Tech"/>
    <n v="110.22927689594357"/>
    <d v="2027-06-18T00:00:00"/>
  </r>
  <r>
    <n v="5118"/>
    <x v="0"/>
    <s v="Apps"/>
    <n v="86.177180282661155"/>
    <d v="2027-06-19T00:00:00"/>
  </r>
  <r>
    <n v="5119"/>
    <x v="0"/>
    <s v="Apps"/>
    <n v="86.177180282661155"/>
    <d v="2027-06-20T00:00:00"/>
  </r>
  <r>
    <n v="5120"/>
    <x v="0"/>
    <s v="Apps"/>
    <n v="86.177180282661155"/>
    <d v="2027-06-21T00:00:00"/>
  </r>
  <r>
    <n v="5121"/>
    <x v="4"/>
    <s v="Tech"/>
    <n v="37.850875178021781"/>
    <d v="2027-06-22T00:00:00"/>
  </r>
  <r>
    <n v="5122"/>
    <x v="1"/>
    <s v="Apps"/>
    <n v="55.114638447971785"/>
    <d v="2027-06-23T00:00:00"/>
  </r>
  <r>
    <n v="5123"/>
    <x v="1"/>
    <s v="Tech"/>
    <n v="881.83421516754856"/>
    <d v="2027-06-24T00:00:00"/>
  </r>
  <r>
    <n v="5124"/>
    <x v="1"/>
    <s v="Apps"/>
    <n v="44.091710758377424"/>
    <d v="2027-06-25T00:00:00"/>
  </r>
  <r>
    <n v="5125"/>
    <x v="1"/>
    <s v="Apps"/>
    <n v="44.091710758377424"/>
    <d v="2027-06-26T00:00:00"/>
  </r>
  <r>
    <n v="5126"/>
    <x v="1"/>
    <s v="Apps"/>
    <n v="66.137566137566139"/>
    <d v="2027-06-27T00:00:00"/>
  </r>
  <r>
    <n v="5127"/>
    <x v="2"/>
    <s v="Apps"/>
    <n v="279.57216986127293"/>
    <d v="2027-06-28T00:00:00"/>
  </r>
  <r>
    <n v="5128"/>
    <x v="2"/>
    <s v="Apps"/>
    <n v="211.79709837975219"/>
    <d v="2027-06-29T00:00:00"/>
  </r>
  <r>
    <n v="5129"/>
    <x v="2"/>
    <s v="Apps"/>
    <n v="105.89854918987609"/>
    <d v="2027-06-30T00:00:00"/>
  </r>
  <r>
    <n v="5130"/>
    <x v="0"/>
    <s v="Apps"/>
    <n v="12.848020762401553"/>
    <d v="2027-07-01T00:00:00"/>
  </r>
  <r>
    <n v="5131"/>
    <x v="1"/>
    <s v="Tech"/>
    <n v="88.183421516754848"/>
    <d v="2027-07-02T00:00:00"/>
  </r>
  <r>
    <n v="5132"/>
    <x v="1"/>
    <s v="Tech"/>
    <n v="88.183421516754848"/>
    <d v="2027-07-03T00:00:00"/>
  </r>
  <r>
    <n v="5133"/>
    <x v="1"/>
    <s v="Tech"/>
    <n v="97.934303350970012"/>
    <d v="2027-07-04T00:00:00"/>
  </r>
  <r>
    <n v="5134"/>
    <x v="1"/>
    <s v="Tech"/>
    <n v="88.183421516754848"/>
    <d v="2027-07-05T00:00:00"/>
  </r>
  <r>
    <n v="5135"/>
    <x v="0"/>
    <s v="Systems"/>
    <n v="51.706308169596689"/>
    <d v="2027-07-06T00:00:00"/>
  </r>
  <r>
    <n v="5136"/>
    <x v="4"/>
    <s v="Tech"/>
    <n v="9.3293791754929138"/>
    <d v="2027-07-07T00:00:00"/>
  </r>
  <r>
    <n v="5137"/>
    <x v="2"/>
    <s v="Tech"/>
    <n v="317.69564756962825"/>
    <d v="2027-07-08T00:00:00"/>
  </r>
  <r>
    <n v="5138"/>
    <x v="4"/>
    <s v="Tech"/>
    <n v="616.42853861349749"/>
    <d v="2027-07-09T00:00:00"/>
  </r>
  <r>
    <n v="5139"/>
    <x v="4"/>
    <s v="Tech"/>
    <n v="616.42853861349749"/>
    <d v="2027-07-10T00:00:00"/>
  </r>
  <r>
    <n v="5140"/>
    <x v="2"/>
    <s v="Tech"/>
    <n v="158.84782378481412"/>
    <d v="2027-07-11T00:00:00"/>
  </r>
  <r>
    <n v="5141"/>
    <x v="1"/>
    <s v="Tech"/>
    <n v="132.27513227513228"/>
    <d v="2027-07-12T00:00:00"/>
  </r>
  <r>
    <n v="5142"/>
    <x v="3"/>
    <s v="Tech"/>
    <n v="43.045417494756705"/>
    <d v="2027-07-13T00:00:00"/>
  </r>
  <r>
    <n v="5143"/>
    <x v="3"/>
    <s v="Tech"/>
    <n v="45.792997334847563"/>
    <d v="2027-07-14T00:00:00"/>
  </r>
  <r>
    <n v="5144"/>
    <x v="4"/>
    <s v="Systems"/>
    <n v="97.767638911520294"/>
    <d v="2027-07-15T00:00:00"/>
  </r>
  <r>
    <n v="5145"/>
    <x v="2"/>
    <s v="Tech"/>
    <n v="127.0782590278513"/>
    <d v="2027-07-16T00:00:00"/>
  </r>
  <r>
    <n v="5146"/>
    <x v="1"/>
    <s v="Tech"/>
    <n v="289.021164021164"/>
    <d v="2027-07-17T00:00:00"/>
  </r>
  <r>
    <n v="5147"/>
    <x v="4"/>
    <s v="Tech"/>
    <n v="51.369044884458127"/>
    <d v="2027-07-18T00:00:00"/>
  </r>
  <r>
    <n v="5148"/>
    <x v="4"/>
    <s v="Apps"/>
    <n v="5.8660583346912167"/>
    <d v="2027-07-19T00:00:00"/>
  </r>
  <r>
    <n v="5149"/>
    <x v="4"/>
    <s v="Apps"/>
    <n v="5.8660583346912167"/>
    <d v="2027-07-20T00:00:00"/>
  </r>
  <r>
    <n v="5150"/>
    <x v="1"/>
    <s v="Apps"/>
    <n v="19"/>
    <d v="2027-07-21T00:00:00"/>
  </r>
  <r>
    <n v="5151"/>
    <x v="4"/>
    <s v="Apps"/>
    <n v="0"/>
    <d v="2027-07-22T00:00:00"/>
  </r>
  <r>
    <n v="5152"/>
    <x v="1"/>
    <s v="Tech"/>
    <n v="55.114638447971785"/>
    <d v="2027-07-23T00:00:00"/>
  </r>
  <r>
    <n v="5153"/>
    <x v="0"/>
    <s v="Tech"/>
    <n v="107.82501540357363"/>
    <d v="2027-07-24T00:00:00"/>
  </r>
  <r>
    <n v="5154"/>
    <x v="0"/>
    <s v="Tech"/>
    <n v="77.017868145409736"/>
    <d v="2027-07-25T00:00:00"/>
  </r>
  <r>
    <n v="5155"/>
    <x v="0"/>
    <s v="OFM"/>
    <n v="46.210720887245841"/>
    <d v="2027-07-26T00:00:00"/>
  </r>
  <r>
    <n v="5156"/>
    <x v="4"/>
    <s v="Apps"/>
    <n v="329.04045223319753"/>
    <d v="2027-07-27T00:00:00"/>
  </r>
  <r>
    <n v="5157"/>
    <x v="1"/>
    <s v="Tech"/>
    <n v="47.420634920634917"/>
    <d v="2027-07-28T00:00:00"/>
  </r>
  <r>
    <n v="5158"/>
    <x v="1"/>
    <s v="Tech"/>
    <n v="105"/>
    <d v="2027-07-29T00:00:00"/>
  </r>
  <r>
    <n v="5159"/>
    <x v="4"/>
    <s v="Tech"/>
    <n v="30"/>
    <d v="2027-07-30T00:00:00"/>
  </r>
  <r>
    <n v="5160"/>
    <x v="1"/>
    <s v="Tech"/>
    <n v="208.52539682539683"/>
    <d v="2027-07-31T00:00:00"/>
  </r>
  <r>
    <n v="5161"/>
    <x v="1"/>
    <s v="Apps"/>
    <n v="11022.927689594357"/>
    <d v="2027-08-01T00:00:00"/>
  </r>
  <r>
    <n v="5162"/>
    <x v="0"/>
    <s v="Tech"/>
    <n v="61.614294516327789"/>
    <d v="2027-08-02T00:00:00"/>
  </r>
  <r>
    <n v="5163"/>
    <x v="0"/>
    <s v="Tech"/>
    <n v="123.22858903265558"/>
    <d v="2027-08-03T00:00:00"/>
  </r>
  <r>
    <n v="5164"/>
    <x v="4"/>
    <s v="Apps"/>
    <n v="103.36748288693894"/>
    <d v="2027-08-04T00:00:00"/>
  </r>
  <r>
    <n v="5165"/>
    <x v="3"/>
    <s v="OFM"/>
    <n v="91.585994669695125"/>
    <d v="2027-08-05T00:00:00"/>
  </r>
  <r>
    <n v="5166"/>
    <x v="3"/>
    <s v="OFM"/>
    <n v="3.6634397867878046"/>
    <d v="2027-08-06T00:00:00"/>
  </r>
  <r>
    <n v="5167"/>
    <x v="3"/>
    <s v="Tech"/>
    <n v="283.91658347605488"/>
    <d v="2027-08-07T00:00:00"/>
  </r>
  <r>
    <n v="5168"/>
    <x v="3"/>
    <s v="OFM"/>
    <n v="366.3439786787805"/>
    <d v="2027-08-08T00:00:00"/>
  </r>
  <r>
    <n v="5169"/>
    <x v="3"/>
    <s v="OFM"/>
    <n v="10.990319360363413"/>
    <d v="2027-08-09T00:00:00"/>
  </r>
  <r>
    <n v="5170"/>
    <x v="0"/>
    <s v="Tech"/>
    <n v="154.03573629081947"/>
    <d v="2027-08-10T00:00:00"/>
  </r>
  <r>
    <n v="5171"/>
    <x v="1"/>
    <s v="Apps"/>
    <n v="83.333333333333329"/>
    <d v="2027-08-11T00:00:00"/>
  </r>
  <r>
    <n v="5172"/>
    <x v="0"/>
    <s v="Apps"/>
    <n v="199.42852741836109"/>
    <d v="2027-08-12T00:00:00"/>
  </r>
  <r>
    <n v="5173"/>
    <x v="0"/>
    <s v="Tech"/>
    <n v="69.316081330868769"/>
    <d v="2027-08-13T00:00:00"/>
  </r>
  <r>
    <n v="5174"/>
    <x v="3"/>
    <s v="OFM"/>
    <n v="9.1585994669695125"/>
    <d v="2027-08-14T00:00:00"/>
  </r>
  <r>
    <n v="5175"/>
    <x v="1"/>
    <s v="Apps"/>
    <n v="66.137566137566139"/>
    <d v="2027-08-15T00:00:00"/>
  </r>
  <r>
    <n v="5176"/>
    <x v="1"/>
    <s v="Apps"/>
    <n v="88.183421516754848"/>
    <d v="2027-08-16T00:00:00"/>
  </r>
  <r>
    <n v="5177"/>
    <x v="1"/>
    <s v="Apps"/>
    <n v="66.137566137566139"/>
    <d v="2027-08-17T00:00:00"/>
  </r>
  <r>
    <n v="5178"/>
    <x v="1"/>
    <s v="Apps"/>
    <n v="66.137566137566139"/>
    <d v="2027-08-18T00:00:00"/>
  </r>
  <r>
    <n v="5179"/>
    <x v="1"/>
    <s v="Apps"/>
    <n v="66.137566137566139"/>
    <d v="2027-08-19T00:00:00"/>
  </r>
  <r>
    <n v="5180"/>
    <x v="1"/>
    <s v="Tech"/>
    <n v="22"/>
    <d v="2027-08-20T00:00:00"/>
  </r>
  <r>
    <n v="5181"/>
    <x v="1"/>
    <s v="Tech"/>
    <n v="176.3668430335097"/>
    <d v="2027-08-21T00:00:00"/>
  </r>
  <r>
    <n v="5182"/>
    <x v="0"/>
    <s v="Apps"/>
    <n v="86.177180282661155"/>
    <d v="2027-08-22T00:00:00"/>
  </r>
  <r>
    <n v="5183"/>
    <x v="0"/>
    <s v="Apps"/>
    <n v="86.177180282661155"/>
    <d v="2027-08-23T00:00:00"/>
  </r>
  <r>
    <n v="5184"/>
    <x v="1"/>
    <s v="OFM"/>
    <n v="198.4126984126984"/>
    <d v="2027-08-24T00:00:00"/>
  </r>
  <r>
    <n v="5185"/>
    <x v="0"/>
    <s v="Tech"/>
    <n v="107.82501540357363"/>
    <d v="2027-08-25T00:00:00"/>
  </r>
  <r>
    <n v="5186"/>
    <x v="1"/>
    <s v="Apps"/>
    <n v="55.114638447971785"/>
    <d v="2027-08-26T00:00:00"/>
  </r>
  <r>
    <n v="5187"/>
    <x v="4"/>
    <s v="Apps"/>
    <n v="95.658624293655535"/>
    <d v="2027-08-27T00:00:00"/>
  </r>
  <r>
    <n v="5188"/>
    <x v="1"/>
    <s v="Apps"/>
    <n v="99.206349206349202"/>
    <d v="2027-08-28T00:00:00"/>
  </r>
  <r>
    <n v="5189"/>
    <x v="1"/>
    <s v="Tech"/>
    <n v="122.57495590828924"/>
    <d v="2027-08-29T00:00:00"/>
  </r>
  <r>
    <n v="5190"/>
    <x v="1"/>
    <s v="Tech"/>
    <n v="88.183421516754848"/>
    <d v="2027-08-30T00:00:00"/>
  </r>
  <r>
    <n v="5191"/>
    <x v="0"/>
    <s v="Systems"/>
    <n v="33.404853982244035"/>
    <d v="2027-08-31T00:00:00"/>
  </r>
  <r>
    <n v="5192"/>
    <x v="0"/>
    <s v="Apps"/>
    <n v="123.22858903265558"/>
    <d v="2027-09-01T00:00:00"/>
  </r>
  <r>
    <n v="5193"/>
    <x v="0"/>
    <s v="Tech"/>
    <n v="6.8941744226128918"/>
    <d v="2027-09-02T00:00:00"/>
  </r>
  <r>
    <n v="5194"/>
    <x v="0"/>
    <s v="Tech"/>
    <n v="16.943930991990143"/>
    <d v="2027-09-03T00:00:00"/>
  </r>
  <r>
    <n v="5195"/>
    <x v="1"/>
    <s v="Apps"/>
    <n v="7.7160493827160499"/>
    <d v="2027-09-04T00:00:00"/>
  </r>
  <r>
    <n v="5196"/>
    <x v="1"/>
    <s v="Tech"/>
    <n v="176.3668430335097"/>
    <d v="2027-09-05T00:00:00"/>
  </r>
  <r>
    <n v="5197"/>
    <x v="0"/>
    <s v="Tech"/>
    <n v="462.10720887245844"/>
    <d v="2027-09-06T00:00:00"/>
  </r>
  <r>
    <n v="5198"/>
    <x v="4"/>
    <s v="Apps"/>
    <n v="13.782331051591861"/>
    <d v="2027-09-07T00:00:00"/>
  </r>
  <r>
    <n v="5199"/>
    <x v="4"/>
    <s v="Apps"/>
    <n v="57.426379381632742"/>
    <d v="2027-09-08T00:00:00"/>
  </r>
  <r>
    <n v="5200"/>
    <x v="2"/>
    <s v="Apps"/>
    <n v="454.1660489251297"/>
    <d v="2027-09-09T00:00:00"/>
  </r>
  <r>
    <n v="5201"/>
    <x v="0"/>
    <s v="Apps"/>
    <n v="94.963031423290204"/>
    <d v="2027-09-10T00:00:00"/>
  </r>
  <r>
    <n v="5202"/>
    <x v="0"/>
    <s v="OFM"/>
    <n v="200"/>
    <d v="2027-09-11T00:00:00"/>
  </r>
  <r>
    <n v="5203"/>
    <x v="4"/>
    <s v="Tech"/>
    <n v="924.64280792024624"/>
    <d v="2027-09-12T00:00:00"/>
  </r>
  <r>
    <n v="5204"/>
    <x v="0"/>
    <s v="Apps"/>
    <n v="154.03573629081947"/>
    <d v="2027-09-13T00:00:00"/>
  </r>
  <r>
    <n v="5205"/>
    <x v="0"/>
    <s v="Tech"/>
    <n v="53.912507701786815"/>
    <d v="2027-09-14T00:00:00"/>
  </r>
  <r>
    <n v="5206"/>
    <x v="0"/>
    <s v="OFM"/>
    <n v="23.105360443622921"/>
    <d v="2027-09-15T00:00:00"/>
  </r>
  <r>
    <n v="5207"/>
    <x v="0"/>
    <s v="Apps"/>
    <n v="23.105360443622921"/>
    <d v="2027-09-16T00:00:00"/>
  </r>
  <r>
    <n v="5208"/>
    <x v="3"/>
    <s v="OFM"/>
    <n v="91.585994669695125"/>
    <d v="2027-09-17T00:00:00"/>
  </r>
  <r>
    <n v="5209"/>
    <x v="3"/>
    <s v="OFM"/>
    <n v="172.18166997902682"/>
    <d v="2027-09-18T00:00:00"/>
  </r>
  <r>
    <n v="5210"/>
    <x v="3"/>
    <s v="Tech"/>
    <n v="32.05509813439329"/>
    <d v="2027-09-19T00:00:00"/>
  </r>
  <r>
    <n v="5211"/>
    <x v="1"/>
    <s v="Tech"/>
    <n v="131.17283950617283"/>
    <d v="2027-09-20T00:00:00"/>
  </r>
  <r>
    <n v="5212"/>
    <x v="3"/>
    <s v="OFM"/>
    <n v="457.92997334847558"/>
    <d v="2027-09-21T00:00:00"/>
  </r>
  <r>
    <n v="5213"/>
    <x v="1"/>
    <s v="OFM"/>
    <n v="176.3668430335097"/>
    <d v="2027-09-22T00:00:00"/>
  </r>
  <r>
    <n v="5214"/>
    <x v="1"/>
    <s v="Tech"/>
    <n v="163.13932980599648"/>
    <d v="2027-09-23T00:00:00"/>
  </r>
  <r>
    <n v="5215"/>
    <x v="4"/>
    <s v="OFM"/>
    <n v="102.48"/>
    <d v="2027-09-24T00:00:00"/>
  </r>
  <r>
    <n v="5216"/>
    <x v="0"/>
    <s v="Tech"/>
    <n v="31.524953789279113"/>
    <d v="2027-09-25T00:00:00"/>
  </r>
  <r>
    <n v="5217"/>
    <x v="0"/>
    <s v="Tech"/>
    <n v="1.5403573629081948"/>
    <d v="2027-09-26T00:00:00"/>
  </r>
  <r>
    <n v="5218"/>
    <x v="0"/>
    <s v="OFM"/>
    <n v="1.5403573629081948"/>
    <d v="2027-09-27T00:00:00"/>
  </r>
  <r>
    <n v="5219"/>
    <x v="1"/>
    <s v="Tech"/>
    <n v="50"/>
    <d v="2027-09-28T00:00:00"/>
  </r>
  <r>
    <n v="5220"/>
    <x v="0"/>
    <s v="Tech"/>
    <n v="206.82523267838675"/>
    <d v="2027-09-29T00:00:00"/>
  </r>
  <r>
    <n v="5221"/>
    <x v="0"/>
    <s v="Apps"/>
    <n v="105.51447935921134"/>
    <d v="2027-09-30T00:00:00"/>
  </r>
  <r>
    <n v="5222"/>
    <x v="2"/>
    <s v="Apps"/>
    <n v="20.257677659833075"/>
    <d v="2027-10-01T00:00:00"/>
  </r>
  <r>
    <n v="5223"/>
    <x v="3"/>
    <s v="Tech"/>
    <n v="36.63439786787805"/>
    <d v="2027-10-02T00:00:00"/>
  </r>
  <r>
    <n v="5224"/>
    <x v="0"/>
    <s v="OFM"/>
    <n v="67.775723967960573"/>
    <d v="2027-10-03T00:00:00"/>
  </r>
  <r>
    <n v="5225"/>
    <x v="0"/>
    <s v="Tech"/>
    <n v="26.887280248190276"/>
    <d v="2027-10-04T00:00:00"/>
  </r>
  <r>
    <n v="5226"/>
    <x v="0"/>
    <s v="Tech"/>
    <n v="30.807147258163894"/>
    <d v="2027-10-05T00:00:00"/>
  </r>
  <r>
    <n v="5227"/>
    <x v="0"/>
    <s v="Tech"/>
    <n v="231.05360443622922"/>
    <d v="2027-10-06T00:00:00"/>
  </r>
  <r>
    <n v="5228"/>
    <x v="0"/>
    <s v="Tech"/>
    <n v="231.05360443622922"/>
    <d v="2027-10-07T00:00:00"/>
  </r>
  <r>
    <n v="5229"/>
    <x v="0"/>
    <s v="OFM"/>
    <n v="231.05360443622922"/>
    <d v="2027-10-08T00:00:00"/>
  </r>
  <r>
    <n v="5230"/>
    <x v="4"/>
    <s v="Tech"/>
    <n v="330"/>
    <d v="2027-10-09T00:00:00"/>
  </r>
  <r>
    <n v="5231"/>
    <x v="4"/>
    <s v="Tech"/>
    <n v="228"/>
    <d v="2027-10-10T00:00:00"/>
  </r>
  <r>
    <n v="5232"/>
    <x v="0"/>
    <s v="Tech"/>
    <n v="154.03573629081947"/>
    <d v="2027-10-11T00:00:00"/>
  </r>
  <r>
    <n v="5233"/>
    <x v="0"/>
    <s v="Tech"/>
    <n v="154.03573629081947"/>
    <d v="2027-10-12T00:00:00"/>
  </r>
  <r>
    <n v="5234"/>
    <x v="0"/>
    <s v="Tech"/>
    <n v="46.210720887245841"/>
    <d v="2027-10-13T00:00:00"/>
  </r>
  <r>
    <n v="5235"/>
    <x v="0"/>
    <s v="Apps"/>
    <n v="6.0073937153419594"/>
    <d v="2027-10-14T00:00:00"/>
  </r>
  <r>
    <n v="5236"/>
    <x v="0"/>
    <s v="Apps"/>
    <n v="105.51447935921134"/>
    <d v="2027-10-15T00:00:00"/>
  </r>
  <r>
    <n v="5237"/>
    <x v="4"/>
    <s v="Tech"/>
    <n v="114"/>
    <d v="2027-10-16T00:00:00"/>
  </r>
  <r>
    <n v="5238"/>
    <x v="4"/>
    <s v="Tech"/>
    <n v="760"/>
    <d v="2027-10-17T00:00:00"/>
  </r>
  <r>
    <n v="5239"/>
    <x v="1"/>
    <s v="Tech"/>
    <n v="59.523809523809526"/>
    <d v="2027-10-18T00:00:00"/>
  </r>
  <r>
    <n v="5240"/>
    <x v="1"/>
    <s v="Tech"/>
    <n v="2204.5855379188711"/>
    <d v="2027-10-19T00:00:00"/>
  </r>
  <r>
    <n v="5241"/>
    <x v="3"/>
    <s v="Tech"/>
    <n v="48.797648987516837"/>
    <d v="2027-10-20T00:00:00"/>
  </r>
  <r>
    <n v="5242"/>
    <x v="3"/>
    <s v="Tech"/>
    <n v="146.5375914715122"/>
    <d v="2027-10-21T00:00:00"/>
  </r>
  <r>
    <n v="5243"/>
    <x v="1"/>
    <s v="Tech"/>
    <n v="5.5114638447971777E-6"/>
    <d v="2027-10-22T00:00:00"/>
  </r>
  <r>
    <n v="5244"/>
    <x v="0"/>
    <s v="Tech"/>
    <n v="184.84288354898337"/>
    <d v="2027-10-23T00:00:00"/>
  </r>
  <r>
    <n v="5245"/>
    <x v="0"/>
    <s v="Tech"/>
    <n v="104.74430067775724"/>
    <d v="2027-10-24T00:00:00"/>
  </r>
  <r>
    <n v="5246"/>
    <x v="0"/>
    <s v="Tech"/>
    <n v="1078.2501540357364"/>
    <d v="2027-10-25T00:00:00"/>
  </r>
  <r>
    <n v="5247"/>
    <x v="0"/>
    <s v="Tech"/>
    <n v="169.43930991990143"/>
    <d v="2027-10-26T00:00:00"/>
  </r>
  <r>
    <n v="5248"/>
    <x v="1"/>
    <s v="OFM"/>
    <n v="100"/>
    <d v="2027-10-27T00:00:00"/>
  </r>
  <r>
    <n v="5249"/>
    <x v="4"/>
    <s v="Apps"/>
    <n v="70"/>
    <d v="2027-10-28T00:00:00"/>
  </r>
  <r>
    <n v="5250"/>
    <x v="2"/>
    <s v="Apps"/>
    <n v="105.89854918987609"/>
    <d v="2027-10-29T00:00:00"/>
  </r>
  <r>
    <n v="5251"/>
    <x v="0"/>
    <s v="OFM"/>
    <n v="38.54406228720466"/>
    <d v="2027-10-30T00:00:00"/>
  </r>
  <r>
    <n v="5252"/>
    <x v="4"/>
    <s v="Apps"/>
    <n v="3.4455827628979652"/>
    <d v="2027-10-31T00:00:00"/>
  </r>
  <r>
    <n v="5253"/>
    <x v="2"/>
    <s v="Apps"/>
    <n v="264.74637297469025"/>
    <d v="2027-11-01T00:00:00"/>
  </r>
  <r>
    <n v="5254"/>
    <x v="0"/>
    <s v="Tech"/>
    <n v="246.45717806531115"/>
    <d v="2027-11-02T00:00:00"/>
  </r>
  <r>
    <n v="5255"/>
    <x v="3"/>
    <s v="OFM"/>
    <n v="64.110196268786581"/>
    <d v="2027-11-03T00:00:00"/>
  </r>
  <r>
    <n v="5256"/>
    <x v="4"/>
    <s v="Tech"/>
    <n v="150"/>
    <d v="2027-11-04T00:00:00"/>
  </r>
  <r>
    <n v="5257"/>
    <x v="0"/>
    <s v="Apps"/>
    <n v="107.82501540357363"/>
    <d v="2027-11-05T00:00:00"/>
  </r>
  <r>
    <n v="5258"/>
    <x v="0"/>
    <s v="Apps"/>
    <n v="107.82501540357363"/>
    <d v="2027-11-06T00:00:00"/>
  </r>
  <r>
    <n v="5259"/>
    <x v="0"/>
    <s v="Apps"/>
    <n v="107.82501540357363"/>
    <d v="2027-11-07T00:00:00"/>
  </r>
  <r>
    <n v="5260"/>
    <x v="2"/>
    <s v="Apps"/>
    <n v="847.18839351900874"/>
    <d v="2027-11-08T00:00:00"/>
  </r>
  <r>
    <n v="5261"/>
    <x v="0"/>
    <s v="OFM"/>
    <n v="23.105360443622921"/>
    <d v="2027-11-09T00:00:00"/>
  </r>
  <r>
    <n v="5262"/>
    <x v="0"/>
    <s v="Tech"/>
    <n v="30.807147258163894"/>
    <d v="2027-11-10T00:00:00"/>
  </r>
  <r>
    <n v="5263"/>
    <x v="0"/>
    <s v="Tech"/>
    <n v="299.90757855822551"/>
    <d v="2027-11-11T00:00:00"/>
  </r>
  <r>
    <n v="5264"/>
    <x v="1"/>
    <s v="Tech"/>
    <n v="47.420767195767198"/>
    <d v="2027-11-12T00:00:00"/>
  </r>
  <r>
    <n v="5265"/>
    <x v="1"/>
    <s v="Tech"/>
    <n v="154.32098765432099"/>
    <d v="2027-11-13T00:00:00"/>
  </r>
  <r>
    <n v="5266"/>
    <x v="0"/>
    <s v="OFM"/>
    <n v="231.05360443622922"/>
    <d v="2027-11-14T00:00:00"/>
  </r>
  <r>
    <n v="5267"/>
    <x v="0"/>
    <s v="OFM"/>
    <n v="231.05360443622922"/>
    <d v="2027-11-15T00:00:00"/>
  </r>
  <r>
    <n v="5268"/>
    <x v="0"/>
    <s v="Systems"/>
    <n v="344.25249537892796"/>
    <d v="2027-11-16T00:00:00"/>
  </r>
  <r>
    <n v="5269"/>
    <x v="0"/>
    <s v="Apps"/>
    <n v="149.99573012939001"/>
    <d v="2027-11-17T00:00:00"/>
  </r>
  <r>
    <n v="5270"/>
    <x v="4"/>
    <s v="Tech"/>
    <n v="123.2857077226995"/>
    <d v="2027-11-18T00:00:00"/>
  </r>
  <r>
    <n v="5271"/>
    <x v="2"/>
    <s v="Tech"/>
    <n v="52.949274594938046"/>
    <d v="2027-11-19T00:00:00"/>
  </r>
  <r>
    <n v="5272"/>
    <x v="0"/>
    <s v="Apps"/>
    <n v="86.177180282661155"/>
    <d v="2027-11-20T00:00:00"/>
  </r>
  <r>
    <n v="5273"/>
    <x v="2"/>
    <s v="Tech"/>
    <n v="158.84782378481412"/>
    <d v="2027-11-21T00:00:00"/>
  </r>
  <r>
    <n v="5274"/>
    <x v="4"/>
    <s v="Tech"/>
    <n v="120.63744500570311"/>
    <d v="2027-11-22T00:00:00"/>
  </r>
  <r>
    <n v="5275"/>
    <x v="2"/>
    <s v="Apps"/>
    <n v="185.32246108228318"/>
    <d v="2027-11-23T00:00:00"/>
  </r>
  <r>
    <n v="5276"/>
    <x v="3"/>
    <s v="Tech"/>
    <n v="228.96498667423779"/>
    <d v="2027-11-24T00:00:00"/>
  </r>
  <r>
    <n v="5277"/>
    <x v="3"/>
    <s v="Tech"/>
    <n v="45.792997334847563"/>
    <d v="2027-11-25T00:00:00"/>
  </r>
  <r>
    <n v="5278"/>
    <x v="3"/>
    <s v="Tech"/>
    <n v="183.17198933939025"/>
    <d v="2027-11-26T00:00:00"/>
  </r>
  <r>
    <n v="5279"/>
    <x v="3"/>
    <s v="Tech"/>
    <n v="274.75798400908536"/>
    <d v="2027-11-27T00:00:00"/>
  </r>
  <r>
    <n v="5280"/>
    <x v="3"/>
    <s v="Tech"/>
    <n v="137.37899200454268"/>
    <d v="2027-11-28T00:00:00"/>
  </r>
  <r>
    <n v="5281"/>
    <x v="0"/>
    <s v="Apps"/>
    <n v="308.07147258163894"/>
    <d v="2027-11-29T00:00:00"/>
  </r>
  <r>
    <n v="5282"/>
    <x v="1"/>
    <s v="OFM"/>
    <n v="33.06878306878307"/>
    <d v="2027-11-30T00:00:00"/>
  </r>
  <r>
    <n v="5283"/>
    <x v="0"/>
    <s v="Apps"/>
    <n v="231.05360443622922"/>
    <d v="2027-12-01T00:00:00"/>
  </r>
  <r>
    <n v="5284"/>
    <x v="1"/>
    <s v="OFM"/>
    <n v="33.06878306878307"/>
    <d v="2027-12-02T00:00:00"/>
  </r>
  <r>
    <n v="5285"/>
    <x v="1"/>
    <s v="Tech"/>
    <n v="110.22927689594357"/>
    <d v="2027-12-03T00:00:00"/>
  </r>
  <r>
    <n v="5286"/>
    <x v="1"/>
    <s v="Tech"/>
    <n v="110.22927689594357"/>
    <d v="2027-12-04T00:00:00"/>
  </r>
  <r>
    <n v="5287"/>
    <x v="1"/>
    <s v="Apps"/>
    <n v="66.137566137566139"/>
    <d v="2027-12-05T00:00:00"/>
  </r>
  <r>
    <n v="5288"/>
    <x v="0"/>
    <s v="Tech"/>
    <n v="53.252085487762834"/>
    <d v="2027-12-06T00:00:00"/>
  </r>
  <r>
    <n v="5289"/>
    <x v="2"/>
    <s v="Apps"/>
    <n v="52.949274594938046"/>
    <d v="2027-12-07T00:00:00"/>
  </r>
  <r>
    <n v="5290"/>
    <x v="0"/>
    <s v="Tech"/>
    <n v="231.05360443622922"/>
    <d v="2027-12-08T00:00:00"/>
  </r>
  <r>
    <n v="5291"/>
    <x v="1"/>
    <s v="OFM"/>
    <n v="66.137566137566139"/>
    <d v="2027-12-09T00:00:00"/>
  </r>
  <r>
    <n v="5292"/>
    <x v="0"/>
    <s v="Apps"/>
    <n v="154.03573629081947"/>
    <d v="2027-12-10T00:00:00"/>
  </r>
  <r>
    <n v="5293"/>
    <x v="1"/>
    <s v="OFM"/>
    <n v="66.137566137566139"/>
    <d v="2027-12-11T00:00:00"/>
  </r>
  <r>
    <n v="5294"/>
    <x v="1"/>
    <s v="OFM"/>
    <n v="99.206349206349202"/>
    <d v="2027-12-12T00:00:00"/>
  </r>
  <r>
    <n v="5295"/>
    <x v="0"/>
    <s v="Apps"/>
    <n v="308.07147258163894"/>
    <d v="2027-12-13T00:00:00"/>
  </r>
  <r>
    <n v="5296"/>
    <x v="0"/>
    <s v="Apps"/>
    <n v="308.07147258163894"/>
    <d v="2027-12-14T00:00:00"/>
  </r>
  <r>
    <n v="5297"/>
    <x v="1"/>
    <s v="Tech"/>
    <n v="33.06878306878307"/>
    <d v="2027-12-15T00:00:00"/>
  </r>
  <r>
    <n v="5298"/>
    <x v="1"/>
    <s v="Tech"/>
    <n v="220.45855379188714"/>
    <d v="2027-12-16T00:00:00"/>
  </r>
  <r>
    <n v="5299"/>
    <x v="0"/>
    <s v="Apps"/>
    <n v="128.48020762401552"/>
    <d v="2027-12-17T00:00:00"/>
  </r>
  <r>
    <n v="5300"/>
    <x v="0"/>
    <s v="Apps"/>
    <n v="642.4010381200776"/>
    <d v="2027-12-18T00:00:00"/>
  </r>
  <r>
    <n v="5301"/>
    <x v="0"/>
    <s v="Apps"/>
    <n v="569.93222427603212"/>
    <d v="2027-12-19T00:00:00"/>
  </r>
  <r>
    <n v="5302"/>
    <x v="1"/>
    <s v="Apps"/>
    <n v="44.091710758377424"/>
    <d v="2027-12-20T00:00:00"/>
  </r>
  <r>
    <n v="5303"/>
    <x v="2"/>
    <s v="Tech"/>
    <n v="52.949274594938046"/>
    <d v="2027-12-21T00:00:00"/>
  </r>
  <r>
    <n v="5304"/>
    <x v="2"/>
    <s v="Apps"/>
    <n v="238.27173567722122"/>
    <d v="2027-12-22T00:00:00"/>
  </r>
  <r>
    <n v="5305"/>
    <x v="4"/>
    <s v="Tech"/>
    <n v="155.72931501814674"/>
    <d v="2027-12-23T00:00:00"/>
  </r>
  <r>
    <n v="5306"/>
    <x v="2"/>
    <s v="Apps"/>
    <n v="847.18839351900874"/>
    <d v="2027-12-24T00:00:00"/>
  </r>
  <r>
    <n v="5307"/>
    <x v="0"/>
    <s v="Systems"/>
    <n v="5.8600482592209584"/>
    <d v="2027-12-25T00:00:00"/>
  </r>
  <r>
    <n v="5308"/>
    <x v="4"/>
    <s v="OFM"/>
    <n v="172.5"/>
    <d v="2027-12-26T00:00:00"/>
  </r>
  <r>
    <n v="5309"/>
    <x v="4"/>
    <s v="OFM"/>
    <n v="14.95"/>
    <d v="2027-12-27T00:00:00"/>
  </r>
  <r>
    <n v="5310"/>
    <x v="4"/>
    <s v="Apps"/>
    <n v="18.634796940322506"/>
    <d v="2027-12-28T00:00:00"/>
  </r>
  <r>
    <n v="5311"/>
    <x v="0"/>
    <s v="Apps"/>
    <n v="86.177180282661155"/>
    <d v="2027-12-29T00:00:00"/>
  </r>
  <r>
    <n v="5312"/>
    <x v="1"/>
    <s v="Apps"/>
    <n v="44.091710758377424"/>
    <d v="2027-12-30T00:00:00"/>
  </r>
  <r>
    <n v="5313"/>
    <x v="0"/>
    <s v="Systems"/>
    <n v="34.470872113064452"/>
    <d v="2027-12-31T00:00:00"/>
  </r>
  <r>
    <n v="5314"/>
    <x v="1"/>
    <s v="Tech"/>
    <n v="195.76719576719577"/>
    <d v="2028-01-01T00:00:00"/>
  </r>
  <r>
    <n v="5315"/>
    <x v="3"/>
    <s v="OFM"/>
    <n v="45.792997334847563"/>
    <d v="2028-01-02T00:00:00"/>
  </r>
  <r>
    <n v="5316"/>
    <x v="3"/>
    <s v="Tech"/>
    <n v="45.792997334847563"/>
    <d v="2028-01-03T00:00:00"/>
  </r>
  <r>
    <n v="5317"/>
    <x v="3"/>
    <s v="Tech"/>
    <n v="178.59268960590546"/>
    <d v="2028-01-04T00:00:00"/>
  </r>
  <r>
    <n v="5318"/>
    <x v="4"/>
    <s v="Tech"/>
    <n v="18.92543758901089"/>
    <d v="2028-01-05T00:00:00"/>
  </r>
  <r>
    <n v="5319"/>
    <x v="2"/>
    <s v="Apps"/>
    <n v="308.16477814253943"/>
    <d v="2028-01-06T00:00:00"/>
  </r>
  <r>
    <n v="5320"/>
    <x v="0"/>
    <s v="Apps"/>
    <n v="123.22858903265558"/>
    <d v="2028-01-07T00:00:00"/>
  </r>
  <r>
    <n v="5321"/>
    <x v="0"/>
    <s v="Apps"/>
    <n v="1232.2858903265558"/>
    <d v="2028-01-08T00:00:00"/>
  </r>
  <r>
    <n v="5322"/>
    <x v="0"/>
    <s v="Apps"/>
    <n v="462.10720887245844"/>
    <d v="2028-01-09T00:00:00"/>
  </r>
  <r>
    <n v="5323"/>
    <x v="0"/>
    <s v="Apps"/>
    <n v="308.07147258163894"/>
    <d v="2028-01-10T00:00:00"/>
  </r>
  <r>
    <n v="5324"/>
    <x v="0"/>
    <s v="Apps"/>
    <n v="231.05360443622922"/>
    <d v="2028-01-11T00:00:00"/>
  </r>
  <r>
    <n v="5325"/>
    <x v="1"/>
    <s v="OFM"/>
    <n v="22.045855379188712"/>
    <d v="2028-01-12T00:00:00"/>
  </r>
  <r>
    <n v="5326"/>
    <x v="1"/>
    <s v="OFM"/>
    <n v="55.114638447971785"/>
    <d v="2028-01-13T00:00:00"/>
  </r>
  <r>
    <n v="5327"/>
    <x v="0"/>
    <s v="Tech"/>
    <n v="206.82523267838675"/>
    <d v="2028-01-14T00:00:00"/>
  </r>
  <r>
    <n v="5328"/>
    <x v="3"/>
    <s v="Tech"/>
    <n v="73.2687957357561"/>
    <d v="2028-01-15T00:00:00"/>
  </r>
  <r>
    <n v="5329"/>
    <x v="0"/>
    <s v="Tech"/>
    <n v="18.484288354898336"/>
    <d v="2028-01-16T00:00:00"/>
  </r>
  <r>
    <n v="5330"/>
    <x v="0"/>
    <s v="Tech"/>
    <n v="308.07147258163894"/>
    <d v="2028-01-17T00:00:00"/>
  </r>
  <r>
    <n v="5331"/>
    <x v="0"/>
    <s v="Tech"/>
    <n v="47.751078250154038"/>
    <d v="2028-01-18T00:00:00"/>
  </r>
  <r>
    <n v="5332"/>
    <x v="1"/>
    <s v="Tech"/>
    <n v="220.45855379188714"/>
    <d v="2028-01-19T00:00:00"/>
  </r>
  <r>
    <n v="5333"/>
    <x v="1"/>
    <s v="OFM"/>
    <n v="275.57319223985888"/>
    <d v="2028-01-20T00:00:00"/>
  </r>
  <r>
    <n v="5334"/>
    <x v="2"/>
    <s v="Systems"/>
    <n v="607.73032979499237"/>
    <d v="2028-01-21T00:00:00"/>
  </r>
  <r>
    <n v="5335"/>
    <x v="0"/>
    <s v="Tech"/>
    <n v="46.210720887245841"/>
    <d v="2028-01-22T00:00:00"/>
  </r>
  <r>
    <n v="5336"/>
    <x v="4"/>
    <s v="Tech"/>
    <n v="8.1541127306085013"/>
    <d v="2028-01-23T00:00:00"/>
  </r>
  <r>
    <n v="5337"/>
    <x v="0"/>
    <s v="OFM"/>
    <n v="4.621072088724584"/>
    <d v="2028-01-24T00:00:00"/>
  </r>
  <r>
    <n v="5338"/>
    <x v="0"/>
    <s v="OFM"/>
    <n v="46.210720887245841"/>
    <d v="2028-01-25T00:00:00"/>
  </r>
  <r>
    <n v="5339"/>
    <x v="0"/>
    <s v="Tech"/>
    <n v="30.807147258163894"/>
    <d v="2028-01-26T00:00:00"/>
  </r>
  <r>
    <n v="5340"/>
    <x v="3"/>
    <s v="OFM"/>
    <n v="91.585994669695125"/>
    <d v="2028-01-27T00:00:00"/>
  </r>
  <r>
    <n v="5341"/>
    <x v="1"/>
    <s v="Tech"/>
    <n v="661.37566137566137"/>
    <d v="2028-01-28T00:00:00"/>
  </r>
  <r>
    <n v="5342"/>
    <x v="0"/>
    <s v="Apps"/>
    <n v="92.421441774491683"/>
    <d v="2028-01-29T00:00:00"/>
  </r>
  <r>
    <n v="5343"/>
    <x v="0"/>
    <s v="Apps"/>
    <n v="154.03573629081947"/>
    <d v="2028-01-30T00:00:00"/>
  </r>
  <r>
    <n v="5344"/>
    <x v="0"/>
    <s v="Apps"/>
    <n v="46.210720887245841"/>
    <d v="2028-01-31T00:00:00"/>
  </r>
  <r>
    <n v="5345"/>
    <x v="0"/>
    <s v="Apps"/>
    <n v="308.07147258163894"/>
    <d v="2028-02-01T00:00:00"/>
  </r>
  <r>
    <n v="5346"/>
    <x v="0"/>
    <s v="OFM"/>
    <n v="30.807147258163894"/>
    <d v="2028-02-02T00:00:00"/>
  </r>
  <r>
    <n v="5347"/>
    <x v="0"/>
    <s v="Tech"/>
    <n v="7.7017868145409736"/>
    <d v="2028-02-03T00:00:00"/>
  </r>
  <r>
    <n v="5348"/>
    <x v="0"/>
    <s v="OFM"/>
    <n v="7.7017868145409736"/>
    <d v="2028-02-04T00:00:00"/>
  </r>
  <r>
    <n v="5349"/>
    <x v="0"/>
    <s v="Apps"/>
    <n v="12.848020762401553"/>
    <d v="2028-02-05T00:00:00"/>
  </r>
  <r>
    <n v="5350"/>
    <x v="1"/>
    <s v="Tech"/>
    <n v="46.296296296296298"/>
    <d v="2028-02-06T00:00:00"/>
  </r>
  <r>
    <n v="5351"/>
    <x v="1"/>
    <s v="Apps"/>
    <n v="55.114638447971785"/>
    <d v="2028-02-07T00:00:00"/>
  </r>
  <r>
    <n v="5352"/>
    <x v="1"/>
    <s v="OFM"/>
    <n v="4.409171075837742"/>
    <d v="2028-02-08T00:00:00"/>
  </r>
  <r>
    <n v="5353"/>
    <x v="1"/>
    <s v="Apps"/>
    <n v="55.114638447971785"/>
    <d v="2028-02-09T00:00:00"/>
  </r>
  <r>
    <n v="5354"/>
    <x v="1"/>
    <s v="Apps"/>
    <n v="61.728395061728399"/>
    <d v="2028-02-10T00:00:00"/>
  </r>
  <r>
    <n v="5355"/>
    <x v="1"/>
    <s v="Apps"/>
    <n v="61.728395061728399"/>
    <d v="2028-02-11T00:00:00"/>
  </r>
  <r>
    <n v="5356"/>
    <x v="1"/>
    <s v="OFM"/>
    <n v="87.780291005291005"/>
    <d v="2028-02-12T00:00:00"/>
  </r>
  <r>
    <n v="5357"/>
    <x v="4"/>
    <s v="Tech"/>
    <n v="308.75"/>
    <d v="2028-02-13T00:00:00"/>
  </r>
  <r>
    <n v="5358"/>
    <x v="1"/>
    <s v="Apps"/>
    <n v="110.22927689594357"/>
    <d v="2028-02-14T00:00:00"/>
  </r>
  <r>
    <n v="5359"/>
    <x v="0"/>
    <s v="Apps"/>
    <n v="46.210720887245841"/>
    <d v="2028-02-15T00:00:00"/>
  </r>
  <r>
    <n v="5360"/>
    <x v="0"/>
    <s v="Apps"/>
    <n v="616.14294516327789"/>
    <d v="2028-02-16T00:00:00"/>
  </r>
  <r>
    <n v="5361"/>
    <x v="0"/>
    <s v="Apps"/>
    <n v="385.08934072704869"/>
    <d v="2028-02-17T00:00:00"/>
  </r>
  <r>
    <n v="5362"/>
    <x v="0"/>
    <s v="Tech"/>
    <n v="6.1614294516327792"/>
    <d v="2028-02-18T00:00:00"/>
  </r>
  <r>
    <n v="5363"/>
    <x v="0"/>
    <s v="Apps"/>
    <n v="308.07147258163894"/>
    <d v="2028-02-19T00:00:00"/>
  </r>
  <r>
    <n v="5364"/>
    <x v="0"/>
    <s v="Apps"/>
    <n v="308.07147258163894"/>
    <d v="2028-02-20T00:00:00"/>
  </r>
  <r>
    <n v="5365"/>
    <x v="4"/>
    <s v="Tech"/>
    <n v="13.327684536418447"/>
    <d v="2028-02-21T00:00:00"/>
  </r>
  <r>
    <n v="5366"/>
    <x v="2"/>
    <s v="Apps"/>
    <n v="84.718839351900883"/>
    <d v="2028-02-22T00:00:00"/>
  </r>
  <r>
    <n v="5367"/>
    <x v="2"/>
    <s v="OFM"/>
    <n v="105.89854918987609"/>
    <d v="2028-02-23T00:00:00"/>
  </r>
  <r>
    <n v="5368"/>
    <x v="2"/>
    <s v="Apps"/>
    <n v="423.59419675950437"/>
    <d v="2028-02-24T00:00:00"/>
  </r>
  <r>
    <n v="5369"/>
    <x v="0"/>
    <s v="Tech"/>
    <n v="34.470872113064452"/>
    <d v="2028-02-25T00:00:00"/>
  </r>
  <r>
    <n v="5370"/>
    <x v="0"/>
    <s v="Apps"/>
    <n v="123.22858903265558"/>
    <d v="2028-02-26T00:00:00"/>
  </r>
  <r>
    <n v="5371"/>
    <x v="0"/>
    <s v="Tech"/>
    <n v="3.0807147258163896"/>
    <d v="2028-02-27T00:00:00"/>
  </r>
  <r>
    <n v="5372"/>
    <x v="0"/>
    <s v="Tech"/>
    <n v="34.470872113064452"/>
    <d v="2028-02-28T00:00:00"/>
  </r>
  <r>
    <n v="5373"/>
    <x v="0"/>
    <s v="Tech"/>
    <n v="27.576697690451567"/>
    <d v="2028-02-29T00:00:00"/>
  </r>
  <r>
    <n v="5374"/>
    <x v="4"/>
    <s v="Apps"/>
    <n v="12"/>
    <d v="2028-03-01T00:00:00"/>
  </r>
  <r>
    <n v="5375"/>
    <x v="1"/>
    <s v="Tech"/>
    <n v="11.022927689594356"/>
    <d v="2028-03-02T00:00:00"/>
  </r>
  <r>
    <n v="5376"/>
    <x v="4"/>
    <s v="OFM"/>
    <n v="168"/>
    <d v="2028-03-03T00:00:00"/>
  </r>
  <r>
    <n v="5377"/>
    <x v="2"/>
    <s v="Apps"/>
    <n v="26.474637297469023"/>
    <d v="2028-03-04T00:00:00"/>
  </r>
  <r>
    <n v="5378"/>
    <x v="3"/>
    <s v="Tech"/>
    <n v="91.585994669695125"/>
    <d v="2028-03-05T00:00:00"/>
  </r>
  <r>
    <n v="5379"/>
    <x v="3"/>
    <s v="OFM"/>
    <n v="6.4110196268786588"/>
    <d v="2028-03-06T00:00:00"/>
  </r>
  <r>
    <n v="5380"/>
    <x v="1"/>
    <s v="OFM"/>
    <n v="15.4320987654321"/>
    <d v="2028-03-07T00:00:00"/>
  </r>
  <r>
    <n v="5381"/>
    <x v="2"/>
    <s v="Apps"/>
    <n v="105.89854918987609"/>
    <d v="2028-03-08T00:00:00"/>
  </r>
  <r>
    <n v="5382"/>
    <x v="2"/>
    <s v="Apps"/>
    <n v="74.128984432913256"/>
    <d v="2028-03-09T00:00:00"/>
  </r>
  <r>
    <n v="5383"/>
    <x v="2"/>
    <s v="Apps"/>
    <n v="111.1934766493699"/>
    <d v="2028-03-10T00:00:00"/>
  </r>
  <r>
    <n v="5384"/>
    <x v="2"/>
    <s v="Apps"/>
    <n v="42.359419675950441"/>
    <d v="2028-03-11T00:00:00"/>
  </r>
  <r>
    <n v="5385"/>
    <x v="0"/>
    <s v="Tech"/>
    <n v="15.403573629081947"/>
    <d v="2028-03-12T00:00:00"/>
  </r>
  <r>
    <n v="5386"/>
    <x v="0"/>
    <s v="Tech"/>
    <n v="462.10720887245844"/>
    <d v="2028-03-13T00:00:00"/>
  </r>
  <r>
    <n v="5387"/>
    <x v="0"/>
    <s v="Tech"/>
    <n v="308.07147258163894"/>
    <d v="2028-03-14T00:00:00"/>
  </r>
  <r>
    <n v="5388"/>
    <x v="1"/>
    <s v="Tech"/>
    <n v="34.310405643738981"/>
    <d v="2028-03-15T00:00:00"/>
  </r>
  <r>
    <n v="5389"/>
    <x v="1"/>
    <s v="Tech"/>
    <n v="119.04761904761905"/>
    <d v="2028-03-16T00:00:00"/>
  </r>
  <r>
    <n v="5390"/>
    <x v="0"/>
    <s v="Tech"/>
    <n v="154.03573629081947"/>
    <d v="2028-03-17T00:00:00"/>
  </r>
  <r>
    <n v="5391"/>
    <x v="2"/>
    <s v="Tech"/>
    <n v="423.59419675950437"/>
    <d v="2028-03-18T00:00:00"/>
  </r>
  <r>
    <n v="5392"/>
    <x v="1"/>
    <s v="Apps"/>
    <n v="6.6137566137566139"/>
    <d v="2028-03-19T00:00:00"/>
  </r>
  <r>
    <n v="5393"/>
    <x v="2"/>
    <s v="Tech"/>
    <n v="190.61738854177699"/>
    <d v="2028-03-20T00:00:00"/>
  </r>
  <r>
    <n v="5394"/>
    <x v="1"/>
    <s v="Tech"/>
    <n v="33.06878306878307"/>
    <d v="2028-03-21T00:00:00"/>
  </r>
  <r>
    <n v="5395"/>
    <x v="0"/>
    <s v="Tech"/>
    <n v="862.60012322858904"/>
    <d v="2028-03-22T00:00:00"/>
  </r>
  <r>
    <n v="5396"/>
    <x v="2"/>
    <s v="Tech"/>
    <n v="105.89854918987609"/>
    <d v="2028-03-23T00:00:00"/>
  </r>
  <r>
    <n v="5397"/>
    <x v="2"/>
    <s v="OFM"/>
    <n v="42.359419675950441"/>
    <d v="2028-03-24T00:00:00"/>
  </r>
  <r>
    <n v="5398"/>
    <x v="2"/>
    <s v="Tech"/>
    <n v="264.74637297469025"/>
    <d v="2028-03-25T00:00:00"/>
  </r>
  <r>
    <n v="5399"/>
    <x v="2"/>
    <s v="Apps"/>
    <n v="158.84782378481412"/>
    <d v="2028-03-26T00:00:00"/>
  </r>
  <r>
    <n v="5400"/>
    <x v="1"/>
    <s v="Tech"/>
    <n v="293.80264550264553"/>
    <d v="2028-03-27T00:00:00"/>
  </r>
  <r>
    <n v="5401"/>
    <x v="2"/>
    <s v="OFM"/>
    <n v="250"/>
    <d v="2028-03-28T00:00:00"/>
  </r>
  <r>
    <n v="5402"/>
    <x v="1"/>
    <s v="Tech"/>
    <n v="194.00352733686069"/>
    <d v="2028-03-29T00:00:00"/>
  </r>
  <r>
    <n v="5403"/>
    <x v="1"/>
    <s v="Tech"/>
    <n v="48.967107583774251"/>
    <d v="2028-03-30T00:00:00"/>
  </r>
  <r>
    <n v="5404"/>
    <x v="1"/>
    <s v="Tech"/>
    <n v="5.9744268077601408"/>
    <d v="2028-03-31T00:00:00"/>
  </r>
  <r>
    <n v="5405"/>
    <x v="1"/>
    <s v="OFM"/>
    <n v="231.41333774250441"/>
    <d v="2028-04-01T00:00:00"/>
  </r>
  <r>
    <n v="5406"/>
    <x v="1"/>
    <s v="Apps"/>
    <n v="66.137566137566139"/>
    <d v="2028-04-02T00:00:00"/>
  </r>
  <r>
    <n v="5407"/>
    <x v="1"/>
    <s v="Apps"/>
    <n v="66.137566137566139"/>
    <d v="2028-04-03T00:00:00"/>
  </r>
  <r>
    <n v="5408"/>
    <x v="1"/>
    <s v="Apps"/>
    <n v="66.137566137566139"/>
    <d v="2028-04-04T00:00:00"/>
  </r>
  <r>
    <n v="5409"/>
    <x v="1"/>
    <s v="Apps"/>
    <n v="66.137566137566139"/>
    <d v="2028-04-05T00:00:00"/>
  </r>
  <r>
    <n v="5410"/>
    <x v="1"/>
    <s v="Apps"/>
    <n v="66.137566137566139"/>
    <d v="2028-04-06T00:00:00"/>
  </r>
  <r>
    <n v="5411"/>
    <x v="0"/>
    <s v="Tech"/>
    <n v="46.210720887245841"/>
    <d v="2028-04-07T00:00:00"/>
  </r>
  <r>
    <n v="5412"/>
    <x v="0"/>
    <s v="Tech"/>
    <n v="17.046496987139133"/>
    <d v="2028-04-08T00:00:00"/>
  </r>
  <r>
    <n v="5413"/>
    <x v="1"/>
    <s v="Tech"/>
    <n v="110.22927689594357"/>
    <d v="2028-04-09T00:00:00"/>
  </r>
  <r>
    <n v="5414"/>
    <x v="3"/>
    <s v="Tech"/>
    <n v="183.17198933939025"/>
    <d v="2028-04-10T00:00:00"/>
  </r>
  <r>
    <n v="5415"/>
    <x v="0"/>
    <s v="Apps"/>
    <n v="44.968072668405433"/>
    <d v="2028-04-11T00:00:00"/>
  </r>
  <r>
    <n v="5416"/>
    <x v="4"/>
    <s v="Tech"/>
    <n v="11.544516929296641"/>
    <d v="2028-04-12T00:00:00"/>
  </r>
  <r>
    <n v="5417"/>
    <x v="0"/>
    <s v="Apps"/>
    <n v="80"/>
    <d v="2028-04-13T00:00:00"/>
  </r>
  <r>
    <n v="5418"/>
    <x v="1"/>
    <s v="Apps"/>
    <n v="66.137566137566139"/>
    <d v="2028-04-14T00:00:00"/>
  </r>
  <r>
    <n v="5419"/>
    <x v="1"/>
    <s v="OFM"/>
    <n v="70.546737213403873"/>
    <d v="2028-04-15T00:00:00"/>
  </r>
  <r>
    <n v="5420"/>
    <x v="0"/>
    <s v="Apps"/>
    <n v="75"/>
    <d v="2028-04-16T00:00:00"/>
  </r>
  <r>
    <n v="5421"/>
    <x v="0"/>
    <s v="Apps"/>
    <n v="15.403573629081947"/>
    <d v="2028-04-17T00:00:00"/>
  </r>
  <r>
    <n v="5422"/>
    <x v="3"/>
    <s v="Tech"/>
    <n v="109.90319360363415"/>
    <d v="2028-04-18T00:00:00"/>
  </r>
  <r>
    <n v="5423"/>
    <x v="1"/>
    <s v="Apps"/>
    <n v="66.137566137566139"/>
    <d v="2028-04-19T00:00:00"/>
  </r>
  <r>
    <n v="5424"/>
    <x v="1"/>
    <s v="Apps"/>
    <n v="66.137566137566139"/>
    <d v="2028-04-20T00:00:00"/>
  </r>
  <r>
    <n v="5425"/>
    <x v="1"/>
    <s v="Apps"/>
    <n v="66.137566137566139"/>
    <d v="2028-04-21T00:00:00"/>
  </r>
  <r>
    <n v="5426"/>
    <x v="1"/>
    <s v="Apps"/>
    <n v="66.137566137566139"/>
    <d v="2028-04-22T00:00:00"/>
  </r>
  <r>
    <n v="5427"/>
    <x v="1"/>
    <s v="Apps"/>
    <n v="44.091710758377424"/>
    <d v="2028-04-23T00:00:00"/>
  </r>
  <r>
    <n v="5428"/>
    <x v="0"/>
    <s v="Tech"/>
    <n v="123.22858903265558"/>
    <d v="2028-04-24T00:00:00"/>
  </r>
  <r>
    <n v="5429"/>
    <x v="2"/>
    <s v="Apps"/>
    <n v="40.515355319666149"/>
    <d v="2028-04-25T00:00:00"/>
  </r>
  <r>
    <n v="5430"/>
    <x v="2"/>
    <s v="Tech"/>
    <n v="84.718839351900883"/>
    <d v="2028-04-26T00:00:00"/>
  </r>
  <r>
    <n v="5431"/>
    <x v="0"/>
    <s v="OFM"/>
    <n v="37.917959324370905"/>
    <d v="2028-04-27T00:00:00"/>
  </r>
  <r>
    <n v="5432"/>
    <x v="2"/>
    <s v="OFM"/>
    <n v="423.59419675950437"/>
    <d v="2028-04-28T00:00:00"/>
  </r>
  <r>
    <n v="5433"/>
    <x v="0"/>
    <s v="Apps"/>
    <n v="100"/>
    <d v="2028-04-29T00:00:00"/>
  </r>
  <r>
    <n v="5434"/>
    <x v="1"/>
    <s v="Tech"/>
    <n v="220.45855379188714"/>
    <d v="2028-04-30T00:00:00"/>
  </r>
  <r>
    <n v="5435"/>
    <x v="1"/>
    <s v="Tech"/>
    <n v="48.08267702821869"/>
    <d v="2028-05-01T00:00:00"/>
  </r>
  <r>
    <n v="5436"/>
    <x v="0"/>
    <s v="OFM"/>
    <n v="41.495139607032058"/>
    <d v="2028-05-02T00:00:00"/>
  </r>
  <r>
    <n v="5437"/>
    <x v="0"/>
    <s v="OFM"/>
    <n v="79.532350913478112"/>
    <d v="2028-05-03T00:00:00"/>
  </r>
  <r>
    <n v="5438"/>
    <x v="1"/>
    <s v="OFM"/>
    <n v="72.162257495590836"/>
    <d v="2028-05-04T00:00:00"/>
  </r>
  <r>
    <n v="5439"/>
    <x v="0"/>
    <s v="Apps"/>
    <n v="308.07147258163894"/>
    <d v="2028-05-05T00:00:00"/>
  </r>
  <r>
    <n v="5440"/>
    <x v="0"/>
    <s v="Apps"/>
    <n v="344.70872113064462"/>
    <d v="2028-05-06T00:00:00"/>
  </r>
  <r>
    <n v="5441"/>
    <x v="2"/>
    <s v="Tech"/>
    <n v="317.69564756962825"/>
    <d v="2028-05-07T00:00:00"/>
  </r>
  <r>
    <n v="5442"/>
    <x v="0"/>
    <s v="Tech"/>
    <n v="38.508934072704868"/>
    <d v="2028-05-08T00:00:00"/>
  </r>
  <r>
    <n v="5443"/>
    <x v="0"/>
    <s v="Tech"/>
    <n v="25.696041524803107"/>
    <d v="2028-05-09T00:00:00"/>
  </r>
  <r>
    <n v="5444"/>
    <x v="1"/>
    <s v="OFM"/>
    <n v="661.37566137566137"/>
    <d v="2028-05-10T00:00:00"/>
  </r>
  <r>
    <n v="5445"/>
    <x v="1"/>
    <s v="Tech"/>
    <n v="110.22927689594357"/>
    <d v="2028-05-11T00:00:00"/>
  </r>
  <r>
    <n v="5446"/>
    <x v="0"/>
    <s v="OFM"/>
    <n v="36.968576709796672"/>
    <d v="2028-05-12T00:00:00"/>
  </r>
  <r>
    <n v="5447"/>
    <x v="2"/>
    <s v="Tech"/>
    <n v="241.44869215291749"/>
    <d v="2028-05-13T00:00:00"/>
  </r>
  <r>
    <n v="5448"/>
    <x v="1"/>
    <s v="OFM"/>
    <n v="220.45855379188714"/>
    <d v="2028-05-14T00:00:00"/>
  </r>
  <r>
    <n v="5449"/>
    <x v="1"/>
    <s v="Apps"/>
    <n v="33.06878306878307"/>
    <d v="2028-05-15T00:00:00"/>
  </r>
  <r>
    <n v="5450"/>
    <x v="1"/>
    <s v="Tech"/>
    <n v="33.014219576719576"/>
    <d v="2028-05-16T00:00:00"/>
  </r>
  <r>
    <n v="5451"/>
    <x v="0"/>
    <s v="Tech"/>
    <n v="320.60428219346886"/>
    <d v="2028-05-17T00:00:00"/>
  </r>
  <r>
    <n v="5452"/>
    <x v="1"/>
    <s v="OFM"/>
    <n v="44.091710758377424"/>
    <d v="2028-05-18T00:00:00"/>
  </r>
  <r>
    <n v="5453"/>
    <x v="2"/>
    <s v="Apps"/>
    <n v="52.949274594938046"/>
    <d v="2028-05-19T00:00:00"/>
  </r>
  <r>
    <n v="5454"/>
    <x v="0"/>
    <s v="Tech"/>
    <n v="256.96041524803104"/>
    <d v="2028-05-20T00:00:00"/>
  </r>
  <r>
    <n v="5455"/>
    <x v="1"/>
    <s v="Apps"/>
    <n v="1102.2927689594355"/>
    <d v="2028-05-21T00:00:00"/>
  </r>
  <r>
    <n v="5456"/>
    <x v="0"/>
    <s v="Systems"/>
    <n v="256.96041524803104"/>
    <d v="2028-05-22T00:00:00"/>
  </r>
  <r>
    <n v="5457"/>
    <x v="1"/>
    <s v="Tech"/>
    <n v="61.728395061728399"/>
    <d v="2028-05-23T00:00:00"/>
  </r>
  <r>
    <n v="5458"/>
    <x v="4"/>
    <s v="Apps"/>
    <n v="6.2115989801075022"/>
    <d v="2028-05-24T00:00:00"/>
  </r>
  <r>
    <n v="5459"/>
    <x v="1"/>
    <s v="Apps"/>
    <n v="110.22927689594357"/>
    <d v="2028-05-25T00:00:00"/>
  </r>
  <r>
    <n v="5460"/>
    <x v="4"/>
    <s v="Tech"/>
    <n v="2.2749999999999999"/>
    <d v="2028-05-26T00:00:00"/>
  </r>
  <r>
    <n v="5461"/>
    <x v="1"/>
    <s v="Apps"/>
    <n v="66.137566137566139"/>
    <d v="2028-05-27T00:00:00"/>
  </r>
  <r>
    <n v="5462"/>
    <x v="4"/>
    <s v="Apps"/>
    <n v="100"/>
    <d v="2028-05-28T00:00:00"/>
  </r>
  <r>
    <n v="5463"/>
    <x v="0"/>
    <s v="Apps"/>
    <n v="61.614294516327789"/>
    <d v="2028-05-29T00:00:00"/>
  </r>
  <r>
    <n v="5464"/>
    <x v="4"/>
    <s v="Tech"/>
    <n v="42"/>
    <d v="2028-05-30T00:00:00"/>
  </r>
  <r>
    <n v="5465"/>
    <x v="4"/>
    <s v="Tech"/>
    <n v="42"/>
    <d v="2028-05-31T00:00:00"/>
  </r>
  <r>
    <n v="5466"/>
    <x v="2"/>
    <s v="Tech"/>
    <n v="317.69564756962825"/>
    <d v="2028-06-01T00:00:00"/>
  </r>
  <r>
    <n v="5467"/>
    <x v="4"/>
    <s v="Apps"/>
    <n v="2.2970551752653101"/>
    <d v="2028-06-02T00:00:00"/>
  </r>
  <r>
    <n v="5468"/>
    <x v="2"/>
    <s v="OFM"/>
    <n v="200"/>
    <d v="2028-06-03T00:00:00"/>
  </r>
  <r>
    <n v="5469"/>
    <x v="4"/>
    <s v="Apps"/>
    <n v="22.970551752653101"/>
    <d v="2028-06-04T00:00:00"/>
  </r>
  <r>
    <n v="5470"/>
    <x v="4"/>
    <s v="Apps"/>
    <n v="22.970551752653101"/>
    <d v="2028-06-05T00:00:00"/>
  </r>
  <r>
    <n v="5471"/>
    <x v="1"/>
    <s v="Apps"/>
    <n v="66.137566137566139"/>
    <d v="2028-06-06T00:00:00"/>
  </r>
  <r>
    <n v="5472"/>
    <x v="1"/>
    <s v="Tech"/>
    <n v="3.306878306878307"/>
    <d v="2028-06-07T00:00:00"/>
  </r>
  <r>
    <n v="5473"/>
    <x v="1"/>
    <s v="Apps"/>
    <n v="66.137566137566139"/>
    <d v="2028-06-08T00:00:00"/>
  </r>
  <r>
    <n v="5474"/>
    <x v="2"/>
    <s v="Apps"/>
    <n v="162.0614212786646"/>
    <d v="2028-06-09T00:00:00"/>
  </r>
  <r>
    <n v="5475"/>
    <x v="2"/>
    <s v="Apps"/>
    <n v="605.73970136609125"/>
    <d v="2028-06-10T00:00:00"/>
  </r>
  <r>
    <n v="5476"/>
    <x v="2"/>
    <s v="Apps"/>
    <n v="52.949274594938046"/>
    <d v="2028-06-11T00:00:00"/>
  </r>
  <r>
    <n v="5477"/>
    <x v="4"/>
    <s v="Tech"/>
    <n v="977.67638911520294"/>
    <d v="2028-06-12T00:00:00"/>
  </r>
  <r>
    <n v="5478"/>
    <x v="1"/>
    <s v="Tech"/>
    <n v="110.22927689594357"/>
    <d v="2028-06-13T00:00:00"/>
  </r>
  <r>
    <n v="5479"/>
    <x v="0"/>
    <s v="Tech"/>
    <n v="46.210720887245841"/>
    <d v="2028-06-14T00:00:00"/>
  </r>
  <r>
    <n v="5480"/>
    <x v="2"/>
    <s v="Tech"/>
    <n v="317.69564756962825"/>
    <d v="2028-06-15T00:00:00"/>
  </r>
  <r>
    <n v="5481"/>
    <x v="2"/>
    <s v="Apps"/>
    <n v="211.79709837975219"/>
    <d v="2028-06-16T00:00:00"/>
  </r>
  <r>
    <n v="5482"/>
    <x v="2"/>
    <s v="Apps"/>
    <n v="211.79709837975219"/>
    <d v="2028-06-17T00:00:00"/>
  </r>
  <r>
    <n v="5483"/>
    <x v="2"/>
    <s v="OFM"/>
    <n v="158.84782378481412"/>
    <d v="2028-06-18T00:00:00"/>
  </r>
  <r>
    <n v="5484"/>
    <x v="2"/>
    <s v="Apps"/>
    <n v="211.79709837975219"/>
    <d v="2028-06-19T00:00:00"/>
  </r>
  <r>
    <n v="5485"/>
    <x v="1"/>
    <s v="Tech"/>
    <n v="50"/>
    <d v="2028-06-20T00:00:00"/>
  </r>
  <r>
    <n v="5486"/>
    <x v="4"/>
    <s v="Apps"/>
    <n v="16.294606485253382"/>
    <d v="2028-06-21T00:00:00"/>
  </r>
  <r>
    <n v="5487"/>
    <x v="4"/>
    <s v="Tech"/>
    <n v="30.875"/>
    <d v="2028-06-22T00:00:00"/>
  </r>
  <r>
    <n v="5488"/>
    <x v="1"/>
    <s v="Tech"/>
    <n v="10.308862433862434"/>
    <d v="2028-06-23T00:00:00"/>
  </r>
  <r>
    <n v="5489"/>
    <x v="2"/>
    <s v="Apps"/>
    <n v="211.79709837975219"/>
    <d v="2028-06-24T00:00:00"/>
  </r>
  <r>
    <n v="5490"/>
    <x v="3"/>
    <s v="Tech"/>
    <n v="54.951596801817075"/>
    <d v="2028-06-25T00:00:00"/>
  </r>
  <r>
    <n v="5491"/>
    <x v="0"/>
    <s v="Tech"/>
    <n v="30.742487119859188"/>
    <d v="2028-06-26T00:00:00"/>
  </r>
  <r>
    <n v="5492"/>
    <x v="1"/>
    <s v="Tech"/>
    <n v="63.668430335097"/>
    <d v="2028-06-27T00:00:00"/>
  </r>
  <r>
    <n v="5493"/>
    <x v="1"/>
    <s v="Tech"/>
    <n v="220.45855379188714"/>
    <d v="2028-06-28T00:00:00"/>
  </r>
  <r>
    <n v="5494"/>
    <x v="4"/>
    <s v="Tech"/>
    <n v="46.606485253381138"/>
    <d v="2028-06-29T00:00:00"/>
  </r>
  <r>
    <n v="5495"/>
    <x v="0"/>
    <s v="Tech"/>
    <n v="62.047569803516026"/>
    <d v="2028-06-30T00:00:00"/>
  </r>
  <r>
    <n v="5496"/>
    <x v="0"/>
    <s v="Apps"/>
    <n v="154.03573629081947"/>
    <d v="2028-07-01T00:00:00"/>
  </r>
  <r>
    <n v="5497"/>
    <x v="0"/>
    <s v="OFM"/>
    <n v="38.54406228720466"/>
    <d v="2028-07-02T00:00:00"/>
  </r>
  <r>
    <n v="5498"/>
    <x v="1"/>
    <s v="Apps"/>
    <n v="88.183421516754848"/>
    <d v="2028-07-03T00:00:00"/>
  </r>
  <r>
    <n v="5499"/>
    <x v="1"/>
    <s v="Apps"/>
    <n v="33.06878306878307"/>
    <d v="2028-07-04T00:00:00"/>
  </r>
  <r>
    <n v="5500"/>
    <x v="1"/>
    <s v="Tech"/>
    <n v="92.592592592592595"/>
    <d v="2028-07-05T00:00:00"/>
  </r>
  <r>
    <n v="5501"/>
    <x v="2"/>
    <s v="Apps"/>
    <n v="423.59419675950437"/>
    <d v="2028-07-06T00:00:00"/>
  </r>
  <r>
    <n v="5502"/>
    <x v="0"/>
    <s v="Tech"/>
    <n v="15.403573629081947"/>
    <d v="2028-07-07T00:00:00"/>
  </r>
  <r>
    <n v="5503"/>
    <x v="0"/>
    <s v="Tech"/>
    <n v="18.484288354898336"/>
    <d v="2028-07-08T00:00:00"/>
  </r>
  <r>
    <n v="5504"/>
    <x v="2"/>
    <s v="Tech"/>
    <n v="31.769564756962826"/>
    <d v="2028-07-09T00:00:00"/>
  </r>
  <r>
    <n v="5505"/>
    <x v="0"/>
    <s v="Apps"/>
    <n v="308.07147258163894"/>
    <d v="2028-07-10T00:00:00"/>
  </r>
  <r>
    <n v="5506"/>
    <x v="3"/>
    <s v="Tech"/>
    <n v="73.2687957357561"/>
    <d v="2028-07-11T00:00:00"/>
  </r>
  <r>
    <n v="5507"/>
    <x v="0"/>
    <s v="Tech"/>
    <n v="23.105360443622921"/>
    <d v="2028-07-12T00:00:00"/>
  </r>
  <r>
    <n v="5508"/>
    <x v="1"/>
    <s v="OFM"/>
    <n v="72.751322751322746"/>
    <d v="2028-07-13T00:00:00"/>
  </r>
  <r>
    <n v="5509"/>
    <x v="1"/>
    <s v="Other"/>
    <n v="110.22927689594357"/>
    <d v="2028-07-14T00:00:00"/>
  </r>
  <r>
    <n v="5510"/>
    <x v="0"/>
    <s v="Tech"/>
    <n v="123.22858903265558"/>
    <d v="2028-07-15T00:00:00"/>
  </r>
  <r>
    <n v="5511"/>
    <x v="1"/>
    <s v="Tech"/>
    <n v="99.206349206349202"/>
    <d v="2028-07-16T00:00:00"/>
  </r>
  <r>
    <n v="5512"/>
    <x v="1"/>
    <s v="Tech"/>
    <n v="11.022927689594356"/>
    <d v="2028-07-17T00:00:00"/>
  </r>
  <r>
    <n v="5513"/>
    <x v="0"/>
    <s v="Tech"/>
    <n v="3.4689656058484193"/>
    <d v="2028-07-18T00:00:00"/>
  </r>
  <r>
    <n v="5514"/>
    <x v="0"/>
    <s v="Tech"/>
    <n v="138.63216266173754"/>
    <d v="2028-07-19T00:00:00"/>
  </r>
  <r>
    <n v="5515"/>
    <x v="0"/>
    <s v="Tech"/>
    <n v="77.017868145409736"/>
    <d v="2028-07-20T00:00:00"/>
  </r>
  <r>
    <n v="5516"/>
    <x v="0"/>
    <s v="Tech"/>
    <n v="123.22858903265558"/>
    <d v="2028-07-21T00:00:00"/>
  </r>
  <r>
    <n v="5517"/>
    <x v="0"/>
    <s v="Tech"/>
    <n v="77.017868145409736"/>
    <d v="2028-07-22T00:00:00"/>
  </r>
  <r>
    <n v="5518"/>
    <x v="1"/>
    <s v="OFM"/>
    <n v="220.45855379188714"/>
    <d v="2028-07-23T00:00:00"/>
  </r>
  <r>
    <n v="5519"/>
    <x v="1"/>
    <s v="Tech"/>
    <n v="146.90145502645501"/>
    <d v="2028-07-24T00:00:00"/>
  </r>
  <r>
    <n v="5520"/>
    <x v="0"/>
    <s v="Tech"/>
    <n v="77.017868145409736"/>
    <d v="2028-07-25T00:00:00"/>
  </r>
  <r>
    <n v="5521"/>
    <x v="0"/>
    <s v="Tech"/>
    <n v="6.4240103812007767"/>
    <d v="2028-07-26T00:00:00"/>
  </r>
  <r>
    <n v="5522"/>
    <x v="4"/>
    <s v="Apps"/>
    <n v="88.183421516754848"/>
    <d v="2028-07-27T00:00:00"/>
  </r>
  <r>
    <n v="5523"/>
    <x v="4"/>
    <s v="Apps"/>
    <n v="220.45855379188714"/>
    <d v="2028-07-28T00:00:00"/>
  </r>
  <r>
    <n v="5524"/>
    <x v="4"/>
    <s v="Apps"/>
    <n v="176.3668430335097"/>
    <d v="2028-07-29T00:00:00"/>
  </r>
  <r>
    <n v="5525"/>
    <x v="1"/>
    <s v="Tech"/>
    <n v="220.45855379188714"/>
    <d v="2028-07-30T00:00:00"/>
  </r>
  <r>
    <n v="5526"/>
    <x v="1"/>
    <s v="Tech"/>
    <n v="17.636684303350968"/>
    <d v="2028-07-31T00:00:00"/>
  </r>
  <r>
    <n v="5527"/>
    <x v="1"/>
    <s v="Tech"/>
    <n v="293.80257936507934"/>
    <d v="2028-08-01T00:00:00"/>
  </r>
  <r>
    <n v="5528"/>
    <x v="0"/>
    <s v="Apps"/>
    <n v="20.682523267838675"/>
    <d v="2028-08-02T00:00:00"/>
  </r>
  <r>
    <n v="5529"/>
    <x v="0"/>
    <s v="Apps"/>
    <n v="61.614294516327789"/>
    <d v="2028-08-03T00:00:00"/>
  </r>
  <r>
    <n v="5530"/>
    <x v="1"/>
    <s v="Tech"/>
    <n v="165.34391534391534"/>
    <d v="2028-08-04T00:00:00"/>
  </r>
  <r>
    <n v="5531"/>
    <x v="4"/>
    <s v="Apps"/>
    <n v="32.589212970506765"/>
    <d v="2028-08-05T00:00:00"/>
  </r>
  <r>
    <n v="5532"/>
    <x v="0"/>
    <s v="Tech"/>
    <n v="770.17868145409739"/>
    <d v="2028-08-06T00:00:00"/>
  </r>
  <r>
    <n v="5533"/>
    <x v="1"/>
    <s v="Apps"/>
    <n v="55.114638447971785"/>
    <d v="2028-08-07T00:00:00"/>
  </r>
  <r>
    <n v="5534"/>
    <x v="4"/>
    <s v="Apps"/>
    <n v="690.98494968971477"/>
    <d v="2028-08-08T00:00:00"/>
  </r>
  <r>
    <n v="5535"/>
    <x v="4"/>
    <s v="Other"/>
    <n v="98.712135669959252"/>
    <d v="2028-08-09T00:00:00"/>
  </r>
  <r>
    <n v="5536"/>
    <x v="0"/>
    <s v="OFM"/>
    <n v="64.72126218955971"/>
    <d v="2028-08-10T00:00:00"/>
  </r>
  <r>
    <n v="5537"/>
    <x v="4"/>
    <s v="Other"/>
    <n v="32.904045223319756"/>
    <d v="2028-08-11T00:00:00"/>
  </r>
  <r>
    <n v="5538"/>
    <x v="4"/>
    <s v="Apps"/>
    <n v="5.8660583346912167"/>
    <d v="2028-08-12T00:00:00"/>
  </r>
  <r>
    <n v="5539"/>
    <x v="4"/>
    <s v="Apps"/>
    <n v="493.56067834979632"/>
    <d v="2028-08-13T00:00:00"/>
  </r>
  <r>
    <n v="5540"/>
    <x v="0"/>
    <s v="OFM"/>
    <n v="3.2120051906003884"/>
    <d v="2028-08-14T00:00:00"/>
  </r>
  <r>
    <n v="5541"/>
    <x v="4"/>
    <s v="Apps"/>
    <n v="5.7437500000000004"/>
    <d v="2028-08-15T00:00:00"/>
  </r>
  <r>
    <n v="5542"/>
    <x v="1"/>
    <s v="Tech"/>
    <n v="110.22927689594357"/>
    <d v="2028-08-16T00:00:00"/>
  </r>
  <r>
    <n v="5543"/>
    <x v="1"/>
    <s v="Apps"/>
    <n v="220.45855379188714"/>
    <d v="2028-08-17T00:00:00"/>
  </r>
  <r>
    <n v="5544"/>
    <x v="1"/>
    <s v="Apps"/>
    <n v="132.27513227513228"/>
    <d v="2028-08-18T00:00:00"/>
  </r>
  <r>
    <n v="5545"/>
    <x v="1"/>
    <s v="Tech"/>
    <n v="33.06878306878307"/>
    <d v="2028-08-19T00:00:00"/>
  </r>
  <r>
    <n v="5546"/>
    <x v="0"/>
    <s v="Tech"/>
    <n v="41.365046535677351"/>
    <d v="2028-08-20T00:00:00"/>
  </r>
  <r>
    <n v="5547"/>
    <x v="1"/>
    <s v="OFM"/>
    <n v="33.06878306878307"/>
    <d v="2028-08-21T00:00:00"/>
  </r>
  <r>
    <n v="5548"/>
    <x v="1"/>
    <s v="Apps"/>
    <n v="17.636684303350968"/>
    <d v="2028-08-22T00:00:00"/>
  </r>
  <r>
    <n v="5549"/>
    <x v="0"/>
    <s v="Apps"/>
    <n v="231.05360443622922"/>
    <d v="2028-08-23T00:00:00"/>
  </r>
  <r>
    <n v="5550"/>
    <x v="1"/>
    <s v="OFM"/>
    <n v="22.045855379188712"/>
    <d v="2028-08-24T00:00:00"/>
  </r>
  <r>
    <n v="5551"/>
    <x v="0"/>
    <s v="Tech"/>
    <n v="9.0593963999845819"/>
    <d v="2028-08-25T00:00:00"/>
  </r>
  <r>
    <n v="5552"/>
    <x v="3"/>
    <s v="Tech"/>
    <n v="91.585994669695125"/>
    <d v="2028-08-26T00:00:00"/>
  </r>
  <r>
    <n v="5553"/>
    <x v="1"/>
    <s v="Tech"/>
    <n v="22.045855379188712"/>
    <d v="2028-08-27T00:00:00"/>
  </r>
  <r>
    <n v="5554"/>
    <x v="0"/>
    <s v="OFM"/>
    <n v="186.72812823164426"/>
    <d v="2028-08-28T00:00:00"/>
  </r>
  <r>
    <n v="5555"/>
    <x v="0"/>
    <s v="Tech"/>
    <n v="8.993614533681086"/>
    <d v="2028-08-29T00:00:00"/>
  </r>
  <r>
    <n v="5556"/>
    <x v="0"/>
    <s v="Tech"/>
    <n v="46.210720887245841"/>
    <d v="2028-08-30T00:00:00"/>
  </r>
  <r>
    <n v="5557"/>
    <x v="3"/>
    <s v="OFM"/>
    <n v="0.36634397867878049"/>
    <d v="2028-08-31T00:00:00"/>
  </r>
  <r>
    <n v="5558"/>
    <x v="0"/>
    <s v="OFM"/>
    <n v="41.365046535677351"/>
    <d v="2028-09-01T00:00:00"/>
  </r>
  <r>
    <n v="5559"/>
    <x v="1"/>
    <s v="Tech"/>
    <n v="88.183421516754848"/>
    <d v="2028-09-02T00:00:00"/>
  </r>
  <r>
    <n v="5560"/>
    <x v="0"/>
    <s v="Tech"/>
    <n v="1.5403573629081948E-3"/>
    <d v="2028-09-03T00:00:00"/>
  </r>
  <r>
    <n v="5561"/>
    <x v="0"/>
    <s v="Tech"/>
    <n v="92.421441774491683"/>
    <d v="2028-09-04T00:00:00"/>
  </r>
  <r>
    <n v="5562"/>
    <x v="4"/>
    <s v="Apps"/>
    <n v="17"/>
    <d v="2028-09-05T00:00:00"/>
  </r>
  <r>
    <n v="5563"/>
    <x v="1"/>
    <s v="Tech"/>
    <n v="198.4126984126984"/>
    <d v="2028-09-06T00:00:00"/>
  </r>
  <r>
    <n v="5564"/>
    <x v="2"/>
    <s v="Tech"/>
    <n v="21.179709837975221"/>
    <d v="2028-09-07T00:00:00"/>
  </r>
  <r>
    <n v="5565"/>
    <x v="1"/>
    <s v="Apps"/>
    <n v="8.8183421516754841"/>
    <d v="2028-09-08T00:00:00"/>
  </r>
  <r>
    <n v="5566"/>
    <x v="0"/>
    <s v="Tech"/>
    <n v="43.130006161429456"/>
    <d v="2028-09-09T00:00:00"/>
  </r>
  <r>
    <n v="5567"/>
    <x v="1"/>
    <s v="Apps"/>
    <n v="110.22927689594357"/>
    <d v="2028-09-10T00:00:00"/>
  </r>
  <r>
    <n v="5568"/>
    <x v="0"/>
    <s v="Tech"/>
    <n v="77.017868145409736"/>
    <d v="2028-09-11T00:00:00"/>
  </r>
  <r>
    <n v="5569"/>
    <x v="2"/>
    <s v="Apps"/>
    <n v="1058.985491898761"/>
    <d v="2028-09-12T00:00:00"/>
  </r>
  <r>
    <n v="5570"/>
    <x v="2"/>
    <s v="Apps"/>
    <n v="105.89854918987609"/>
    <d v="2028-09-13T00:00:00"/>
  </r>
  <r>
    <n v="5571"/>
    <x v="4"/>
    <s v="Tech"/>
    <n v="16.294606485253382"/>
    <d v="2028-09-14T00:00:00"/>
  </r>
  <r>
    <n v="5572"/>
    <x v="4"/>
    <s v="OFM"/>
    <n v="24.873432259842879"/>
    <d v="2028-09-15T00:00:00"/>
  </r>
  <r>
    <n v="5573"/>
    <x v="1"/>
    <s v="Tech"/>
    <n v="198.12610229276896"/>
    <d v="2028-09-16T00:00:00"/>
  </r>
  <r>
    <n v="5574"/>
    <x v="0"/>
    <s v="Tech"/>
    <n v="26.186075169439309"/>
    <d v="2028-09-17T00:00:00"/>
  </r>
  <r>
    <n v="5575"/>
    <x v="3"/>
    <s v="Tech"/>
    <n v="183.17198933939025"/>
    <d v="2028-09-18T00:00:00"/>
  </r>
  <r>
    <n v="5576"/>
    <x v="0"/>
    <s v="Tech"/>
    <n v="25.696041524803107"/>
    <d v="2028-09-19T00:00:00"/>
  </r>
  <r>
    <n v="5577"/>
    <x v="3"/>
    <s v="Tech"/>
    <n v="137.37899200454268"/>
    <d v="2028-09-20T00:00:00"/>
  </r>
  <r>
    <n v="5578"/>
    <x v="1"/>
    <s v="Apps"/>
    <n v="35.273368606701936"/>
    <d v="2028-09-21T00:00:00"/>
  </r>
  <r>
    <n v="5579"/>
    <x v="0"/>
    <s v="Apps"/>
    <n v="385.08934072704869"/>
    <d v="2028-09-22T00:00:00"/>
  </r>
  <r>
    <n v="5580"/>
    <x v="3"/>
    <s v="OFM"/>
    <n v="109.90319360363415"/>
    <d v="2028-09-23T00:00:00"/>
  </r>
  <r>
    <n v="5581"/>
    <x v="3"/>
    <s v="OFM"/>
    <n v="476.24717228241462"/>
    <d v="2028-09-24T00:00:00"/>
  </r>
  <r>
    <n v="5582"/>
    <x v="1"/>
    <s v="Tech"/>
    <n v="66.137566137566139"/>
    <d v="2028-09-25T00:00:00"/>
  </r>
  <r>
    <n v="5583"/>
    <x v="0"/>
    <s v="Tech"/>
    <n v="15.403573629081947"/>
    <d v="2028-09-26T00:00:00"/>
  </r>
  <r>
    <n v="5584"/>
    <x v="0"/>
    <s v="OFM"/>
    <n v="15.403573629081947"/>
    <d v="2028-09-27T00:00:00"/>
  </r>
  <r>
    <n v="5585"/>
    <x v="1"/>
    <s v="Tech"/>
    <n v="44.091710758377424"/>
    <d v="2028-09-28T00:00:00"/>
  </r>
  <r>
    <n v="5586"/>
    <x v="4"/>
    <s v="Systems"/>
    <n v="98.712135669959252"/>
    <d v="2028-09-29T00:00:00"/>
  </r>
  <r>
    <n v="5587"/>
    <x v="0"/>
    <s v="OFM"/>
    <n v="12.322858903265558"/>
    <d v="2028-09-30T00:00:00"/>
  </r>
  <r>
    <n v="5588"/>
    <x v="0"/>
    <s v="OFM"/>
    <n v="154.03573629081947"/>
    <d v="2028-10-01T00:00:00"/>
  </r>
  <r>
    <n v="5589"/>
    <x v="4"/>
    <s v="Tech"/>
    <n v="25"/>
    <d v="2028-10-02T00:00:00"/>
  </r>
  <r>
    <n v="5590"/>
    <x v="0"/>
    <s v="OFM"/>
    <n v="110.65370561875216"/>
    <d v="2028-10-03T00:00:00"/>
  </r>
  <r>
    <n v="5591"/>
    <x v="0"/>
    <s v="OFM"/>
    <n v="30.807147258163894"/>
    <d v="2028-10-04T00:00:00"/>
  </r>
  <r>
    <n v="5592"/>
    <x v="0"/>
    <s v="Apps"/>
    <n v="93.148150527411261"/>
    <d v="2028-10-05T00:00:00"/>
  </r>
  <r>
    <n v="5593"/>
    <x v="0"/>
    <s v="Apps"/>
    <n v="231.05360443622922"/>
    <d v="2028-10-06T00:00:00"/>
  </r>
  <r>
    <n v="5594"/>
    <x v="1"/>
    <s v="Apps"/>
    <n v="44.091710758377424"/>
    <d v="2028-10-07T00:00:00"/>
  </r>
  <r>
    <n v="5595"/>
    <x v="2"/>
    <s v="OFM"/>
    <n v="0"/>
    <d v="2028-10-08T00:00:00"/>
  </r>
  <r>
    <n v="5596"/>
    <x v="4"/>
    <s v="Systems"/>
    <n v="16.294606485253382"/>
    <d v="2028-10-09T00:00:00"/>
  </r>
  <r>
    <n v="5597"/>
    <x v="0"/>
    <s v="Apps"/>
    <n v="77.017868145409736"/>
    <d v="2028-10-10T00:00:00"/>
  </r>
  <r>
    <n v="5598"/>
    <x v="1"/>
    <s v="Apps"/>
    <n v="154.32098765432099"/>
    <d v="2028-10-11T00:00:00"/>
  </r>
  <r>
    <n v="5599"/>
    <x v="0"/>
    <s v="Tech"/>
    <n v="61.614294516327789"/>
    <d v="2028-10-12T00:00:00"/>
  </r>
  <r>
    <n v="5600"/>
    <x v="0"/>
    <s v="Tech"/>
    <n v="61.614294516327789"/>
    <d v="2028-10-13T00:00:00"/>
  </r>
  <r>
    <n v="5601"/>
    <x v="0"/>
    <s v="Tech"/>
    <n v="61.614294516327789"/>
    <d v="2028-10-14T00:00:00"/>
  </r>
  <r>
    <n v="5602"/>
    <x v="0"/>
    <s v="Tech"/>
    <n v="46.210720887245841"/>
    <d v="2028-10-15T00:00:00"/>
  </r>
  <r>
    <n v="5603"/>
    <x v="0"/>
    <s v="Apps"/>
    <n v="462.10720887245844"/>
    <d v="2028-10-16T00:00:00"/>
  </r>
  <r>
    <n v="5604"/>
    <x v="0"/>
    <s v="OFM"/>
    <n v="92.421441774491683"/>
    <d v="2028-10-17T00:00:00"/>
  </r>
  <r>
    <n v="5605"/>
    <x v="0"/>
    <s v="Apps"/>
    <n v="105.51447935921134"/>
    <d v="2028-10-18T00:00:00"/>
  </r>
  <r>
    <n v="5606"/>
    <x v="4"/>
    <s v="Tech"/>
    <n v="29.942681153220978"/>
    <d v="2028-10-19T00:00:00"/>
  </r>
  <r>
    <n v="5607"/>
    <x v="0"/>
    <s v="OFM"/>
    <n v="154.03573629081947"/>
    <d v="2028-10-20T00:00:00"/>
  </r>
  <r>
    <n v="5608"/>
    <x v="0"/>
    <s v="Tech"/>
    <n v="26.186075169439309"/>
    <d v="2028-10-21T00:00:00"/>
  </r>
  <r>
    <n v="5609"/>
    <x v="0"/>
    <s v="OFM"/>
    <n v="46.210720887245841"/>
    <d v="2028-10-22T00:00:00"/>
  </r>
  <r>
    <n v="5610"/>
    <x v="3"/>
    <s v="Tech"/>
    <n v="59.530896535301828"/>
    <d v="2028-10-23T00:00:00"/>
  </r>
  <r>
    <n v="5611"/>
    <x v="4"/>
    <s v="Tech"/>
    <n v="459.41103505306194"/>
    <d v="2028-10-24T00:00:00"/>
  </r>
  <r>
    <n v="5612"/>
    <x v="1"/>
    <s v="Apps"/>
    <n v="28.926366843033509"/>
    <d v="2028-10-25T00:00:00"/>
  </r>
  <r>
    <n v="5613"/>
    <x v="1"/>
    <s v="Other"/>
    <n v="195.87742504409172"/>
    <d v="2028-10-26T00:00:00"/>
  </r>
  <r>
    <n v="5614"/>
    <x v="3"/>
    <s v="Tech"/>
    <n v="91.585994669695125"/>
    <d v="2028-10-27T00:00:00"/>
  </r>
  <r>
    <n v="5615"/>
    <x v="0"/>
    <s v="Tech"/>
    <n v="46.210720887245841"/>
    <d v="2028-10-28T00:00:00"/>
  </r>
  <r>
    <n v="5616"/>
    <x v="0"/>
    <s v="OFM"/>
    <n v="5"/>
    <d v="2028-10-29T00:00:00"/>
  </r>
  <r>
    <n v="5617"/>
    <x v="0"/>
    <s v="Systems"/>
    <n v="24.129610479145121"/>
    <d v="2028-10-30T00:00:00"/>
  </r>
  <r>
    <n v="5618"/>
    <x v="0"/>
    <s v="OFM"/>
    <n v="46.210720887245841"/>
    <d v="2028-10-31T00:00:00"/>
  </r>
  <r>
    <n v="5619"/>
    <x v="0"/>
    <s v="Tech"/>
    <n v="17.235436056532226"/>
    <d v="2028-11-01T00:00:00"/>
  </r>
  <r>
    <n v="5620"/>
    <x v="0"/>
    <s v="Tech"/>
    <n v="30.807147258163894"/>
    <d v="2028-11-02T00:00:00"/>
  </r>
  <r>
    <n v="5621"/>
    <x v="0"/>
    <s v="Tech"/>
    <n v="27.576697690451567"/>
    <d v="2028-11-03T00:00:00"/>
  </r>
  <r>
    <n v="5622"/>
    <x v="0"/>
    <s v="Tech"/>
    <n v="15.403573629081947"/>
    <d v="2028-11-04T00:00:00"/>
  </r>
  <r>
    <n v="5623"/>
    <x v="0"/>
    <s v="OFM"/>
    <n v="77.017868145409736"/>
    <d v="2028-11-05T00:00:00"/>
  </r>
  <r>
    <n v="5624"/>
    <x v="1"/>
    <s v="OFM"/>
    <n v="881.83421516754856"/>
    <d v="2028-11-06T00:00:00"/>
  </r>
  <r>
    <n v="5625"/>
    <x v="0"/>
    <s v="Tech"/>
    <n v="1.5403573629081948"/>
    <d v="2028-11-07T00:00:00"/>
  </r>
  <r>
    <n v="5626"/>
    <x v="0"/>
    <s v="OFM"/>
    <n v="1.5403573629081948"/>
    <d v="2028-11-08T00:00:00"/>
  </r>
  <r>
    <n v="5627"/>
    <x v="0"/>
    <s v="Tech"/>
    <n v="1.5403573629081948"/>
    <d v="2028-11-09T00:00:00"/>
  </r>
  <r>
    <n v="5628"/>
    <x v="1"/>
    <s v="Apps"/>
    <n v="44.091710758377424"/>
    <d v="2028-11-10T00:00:00"/>
  </r>
  <r>
    <n v="5629"/>
    <x v="1"/>
    <s v="Apps"/>
    <n v="15.4320987654321"/>
    <d v="2028-11-11T00:00:00"/>
  </r>
  <r>
    <n v="5630"/>
    <x v="1"/>
    <s v="Tech"/>
    <n v="318.56261022927686"/>
    <d v="2028-11-12T00:00:00"/>
  </r>
  <r>
    <n v="5631"/>
    <x v="0"/>
    <s v="OFM"/>
    <n v="1.5403573629081948"/>
    <d v="2028-11-13T00:00:00"/>
  </r>
  <r>
    <n v="5632"/>
    <x v="4"/>
    <s v="Apps"/>
    <n v="57.426379381632742"/>
    <d v="2028-11-14T00:00:00"/>
  </r>
  <r>
    <n v="5633"/>
    <x v="1"/>
    <s v="Tech"/>
    <n v="48.967107583774251"/>
    <d v="2028-11-15T00:00:00"/>
  </r>
  <r>
    <n v="5634"/>
    <x v="4"/>
    <s v="Apps"/>
    <n v="50"/>
    <d v="2028-11-16T00:00:00"/>
  </r>
  <r>
    <n v="5635"/>
    <x v="0"/>
    <s v="Tech"/>
    <n v="517.06308169596684"/>
    <d v="2028-11-17T00:00:00"/>
  </r>
  <r>
    <n v="5636"/>
    <x v="4"/>
    <s v="OFM"/>
    <n v="84.101678344467985"/>
    <d v="2028-11-18T00:00:00"/>
  </r>
  <r>
    <n v="5637"/>
    <x v="1"/>
    <s v="Apps"/>
    <n v="99.206349206349202"/>
    <d v="2028-11-19T00:00:00"/>
  </r>
  <r>
    <n v="5638"/>
    <x v="2"/>
    <s v="Tech"/>
    <n v="21.179709837975221"/>
    <d v="2028-11-20T00:00:00"/>
  </r>
  <r>
    <n v="5639"/>
    <x v="1"/>
    <s v="Apps"/>
    <n v="220.45855379188714"/>
    <d v="2028-11-21T00:00:00"/>
  </r>
  <r>
    <n v="5640"/>
    <x v="1"/>
    <s v="Tech"/>
    <n v="16.420414462081126"/>
    <d v="2028-11-22T00:00:00"/>
  </r>
  <r>
    <n v="5641"/>
    <x v="2"/>
    <s v="OFM"/>
    <n v="0"/>
    <d v="2028-11-23T00:00:00"/>
  </r>
  <r>
    <n v="5642"/>
    <x v="1"/>
    <s v="Tech"/>
    <n v="48.500881834215171"/>
    <d v="2028-11-24T00:00:00"/>
  </r>
  <r>
    <n v="5643"/>
    <x v="4"/>
    <s v="Tech"/>
    <n v="121.69499999999999"/>
    <d v="2028-11-25T00:00:00"/>
  </r>
  <r>
    <n v="5644"/>
    <x v="2"/>
    <s v="Apps"/>
    <n v="158.84782378481412"/>
    <d v="2028-11-26T00:00:00"/>
  </r>
  <r>
    <n v="5645"/>
    <x v="4"/>
    <s v="Systems"/>
    <n v="45.941103505306202"/>
    <d v="2028-11-27T00:00:00"/>
  </r>
  <r>
    <n v="5646"/>
    <x v="4"/>
    <s v="Tech"/>
    <n v="22.970551752653101"/>
    <d v="2028-11-28T00:00:00"/>
  </r>
  <r>
    <n v="5647"/>
    <x v="4"/>
    <s v="Systems"/>
    <n v="18.881793540680846"/>
    <d v="2028-11-29T00:00:00"/>
  </r>
  <r>
    <n v="5648"/>
    <x v="2"/>
    <s v="Apps"/>
    <n v="21.179709837975221"/>
    <d v="2028-11-30T00:00:00"/>
  </r>
  <r>
    <n v="5649"/>
    <x v="1"/>
    <s v="Other"/>
    <n v="66.137566137566139"/>
    <d v="2028-12-01T00:00:00"/>
  </r>
  <r>
    <n v="5650"/>
    <x v="1"/>
    <s v="OFM"/>
    <n v="0.3306878306878307"/>
    <d v="2028-12-02T00:00:00"/>
  </r>
  <r>
    <n v="5651"/>
    <x v="1"/>
    <s v="OFM"/>
    <n v="661.37566137566137"/>
    <d v="2028-12-03T00:00:00"/>
  </r>
  <r>
    <n v="5652"/>
    <x v="1"/>
    <s v="Tech"/>
    <n v="5.511463844797178"/>
    <d v="2028-12-04T00:00:00"/>
  </r>
  <r>
    <n v="5653"/>
    <x v="4"/>
    <s v="Systems"/>
    <n v="39.484854267983707"/>
    <d v="2028-12-05T00:00:00"/>
  </r>
  <r>
    <n v="5654"/>
    <x v="4"/>
    <s v="Systems"/>
    <n v="14.80682035049389"/>
    <d v="2028-12-06T00:00:00"/>
  </r>
  <r>
    <n v="5655"/>
    <x v="4"/>
    <s v="Systems"/>
    <n v="34.54924748448574"/>
    <d v="2028-12-07T00:00:00"/>
  </r>
  <r>
    <n v="5656"/>
    <x v="4"/>
    <s v="Apps"/>
    <n v="100"/>
    <d v="2028-12-08T00:00:00"/>
  </r>
  <r>
    <n v="5657"/>
    <x v="4"/>
    <s v="Apps"/>
    <n v="125"/>
    <d v="2028-12-09T00:00:00"/>
  </r>
  <r>
    <n v="5658"/>
    <x v="1"/>
    <s v="OFM"/>
    <n v="66.137566137566139"/>
    <d v="2028-12-10T00:00:00"/>
  </r>
  <r>
    <n v="5659"/>
    <x v="1"/>
    <s v="Apps"/>
    <n v="44.091710758377424"/>
    <d v="2028-12-11T00:00:00"/>
  </r>
  <r>
    <n v="5660"/>
    <x v="4"/>
    <s v="Tech"/>
    <n v="22.75"/>
    <d v="2028-12-12T00:00:00"/>
  </r>
  <r>
    <n v="5661"/>
    <x v="1"/>
    <s v="Tech"/>
    <n v="17.636684303350968"/>
    <d v="2028-12-13T00:00:00"/>
  </r>
  <r>
    <n v="5662"/>
    <x v="3"/>
    <s v="OFM"/>
    <n v="59.530896535301828"/>
    <d v="2028-12-14T00:00:00"/>
  </r>
  <r>
    <n v="5663"/>
    <x v="1"/>
    <s v="Apps"/>
    <n v="66.137566137566139"/>
    <d v="2028-12-15T00:00:00"/>
  </r>
  <r>
    <n v="5664"/>
    <x v="1"/>
    <s v="Apps"/>
    <n v="1102.2927689594355"/>
    <d v="2028-12-16T00:00:00"/>
  </r>
  <r>
    <n v="5665"/>
    <x v="1"/>
    <s v="Apps"/>
    <n v="66.137566137566139"/>
    <d v="2028-12-17T00:00:00"/>
  </r>
  <r>
    <n v="5666"/>
    <x v="3"/>
    <s v="Tech"/>
    <n v="73.2687957357561"/>
    <d v="2028-12-18T00:00:00"/>
  </r>
  <r>
    <n v="5667"/>
    <x v="1"/>
    <s v="Apps"/>
    <n v="66.137566137566139"/>
    <d v="2028-12-19T00:00:00"/>
  </r>
  <r>
    <n v="5668"/>
    <x v="2"/>
    <s v="Tech"/>
    <n v="40.515355319666149"/>
    <d v="2028-12-20T00:00:00"/>
  </r>
  <r>
    <n v="5669"/>
    <x v="4"/>
    <s v="Apps"/>
    <n v="22.970551752653101"/>
    <d v="2028-12-21T00:00:00"/>
  </r>
  <r>
    <n v="5670"/>
    <x v="0"/>
    <s v="Apps"/>
    <n v="86.177180282661155"/>
    <d v="2028-12-22T00:00:00"/>
  </r>
  <r>
    <n v="5671"/>
    <x v="0"/>
    <s v="Apps"/>
    <n v="86.177180282661155"/>
    <d v="2028-12-23T00:00:00"/>
  </r>
  <r>
    <n v="5672"/>
    <x v="0"/>
    <s v="Apps"/>
    <n v="159.17221195317313"/>
    <d v="2028-12-24T00:00:00"/>
  </r>
  <r>
    <n v="5673"/>
    <x v="2"/>
    <s v="Apps"/>
    <n v="158.84782378481412"/>
    <d v="2028-12-25T00:00:00"/>
  </r>
  <r>
    <n v="5674"/>
    <x v="2"/>
    <s v="OFM"/>
    <n v="158.84782378481412"/>
    <d v="2028-12-26T00:00:00"/>
  </r>
  <r>
    <n v="5675"/>
    <x v="2"/>
    <s v="Tech"/>
    <n v="423.59419675950437"/>
    <d v="2028-12-27T00:00:00"/>
  </r>
  <r>
    <n v="5676"/>
    <x v="0"/>
    <s v="OFM"/>
    <n v="23.126437372322794"/>
    <d v="2028-12-28T00:00:00"/>
  </r>
  <r>
    <n v="5677"/>
    <x v="1"/>
    <s v="OFM"/>
    <n v="257.93650793650795"/>
    <d v="2028-12-29T00:00:00"/>
  </r>
  <r>
    <n v="5678"/>
    <x v="1"/>
    <s v="OFM"/>
    <n v="39.682539682539684"/>
    <d v="2028-12-30T00:00:00"/>
  </r>
  <r>
    <n v="5679"/>
    <x v="0"/>
    <s v="OFM"/>
    <n v="89.936145336810867"/>
    <d v="2028-12-31T00:00:00"/>
  </r>
  <r>
    <n v="5680"/>
    <x v="2"/>
    <s v="Apps"/>
    <n v="17.050482132728305"/>
    <d v="2029-01-01T00:00:00"/>
  </r>
  <r>
    <n v="5681"/>
    <x v="4"/>
    <s v="Tech"/>
    <n v="100"/>
    <d v="2029-01-02T00:00:00"/>
  </r>
  <r>
    <n v="5682"/>
    <x v="1"/>
    <s v="Tech"/>
    <n v="42.482363315696645"/>
    <d v="2029-01-03T00:00:00"/>
  </r>
  <r>
    <n v="5683"/>
    <x v="4"/>
    <s v="Tech"/>
    <n v="184"/>
    <d v="2029-01-04T00:00:00"/>
  </r>
  <r>
    <n v="5684"/>
    <x v="1"/>
    <s v="Tech"/>
    <n v="195.868430335097"/>
    <d v="2029-01-05T00:00:00"/>
  </r>
  <r>
    <n v="5685"/>
    <x v="1"/>
    <s v="Apps"/>
    <n v="19.841269841269842"/>
    <d v="2029-01-06T00:00:00"/>
  </r>
  <r>
    <n v="5686"/>
    <x v="3"/>
    <s v="Tech"/>
    <n v="14.653759147151218"/>
    <d v="2029-01-07T00:00:00"/>
  </r>
  <r>
    <n v="5687"/>
    <x v="0"/>
    <s v="Tech"/>
    <n v="462.10720887245844"/>
    <d v="2029-01-08T00:00:00"/>
  </r>
  <r>
    <n v="5688"/>
    <x v="1"/>
    <s v="Apps"/>
    <n v="33.06878306878307"/>
    <d v="2029-01-09T00:00:00"/>
  </r>
  <r>
    <n v="5689"/>
    <x v="1"/>
    <s v="Apps"/>
    <n v="66.137566137566139"/>
    <d v="2029-01-10T00:00:00"/>
  </r>
  <r>
    <n v="5690"/>
    <x v="1"/>
    <s v="Apps"/>
    <n v="66.137566137566139"/>
    <d v="2029-01-11T00:00:00"/>
  </r>
  <r>
    <n v="5691"/>
    <x v="1"/>
    <s v="Tech"/>
    <n v="194.00352733686069"/>
    <d v="2029-01-12T00:00:00"/>
  </r>
  <r>
    <n v="5692"/>
    <x v="0"/>
    <s v="Tech"/>
    <n v="30.807147258163894"/>
    <d v="2029-01-13T00:00:00"/>
  </r>
  <r>
    <n v="5693"/>
    <x v="0"/>
    <s v="Tech"/>
    <n v="44.968072668405433"/>
    <d v="2029-01-14T00:00:00"/>
  </r>
  <r>
    <n v="5694"/>
    <x v="0"/>
    <s v="Apps"/>
    <n v="77.017868145409736"/>
    <d v="2029-01-15T00:00:00"/>
  </r>
  <r>
    <n v="5695"/>
    <x v="0"/>
    <s v="Tech"/>
    <n v="25.853154084798344"/>
    <d v="2029-01-16T00:00:00"/>
  </r>
  <r>
    <n v="5696"/>
    <x v="2"/>
    <s v="Apps"/>
    <n v="81.030710639332298"/>
    <d v="2029-01-17T00:00:00"/>
  </r>
  <r>
    <n v="5697"/>
    <x v="1"/>
    <s v="Apps"/>
    <n v="0"/>
    <d v="2029-01-18T00:00:00"/>
  </r>
  <r>
    <n v="5698"/>
    <x v="0"/>
    <s v="Apps"/>
    <n v="158.27171903881703"/>
    <d v="2029-01-19T00:00:00"/>
  </r>
  <r>
    <n v="5699"/>
    <x v="0"/>
    <s v="Tech"/>
    <n v="30.807147258163894"/>
    <d v="2029-01-20T00:00:00"/>
  </r>
  <r>
    <n v="5700"/>
    <x v="1"/>
    <s v="Tech"/>
    <n v="55.114638447971785"/>
    <d v="2029-01-21T00:00:00"/>
  </r>
  <r>
    <n v="5701"/>
    <x v="0"/>
    <s v="Apps"/>
    <n v="131.04981177649583"/>
    <d v="2029-01-22T00:00:00"/>
  </r>
  <r>
    <n v="5702"/>
    <x v="0"/>
    <s v="Tech"/>
    <n v="172.35436056532231"/>
    <d v="2029-01-23T00:00:00"/>
  </r>
  <r>
    <n v="5703"/>
    <x v="1"/>
    <s v="Tech"/>
    <n v="88.183421516754848"/>
    <d v="2029-01-24T00:00:00"/>
  </r>
  <r>
    <n v="5704"/>
    <x v="4"/>
    <s v="Apps"/>
    <n v="52.961001444390952"/>
    <d v="2029-01-25T00:00:00"/>
  </r>
  <r>
    <n v="5705"/>
    <x v="0"/>
    <s v="Apps"/>
    <n v="105.51447935921134"/>
    <d v="2029-01-26T00:00:00"/>
  </r>
  <r>
    <n v="5706"/>
    <x v="4"/>
    <s v="Tech"/>
    <n v="110.4"/>
    <d v="2029-01-27T00:00:00"/>
  </r>
  <r>
    <n v="5707"/>
    <x v="0"/>
    <s v="Tech"/>
    <n v="20.948860135551449"/>
    <d v="2029-01-28T00:00:00"/>
  </r>
  <r>
    <n v="5708"/>
    <x v="1"/>
    <s v="OFM"/>
    <n v="110.22927689594357"/>
    <d v="2029-01-29T00:00:00"/>
  </r>
  <r>
    <n v="5709"/>
    <x v="1"/>
    <s v="Tech"/>
    <n v="661.37566137566137"/>
    <d v="2029-01-30T00:00:00"/>
  </r>
  <r>
    <n v="5710"/>
    <x v="4"/>
    <s v="Apps"/>
    <n v="80.243941582410528"/>
    <d v="2029-01-31T00:00:00"/>
  </r>
  <r>
    <n v="5711"/>
    <x v="0"/>
    <s v="Tech"/>
    <n v="55.153395380903135"/>
    <d v="2029-02-01T00:00:00"/>
  </r>
  <r>
    <n v="5712"/>
    <x v="0"/>
    <s v="Tech"/>
    <n v="18.958979662185452"/>
    <d v="2029-02-02T00:00:00"/>
  </r>
  <r>
    <n v="5713"/>
    <x v="4"/>
    <s v="Apps"/>
    <n v="9.65"/>
    <d v="2029-02-03T00:00:00"/>
  </r>
  <r>
    <n v="5714"/>
    <x v="2"/>
    <s v="Systems"/>
    <n v="1058.985491898761"/>
    <d v="2029-02-04T00:00:00"/>
  </r>
  <r>
    <n v="5715"/>
    <x v="0"/>
    <s v="Tech"/>
    <n v="92.421441774491683"/>
    <d v="2029-02-05T00:00:00"/>
  </r>
  <r>
    <n v="5716"/>
    <x v="3"/>
    <s v="OFM"/>
    <n v="64.110196268786581"/>
    <d v="2029-02-06T00:00:00"/>
  </r>
  <r>
    <n v="5717"/>
    <x v="4"/>
    <s v="Tech"/>
    <n v="654.89066319048402"/>
    <d v="2029-02-07T00:00:00"/>
  </r>
  <r>
    <n v="5718"/>
    <x v="0"/>
    <s v="OFM"/>
    <n v="23.105360443622921"/>
    <d v="2029-02-08T00:00:00"/>
  </r>
  <r>
    <n v="5719"/>
    <x v="0"/>
    <s v="Tech"/>
    <n v="231.05360443622922"/>
    <d v="2029-02-09T00:00:00"/>
  </r>
  <r>
    <n v="5720"/>
    <x v="4"/>
    <s v="Tech"/>
    <n v="150"/>
    <d v="2029-02-10T00:00:00"/>
  </r>
  <r>
    <n v="5721"/>
    <x v="1"/>
    <s v="Apps"/>
    <n v="33.06878306878307"/>
    <d v="2029-02-11T00:00:00"/>
  </r>
  <r>
    <n v="5722"/>
    <x v="0"/>
    <s v="Apps"/>
    <n v="73.860135551447939"/>
    <d v="2029-02-12T00:00:00"/>
  </r>
  <r>
    <n v="5723"/>
    <x v="0"/>
    <s v="OFM"/>
    <n v="46.210720887245841"/>
    <d v="2029-02-13T00:00:00"/>
  </r>
  <r>
    <n v="5724"/>
    <x v="0"/>
    <s v="Tech"/>
    <n v="154.03573629081947"/>
    <d v="2029-02-14T00:00:00"/>
  </r>
  <r>
    <n v="5725"/>
    <x v="1"/>
    <s v="Tech"/>
    <n v="133"/>
    <d v="2029-02-15T00:00:00"/>
  </r>
  <r>
    <n v="5726"/>
    <x v="0"/>
    <s v="OFM"/>
    <n v="115.63218686161397"/>
    <d v="2029-02-16T00:00:00"/>
  </r>
  <r>
    <n v="5727"/>
    <x v="1"/>
    <s v="Tech"/>
    <n v="440.91710758377428"/>
    <d v="2029-02-17T00:00:00"/>
  </r>
  <r>
    <n v="5728"/>
    <x v="4"/>
    <s v="Tech"/>
    <n v="211.82988430829397"/>
    <d v="2029-02-18T00:00:00"/>
  </r>
  <r>
    <n v="5729"/>
    <x v="4"/>
    <s v="Apps"/>
    <n v="15"/>
    <d v="2029-02-19T00:00:00"/>
  </r>
  <r>
    <n v="5730"/>
    <x v="0"/>
    <s v="Apps"/>
    <n v="154.03573629081947"/>
    <d v="2029-02-20T00:00:00"/>
  </r>
  <r>
    <n v="5731"/>
    <x v="0"/>
    <s v="Tech"/>
    <n v="46.210720887245841"/>
    <d v="2029-02-21T00:00:00"/>
  </r>
  <r>
    <n v="5732"/>
    <x v="0"/>
    <s v="OFM"/>
    <n v="30.807147258163894"/>
    <d v="2029-02-22T00:00:00"/>
  </r>
  <r>
    <n v="5733"/>
    <x v="0"/>
    <s v="Tech"/>
    <n v="15.403573629081947"/>
    <d v="2029-02-23T00:00:00"/>
  </r>
  <r>
    <n v="5734"/>
    <x v="0"/>
    <s v="Tech"/>
    <n v="26.186075169439309"/>
    <d v="2029-02-24T00:00:00"/>
  </r>
  <r>
    <n v="5735"/>
    <x v="3"/>
    <s v="Tech"/>
    <n v="118.14593312390672"/>
    <d v="2029-02-25T00:00:00"/>
  </r>
  <r>
    <n v="5736"/>
    <x v="0"/>
    <s v="Tech"/>
    <n v="770.17868145409739"/>
    <d v="2029-02-26T00:00:00"/>
  </r>
  <r>
    <n v="5737"/>
    <x v="0"/>
    <s v="Tech"/>
    <n v="30.807147258163894"/>
    <d v="2029-02-27T00:00:00"/>
  </r>
  <r>
    <n v="5738"/>
    <x v="1"/>
    <s v="Tech"/>
    <n v="195.868430335097"/>
    <d v="2029-02-28T00:00:00"/>
  </r>
  <r>
    <n v="5739"/>
    <x v="1"/>
    <s v="Apps"/>
    <n v="39.682539682539684"/>
    <d v="2029-03-01T00:00:00"/>
  </r>
  <r>
    <n v="5740"/>
    <x v="0"/>
    <s v="Apps"/>
    <n v="123.22858903265558"/>
    <d v="2029-03-02T00:00:00"/>
  </r>
  <r>
    <n v="5741"/>
    <x v="0"/>
    <s v="Apps"/>
    <n v="308.07147258163894"/>
    <d v="2029-03-03T00:00:00"/>
  </r>
  <r>
    <n v="5742"/>
    <x v="0"/>
    <s v="Apps"/>
    <n v="154.03573629081947"/>
    <d v="2029-03-04T00:00:00"/>
  </r>
  <r>
    <n v="5743"/>
    <x v="0"/>
    <s v="Apps"/>
    <n v="154.03573629081947"/>
    <d v="2029-03-05T00:00:00"/>
  </r>
  <r>
    <n v="5744"/>
    <x v="0"/>
    <s v="Apps"/>
    <n v="92.421441774491683"/>
    <d v="2029-03-06T00:00:00"/>
  </r>
  <r>
    <n v="5745"/>
    <x v="0"/>
    <s v="Apps"/>
    <n v="770.17868145409739"/>
    <d v="2029-03-07T00:00:00"/>
  </r>
  <r>
    <n v="5746"/>
    <x v="0"/>
    <s v="Apps"/>
    <n v="385.08934072704869"/>
    <d v="2029-03-08T00:00:00"/>
  </r>
  <r>
    <n v="5747"/>
    <x v="2"/>
    <s v="OFM"/>
    <n v="100"/>
    <d v="2029-03-09T00:00:00"/>
  </r>
  <r>
    <n v="5748"/>
    <x v="2"/>
    <s v="OFM"/>
    <n v="264.74637297469025"/>
    <d v="2029-03-10T00:00:00"/>
  </r>
  <r>
    <n v="5749"/>
    <x v="4"/>
    <s v="Tech"/>
    <n v="21.828254847645432"/>
    <d v="2029-03-11T00:00:00"/>
  </r>
  <r>
    <n v="5750"/>
    <x v="4"/>
    <s v="Tech"/>
    <n v="54.574221932540333"/>
    <d v="2029-03-12T00:00:00"/>
  </r>
  <r>
    <n v="5751"/>
    <x v="1"/>
    <s v="Tech"/>
    <n v="154.32098765432099"/>
    <d v="2029-03-13T00:00:00"/>
  </r>
  <r>
    <n v="5752"/>
    <x v="4"/>
    <s v="OFM"/>
    <n v="20.106240834283852"/>
    <d v="2029-03-14T00:00:00"/>
  </r>
  <r>
    <n v="5753"/>
    <x v="4"/>
    <s v="Apps"/>
    <n v="250"/>
    <d v="2029-03-15T00:00:00"/>
  </r>
  <r>
    <n v="5754"/>
    <x v="0"/>
    <s v="Tech"/>
    <n v="46.210720887245841"/>
    <d v="2029-03-16T00:00:00"/>
  </r>
  <r>
    <n v="5755"/>
    <x v="1"/>
    <s v="Tech"/>
    <n v="61.970899470899475"/>
    <d v="2029-03-17T00:00:00"/>
  </r>
  <r>
    <n v="5756"/>
    <x v="0"/>
    <s v="OFM"/>
    <n v="65"/>
    <d v="2029-03-18T00:00:00"/>
  </r>
  <r>
    <n v="5757"/>
    <x v="1"/>
    <s v="Tech"/>
    <n v="5.7319223985890657"/>
    <d v="2029-03-19T00:00:00"/>
  </r>
  <r>
    <n v="5758"/>
    <x v="1"/>
    <s v="OFM"/>
    <n v="440.91710758377428"/>
    <d v="2029-03-20T00:00:00"/>
  </r>
  <r>
    <n v="5759"/>
    <x v="2"/>
    <s v="Tech"/>
    <n v="73.069998941014504"/>
    <d v="2029-03-21T00:00:00"/>
  </r>
  <r>
    <n v="5760"/>
    <x v="0"/>
    <s v="Tech"/>
    <n v="14.999537892791128"/>
    <d v="2029-03-22T00:00:00"/>
  </r>
  <r>
    <n v="5761"/>
    <x v="3"/>
    <s v="OFM"/>
    <n v="10.990319360363413"/>
    <d v="2029-03-23T00:00:00"/>
  </r>
  <r>
    <n v="5762"/>
    <x v="3"/>
    <s v="OFM"/>
    <n v="21.980638720726827"/>
    <d v="2029-03-24T00:00:00"/>
  </r>
  <r>
    <n v="5763"/>
    <x v="1"/>
    <s v="Apps"/>
    <n v="66.137566137566139"/>
    <d v="2029-03-25T00:00:00"/>
  </r>
  <r>
    <n v="5764"/>
    <x v="0"/>
    <s v="Tech"/>
    <n v="154.03573629081947"/>
    <d v="2029-03-26T00:00:00"/>
  </r>
  <r>
    <n v="5765"/>
    <x v="1"/>
    <s v="Apps"/>
    <n v="33.06878306878307"/>
    <d v="2029-03-27T00:00:00"/>
  </r>
  <r>
    <n v="5766"/>
    <x v="1"/>
    <s v="Apps"/>
    <n v="66.137566137566139"/>
    <d v="2029-03-28T00:00:00"/>
  </r>
  <r>
    <n v="5767"/>
    <x v="3"/>
    <s v="Tech"/>
    <n v="1831.7198933939023"/>
    <d v="2029-03-29T00:00:00"/>
  </r>
  <r>
    <n v="5768"/>
    <x v="4"/>
    <s v="Apps"/>
    <n v="197.4242713399185"/>
    <d v="2029-03-30T00:00:00"/>
  </r>
  <r>
    <n v="5769"/>
    <x v="4"/>
    <s v="Apps"/>
    <n v="197.4242713399185"/>
    <d v="2029-03-31T00:00:00"/>
  </r>
  <r>
    <n v="5770"/>
    <x v="0"/>
    <s v="Tech"/>
    <n v="19.840572216477074"/>
    <d v="2029-04-01T00:00:00"/>
  </r>
  <r>
    <n v="5771"/>
    <x v="0"/>
    <s v="Tech"/>
    <n v="23.859703550499827"/>
    <d v="2029-04-02T00:00:00"/>
  </r>
  <r>
    <n v="5772"/>
    <x v="0"/>
    <s v="Apps"/>
    <n v="6.4240103812007767"/>
    <d v="2029-04-03T00:00:00"/>
  </r>
  <r>
    <n v="5773"/>
    <x v="4"/>
    <s v="Apps"/>
    <n v="50"/>
    <d v="2029-04-04T00:00:00"/>
  </r>
  <r>
    <n v="5774"/>
    <x v="2"/>
    <s v="Apps"/>
    <n v="79.423911892407062"/>
    <d v="2029-04-05T00:00:00"/>
  </r>
  <r>
    <n v="5775"/>
    <x v="4"/>
    <s v="Apps"/>
    <n v="822.60113058299385"/>
    <d v="2029-04-06T00:00:00"/>
  </r>
  <r>
    <n v="5776"/>
    <x v="2"/>
    <s v="Apps"/>
    <n v="211.79709837975219"/>
    <d v="2029-04-07T00:00:00"/>
  </r>
  <r>
    <n v="5777"/>
    <x v="4"/>
    <s v="Apps"/>
    <n v="32.904045223319756"/>
    <d v="2029-04-08T00:00:00"/>
  </r>
  <r>
    <n v="5778"/>
    <x v="2"/>
    <s v="Tech"/>
    <n v="40.515355319666149"/>
    <d v="2029-04-09T00:00:00"/>
  </r>
  <r>
    <n v="5779"/>
    <x v="4"/>
    <s v="Apps"/>
    <n v="16.048788316482106"/>
    <d v="2029-04-10T00:00:00"/>
  </r>
  <r>
    <n v="5780"/>
    <x v="4"/>
    <s v="Tech"/>
    <n v="53.261593612514268"/>
    <d v="2029-04-11T00:00:00"/>
  </r>
  <r>
    <n v="5781"/>
    <x v="4"/>
    <s v="Tech"/>
    <n v="26.630796806257134"/>
    <d v="2029-04-12T00:00:00"/>
  </r>
  <r>
    <n v="5782"/>
    <x v="4"/>
    <s v="Tech"/>
    <n v="38.590526944457203"/>
    <d v="2029-04-13T00:00:00"/>
  </r>
  <r>
    <n v="5783"/>
    <x v="0"/>
    <s v="Tech"/>
    <n v="61.614294516327789"/>
    <d v="2029-04-14T00:00:00"/>
  </r>
  <r>
    <n v="5784"/>
    <x v="3"/>
    <s v="Tech"/>
    <n v="155.69619093848172"/>
    <d v="2029-04-15T00:00:00"/>
  </r>
  <r>
    <n v="5785"/>
    <x v="2"/>
    <s v="OFM"/>
    <n v="100"/>
    <d v="2029-04-16T00:00:00"/>
  </r>
  <r>
    <n v="5786"/>
    <x v="4"/>
    <s v="OFM"/>
    <n v="130.35685188202706"/>
    <d v="2029-04-17T00:00:00"/>
  </r>
  <r>
    <n v="5787"/>
    <x v="0"/>
    <s v="Systems"/>
    <n v="25.696041524803107"/>
    <d v="2029-04-18T00:00:00"/>
  </r>
  <r>
    <n v="5788"/>
    <x v="0"/>
    <s v="Apps"/>
    <n v="105.51447935921134"/>
    <d v="2029-04-19T00:00:00"/>
  </r>
  <r>
    <n v="5789"/>
    <x v="0"/>
    <s v="OFM"/>
    <n v="243.37646333949476"/>
    <d v="2029-04-20T00:00:00"/>
  </r>
  <r>
    <n v="5790"/>
    <x v="1"/>
    <s v="Apps"/>
    <n v="110.22927689594357"/>
    <d v="2029-04-21T00:00:00"/>
  </r>
  <r>
    <n v="5791"/>
    <x v="0"/>
    <s v="OFM"/>
    <n v="33.838000000000001"/>
    <d v="2029-04-22T00:00:00"/>
  </r>
  <r>
    <n v="5792"/>
    <x v="1"/>
    <s v="Tech"/>
    <n v="11.022927689594356"/>
    <d v="2029-04-23T00:00:00"/>
  </r>
  <r>
    <n v="5793"/>
    <x v="1"/>
    <s v="Apps"/>
    <n v="66.137566137566139"/>
    <d v="2029-04-24T00:00:00"/>
  </r>
  <r>
    <n v="5794"/>
    <x v="0"/>
    <s v="Tech"/>
    <n v="49.291435613062234"/>
    <d v="2029-04-25T00:00:00"/>
  </r>
  <r>
    <n v="5795"/>
    <x v="0"/>
    <s v="Apps"/>
    <n v="231.05360443622922"/>
    <d v="2029-04-26T00:00:00"/>
  </r>
  <r>
    <n v="5796"/>
    <x v="4"/>
    <s v="Tech"/>
    <n v="74.062590274434285"/>
    <d v="2029-04-27T00:00:00"/>
  </r>
  <r>
    <n v="5797"/>
    <x v="4"/>
    <s v="Tech"/>
    <n v="10.814535765149079"/>
    <d v="2029-04-28T00:00:00"/>
  </r>
  <r>
    <n v="5798"/>
    <x v="4"/>
    <s v="Tech"/>
    <n v="200"/>
    <d v="2029-04-29T00:00:00"/>
  </r>
  <r>
    <n v="5799"/>
    <x v="1"/>
    <s v="Systems"/>
    <n v="70.546737213403873"/>
    <d v="2029-04-30T00:00:00"/>
  </r>
  <r>
    <n v="5800"/>
    <x v="4"/>
    <s v="Apps"/>
    <n v="200"/>
    <d v="2029-05-01T00:00:00"/>
  </r>
  <r>
    <n v="5801"/>
    <x v="0"/>
    <s v="Apps"/>
    <n v="103.41261633919338"/>
    <d v="2029-05-02T00:00:00"/>
  </r>
  <r>
    <n v="5802"/>
    <x v="0"/>
    <s v="Apps"/>
    <n v="103.41261633919338"/>
    <d v="2029-05-03T00:00:00"/>
  </r>
  <r>
    <n v="5803"/>
    <x v="1"/>
    <s v="Tech"/>
    <n v="220.45855379188714"/>
    <d v="2029-05-04T00:00:00"/>
  </r>
  <r>
    <n v="5804"/>
    <x v="0"/>
    <s v="Tech"/>
    <n v="69.316081330868769"/>
    <d v="2029-05-05T00:00:00"/>
  </r>
  <r>
    <n v="5805"/>
    <x v="0"/>
    <s v="OFM"/>
    <n v="137.88348845225781"/>
    <d v="2029-05-06T00:00:00"/>
  </r>
  <r>
    <n v="5806"/>
    <x v="0"/>
    <s v="Tech"/>
    <n v="17.235436056532226"/>
    <d v="2029-05-07T00:00:00"/>
  </r>
  <r>
    <n v="5807"/>
    <x v="1"/>
    <s v="Tech"/>
    <n v="1984.1269841269841"/>
    <d v="2029-05-08T00:00:00"/>
  </r>
  <r>
    <n v="5808"/>
    <x v="0"/>
    <s v="Tech"/>
    <n v="46.210720887245841"/>
    <d v="2029-05-09T00:00:00"/>
  </r>
  <r>
    <n v="5809"/>
    <x v="0"/>
    <s v="Systems"/>
    <n v="19.27203114360233"/>
    <d v="2029-05-10T00:00:00"/>
  </r>
  <r>
    <n v="5810"/>
    <x v="0"/>
    <s v="Tech"/>
    <n v="123.22858903265558"/>
    <d v="2029-05-11T00:00:00"/>
  </r>
  <r>
    <n v="5811"/>
    <x v="4"/>
    <s v="Tech"/>
    <n v="48.883819455760147"/>
    <d v="2029-05-12T00:00:00"/>
  </r>
  <r>
    <n v="5812"/>
    <x v="4"/>
    <s v="Systems"/>
    <n v="19.553527782304059"/>
    <d v="2029-05-13T00:00:00"/>
  </r>
  <r>
    <n v="5813"/>
    <x v="0"/>
    <s v="Tech"/>
    <n v="40.611367837338264"/>
    <d v="2029-05-14T00:00:00"/>
  </r>
  <r>
    <n v="5814"/>
    <x v="0"/>
    <s v="Tech"/>
    <n v="15.403573629081947"/>
    <d v="2029-05-15T00:00:00"/>
  </r>
  <r>
    <n v="5815"/>
    <x v="0"/>
    <s v="Tech"/>
    <n v="15.403573629081947"/>
    <d v="2029-05-16T00:00:00"/>
  </r>
  <r>
    <n v="5816"/>
    <x v="0"/>
    <s v="OFM"/>
    <n v="69.316081330868769"/>
    <d v="2029-05-17T00:00:00"/>
  </r>
  <r>
    <n v="5817"/>
    <x v="0"/>
    <s v="Tech"/>
    <n v="46.210720887245841"/>
    <d v="2029-05-18T00:00:00"/>
  </r>
  <r>
    <n v="5818"/>
    <x v="0"/>
    <s v="Tech"/>
    <n v="15.403573629081947"/>
    <d v="2029-05-19T00:00:00"/>
  </r>
  <r>
    <n v="5819"/>
    <x v="4"/>
    <s v="Apps"/>
    <n v="45.95"/>
    <d v="2029-05-20T00:00:00"/>
  </r>
  <r>
    <n v="5820"/>
    <x v="3"/>
    <s v="Tech"/>
    <n v="91.585994669695125"/>
    <d v="2029-05-21T00:00:00"/>
  </r>
  <r>
    <n v="5821"/>
    <x v="4"/>
    <s v="Tech"/>
    <n v="100"/>
    <d v="2029-05-22T00:00:00"/>
  </r>
  <r>
    <n v="5822"/>
    <x v="0"/>
    <s v="Tech"/>
    <n v="86.16477076870045"/>
    <d v="2029-05-23T00:00:00"/>
  </r>
  <r>
    <n v="5823"/>
    <x v="2"/>
    <s v="Apps"/>
    <n v="84.718839351900883"/>
    <d v="2029-05-24T00:00:00"/>
  </r>
  <r>
    <n v="5824"/>
    <x v="4"/>
    <s v="Apps"/>
    <n v="24.846395920430009"/>
    <d v="2029-05-25T00:00:00"/>
  </r>
  <r>
    <n v="5825"/>
    <x v="4"/>
    <s v="Apps"/>
    <n v="65.808090446639511"/>
    <d v="2029-05-26T00:00:00"/>
  </r>
  <r>
    <n v="5826"/>
    <x v="0"/>
    <s v="Apps"/>
    <n v="68.941744226128904"/>
    <d v="2029-05-27T00:00:00"/>
  </r>
  <r>
    <n v="5827"/>
    <x v="1"/>
    <s v="Apps"/>
    <n v="35.714285714285715"/>
    <d v="2029-05-28T00:00:00"/>
  </r>
  <r>
    <n v="5828"/>
    <x v="1"/>
    <s v="Apps"/>
    <n v="33.06878306878307"/>
    <d v="2029-05-29T00:00:00"/>
  </r>
  <r>
    <n v="5829"/>
    <x v="1"/>
    <s v="Tech"/>
    <n v="661.37566137566137"/>
    <d v="2029-05-30T00:00:00"/>
  </r>
  <r>
    <n v="5830"/>
    <x v="0"/>
    <s v="Tech"/>
    <n v="138.63216266173754"/>
    <d v="2029-05-31T00:00:00"/>
  </r>
  <r>
    <n v="5831"/>
    <x v="0"/>
    <s v="Apps"/>
    <n v="5.1706308169596689"/>
    <d v="2029-06-01T00:00:00"/>
  </r>
  <r>
    <n v="5832"/>
    <x v="0"/>
    <s v="Apps"/>
    <n v="62.047569803516026"/>
    <d v="2029-06-02T00:00:00"/>
  </r>
  <r>
    <n v="5833"/>
    <x v="0"/>
    <s v="Apps"/>
    <n v="41.365046535677351"/>
    <d v="2029-06-03T00:00:00"/>
  </r>
  <r>
    <n v="5834"/>
    <x v="0"/>
    <s v="Apps"/>
    <n v="33.092037228541876"/>
    <d v="2029-06-04T00:00:00"/>
  </r>
  <r>
    <n v="5835"/>
    <x v="0"/>
    <s v="Apps"/>
    <n v="64.11582213029989"/>
    <d v="2029-06-05T00:00:00"/>
  </r>
  <r>
    <n v="5836"/>
    <x v="0"/>
    <s v="Apps"/>
    <n v="63.771113409169253"/>
    <d v="2029-06-06T00:00:00"/>
  </r>
  <r>
    <n v="5837"/>
    <x v="0"/>
    <s v="Apps"/>
    <n v="51.706308169596689"/>
    <d v="2029-06-07T00:00:00"/>
  </r>
  <r>
    <n v="5838"/>
    <x v="4"/>
    <s v="Apps"/>
    <n v="11.243278474824834"/>
    <d v="2029-06-08T00:00:00"/>
  </r>
  <r>
    <n v="5839"/>
    <x v="0"/>
    <s v="Systems"/>
    <n v="30.835249829763725"/>
    <d v="2029-06-09T00:00:00"/>
  </r>
  <r>
    <n v="5840"/>
    <x v="0"/>
    <s v="Apps"/>
    <n v="32.747328507411233"/>
    <d v="2029-06-10T00:00:00"/>
  </r>
  <r>
    <n v="5841"/>
    <x v="3"/>
    <s v="Systems"/>
    <n v="228.96498667423779"/>
    <d v="2029-06-11T00:00:00"/>
  </r>
  <r>
    <n v="5842"/>
    <x v="0"/>
    <s v="Tech"/>
    <n v="51.706308169596689"/>
    <d v="2029-06-12T00:00:00"/>
  </r>
  <r>
    <n v="5843"/>
    <x v="0"/>
    <s v="OFM"/>
    <n v="41.365046535677351"/>
    <d v="2029-06-13T00:00:00"/>
  </r>
  <r>
    <n v="5844"/>
    <x v="0"/>
    <s v="OFM"/>
    <n v="62.047569803516026"/>
    <d v="2029-06-14T00:00:00"/>
  </r>
  <r>
    <n v="5845"/>
    <x v="0"/>
    <s v="Systems"/>
    <n v="68.941744226128904"/>
    <d v="2029-06-15T00:00:00"/>
  </r>
  <r>
    <n v="5846"/>
    <x v="0"/>
    <s v="Apps"/>
    <n v="41.365046535677351"/>
    <d v="2029-06-16T00:00:00"/>
  </r>
  <r>
    <n v="5847"/>
    <x v="0"/>
    <s v="Apps"/>
    <n v="31.023784901758013"/>
    <d v="2029-06-17T00:00:00"/>
  </r>
  <r>
    <n v="5848"/>
    <x v="0"/>
    <s v="Apps"/>
    <n v="62.047569803516026"/>
    <d v="2029-06-18T00:00:00"/>
  </r>
  <r>
    <n v="5849"/>
    <x v="0"/>
    <s v="Other"/>
    <n v="154.03573629081947"/>
    <d v="2029-06-19T00:00:00"/>
  </r>
  <r>
    <n v="5850"/>
    <x v="0"/>
    <s v="Tech"/>
    <n v="770.17868145409739"/>
    <d v="2029-06-20T00:00:00"/>
  </r>
  <r>
    <n v="5851"/>
    <x v="1"/>
    <s v="Tech"/>
    <n v="1.5873015873015872"/>
    <d v="2029-06-21T00:00:00"/>
  </r>
  <r>
    <n v="5852"/>
    <x v="0"/>
    <s v="Systems"/>
    <n v="103.41261633919338"/>
    <d v="2029-06-22T00:00:00"/>
  </r>
  <r>
    <n v="5853"/>
    <x v="0"/>
    <s v="Tech"/>
    <n v="241.29610479145123"/>
    <d v="2029-06-23T00:00:00"/>
  </r>
  <r>
    <n v="5854"/>
    <x v="0"/>
    <s v="Apps"/>
    <n v="51.706308169596689"/>
    <d v="2029-06-24T00:00:00"/>
  </r>
  <r>
    <n v="5855"/>
    <x v="1"/>
    <s v="Apps"/>
    <n v="70"/>
    <d v="2029-06-25T00:00:00"/>
  </r>
  <r>
    <n v="5856"/>
    <x v="2"/>
    <s v="Apps"/>
    <n v="741.28984432913273"/>
    <d v="2029-06-26T00:00:00"/>
  </r>
  <r>
    <n v="5857"/>
    <x v="2"/>
    <s v="Apps"/>
    <n v="434.18405167849198"/>
    <d v="2029-06-27T00:00:00"/>
  </r>
  <r>
    <n v="5858"/>
    <x v="0"/>
    <s v="Tech"/>
    <n v="46.210720887245841"/>
    <d v="2029-06-28T00:00:00"/>
  </r>
  <r>
    <n v="5859"/>
    <x v="0"/>
    <s v="Tech"/>
    <n v="77.017868145409736"/>
    <d v="2029-06-29T00:00:00"/>
  </r>
  <r>
    <n v="5860"/>
    <x v="0"/>
    <s v="Tech"/>
    <n v="30.807147258163894"/>
    <d v="2029-06-30T00:00:00"/>
  </r>
  <r>
    <n v="5861"/>
    <x v="0"/>
    <s v="OFM"/>
    <n v="9.2421441774491679"/>
    <d v="2029-07-01T00:00:00"/>
  </r>
  <r>
    <n v="5862"/>
    <x v="4"/>
    <s v="OFM"/>
    <n v="260.71370376405412"/>
    <d v="2029-07-02T00:00:00"/>
  </r>
  <r>
    <n v="5863"/>
    <x v="4"/>
    <s v="Systems"/>
    <n v="1629.4606485253382"/>
    <d v="2029-07-03T00:00:00"/>
  </r>
  <r>
    <n v="5864"/>
    <x v="3"/>
    <s v="Apps"/>
    <n v="91.585994669695125"/>
    <d v="2029-07-04T00:00:00"/>
  </r>
  <r>
    <n v="5865"/>
    <x v="3"/>
    <s v="Apps"/>
    <n v="91.585994669695125"/>
    <d v="2029-07-05T00:00:00"/>
  </r>
  <r>
    <n v="5866"/>
    <x v="3"/>
    <s v="Tech"/>
    <n v="59.530896535301828"/>
    <d v="2029-07-06T00:00:00"/>
  </r>
  <r>
    <n v="5867"/>
    <x v="3"/>
    <s v="Tech"/>
    <n v="195.07816864645059"/>
    <d v="2029-07-07T00:00:00"/>
  </r>
  <r>
    <n v="5868"/>
    <x v="3"/>
    <s v="Tech"/>
    <n v="195.07816864645059"/>
    <d v="2029-07-08T00:00:00"/>
  </r>
  <r>
    <n v="5869"/>
    <x v="3"/>
    <s v="Tech"/>
    <n v="164.85479040545121"/>
    <d v="2029-07-09T00:00:00"/>
  </r>
  <r>
    <n v="5870"/>
    <x v="3"/>
    <s v="Tech"/>
    <n v="47.624717228241458"/>
    <d v="2029-07-10T00:00:00"/>
  </r>
  <r>
    <n v="5871"/>
    <x v="4"/>
    <s v="OFM"/>
    <n v="325.89212970506765"/>
    <d v="2029-07-11T00:00:00"/>
  </r>
  <r>
    <n v="5872"/>
    <x v="4"/>
    <s v="Tech"/>
    <n v="350"/>
    <d v="2029-07-12T00:00:00"/>
  </r>
  <r>
    <n v="5873"/>
    <x v="1"/>
    <s v="Tech"/>
    <n v="88.183421516754848"/>
    <d v="2029-07-13T00:00:00"/>
  </r>
  <r>
    <n v="5874"/>
    <x v="0"/>
    <s v="Tech"/>
    <n v="51.931186000796579"/>
    <d v="2029-07-14T00:00:00"/>
  </r>
  <r>
    <n v="5875"/>
    <x v="2"/>
    <s v="Apps"/>
    <n v="52.949274594938046"/>
    <d v="2029-07-15T00:00:00"/>
  </r>
  <r>
    <n v="5876"/>
    <x v="1"/>
    <s v="OFM"/>
    <n v="49.372134038800709"/>
    <d v="2029-07-16T00:00:00"/>
  </r>
  <r>
    <n v="5877"/>
    <x v="0"/>
    <s v="Tech"/>
    <n v="231.05360443622922"/>
    <d v="2029-07-17T00:00:00"/>
  </r>
  <r>
    <n v="5878"/>
    <x v="0"/>
    <s v="Tech"/>
    <n v="30.807147258163894"/>
    <d v="2029-07-18T00:00:00"/>
  </r>
  <r>
    <n v="5879"/>
    <x v="2"/>
    <s v="OFM"/>
    <n v="5.6721497447532618"/>
    <d v="2029-07-19T00:00:00"/>
  </r>
  <r>
    <n v="5880"/>
    <x v="2"/>
    <s v="OFM"/>
    <n v="42.359419675950441"/>
    <d v="2029-07-20T00:00:00"/>
  </r>
  <r>
    <n v="5881"/>
    <x v="2"/>
    <s v="Apps"/>
    <n v="21.179709837975221"/>
    <d v="2029-07-21T00:00:00"/>
  </r>
  <r>
    <n v="5882"/>
    <x v="2"/>
    <s v="Apps"/>
    <n v="21.179709837975221"/>
    <d v="2029-07-22T00:00:00"/>
  </r>
  <r>
    <n v="5883"/>
    <x v="0"/>
    <s v="Apps"/>
    <n v="19.27203114360233"/>
    <d v="2029-07-23T00:00:00"/>
  </r>
  <r>
    <n v="5884"/>
    <x v="2"/>
    <s v="Apps"/>
    <n v="52.949274594938046"/>
    <d v="2029-07-24T00:00:00"/>
  </r>
  <r>
    <n v="5885"/>
    <x v="2"/>
    <s v="Tech"/>
    <n v="105.89854918987609"/>
    <d v="2029-07-25T00:00:00"/>
  </r>
  <r>
    <n v="5886"/>
    <x v="0"/>
    <s v="Apps"/>
    <n v="103.41261633919338"/>
    <d v="2029-07-26T00:00:00"/>
  </r>
  <r>
    <n v="5887"/>
    <x v="0"/>
    <s v="Apps"/>
    <n v="103.41261633919338"/>
    <d v="2029-07-27T00:00:00"/>
  </r>
  <r>
    <n v="5888"/>
    <x v="0"/>
    <s v="Apps"/>
    <n v="137.88348845225781"/>
    <d v="2029-07-28T00:00:00"/>
  </r>
  <r>
    <n v="5889"/>
    <x v="4"/>
    <s v="Other"/>
    <n v="19553.52778230406"/>
    <d v="2029-07-29T00:00:00"/>
  </r>
  <r>
    <n v="5890"/>
    <x v="2"/>
    <s v="OFM"/>
    <n v="84.718839351900883"/>
    <d v="2029-07-30T00:00:00"/>
  </r>
  <r>
    <n v="5891"/>
    <x v="0"/>
    <s v="Tech"/>
    <n v="385.08934072704869"/>
    <d v="2029-07-31T00:00:00"/>
  </r>
  <r>
    <n v="5892"/>
    <x v="1"/>
    <s v="Apps"/>
    <n v="8.9285714285714288"/>
    <d v="2029-08-01T00:00:00"/>
  </r>
  <r>
    <n v="5893"/>
    <x v="4"/>
    <s v="Systems"/>
    <n v="97.767638911520294"/>
    <d v="2029-08-02T00:00:00"/>
  </r>
  <r>
    <n v="5894"/>
    <x v="2"/>
    <s v="Apps"/>
    <n v="211.79709837975219"/>
    <d v="2029-08-03T00:00:00"/>
  </r>
  <r>
    <n v="5895"/>
    <x v="2"/>
    <s v="Apps"/>
    <n v="0.21179709837975219"/>
    <d v="2029-08-04T00:00:00"/>
  </r>
  <r>
    <n v="5896"/>
    <x v="0"/>
    <s v="Apps"/>
    <n v="86.177180282661155"/>
    <d v="2029-08-05T00:00:00"/>
  </r>
  <r>
    <n v="5897"/>
    <x v="0"/>
    <s v="Systems"/>
    <n v="2.412961047914512"/>
    <d v="2029-08-06T00:00:00"/>
  </r>
  <r>
    <n v="5898"/>
    <x v="0"/>
    <s v="Tech"/>
    <n v="46.210720887245841"/>
    <d v="2029-08-07T00:00:00"/>
  </r>
  <r>
    <n v="5899"/>
    <x v="0"/>
    <s v="Apps"/>
    <n v="86.177180282661155"/>
    <d v="2029-08-08T00:00:00"/>
  </r>
  <r>
    <n v="5900"/>
    <x v="2"/>
    <s v="Other"/>
    <n v="1000"/>
    <d v="2029-08-09T00:00:00"/>
  </r>
  <r>
    <n v="5901"/>
    <x v="1"/>
    <s v="Tech"/>
    <n v="18.04052028218695"/>
    <d v="2029-08-10T00:00:00"/>
  </r>
  <r>
    <n v="5902"/>
    <x v="4"/>
    <s v="Tech"/>
    <n v="195.53527782304059"/>
    <d v="2029-08-11T00:00:00"/>
  </r>
  <r>
    <n v="5903"/>
    <x v="2"/>
    <s v="Apps"/>
    <n v="51.475166790214971"/>
    <d v="2029-08-12T00:00:00"/>
  </r>
  <r>
    <n v="5904"/>
    <x v="0"/>
    <s v="Tech"/>
    <n v="246.45717806531115"/>
    <d v="2029-08-13T00:00:00"/>
  </r>
  <r>
    <n v="5905"/>
    <x v="0"/>
    <s v="Tech"/>
    <n v="154.03573629081947"/>
    <d v="2029-08-14T00:00:00"/>
  </r>
  <r>
    <n v="5906"/>
    <x v="2"/>
    <s v="Tech"/>
    <n v="1058.985491898761"/>
    <d v="2029-08-15T00:00:00"/>
  </r>
  <r>
    <n v="5907"/>
    <x v="0"/>
    <s v="Tech"/>
    <n v="107.82501540357363"/>
    <d v="2029-08-16T00:00:00"/>
  </r>
  <r>
    <n v="5908"/>
    <x v="0"/>
    <s v="OFM"/>
    <n v="81.084411583487366"/>
    <d v="2029-08-17T00:00:00"/>
  </r>
  <r>
    <n v="5909"/>
    <x v="0"/>
    <s v="Other"/>
    <n v="141.89772027110291"/>
    <d v="2029-08-18T00:00:00"/>
  </r>
  <r>
    <n v="5910"/>
    <x v="0"/>
    <s v="Other"/>
    <n v="121.62661737523106"/>
    <d v="2029-08-19T00:00:00"/>
  </r>
  <r>
    <n v="5911"/>
    <x v="0"/>
    <s v="Tech"/>
    <n v="38.508934072704868"/>
    <d v="2029-08-20T00:00:00"/>
  </r>
  <r>
    <n v="5912"/>
    <x v="0"/>
    <s v="Apps"/>
    <n v="172.35436056532231"/>
    <d v="2029-08-21T00:00:00"/>
  </r>
  <r>
    <n v="5913"/>
    <x v="1"/>
    <s v="Tech"/>
    <n v="61.728395061728399"/>
    <d v="2029-08-22T00:00:00"/>
  </r>
  <r>
    <n v="5914"/>
    <x v="1"/>
    <s v="Systems"/>
    <n v="220.45855379188714"/>
    <d v="2029-08-23T00:00:00"/>
  </r>
  <r>
    <n v="5915"/>
    <x v="1"/>
    <s v="Systems"/>
    <n v="220.45855379188714"/>
    <d v="2029-08-24T00:00:00"/>
  </r>
  <r>
    <n v="5916"/>
    <x v="1"/>
    <s v="Systems"/>
    <n v="220.45855379188714"/>
    <d v="2029-08-25T00:00:00"/>
  </r>
  <r>
    <n v="5917"/>
    <x v="4"/>
    <s v="Systems"/>
    <n v="16.294606485253382"/>
    <d v="2029-08-26T00:00:00"/>
  </r>
  <r>
    <n v="5918"/>
    <x v="4"/>
    <s v="OFM"/>
    <n v="300.21151284053843"/>
    <d v="2029-08-27T00:00:00"/>
  </r>
  <r>
    <n v="5919"/>
    <x v="1"/>
    <s v="Tech"/>
    <n v="220.45855379188714"/>
    <d v="2029-08-28T00:00:00"/>
  </r>
  <r>
    <n v="5920"/>
    <x v="0"/>
    <s v="Systems"/>
    <n v="17.235436056532226"/>
    <d v="2029-08-29T00:00:00"/>
  </r>
  <r>
    <n v="5921"/>
    <x v="2"/>
    <s v="Tech"/>
    <n v="254.15651805570261"/>
    <d v="2029-08-30T00:00:00"/>
  </r>
  <r>
    <n v="5922"/>
    <x v="1"/>
    <s v="Apps"/>
    <n v="66.137566137566139"/>
    <d v="2029-08-31T00:00:00"/>
  </r>
  <r>
    <n v="5923"/>
    <x v="3"/>
    <s v="Tech"/>
    <n v="109.90319360363415"/>
    <d v="2029-09-01T00:00:00"/>
  </r>
  <r>
    <n v="5924"/>
    <x v="3"/>
    <s v="Tech"/>
    <n v="109.90319360363415"/>
    <d v="2029-09-02T00:00:00"/>
  </r>
  <r>
    <n v="5925"/>
    <x v="3"/>
    <s v="Tech"/>
    <n v="137.37899200454268"/>
    <d v="2029-09-03T00:00:00"/>
  </r>
  <r>
    <n v="5926"/>
    <x v="3"/>
    <s v="Tech"/>
    <n v="91.585994669695125"/>
    <d v="2029-09-04T00:00:00"/>
  </r>
  <r>
    <n v="5927"/>
    <x v="4"/>
    <s v="Apps"/>
    <n v="75"/>
    <d v="2029-09-05T00:00:00"/>
  </r>
  <r>
    <n v="5928"/>
    <x v="1"/>
    <s v="Tech"/>
    <n v="44.091710758377424"/>
    <d v="2029-09-06T00:00:00"/>
  </r>
  <r>
    <n v="5929"/>
    <x v="4"/>
    <s v="Systems"/>
    <n v="65.178425941013529"/>
    <d v="2029-09-07T00:00:00"/>
  </r>
  <r>
    <n v="5930"/>
    <x v="0"/>
    <s v="Apps"/>
    <n v="51.706308169596689"/>
    <d v="2029-09-08T00:00:00"/>
  </r>
  <r>
    <n v="5931"/>
    <x v="0"/>
    <s v="Apps"/>
    <n v="63.771113409169253"/>
    <d v="2029-09-09T00:00:00"/>
  </r>
  <r>
    <n v="5932"/>
    <x v="0"/>
    <s v="Apps"/>
    <n v="33.781454670803171"/>
    <d v="2029-09-10T00:00:00"/>
  </r>
  <r>
    <n v="5933"/>
    <x v="0"/>
    <s v="Apps"/>
    <n v="41.365046535677351"/>
    <d v="2029-09-11T00:00:00"/>
  </r>
  <r>
    <n v="5934"/>
    <x v="0"/>
    <s v="Apps"/>
    <n v="103.41261633919338"/>
    <d v="2029-09-12T00:00:00"/>
  </r>
  <r>
    <n v="5935"/>
    <x v="0"/>
    <s v="Apps"/>
    <n v="68.941744226128904"/>
    <d v="2029-09-13T00:00:00"/>
  </r>
  <r>
    <n v="5936"/>
    <x v="0"/>
    <s v="Apps"/>
    <n v="103.41261633919338"/>
    <d v="2029-09-14T00:00:00"/>
  </r>
  <r>
    <n v="5937"/>
    <x v="0"/>
    <s v="Apps"/>
    <n v="103.41261633919338"/>
    <d v="2029-09-15T00:00:00"/>
  </r>
  <r>
    <n v="5938"/>
    <x v="0"/>
    <s v="Apps"/>
    <n v="103.41261633919338"/>
    <d v="2029-09-16T00:00:00"/>
  </r>
  <r>
    <n v="5939"/>
    <x v="0"/>
    <s v="Apps"/>
    <n v="103.41261633919338"/>
    <d v="2029-09-17T00:00:00"/>
  </r>
  <r>
    <n v="5940"/>
    <x v="0"/>
    <s v="Apps"/>
    <n v="103.41261633919338"/>
    <d v="2029-09-18T00:00:00"/>
  </r>
  <r>
    <n v="5941"/>
    <x v="0"/>
    <s v="Apps"/>
    <n v="103.41261633919338"/>
    <d v="2029-09-19T00:00:00"/>
  </r>
  <r>
    <n v="5942"/>
    <x v="0"/>
    <s v="Apps"/>
    <n v="103.41261633919338"/>
    <d v="2029-09-20T00:00:00"/>
  </r>
  <r>
    <n v="5943"/>
    <x v="0"/>
    <s v="OFM"/>
    <n v="18.958979662185452"/>
    <d v="2029-09-21T00:00:00"/>
  </r>
  <r>
    <n v="5944"/>
    <x v="4"/>
    <s v="Tech"/>
    <n v="95"/>
    <d v="2029-09-22T00:00:00"/>
  </r>
  <r>
    <n v="5945"/>
    <x v="4"/>
    <s v="OFM"/>
    <n v="100"/>
    <d v="2029-09-23T00:00:00"/>
  </r>
  <r>
    <n v="5946"/>
    <x v="1"/>
    <s v="Apps"/>
    <n v="33.06878306878307"/>
    <d v="2029-09-24T00:00:00"/>
  </r>
  <r>
    <n v="5947"/>
    <x v="1"/>
    <s v="Tech"/>
    <n v="66.137566137566139"/>
    <d v="2029-09-25T00:00:00"/>
  </r>
  <r>
    <n v="5948"/>
    <x v="1"/>
    <s v="Apps"/>
    <n v="16.666666666666668"/>
    <d v="2029-09-26T00:00:00"/>
  </r>
  <r>
    <n v="5949"/>
    <x v="4"/>
    <s v="Tech"/>
    <n v="488.83819455760147"/>
    <d v="2029-09-27T00:00:00"/>
  </r>
  <r>
    <n v="5950"/>
    <x v="0"/>
    <s v="Systems"/>
    <n v="25.696041524803107"/>
    <d v="2029-09-28T00:00:00"/>
  </r>
  <r>
    <n v="5951"/>
    <x v="3"/>
    <s v="Tech"/>
    <n v="228.96498667423779"/>
    <d v="2029-09-29T00:00:00"/>
  </r>
  <r>
    <n v="5952"/>
    <x v="3"/>
    <s v="OFM"/>
    <n v="109.90319360363415"/>
    <d v="2029-09-30T00:00:00"/>
  </r>
  <r>
    <n v="5953"/>
    <x v="1"/>
    <s v="Tech"/>
    <n v="293.80264550264553"/>
    <d v="2029-10-01T00:00:00"/>
  </r>
  <r>
    <n v="5954"/>
    <x v="0"/>
    <s v="OFM"/>
    <n v="101.3555144793592"/>
    <d v="2029-10-02T00:00:00"/>
  </r>
  <r>
    <n v="5955"/>
    <x v="0"/>
    <s v="OFM"/>
    <n v="62.769562538508936"/>
    <d v="2029-10-03T00:00:00"/>
  </r>
  <r>
    <n v="5956"/>
    <x v="0"/>
    <s v="OFM"/>
    <n v="39.664202094886015"/>
    <d v="2029-10-04T00:00:00"/>
  </r>
  <r>
    <n v="5957"/>
    <x v="0"/>
    <s v="OFM"/>
    <n v="82.024029574861373"/>
    <d v="2029-10-05T00:00:00"/>
  </r>
  <r>
    <n v="5958"/>
    <x v="0"/>
    <s v="OFM"/>
    <n v="7.7017868145409736"/>
    <d v="2029-10-06T00:00:00"/>
  </r>
  <r>
    <n v="5959"/>
    <x v="0"/>
    <s v="Tech"/>
    <n v="30.807147258163894"/>
    <d v="2029-10-07T00:00:00"/>
  </r>
  <r>
    <n v="5960"/>
    <x v="4"/>
    <s v="Other"/>
    <n v="197.4242713399185"/>
    <d v="2029-10-08T00:00:00"/>
  </r>
  <r>
    <n v="5961"/>
    <x v="0"/>
    <s v="Systems"/>
    <n v="41.365046535677351"/>
    <d v="2029-10-09T00:00:00"/>
  </r>
  <r>
    <n v="5962"/>
    <x v="0"/>
    <s v="OFM"/>
    <n v="7.4426014672439713"/>
    <d v="2029-10-10T00:00:00"/>
  </r>
  <r>
    <n v="5963"/>
    <x v="3"/>
    <s v="Tech"/>
    <n v="183.17198933939025"/>
    <d v="2029-10-11T00:00:00"/>
  </r>
  <r>
    <n v="5964"/>
    <x v="0"/>
    <s v="Apps"/>
    <n v="431.30006161429452"/>
    <d v="2029-10-12T00:00:00"/>
  </r>
  <r>
    <n v="5965"/>
    <x v="0"/>
    <s v="Apps"/>
    <n v="123.22858903265558"/>
    <d v="2029-10-13T00:00:00"/>
  </r>
  <r>
    <n v="5966"/>
    <x v="0"/>
    <s v="Apps"/>
    <n v="123.22858903265558"/>
    <d v="2029-10-14T00:00:00"/>
  </r>
  <r>
    <n v="5967"/>
    <x v="4"/>
    <s v="Tech"/>
    <n v="20.125"/>
    <d v="2029-10-15T00:00:00"/>
  </r>
  <r>
    <n v="5968"/>
    <x v="0"/>
    <s v="Tech"/>
    <n v="2.6229231299551876"/>
    <d v="2029-10-16T00:00:00"/>
  </r>
  <r>
    <n v="5969"/>
    <x v="0"/>
    <s v="Tech"/>
    <n v="5.2458807307824884"/>
    <d v="2029-10-17T00:00:00"/>
  </r>
  <r>
    <n v="5970"/>
    <x v="0"/>
    <s v="Tech"/>
    <n v="10.341261633919338"/>
    <d v="2029-10-18T00:00:00"/>
  </r>
  <r>
    <n v="5971"/>
    <x v="0"/>
    <s v="OFM"/>
    <n v="51.706308169596689"/>
    <d v="2029-10-19T00:00:00"/>
  </r>
  <r>
    <n v="5972"/>
    <x v="0"/>
    <s v="Systems"/>
    <n v="27.576697690451567"/>
    <d v="2029-10-20T00:00:00"/>
  </r>
  <r>
    <n v="5973"/>
    <x v="1"/>
    <s v="Tech"/>
    <n v="16.534391534391535"/>
    <d v="2029-10-21T00:00:00"/>
  </r>
  <r>
    <n v="5974"/>
    <x v="0"/>
    <s v="Apps"/>
    <n v="924.21441774491689"/>
    <d v="2029-10-22T00:00:00"/>
  </r>
  <r>
    <n v="5975"/>
    <x v="0"/>
    <s v="Apps"/>
    <n v="184.84288354898337"/>
    <d v="2029-10-23T00:00:00"/>
  </r>
  <r>
    <n v="5976"/>
    <x v="1"/>
    <s v="Tech"/>
    <n v="110.22927689594357"/>
    <d v="2029-10-24T00:00:00"/>
  </r>
  <r>
    <n v="5977"/>
    <x v="0"/>
    <s v="Apps"/>
    <n v="308.07147258163894"/>
    <d v="2029-10-25T00:00:00"/>
  </r>
  <r>
    <n v="5978"/>
    <x v="4"/>
    <s v="Apps"/>
    <n v="325.89212970506765"/>
    <d v="2029-10-26T00:00:00"/>
  </r>
  <r>
    <n v="5979"/>
    <x v="4"/>
    <s v="OFM"/>
    <n v="162.94606485253382"/>
    <d v="2029-10-27T00:00:00"/>
  </r>
  <r>
    <n v="5980"/>
    <x v="1"/>
    <s v="OFM"/>
    <n v="33.06878306878307"/>
    <d v="2029-10-28T00:00:00"/>
  </r>
  <r>
    <n v="5981"/>
    <x v="4"/>
    <s v="Apps"/>
    <n v="2.8724132312204662"/>
    <d v="2029-10-29T00:00:00"/>
  </r>
  <r>
    <n v="5982"/>
    <x v="2"/>
    <s v="Apps"/>
    <n v="37.064492216456628"/>
    <d v="2029-10-30T00:00:00"/>
  </r>
  <r>
    <n v="5983"/>
    <x v="0"/>
    <s v="Apps"/>
    <n v="7.7017868145409736"/>
    <d v="2029-10-31T00:00:00"/>
  </r>
  <r>
    <n v="5984"/>
    <x v="2"/>
    <s v="Apps"/>
    <n v="21.179709837975221"/>
    <d v="2029-11-01T00:00:00"/>
  </r>
  <r>
    <n v="5985"/>
    <x v="3"/>
    <s v="OFM"/>
    <n v="5.4951596801817066"/>
    <d v="2029-11-02T00:00:00"/>
  </r>
  <r>
    <n v="5986"/>
    <x v="3"/>
    <s v="OFM"/>
    <n v="11.906179307060365"/>
    <d v="2029-11-03T00:00:00"/>
  </r>
  <r>
    <n v="5987"/>
    <x v="3"/>
    <s v="OFM"/>
    <n v="45.792997334847563"/>
    <d v="2029-11-04T00:00:00"/>
  </r>
  <r>
    <n v="5988"/>
    <x v="1"/>
    <s v="Apps"/>
    <n v="55.114638447971785"/>
    <d v="2029-11-05T00:00:00"/>
  </r>
  <r>
    <n v="5989"/>
    <x v="0"/>
    <s v="Tech"/>
    <n v="736.44485520640785"/>
    <d v="2029-11-06T00:00:00"/>
  </r>
  <r>
    <n v="5990"/>
    <x v="0"/>
    <s v="OFM"/>
    <n v="3.8508934072704868"/>
    <d v="2029-11-07T00:00:00"/>
  </r>
  <r>
    <n v="5991"/>
    <x v="0"/>
    <s v="Apps"/>
    <n v="231.05360443622922"/>
    <d v="2029-11-08T00:00:00"/>
  </r>
  <r>
    <n v="5992"/>
    <x v="0"/>
    <s v="Tech"/>
    <n v="246.45717806531115"/>
    <d v="2029-11-09T00:00:00"/>
  </r>
  <r>
    <n v="5993"/>
    <x v="4"/>
    <s v="Apps"/>
    <n v="179.8941798941799"/>
    <d v="2029-11-10T00:00:00"/>
  </r>
  <r>
    <n v="5994"/>
    <x v="0"/>
    <s v="Tech"/>
    <n v="38.508934072704868"/>
    <d v="2029-11-11T00:00:00"/>
  </r>
  <r>
    <n v="5995"/>
    <x v="0"/>
    <s v="Tech"/>
    <n v="46.210720887245841"/>
    <d v="2029-11-12T00:00:00"/>
  </r>
  <r>
    <n v="5996"/>
    <x v="4"/>
    <s v="Apps"/>
    <n v="150"/>
    <d v="2029-11-13T00:00:00"/>
  </r>
  <r>
    <n v="5997"/>
    <x v="4"/>
    <s v="Apps"/>
    <n v="100"/>
    <d v="2029-11-14T00:00:00"/>
  </r>
  <r>
    <n v="5998"/>
    <x v="0"/>
    <s v="Apps"/>
    <n v="84.411583487369072"/>
    <d v="2029-11-15T00:00:00"/>
  </r>
  <r>
    <n v="5999"/>
    <x v="2"/>
    <s v="Apps"/>
    <n v="158.84782378481412"/>
    <d v="2029-11-16T00:00:00"/>
  </r>
  <r>
    <n v="6000"/>
    <x v="2"/>
    <s v="Apps"/>
    <n v="105.89854918987609"/>
    <d v="2029-11-17T00:00:00"/>
  </r>
  <r>
    <n v="6001"/>
    <x v="2"/>
    <s v="Apps"/>
    <n v="105.89854918987609"/>
    <d v="2029-11-18T00:00:00"/>
  </r>
  <r>
    <n v="6002"/>
    <x v="2"/>
    <s v="Apps"/>
    <n v="52.949274594938046"/>
    <d v="2029-11-19T00:00:00"/>
  </r>
  <r>
    <n v="6003"/>
    <x v="2"/>
    <s v="Apps"/>
    <n v="105.89854918987609"/>
    <d v="2029-11-20T00:00:00"/>
  </r>
  <r>
    <n v="6004"/>
    <x v="2"/>
    <s v="Apps"/>
    <n v="105.89854918987609"/>
    <d v="2029-11-21T00:00:00"/>
  </r>
  <r>
    <n v="6005"/>
    <x v="1"/>
    <s v="Tech"/>
    <n v="22.045855379188712"/>
    <d v="2029-11-22T00:00:00"/>
  </r>
  <r>
    <n v="6006"/>
    <x v="1"/>
    <s v="Apps"/>
    <n v="66.137566137566139"/>
    <d v="2029-11-23T00:00:00"/>
  </r>
  <r>
    <n v="6007"/>
    <x v="1"/>
    <s v="Apps"/>
    <n v="17.636684303350968"/>
    <d v="2029-11-24T00:00:00"/>
  </r>
  <r>
    <n v="6008"/>
    <x v="0"/>
    <s v="Tech"/>
    <n v="51.706308169596689"/>
    <d v="2029-11-25T00:00:00"/>
  </r>
  <r>
    <n v="6009"/>
    <x v="2"/>
    <s v="Tech"/>
    <n v="42.359419675950441"/>
    <d v="2029-11-26T00:00:00"/>
  </r>
  <r>
    <n v="6010"/>
    <x v="0"/>
    <s v="Tech"/>
    <n v="27.576697690451567"/>
    <d v="2029-11-27T00:00:00"/>
  </r>
  <r>
    <n v="6011"/>
    <x v="0"/>
    <s v="Systems"/>
    <n v="55.153395380903135"/>
    <d v="2029-11-28T00:00:00"/>
  </r>
  <r>
    <n v="6012"/>
    <x v="1"/>
    <s v="Apps"/>
    <n v="31.25"/>
    <d v="2029-11-29T00:00:00"/>
  </r>
  <r>
    <n v="6013"/>
    <x v="4"/>
    <s v="Tech"/>
    <n v="102.73808976891625"/>
    <d v="2029-11-30T00:00:00"/>
  </r>
  <r>
    <n v="6014"/>
    <x v="1"/>
    <s v="Apps"/>
    <n v="110.22927689594357"/>
    <d v="2029-12-01T00:00:00"/>
  </r>
  <r>
    <n v="6015"/>
    <x v="1"/>
    <s v="Apps"/>
    <n v="88.183421516754848"/>
    <d v="2029-12-02T00:00:00"/>
  </r>
  <r>
    <n v="6016"/>
    <x v="1"/>
    <s v="Apps"/>
    <n v="88.183421516754848"/>
    <d v="2029-12-03T00:00:00"/>
  </r>
  <r>
    <n v="6017"/>
    <x v="1"/>
    <s v="Apps"/>
    <n v="88.183421516754848"/>
    <d v="2029-12-04T00:00:00"/>
  </r>
  <r>
    <n v="6018"/>
    <x v="1"/>
    <s v="Apps"/>
    <n v="26.785714285714285"/>
    <d v="2029-12-05T00:00:00"/>
  </r>
  <r>
    <n v="6019"/>
    <x v="1"/>
    <s v="Apps"/>
    <n v="88.183421516754848"/>
    <d v="2029-12-06T00:00:00"/>
  </r>
  <r>
    <n v="6020"/>
    <x v="1"/>
    <s v="Apps"/>
    <n v="88.183421516754848"/>
    <d v="2029-12-07T00:00:00"/>
  </r>
  <r>
    <n v="6021"/>
    <x v="1"/>
    <s v="Apps"/>
    <n v="88.183421516754848"/>
    <d v="2029-12-08T00:00:00"/>
  </r>
  <r>
    <n v="6022"/>
    <x v="1"/>
    <s v="Apps"/>
    <n v="88.183421516754848"/>
    <d v="2029-12-09T00:00:00"/>
  </r>
  <r>
    <n v="6023"/>
    <x v="1"/>
    <s v="Apps"/>
    <n v="88.183421516754848"/>
    <d v="2029-12-10T00:00:00"/>
  </r>
  <r>
    <n v="6024"/>
    <x v="1"/>
    <s v="Apps"/>
    <n v="88.183421516754848"/>
    <d v="2029-12-11T00:00:00"/>
  </r>
  <r>
    <n v="6025"/>
    <x v="1"/>
    <s v="Apps"/>
    <n v="88.183421516754848"/>
    <d v="2029-12-12T00:00:00"/>
  </r>
  <r>
    <n v="6026"/>
    <x v="1"/>
    <s v="Tech"/>
    <n v="44.091710758377424"/>
    <d v="2029-12-13T00:00:00"/>
  </r>
  <r>
    <n v="6027"/>
    <x v="0"/>
    <s v="OFM"/>
    <n v="462.10720887245844"/>
    <d v="2029-12-14T00:00:00"/>
  </r>
  <r>
    <n v="6028"/>
    <x v="0"/>
    <s v="Tech"/>
    <n v="172.35436056532231"/>
    <d v="2029-12-15T00:00:00"/>
  </r>
  <r>
    <n v="6029"/>
    <x v="4"/>
    <s v="Tech"/>
    <n v="90"/>
    <d v="2029-12-16T00:00:00"/>
  </r>
  <r>
    <n v="6030"/>
    <x v="4"/>
    <s v="Tech"/>
    <n v="40.121970791205264"/>
    <d v="2029-12-17T00:00:00"/>
  </r>
  <r>
    <n v="6031"/>
    <x v="1"/>
    <s v="Apps"/>
    <n v="66.137566137566139"/>
    <d v="2029-12-18T00:00:00"/>
  </r>
  <r>
    <n v="6032"/>
    <x v="1"/>
    <s v="Apps"/>
    <n v="66.137566137566139"/>
    <d v="2029-12-19T00:00:00"/>
  </r>
  <r>
    <n v="6033"/>
    <x v="1"/>
    <s v="Apps"/>
    <n v="88.183421516754848"/>
    <d v="2029-12-20T00:00:00"/>
  </r>
  <r>
    <n v="6034"/>
    <x v="1"/>
    <s v="Systems"/>
    <n v="661.37566137566137"/>
    <d v="2029-12-21T00:00:00"/>
  </r>
  <r>
    <n v="6035"/>
    <x v="4"/>
    <s v="Tech"/>
    <n v="163.38"/>
    <d v="2029-12-22T00:00:00"/>
  </r>
  <r>
    <n v="6036"/>
    <x v="4"/>
    <s v="Tech"/>
    <n v="40.121970791205264"/>
    <d v="2029-12-23T00:00:00"/>
  </r>
  <r>
    <n v="6037"/>
    <x v="2"/>
    <s v="Apps"/>
    <n v="32.412284255732921"/>
    <d v="2029-12-24T00:00:00"/>
  </r>
  <r>
    <n v="6038"/>
    <x v="2"/>
    <s v="Apps"/>
    <n v="84.718839351900883"/>
    <d v="2029-12-25T00:00:00"/>
  </r>
  <r>
    <n v="6039"/>
    <x v="4"/>
    <s v="Tech"/>
    <n v="20.106240834283852"/>
    <d v="2029-12-26T00:00:00"/>
  </r>
  <r>
    <n v="6040"/>
    <x v="0"/>
    <s v="Tech"/>
    <n v="33.887861983980287"/>
    <d v="2029-12-27T00:00:00"/>
  </r>
  <r>
    <n v="6041"/>
    <x v="4"/>
    <s v="Apps"/>
    <n v="80"/>
    <d v="2029-12-28T00:00:00"/>
  </r>
  <r>
    <n v="6042"/>
    <x v="4"/>
    <s v="Tech"/>
    <n v="95"/>
    <d v="2029-12-29T00:00:00"/>
  </r>
  <r>
    <n v="6043"/>
    <x v="3"/>
    <s v="Tech"/>
    <n v="155.69619093848172"/>
    <d v="2029-12-30T00:00:00"/>
  </r>
  <r>
    <n v="6044"/>
    <x v="0"/>
    <s v="Apps"/>
    <n v="84.411583487369072"/>
    <d v="2029-12-31T00:00:00"/>
  </r>
  <r>
    <n v="6045"/>
    <x v="0"/>
    <s v="Apps"/>
    <n v="256.96041524803104"/>
    <d v="2030-01-01T00:00:00"/>
  </r>
  <r>
    <n v="6046"/>
    <x v="1"/>
    <s v="Tech"/>
    <n v="195.868430335097"/>
    <d v="2030-01-02T00:00:00"/>
  </r>
  <r>
    <n v="6047"/>
    <x v="1"/>
    <s v="Tech"/>
    <n v="22.045855379188712"/>
    <d v="2030-01-03T00:00:00"/>
  </r>
  <r>
    <n v="6048"/>
    <x v="1"/>
    <s v="Tech"/>
    <n v="37.47795414462081"/>
    <d v="2030-01-04T00:00:00"/>
  </r>
  <r>
    <n v="6049"/>
    <x v="1"/>
    <s v="Apps"/>
    <n v="55.114638447971785"/>
    <d v="2030-01-05T00:00:00"/>
  </r>
  <r>
    <n v="6050"/>
    <x v="1"/>
    <s v="Tech"/>
    <n v="14.329805996472663"/>
    <d v="2030-01-06T00:00:00"/>
  </r>
  <r>
    <n v="6051"/>
    <x v="0"/>
    <s v="Tech"/>
    <n v="7.7017868145409736"/>
    <d v="2030-01-07T00:00:00"/>
  </r>
  <r>
    <n v="6052"/>
    <x v="0"/>
    <s v="OFM"/>
    <n v="46.210720887245841"/>
    <d v="2030-01-08T00:00:00"/>
  </r>
  <r>
    <n v="6053"/>
    <x v="0"/>
    <s v="Tech"/>
    <n v="30.807147258163894"/>
    <d v="2030-01-09T00:00:00"/>
  </r>
  <r>
    <n v="6054"/>
    <x v="0"/>
    <s v="Tech"/>
    <n v="123.22858903265558"/>
    <d v="2030-01-10T00:00:00"/>
  </r>
  <r>
    <n v="6055"/>
    <x v="0"/>
    <s v="Apps"/>
    <n v="77.017868145409736"/>
    <d v="2030-01-11T00:00:00"/>
  </r>
  <r>
    <n v="6056"/>
    <x v="0"/>
    <s v="Apps"/>
    <n v="38.508934072704868"/>
    <d v="2030-01-12T00:00:00"/>
  </r>
  <r>
    <n v="6057"/>
    <x v="2"/>
    <s v="OFM"/>
    <n v="42.359419675950441"/>
    <d v="2030-01-13T00:00:00"/>
  </r>
  <r>
    <n v="6058"/>
    <x v="4"/>
    <s v="Tech"/>
    <n v="19.799911731664263"/>
    <d v="2030-01-14T00:00:00"/>
  </r>
  <r>
    <n v="6059"/>
    <x v="1"/>
    <s v="Tech"/>
    <n v="94.841269841269835"/>
    <d v="2030-01-15T00:00:00"/>
  </r>
  <r>
    <n v="6060"/>
    <x v="0"/>
    <s v="Tech"/>
    <n v="51.392083049606214"/>
    <d v="2030-01-16T00:00:00"/>
  </r>
  <r>
    <n v="6061"/>
    <x v="1"/>
    <s v="Apps"/>
    <n v="66.137566137566139"/>
    <d v="2030-01-17T00:00:00"/>
  </r>
  <r>
    <n v="6062"/>
    <x v="1"/>
    <s v="Apps"/>
    <n v="66.137566137566139"/>
    <d v="2030-01-18T00:00:00"/>
  </r>
  <r>
    <n v="6063"/>
    <x v="0"/>
    <s v="Apps"/>
    <n v="172.35436056532231"/>
    <d v="2030-01-19T00:00:00"/>
  </r>
  <r>
    <n v="6064"/>
    <x v="0"/>
    <s v="Tech"/>
    <n v="31.572388831437433"/>
    <d v="2030-01-20T00:00:00"/>
  </r>
  <r>
    <n v="6065"/>
    <x v="0"/>
    <s v="Systems"/>
    <n v="68.941744226128904"/>
    <d v="2030-01-21T00:00:00"/>
  </r>
  <r>
    <n v="6066"/>
    <x v="0"/>
    <s v="Tech"/>
    <n v="172.35436056532231"/>
    <d v="2030-01-22T00:00:00"/>
  </r>
  <r>
    <n v="6067"/>
    <x v="0"/>
    <s v="OFM"/>
    <n v="68.941744226128904"/>
    <d v="2030-01-23T00:00:00"/>
  </r>
  <r>
    <n v="6068"/>
    <x v="1"/>
    <s v="Apps"/>
    <n v="66.137566137566139"/>
    <d v="2030-01-24T00:00:00"/>
  </r>
  <r>
    <n v="6069"/>
    <x v="1"/>
    <s v="Apps"/>
    <n v="66.137566137566139"/>
    <d v="2030-01-25T00:00:00"/>
  </r>
  <r>
    <n v="6070"/>
    <x v="1"/>
    <s v="Apps"/>
    <n v="66.137566137566139"/>
    <d v="2030-01-26T00:00:00"/>
  </r>
  <r>
    <n v="6071"/>
    <x v="4"/>
    <s v="Apps"/>
    <n v="100"/>
    <d v="2030-01-27T00:00:00"/>
  </r>
  <r>
    <n v="6072"/>
    <x v="1"/>
    <s v="Apps"/>
    <n v="88.183421516754848"/>
    <d v="2030-01-28T00:00:00"/>
  </r>
  <r>
    <n v="6073"/>
    <x v="1"/>
    <s v="Apps"/>
    <n v="66.137566137566139"/>
    <d v="2030-01-29T00:00:00"/>
  </r>
  <r>
    <n v="6074"/>
    <x v="4"/>
    <s v="Tech"/>
    <n v="100"/>
    <d v="2030-01-30T00:00:00"/>
  </r>
  <r>
    <n v="6075"/>
    <x v="2"/>
    <s v="Apps"/>
    <n v="529.49274594938049"/>
    <d v="2030-01-31T00:00:00"/>
  </r>
  <r>
    <n v="6076"/>
    <x v="4"/>
    <s v="Apps"/>
    <n v="210"/>
    <d v="2030-02-01T00:00:00"/>
  </r>
  <r>
    <n v="6077"/>
    <x v="4"/>
    <s v="Apps"/>
    <n v="100"/>
    <d v="2030-02-02T00:00:00"/>
  </r>
  <r>
    <n v="6078"/>
    <x v="3"/>
    <s v="OFM"/>
    <n v="22.896498667423781"/>
    <d v="2030-02-03T00:00:00"/>
  </r>
  <r>
    <n v="6079"/>
    <x v="3"/>
    <s v="Other"/>
    <n v="41.213697601362803"/>
    <d v="2030-02-04T00:00:00"/>
  </r>
  <r>
    <n v="6080"/>
    <x v="3"/>
    <s v="OFM"/>
    <n v="39.3819777079689"/>
    <d v="2030-02-05T00:00:00"/>
  </r>
  <r>
    <n v="6081"/>
    <x v="4"/>
    <s v="Tech"/>
    <n v="263.23236178655804"/>
    <d v="2030-02-06T00:00:00"/>
  </r>
  <r>
    <n v="6082"/>
    <x v="1"/>
    <s v="Tech"/>
    <n v="1102.2927689594355"/>
    <d v="2030-02-07T00:00:00"/>
  </r>
  <r>
    <n v="6083"/>
    <x v="1"/>
    <s v="OFM"/>
    <n v="33.06878306878307"/>
    <d v="2030-02-08T00:00:00"/>
  </r>
  <r>
    <n v="6084"/>
    <x v="3"/>
    <s v="OFM"/>
    <n v="45.792997334847563"/>
    <d v="2030-02-09T00:00:00"/>
  </r>
  <r>
    <n v="6085"/>
    <x v="0"/>
    <s v="Tech"/>
    <n v="26.956253850893408"/>
    <d v="2030-02-10T00:00:00"/>
  </r>
  <r>
    <n v="6086"/>
    <x v="0"/>
    <s v="OFM"/>
    <n v="32.34750462107209"/>
    <d v="2030-02-11T00:00:00"/>
  </r>
  <r>
    <n v="6087"/>
    <x v="0"/>
    <s v="Tech"/>
    <n v="140.17252002464573"/>
    <d v="2030-02-12T00:00:00"/>
  </r>
  <r>
    <n v="6088"/>
    <x v="0"/>
    <s v="OFM"/>
    <n v="140.17252002464573"/>
    <d v="2030-02-13T00:00:00"/>
  </r>
  <r>
    <n v="6089"/>
    <x v="0"/>
    <s v="Tech"/>
    <n v="24.645717806531117"/>
    <d v="2030-02-14T00:00:00"/>
  </r>
  <r>
    <n v="6090"/>
    <x v="0"/>
    <s v="Tech"/>
    <n v="24.645717806531117"/>
    <d v="2030-02-15T00:00:00"/>
  </r>
  <r>
    <n v="6091"/>
    <x v="0"/>
    <s v="Tech"/>
    <n v="24.645717806531117"/>
    <d v="2030-02-16T00:00:00"/>
  </r>
  <r>
    <n v="6092"/>
    <x v="0"/>
    <s v="Tech"/>
    <n v="49.291435613062234"/>
    <d v="2030-02-17T00:00:00"/>
  </r>
  <r>
    <n v="6093"/>
    <x v="0"/>
    <s v="Tech"/>
    <n v="24.645717806531117"/>
    <d v="2030-02-18T00:00:00"/>
  </r>
  <r>
    <n v="6094"/>
    <x v="0"/>
    <s v="Tech"/>
    <n v="24.645717806531117"/>
    <d v="2030-02-19T00:00:00"/>
  </r>
  <r>
    <n v="6095"/>
    <x v="0"/>
    <s v="OFM"/>
    <n v="66.235366605052377"/>
    <d v="2030-02-20T00:00:00"/>
  </r>
  <r>
    <n v="6096"/>
    <x v="0"/>
    <s v="OFM"/>
    <n v="66.235366605052377"/>
    <d v="2030-02-21T00:00:00"/>
  </r>
  <r>
    <n v="6097"/>
    <x v="0"/>
    <s v="Tech"/>
    <n v="46.210720887245841"/>
    <d v="2030-02-22T00:00:00"/>
  </r>
  <r>
    <n v="6098"/>
    <x v="0"/>
    <s v="Tech"/>
    <n v="30.807147258163894"/>
    <d v="2030-02-23T00:00:00"/>
  </r>
  <r>
    <n v="6099"/>
    <x v="4"/>
    <s v="Tech"/>
    <n v="95"/>
    <d v="2030-02-24T00:00:00"/>
  </r>
  <r>
    <n v="6100"/>
    <x v="0"/>
    <s v="OFM"/>
    <n v="66.235366605052377"/>
    <d v="2030-02-25T00:00:00"/>
  </r>
  <r>
    <n v="6101"/>
    <x v="0"/>
    <s v="OFM"/>
    <n v="66.235366605052377"/>
    <d v="2030-02-26T00:00:00"/>
  </r>
  <r>
    <n v="6102"/>
    <x v="0"/>
    <s v="Tech"/>
    <n v="49.291435613062234"/>
    <d v="2030-02-27T00:00:00"/>
  </r>
  <r>
    <n v="6103"/>
    <x v="0"/>
    <s v="OFM"/>
    <n v="66.235366605052377"/>
    <d v="2030-02-28T00:00:00"/>
  </r>
  <r>
    <n v="6104"/>
    <x v="0"/>
    <s v="OFM"/>
    <n v="66.235366605052377"/>
    <d v="2030-03-01T00:00:00"/>
  </r>
  <r>
    <n v="6105"/>
    <x v="0"/>
    <s v="Tech"/>
    <n v="215.65003080714726"/>
    <d v="2030-03-02T00:00:00"/>
  </r>
  <r>
    <n v="6106"/>
    <x v="0"/>
    <s v="OFM"/>
    <n v="66.235366605052377"/>
    <d v="2030-03-03T00:00:00"/>
  </r>
  <r>
    <n v="6107"/>
    <x v="0"/>
    <s v="Apps"/>
    <n v="30.807147258163894"/>
    <d v="2030-03-04T00:00:00"/>
  </r>
  <r>
    <n v="6108"/>
    <x v="0"/>
    <s v="Systems"/>
    <n v="369.68576709796673"/>
    <d v="2030-03-05T00:00:00"/>
  </r>
  <r>
    <n v="6109"/>
    <x v="4"/>
    <s v="Apps"/>
    <n v="24"/>
    <d v="2030-03-06T00:00:00"/>
  </r>
  <r>
    <n v="6110"/>
    <x v="1"/>
    <s v="Apps"/>
    <n v="231.41333774250441"/>
    <d v="2030-03-07T00:00:00"/>
  </r>
  <r>
    <n v="6111"/>
    <x v="1"/>
    <s v="Apps"/>
    <n v="110.22927689594357"/>
    <d v="2030-03-08T00:00:00"/>
  </r>
  <r>
    <n v="6112"/>
    <x v="1"/>
    <s v="Apps"/>
    <n v="88.183421516754848"/>
    <d v="2030-03-09T00:00:00"/>
  </r>
  <r>
    <n v="6113"/>
    <x v="1"/>
    <s v="Tech"/>
    <n v="16.534391534391535"/>
    <d v="2030-03-10T00:00:00"/>
  </r>
  <r>
    <n v="6114"/>
    <x v="1"/>
    <s v="Apps"/>
    <n v="66.137566137566139"/>
    <d v="2030-03-11T00:00:00"/>
  </r>
  <r>
    <n v="6115"/>
    <x v="0"/>
    <s v="Systems"/>
    <n v="10.341261633919338"/>
    <d v="2030-03-12T00:00:00"/>
  </r>
  <r>
    <n v="6116"/>
    <x v="4"/>
    <s v="Apps"/>
    <n v="15.888300433317285"/>
    <d v="2030-03-13T00:00:00"/>
  </r>
  <r>
    <n v="6117"/>
    <x v="4"/>
    <s v="Apps"/>
    <n v="31.776600866634571"/>
    <d v="2030-03-14T00:00:00"/>
  </r>
  <r>
    <n v="6118"/>
    <x v="0"/>
    <s v="Apps"/>
    <n v="462.10720887245844"/>
    <d v="2030-03-15T00:00:00"/>
  </r>
  <r>
    <n v="6119"/>
    <x v="0"/>
    <s v="Tech"/>
    <n v="69.316081330868769"/>
    <d v="2030-03-16T00:00:00"/>
  </r>
  <r>
    <n v="6120"/>
    <x v="0"/>
    <s v="OFM"/>
    <n v="24.645717806531117"/>
    <d v="2030-03-17T00:00:00"/>
  </r>
  <r>
    <n v="6121"/>
    <x v="0"/>
    <s v="Apps"/>
    <n v="431.30006161429452"/>
    <d v="2030-03-18T00:00:00"/>
  </r>
  <r>
    <n v="6122"/>
    <x v="0"/>
    <s v="Apps"/>
    <n v="154.03573629081947"/>
    <d v="2030-03-19T00:00:00"/>
  </r>
  <r>
    <n v="6123"/>
    <x v="0"/>
    <s v="Tech"/>
    <n v="50.83179297597043"/>
    <d v="2030-03-20T00:00:00"/>
  </r>
  <r>
    <n v="6124"/>
    <x v="1"/>
    <s v="Apps"/>
    <n v="66.137566137566139"/>
    <d v="2030-03-21T00:00:00"/>
  </r>
  <r>
    <n v="6125"/>
    <x v="1"/>
    <s v="Apps"/>
    <n v="66.137566137566139"/>
    <d v="2030-03-22T00:00:00"/>
  </r>
  <r>
    <n v="6126"/>
    <x v="1"/>
    <s v="Apps"/>
    <n v="66.137566137566139"/>
    <d v="2030-03-23T00:00:00"/>
  </r>
  <r>
    <n v="6127"/>
    <x v="0"/>
    <s v="Apps"/>
    <n v="172.35436056532231"/>
    <d v="2030-03-24T00:00:00"/>
  </r>
  <r>
    <n v="6128"/>
    <x v="0"/>
    <s v="OFM"/>
    <n v="50.061614294516332"/>
    <d v="2030-03-25T00:00:00"/>
  </r>
  <r>
    <n v="6129"/>
    <x v="1"/>
    <s v="OFM"/>
    <n v="44.091710758377424"/>
    <d v="2030-03-26T00:00:00"/>
  </r>
  <r>
    <n v="6130"/>
    <x v="1"/>
    <s v="Tech"/>
    <n v="14.329805996472663"/>
    <d v="2030-03-27T00:00:00"/>
  </r>
  <r>
    <n v="6131"/>
    <x v="1"/>
    <s v="Tech"/>
    <n v="22.045855379188712"/>
    <d v="2030-03-28T00:00:00"/>
  </r>
  <r>
    <n v="6132"/>
    <x v="1"/>
    <s v="Apps"/>
    <n v="66.137566137566139"/>
    <d v="2030-03-29T00:00:00"/>
  </r>
  <r>
    <n v="6133"/>
    <x v="1"/>
    <s v="Apps"/>
    <n v="66.137566137566139"/>
    <d v="2030-03-30T00:00:00"/>
  </r>
  <r>
    <n v="6134"/>
    <x v="1"/>
    <s v="Tech"/>
    <n v="110.22927689594357"/>
    <d v="2030-03-31T00:00:00"/>
  </r>
  <r>
    <n v="6135"/>
    <x v="4"/>
    <s v="OFM"/>
    <n v="250"/>
    <d v="2030-04-01T00:00:00"/>
  </r>
  <r>
    <n v="6136"/>
    <x v="0"/>
    <s v="OFM"/>
    <n v="37.5"/>
    <d v="2030-04-02T00:00:00"/>
  </r>
  <r>
    <n v="6137"/>
    <x v="1"/>
    <s v="Apps"/>
    <n v="88.183421516754848"/>
    <d v="2030-04-03T00:00:00"/>
  </r>
  <r>
    <n v="6138"/>
    <x v="1"/>
    <s v="Apps"/>
    <n v="66.137566137566139"/>
    <d v="2030-04-04T00:00:00"/>
  </r>
  <r>
    <n v="6139"/>
    <x v="1"/>
    <s v="Apps"/>
    <n v="66.137566137566139"/>
    <d v="2030-04-05T00:00:00"/>
  </r>
  <r>
    <n v="6140"/>
    <x v="1"/>
    <s v="Apps"/>
    <n v="66.137566137566139"/>
    <d v="2030-04-06T00:00:00"/>
  </r>
  <r>
    <n v="6141"/>
    <x v="1"/>
    <s v="Apps"/>
    <n v="66.137566137566139"/>
    <d v="2030-04-07T00:00:00"/>
  </r>
  <r>
    <n v="6142"/>
    <x v="1"/>
    <s v="Apps"/>
    <n v="66.137566137566139"/>
    <d v="2030-04-08T00:00:00"/>
  </r>
  <r>
    <n v="6143"/>
    <x v="1"/>
    <s v="Apps"/>
    <n v="66.137566137566139"/>
    <d v="2030-04-09T00:00:00"/>
  </r>
  <r>
    <n v="6144"/>
    <x v="1"/>
    <s v="Apps"/>
    <n v="66.137566137566139"/>
    <d v="2030-04-10T00:00:00"/>
  </r>
  <r>
    <n v="6145"/>
    <x v="4"/>
    <s v="Tech"/>
    <n v="16.294606485253382"/>
    <d v="2030-04-11T00:00:00"/>
  </r>
  <r>
    <n v="6146"/>
    <x v="4"/>
    <s v="Tech"/>
    <n v="18.92543758901089"/>
    <d v="2030-04-12T00:00:00"/>
  </r>
  <r>
    <n v="6147"/>
    <x v="4"/>
    <s v="Tech"/>
    <n v="102.73808976891625"/>
    <d v="2030-04-13T00:00:00"/>
  </r>
  <r>
    <n v="6148"/>
    <x v="2"/>
    <s v="Apps"/>
    <n v="79.423911892407062"/>
    <d v="2030-04-14T00:00:00"/>
  </r>
  <r>
    <n v="6149"/>
    <x v="2"/>
    <s v="Apps"/>
    <n v="52.949274594938046"/>
    <d v="2030-04-15T00:00:00"/>
  </r>
  <r>
    <n v="6150"/>
    <x v="2"/>
    <s v="Apps"/>
    <n v="52.949274594938046"/>
    <d v="2030-04-16T00:00:00"/>
  </r>
  <r>
    <n v="6151"/>
    <x v="2"/>
    <s v="Apps"/>
    <n v="74.128984432913256"/>
    <d v="2030-04-17T00:00:00"/>
  </r>
  <r>
    <n v="6152"/>
    <x v="2"/>
    <s v="Apps"/>
    <n v="4.0515355319666151"/>
    <d v="2030-04-18T00:00:00"/>
  </r>
  <r>
    <n v="6153"/>
    <x v="4"/>
    <s v="Tech"/>
    <n v="20.060963844351544"/>
    <d v="2030-04-19T00:00:00"/>
  </r>
  <r>
    <n v="6154"/>
    <x v="4"/>
    <s v="Systems"/>
    <n v="325.89212970506765"/>
    <d v="2030-04-20T00:00:00"/>
  </r>
  <r>
    <n v="6155"/>
    <x v="2"/>
    <s v="OFM"/>
    <n v="42.359419675950441"/>
    <d v="2030-04-21T00:00:00"/>
  </r>
  <r>
    <n v="6156"/>
    <x v="3"/>
    <s v="Tech"/>
    <n v="320.5509813439329"/>
    <d v="2030-04-22T00:00:00"/>
  </r>
  <r>
    <n v="6157"/>
    <x v="3"/>
    <s v="OFM"/>
    <n v="41.213697601362803"/>
    <d v="2030-04-23T00:00:00"/>
  </r>
  <r>
    <n v="6158"/>
    <x v="0"/>
    <s v="OFM"/>
    <n v="69.316081330868769"/>
    <d v="2030-04-24T00:00:00"/>
  </r>
  <r>
    <n v="6159"/>
    <x v="0"/>
    <s v="Tech"/>
    <n v="6.8941744226128918"/>
    <d v="2030-04-25T00:00:00"/>
  </r>
  <r>
    <n v="6160"/>
    <x v="0"/>
    <s v="Apps"/>
    <n v="164.81823783117684"/>
    <d v="2030-04-26T00:00:00"/>
  </r>
  <r>
    <n v="6161"/>
    <x v="0"/>
    <s v="Apps"/>
    <n v="17.235436056532226"/>
    <d v="2030-04-27T00:00:00"/>
  </r>
  <r>
    <n v="6162"/>
    <x v="0"/>
    <s v="Tech"/>
    <n v="41.365046535677351"/>
    <d v="2030-04-28T00:00:00"/>
  </r>
  <r>
    <n v="6163"/>
    <x v="0"/>
    <s v="Tech"/>
    <n v="147.38710789382969"/>
    <d v="2030-04-29T00:00:00"/>
  </r>
  <r>
    <n v="6164"/>
    <x v="3"/>
    <s v="Tech"/>
    <n v="82.427395202725606"/>
    <d v="2030-04-30T00:00:00"/>
  </r>
  <r>
    <n v="6165"/>
    <x v="3"/>
    <s v="Tech"/>
    <n v="137.37899200454268"/>
    <d v="2030-05-01T00:00:00"/>
  </r>
  <r>
    <n v="6166"/>
    <x v="3"/>
    <s v="OFM"/>
    <n v="22.896498667423781"/>
    <d v="2030-05-02T00:00:00"/>
  </r>
  <r>
    <n v="6167"/>
    <x v="3"/>
    <s v="OFM"/>
    <n v="6.4110196268786588"/>
    <d v="2030-05-03T00:00:00"/>
  </r>
  <r>
    <n v="6168"/>
    <x v="3"/>
    <s v="Tech"/>
    <n v="48.540577174938413"/>
    <d v="2030-05-04T00:00:00"/>
  </r>
  <r>
    <n v="6169"/>
    <x v="1"/>
    <s v="Tech"/>
    <n v="35.273368606701936"/>
    <d v="2030-05-05T00:00:00"/>
  </r>
  <r>
    <n v="6170"/>
    <x v="1"/>
    <s v="Tech"/>
    <n v="95.899470899470913"/>
    <d v="2030-05-06T00:00:00"/>
  </r>
  <r>
    <n v="6171"/>
    <x v="1"/>
    <s v="Tech"/>
    <n v="21.031746031746032"/>
    <d v="2030-05-07T00:00:00"/>
  </r>
  <r>
    <n v="6172"/>
    <x v="1"/>
    <s v="Apps"/>
    <n v="33.06878306878307"/>
    <d v="2030-05-08T00:00:00"/>
  </r>
  <r>
    <n v="6173"/>
    <x v="1"/>
    <s v="Tech"/>
    <n v="133.36847442680775"/>
    <d v="2030-05-09T00:00:00"/>
  </r>
  <r>
    <n v="6174"/>
    <x v="0"/>
    <s v="Tech"/>
    <n v="34.470872113064452"/>
    <d v="2030-05-10T00:00:00"/>
  </r>
  <r>
    <n v="6175"/>
    <x v="2"/>
    <s v="Systems"/>
    <n v="127.0782590278513"/>
    <d v="2030-05-11T00:00:00"/>
  </r>
  <r>
    <n v="6176"/>
    <x v="4"/>
    <s v="Tech"/>
    <n v="215.87685990115625"/>
    <d v="2030-05-12T00:00:00"/>
  </r>
  <r>
    <n v="6177"/>
    <x v="0"/>
    <s v="OFM"/>
    <n v="51.392083049606214"/>
    <d v="2030-05-13T00:00:00"/>
  </r>
  <r>
    <n v="6178"/>
    <x v="0"/>
    <s v="Tech"/>
    <n v="3.8544062287204657"/>
    <d v="2030-05-14T00:00:00"/>
  </r>
  <r>
    <n v="6179"/>
    <x v="1"/>
    <s v="Tech"/>
    <n v="120.77475749559083"/>
    <d v="2030-05-15T00:00:00"/>
  </r>
  <r>
    <n v="6180"/>
    <x v="2"/>
    <s v="OFM"/>
    <n v="60.362173038229372"/>
    <d v="2030-05-16T00:00:00"/>
  </r>
  <r>
    <n v="6181"/>
    <x v="4"/>
    <s v="Tech"/>
    <n v="18.92543758901089"/>
    <d v="2030-05-17T00:00:00"/>
  </r>
  <r>
    <n v="6182"/>
    <x v="4"/>
    <s v="Tech"/>
    <n v="513.69044884458128"/>
    <d v="2030-05-18T00:00:00"/>
  </r>
  <r>
    <n v="6183"/>
    <x v="4"/>
    <s v="Apps"/>
    <n v="65.808090446639511"/>
    <d v="2030-05-19T00:00:00"/>
  </r>
  <r>
    <n v="6184"/>
    <x v="0"/>
    <s v="OFM"/>
    <n v="30.807147258163894"/>
    <d v="2030-05-20T00:00:00"/>
  </r>
  <r>
    <n v="6185"/>
    <x v="1"/>
    <s v="Apps"/>
    <n v="44.091710758377424"/>
    <d v="2030-05-21T00:00:00"/>
  </r>
  <r>
    <n v="6186"/>
    <x v="4"/>
    <s v="Tech"/>
    <n v="70.946488512302423"/>
    <d v="2030-05-22T00:00:00"/>
  </r>
  <r>
    <n v="6187"/>
    <x v="1"/>
    <s v="Tech"/>
    <n v="551.14638447971777"/>
    <d v="2030-05-23T00:00:00"/>
  </r>
  <r>
    <n v="6188"/>
    <x v="1"/>
    <s v="Tech"/>
    <n v="163.13932980599648"/>
    <d v="2030-05-24T00:00:00"/>
  </r>
  <r>
    <n v="6189"/>
    <x v="4"/>
    <s v="Apps"/>
    <n v="19"/>
    <d v="2030-05-25T00:00:00"/>
  </r>
  <r>
    <n v="6190"/>
    <x v="4"/>
    <s v="Tech"/>
    <n v="162.94606485253382"/>
    <d v="2030-05-26T00:00:00"/>
  </r>
  <r>
    <n v="6191"/>
    <x v="4"/>
    <s v="Tech"/>
    <n v="175.19547939541508"/>
    <d v="2030-05-27T00:00:00"/>
  </r>
  <r>
    <n v="6192"/>
    <x v="1"/>
    <s v="Tech"/>
    <n v="110.22927689594357"/>
    <d v="2030-05-28T00:00:00"/>
  </r>
  <r>
    <n v="6193"/>
    <x v="1"/>
    <s v="Tech"/>
    <n v="119.47982804232804"/>
    <d v="2030-05-29T00:00:00"/>
  </r>
  <r>
    <n v="6194"/>
    <x v="3"/>
    <s v="Tech"/>
    <n v="50.372297068332315"/>
    <d v="2030-05-30T00:00:00"/>
  </r>
  <r>
    <n v="6195"/>
    <x v="0"/>
    <s v="Tech"/>
    <n v="46.210720887245841"/>
    <d v="2030-05-31T00:00:00"/>
  </r>
  <r>
    <n v="6196"/>
    <x v="1"/>
    <s v="Tech"/>
    <n v="440.91710758377428"/>
    <d v="2030-06-01T00:00:00"/>
  </r>
  <r>
    <n v="6197"/>
    <x v="0"/>
    <s v="Tech"/>
    <n v="61.614294516327789"/>
    <d v="2030-06-02T00:00:00"/>
  </r>
  <r>
    <n v="6198"/>
    <x v="0"/>
    <s v="Systems"/>
    <n v="128.48020762401552"/>
    <d v="2030-06-03T00:00:00"/>
  </r>
  <r>
    <n v="6199"/>
    <x v="4"/>
    <s v="Apps"/>
    <n v="131.93733633481878"/>
    <d v="2030-06-04T00:00:00"/>
  </r>
  <r>
    <n v="6200"/>
    <x v="0"/>
    <s v="OFM"/>
    <n v="154.03573629081947"/>
    <d v="2030-06-05T00:00:00"/>
  </r>
  <r>
    <n v="6201"/>
    <x v="1"/>
    <s v="Tech"/>
    <n v="50"/>
    <d v="2030-06-06T00:00:00"/>
  </r>
  <r>
    <n v="6202"/>
    <x v="1"/>
    <s v="Tech"/>
    <n v="60"/>
    <d v="2030-06-07T00:00:00"/>
  </r>
  <r>
    <n v="6203"/>
    <x v="4"/>
    <s v="Systems"/>
    <n v="600"/>
    <d v="2030-06-08T00:00:00"/>
  </r>
  <r>
    <n v="6204"/>
    <x v="1"/>
    <s v="Tech"/>
    <n v="81.569664902998241"/>
    <d v="2030-06-09T00:00:00"/>
  </r>
  <r>
    <n v="6205"/>
    <x v="2"/>
    <s v="Tech"/>
    <n v="127.0782590278513"/>
    <d v="2030-06-10T00:00:00"/>
  </r>
  <r>
    <n v="6206"/>
    <x v="4"/>
    <s v="Tech"/>
    <n v="389.32328754536684"/>
    <d v="2030-06-11T00:00:00"/>
  </r>
  <r>
    <n v="6207"/>
    <x v="4"/>
    <s v="Apps"/>
    <n v="50"/>
    <d v="2030-06-12T00:00:00"/>
  </r>
  <r>
    <n v="6208"/>
    <x v="4"/>
    <s v="Apps"/>
    <n v="25"/>
    <d v="2030-06-13T00:00:00"/>
  </r>
  <r>
    <n v="6209"/>
    <x v="0"/>
    <s v="Systems"/>
    <n v="128.48020762401552"/>
    <d v="2030-06-14T00:00:00"/>
  </r>
  <r>
    <n v="6210"/>
    <x v="4"/>
    <s v="Apps"/>
    <n v="20"/>
    <d v="2030-06-15T00:00:00"/>
  </r>
  <r>
    <n v="6211"/>
    <x v="4"/>
    <s v="Apps"/>
    <n v="250"/>
    <d v="2030-06-16T00:00:00"/>
  </r>
  <r>
    <n v="6212"/>
    <x v="4"/>
    <s v="Tech"/>
    <n v="102.73808976891625"/>
    <d v="2030-06-17T00:00:00"/>
  </r>
  <r>
    <n v="6213"/>
    <x v="0"/>
    <s v="Tech"/>
    <n v="462.10720887245844"/>
    <d v="2030-06-18T00:00:00"/>
  </r>
  <r>
    <n v="6214"/>
    <x v="0"/>
    <s v="Tech"/>
    <n v="27.726432532347506"/>
    <d v="2030-06-19T00:00:00"/>
  </r>
  <r>
    <n v="6215"/>
    <x v="3"/>
    <s v="Tech"/>
    <n v="109.90319360363415"/>
    <d v="2030-06-20T00:00:00"/>
  </r>
  <r>
    <n v="6216"/>
    <x v="3"/>
    <s v="OFM"/>
    <n v="77.84809546924086"/>
    <d v="2030-06-21T00:00:00"/>
  </r>
  <r>
    <n v="6217"/>
    <x v="1"/>
    <s v="Apps"/>
    <n v="1686.5079365079366"/>
    <d v="2030-06-22T00:00:00"/>
  </r>
  <r>
    <n v="6218"/>
    <x v="4"/>
    <s v="Apps"/>
    <n v="60"/>
    <d v="2030-06-23T00:00:00"/>
  </r>
  <r>
    <n v="6219"/>
    <x v="4"/>
    <s v="Apps"/>
    <n v="29.7"/>
    <d v="2030-06-24T00:00:00"/>
  </r>
  <r>
    <n v="6220"/>
    <x v="4"/>
    <s v="Apps"/>
    <n v="100"/>
    <d v="2030-06-25T00:00:00"/>
  </r>
  <r>
    <n v="6221"/>
    <x v="0"/>
    <s v="OFM"/>
    <n v="462.10720887245844"/>
    <d v="2030-06-26T00:00:00"/>
  </r>
  <r>
    <n v="6222"/>
    <x v="4"/>
    <s v="Tech"/>
    <n v="117.32116669382435"/>
    <d v="2030-06-27T00:00:00"/>
  </r>
  <r>
    <n v="6223"/>
    <x v="0"/>
    <s v="Tech"/>
    <n v="25.696041524803107"/>
    <d v="2030-06-28T00:00:00"/>
  </r>
  <r>
    <n v="6224"/>
    <x v="0"/>
    <s v="Tech"/>
    <n v="25.696041524803107"/>
    <d v="2030-06-29T00:00:00"/>
  </r>
  <r>
    <n v="6225"/>
    <x v="0"/>
    <s v="OFM"/>
    <n v="30.807147258163894"/>
    <d v="2030-06-30T00:00:00"/>
  </r>
  <r>
    <n v="6226"/>
    <x v="0"/>
    <s v="Tech"/>
    <n v="46.210720887245841"/>
    <d v="2030-07-01T00:00:00"/>
  </r>
  <r>
    <n v="6227"/>
    <x v="0"/>
    <s v="Tech"/>
    <n v="123.22858903265558"/>
    <d v="2030-07-02T00:00:00"/>
  </r>
  <r>
    <n v="6228"/>
    <x v="0"/>
    <s v="Tech"/>
    <n v="46.210720887245841"/>
    <d v="2030-07-03T00:00:00"/>
  </r>
  <r>
    <n v="6229"/>
    <x v="0"/>
    <s v="Tech"/>
    <n v="308.07147258163894"/>
    <d v="2030-07-04T00:00:00"/>
  </r>
  <r>
    <n v="6230"/>
    <x v="0"/>
    <s v="Tech"/>
    <n v="25.696041524803107"/>
    <d v="2030-07-05T00:00:00"/>
  </r>
  <r>
    <n v="6231"/>
    <x v="0"/>
    <s v="Tech"/>
    <n v="25.696041524803107"/>
    <d v="2030-07-06T00:00:00"/>
  </r>
  <r>
    <n v="6232"/>
    <x v="0"/>
    <s v="Tech"/>
    <n v="25.696041524803107"/>
    <d v="2030-07-07T00:00:00"/>
  </r>
  <r>
    <n v="6233"/>
    <x v="0"/>
    <s v="Tech"/>
    <n v="51.392083049606214"/>
    <d v="2030-07-08T00:00:00"/>
  </r>
  <r>
    <n v="6234"/>
    <x v="0"/>
    <s v="Tech"/>
    <n v="51.392083049606214"/>
    <d v="2030-07-09T00:00:00"/>
  </r>
  <r>
    <n v="6235"/>
    <x v="0"/>
    <s v="Tech"/>
    <n v="51.392083049606214"/>
    <d v="2030-07-10T00:00:00"/>
  </r>
  <r>
    <n v="6236"/>
    <x v="0"/>
    <s v="Tech"/>
    <n v="51.392083049606214"/>
    <d v="2030-07-11T00:00:00"/>
  </r>
  <r>
    <n v="6237"/>
    <x v="1"/>
    <s v="Tech"/>
    <n v="470.53670634920633"/>
    <d v="2030-07-12T00:00:00"/>
  </r>
  <r>
    <n v="6238"/>
    <x v="1"/>
    <s v="Apps"/>
    <n v="22.045855379188712"/>
    <d v="2030-07-13T00:00:00"/>
  </r>
  <r>
    <n v="6239"/>
    <x v="0"/>
    <s v="OFM"/>
    <n v="154.03573629081947"/>
    <d v="2030-07-14T00:00:00"/>
  </r>
  <r>
    <n v="6240"/>
    <x v="2"/>
    <s v="Apps"/>
    <n v="211.79709837975219"/>
    <d v="2030-07-15T00:00:00"/>
  </r>
  <r>
    <n v="6241"/>
    <x v="4"/>
    <s v="Systems"/>
    <n v="32.589212970506765"/>
    <d v="2030-07-16T00:00:00"/>
  </r>
  <r>
    <n v="6242"/>
    <x v="4"/>
    <s v="OFM"/>
    <n v="32.200000000000003"/>
    <d v="2030-07-17T00:00:00"/>
  </r>
  <r>
    <n v="6243"/>
    <x v="2"/>
    <s v="OFM"/>
    <n v="89.16657841787567"/>
    <d v="2030-07-18T00:00:00"/>
  </r>
  <r>
    <n v="6244"/>
    <x v="0"/>
    <s v="Tech"/>
    <n v="53.912507701786815"/>
    <d v="2030-07-19T00:00:00"/>
  </r>
  <r>
    <n v="6245"/>
    <x v="4"/>
    <s v="Apps"/>
    <n v="82.260113058299382"/>
    <d v="2030-07-20T00:00:00"/>
  </r>
  <r>
    <n v="6246"/>
    <x v="2"/>
    <s v="Tech"/>
    <n v="74.128984432913256"/>
    <d v="2030-07-21T00:00:00"/>
  </r>
  <r>
    <n v="6247"/>
    <x v="4"/>
    <s v="Tech"/>
    <n v="51.369044884458127"/>
    <d v="2030-07-22T00:00:00"/>
  </r>
  <r>
    <n v="6248"/>
    <x v="0"/>
    <s v="Apps"/>
    <n v="15.417624914881863"/>
    <d v="2030-07-23T00:00:00"/>
  </r>
  <r>
    <n v="6249"/>
    <x v="2"/>
    <s v="Apps"/>
    <n v="158.84782378481412"/>
    <d v="2030-07-24T00:00:00"/>
  </r>
  <r>
    <n v="6250"/>
    <x v="4"/>
    <s v="Tech"/>
    <n v="300"/>
    <d v="2030-07-25T00:00:00"/>
  </r>
  <r>
    <n v="6251"/>
    <x v="4"/>
    <s v="Apps"/>
    <n v="6.8046276682418121"/>
    <d v="2030-07-26T00:00:00"/>
  </r>
  <r>
    <n v="6252"/>
    <x v="4"/>
    <s v="Apps"/>
    <n v="7.1956982238878933"/>
    <d v="2030-07-27T00:00:00"/>
  </r>
  <r>
    <n v="6253"/>
    <x v="4"/>
    <s v="Apps"/>
    <n v="8.5057845853022656"/>
    <d v="2030-07-28T00:00:00"/>
  </r>
  <r>
    <n v="6254"/>
    <x v="3"/>
    <s v="Tech"/>
    <n v="32.05509813439329"/>
    <d v="2030-07-29T00:00:00"/>
  </r>
  <r>
    <n v="6255"/>
    <x v="4"/>
    <s v="Apps"/>
    <n v="8.994622779859867"/>
    <d v="2030-07-30T00:00:00"/>
  </r>
  <r>
    <n v="6256"/>
    <x v="1"/>
    <s v="Tech"/>
    <n v="60"/>
    <d v="2030-07-31T00:00:00"/>
  </r>
  <r>
    <n v="6257"/>
    <x v="0"/>
    <s v="Systems"/>
    <n v="59.100895507047142"/>
    <d v="2030-08-01T00:00:00"/>
  </r>
  <r>
    <n v="6258"/>
    <x v="4"/>
    <s v="Apps"/>
    <n v="5.1034707511813595"/>
    <d v="2030-08-02T00:00:00"/>
  </r>
  <r>
    <n v="6259"/>
    <x v="4"/>
    <s v="Apps"/>
    <n v="3.402313834120906"/>
    <d v="2030-08-03T00:00:00"/>
  </r>
  <r>
    <n v="6260"/>
    <x v="4"/>
    <s v="OFM"/>
    <n v="802.43941582410525"/>
    <d v="2030-08-04T00:00:00"/>
  </r>
  <r>
    <n v="6261"/>
    <x v="4"/>
    <s v="Apps"/>
    <n v="5.1034707511813595"/>
    <d v="2030-08-05T00:00:00"/>
  </r>
  <r>
    <n v="6262"/>
    <x v="4"/>
    <s v="Apps"/>
    <n v="3.402313834120906"/>
    <d v="2030-08-06T00:00:00"/>
  </r>
  <r>
    <n v="6263"/>
    <x v="4"/>
    <s v="Apps"/>
    <n v="5.9540492097115854"/>
    <d v="2030-08-07T00:00:00"/>
  </r>
  <r>
    <n v="6264"/>
    <x v="4"/>
    <s v="Apps"/>
    <n v="6.8046276682418121"/>
    <d v="2030-08-08T00:00:00"/>
  </r>
  <r>
    <n v="6265"/>
    <x v="4"/>
    <s v="Apps"/>
    <n v="8.5057845853022656"/>
    <d v="2030-08-09T00:00:00"/>
  </r>
  <r>
    <n v="6266"/>
    <x v="4"/>
    <s v="Tech"/>
    <n v="102.73808976891625"/>
    <d v="2030-08-10T00:00:00"/>
  </r>
  <r>
    <n v="6267"/>
    <x v="0"/>
    <s v="OFM"/>
    <n v="23.105360443622921"/>
    <d v="2030-08-11T00:00:00"/>
  </r>
  <r>
    <n v="6268"/>
    <x v="0"/>
    <s v="Tech"/>
    <n v="30.807147258163894"/>
    <d v="2030-08-12T00:00:00"/>
  </r>
  <r>
    <n v="6269"/>
    <x v="0"/>
    <s v="Tech"/>
    <n v="30.807147258163894"/>
    <d v="2030-08-13T00:00:00"/>
  </r>
  <r>
    <n v="6270"/>
    <x v="0"/>
    <s v="OFM"/>
    <n v="23.105360443622921"/>
    <d v="2030-08-14T00:00:00"/>
  </r>
  <r>
    <n v="6271"/>
    <x v="0"/>
    <s v="OFM"/>
    <n v="23.105360443622921"/>
    <d v="2030-08-15T00:00:00"/>
  </r>
  <r>
    <n v="6272"/>
    <x v="0"/>
    <s v="Tech"/>
    <n v="30.807147258163894"/>
    <d v="2030-08-16T00:00:00"/>
  </r>
  <r>
    <n v="6273"/>
    <x v="4"/>
    <s v="Tech"/>
    <n v="8.0430177611210691"/>
    <d v="2030-08-17T00:00:00"/>
  </r>
  <r>
    <n v="6274"/>
    <x v="1"/>
    <s v="Apps"/>
    <n v="176.3668430335097"/>
    <d v="2030-08-18T00:00:00"/>
  </r>
  <r>
    <n v="6275"/>
    <x v="4"/>
    <s v="Tech"/>
    <n v="100"/>
    <d v="2030-08-19T00:00:00"/>
  </r>
  <r>
    <n v="6276"/>
    <x v="1"/>
    <s v="Tech"/>
    <n v="88.183421516754848"/>
    <d v="2030-08-20T00:00:00"/>
  </r>
  <r>
    <n v="6277"/>
    <x v="1"/>
    <s v="Tech"/>
    <n v="13.227513227513228"/>
    <d v="2030-08-21T00:00:00"/>
  </r>
  <r>
    <n v="6278"/>
    <x v="0"/>
    <s v="Tech"/>
    <n v="84.719654959950716"/>
    <d v="2030-08-22T00:00:00"/>
  </r>
  <r>
    <n v="6279"/>
    <x v="0"/>
    <s v="Tech"/>
    <n v="3.0807147258163896"/>
    <d v="2030-08-23T00:00:00"/>
  </r>
  <r>
    <n v="6280"/>
    <x v="0"/>
    <s v="Tech"/>
    <n v="5.0831792975970433"/>
    <d v="2030-08-24T00:00:00"/>
  </r>
  <r>
    <n v="6281"/>
    <x v="0"/>
    <s v="Tech"/>
    <n v="77.017868145409736"/>
    <d v="2030-08-25T00:00:00"/>
  </r>
  <r>
    <n v="6282"/>
    <x v="0"/>
    <s v="Tech"/>
    <n v="15.403573629081947"/>
    <d v="2030-08-26T00:00:00"/>
  </r>
  <r>
    <n v="6283"/>
    <x v="3"/>
    <s v="OFM"/>
    <n v="10.990319360363413"/>
    <d v="2030-08-27T00:00:00"/>
  </r>
  <r>
    <n v="6284"/>
    <x v="3"/>
    <s v="OFM"/>
    <n v="6.4110196268786588"/>
    <d v="2030-08-28T00:00:00"/>
  </r>
  <r>
    <n v="6285"/>
    <x v="0"/>
    <s v="Tech"/>
    <n v="116.14867729626251"/>
    <d v="2030-08-29T00:00:00"/>
  </r>
  <r>
    <n v="6286"/>
    <x v="4"/>
    <s v="Apps"/>
    <n v="45.941103505306202"/>
    <d v="2030-08-30T00:00:00"/>
  </r>
  <r>
    <n v="6287"/>
    <x v="2"/>
    <s v="OFM"/>
    <n v="211.79709837975219"/>
    <d v="2030-08-31T00:00:00"/>
  </r>
  <r>
    <n v="6288"/>
    <x v="4"/>
    <s v="OFM"/>
    <n v="119"/>
    <d v="2030-09-01T00:00:00"/>
  </r>
  <r>
    <n v="6289"/>
    <x v="0"/>
    <s v="Tech"/>
    <n v="61.614294516327789"/>
    <d v="2030-09-02T00:00:00"/>
  </r>
  <r>
    <n v="6290"/>
    <x v="0"/>
    <s v="Tech"/>
    <n v="24.645717806531117"/>
    <d v="2030-09-03T00:00:00"/>
  </r>
  <r>
    <n v="6291"/>
    <x v="0"/>
    <s v="Tech"/>
    <n v="154.03573629081947"/>
    <d v="2030-09-04T00:00:00"/>
  </r>
  <r>
    <n v="6292"/>
    <x v="0"/>
    <s v="Tech"/>
    <n v="58.533579790511403"/>
    <d v="2030-09-05T00:00:00"/>
  </r>
  <r>
    <n v="6293"/>
    <x v="0"/>
    <s v="Tech"/>
    <n v="26.186075169439309"/>
    <d v="2030-09-06T00:00:00"/>
  </r>
  <r>
    <n v="6294"/>
    <x v="0"/>
    <s v="Tech"/>
    <n v="46.210720887245841"/>
    <d v="2030-09-07T00:00:00"/>
  </r>
  <r>
    <n v="6295"/>
    <x v="0"/>
    <s v="Tech"/>
    <n v="154.03573629081947"/>
    <d v="2030-09-08T00:00:00"/>
  </r>
  <r>
    <n v="6296"/>
    <x v="0"/>
    <s v="OFM"/>
    <n v="154.03573629081947"/>
    <d v="2030-09-09T00:00:00"/>
  </r>
  <r>
    <n v="6297"/>
    <x v="2"/>
    <s v="Apps"/>
    <n v="79.423911892407062"/>
    <d v="2030-09-10T00:00:00"/>
  </r>
  <r>
    <n v="6298"/>
    <x v="0"/>
    <s v="Tech"/>
    <n v="77.017868145409736"/>
    <d v="2030-09-11T00:00:00"/>
  </r>
  <r>
    <n v="6299"/>
    <x v="0"/>
    <s v="Tech"/>
    <n v="308.07147258163894"/>
    <d v="2030-09-12T00:00:00"/>
  </r>
  <r>
    <n v="6300"/>
    <x v="0"/>
    <s v="Tech"/>
    <n v="123.22858903265558"/>
    <d v="2030-09-13T00:00:00"/>
  </r>
  <r>
    <n v="6301"/>
    <x v="0"/>
    <s v="Apps"/>
    <n v="77.088124574409321"/>
    <d v="2030-09-14T00:00:00"/>
  </r>
  <r>
    <n v="6302"/>
    <x v="0"/>
    <s v="Apps"/>
    <n v="51.392083049606214"/>
    <d v="2030-09-15T00:00:00"/>
  </r>
  <r>
    <n v="6303"/>
    <x v="1"/>
    <s v="Tech"/>
    <n v="0.66137566137566139"/>
    <d v="2030-09-16T00:00:00"/>
  </r>
  <r>
    <n v="6304"/>
    <x v="1"/>
    <s v="Apps"/>
    <n v="66.137566137566139"/>
    <d v="2030-09-17T00:00:00"/>
  </r>
  <r>
    <n v="6305"/>
    <x v="4"/>
    <s v="Tech"/>
    <n v="1140"/>
    <d v="2030-09-18T00:00:00"/>
  </r>
  <r>
    <n v="6306"/>
    <x v="4"/>
    <s v="Tech"/>
    <n v="300"/>
    <d v="2030-09-19T00:00:00"/>
  </r>
  <r>
    <n v="6307"/>
    <x v="0"/>
    <s v="Apps"/>
    <n v="77.017868145409736"/>
    <d v="2030-09-20T00:00:00"/>
  </r>
  <r>
    <n v="6308"/>
    <x v="0"/>
    <s v="Tech"/>
    <n v="11.326172703095088"/>
    <d v="2030-09-21T00:00:00"/>
  </r>
  <r>
    <n v="6309"/>
    <x v="0"/>
    <s v="OFM"/>
    <n v="2.5888761836239129"/>
    <d v="2030-09-22T00:00:00"/>
  </r>
  <r>
    <n v="6310"/>
    <x v="1"/>
    <s v="Tech"/>
    <n v="1.5950396825396826"/>
    <d v="2030-09-23T00:00:00"/>
  </r>
  <r>
    <n v="6311"/>
    <x v="4"/>
    <s v="Apps"/>
    <n v="130"/>
    <d v="2030-09-24T00:00:00"/>
  </r>
  <r>
    <n v="6312"/>
    <x v="1"/>
    <s v="Tech"/>
    <n v="44.091710758377424"/>
    <d v="2030-09-25T00:00:00"/>
  </r>
  <r>
    <n v="6313"/>
    <x v="0"/>
    <s v="Tech"/>
    <n v="77.017868145409736"/>
    <d v="2030-09-26T00:00:00"/>
  </r>
  <r>
    <n v="6314"/>
    <x v="3"/>
    <s v="Tech"/>
    <n v="183.17198933939025"/>
    <d v="2030-09-27T00:00:00"/>
  </r>
  <r>
    <n v="6315"/>
    <x v="0"/>
    <s v="Other"/>
    <n v="64.24010381200776"/>
    <d v="2030-09-28T00:00:00"/>
  </r>
  <r>
    <n v="6316"/>
    <x v="0"/>
    <s v="Tech"/>
    <n v="122.96994847943675"/>
    <d v="2030-09-29T00:00:00"/>
  </r>
  <r>
    <n v="6317"/>
    <x v="2"/>
    <s v="Tech"/>
    <n v="10.58985491898761"/>
    <d v="2030-09-30T00:00:00"/>
  </r>
  <r>
    <n v="6318"/>
    <x v="2"/>
    <s v="Tech"/>
    <n v="211.79709837975219"/>
    <d v="2030-10-01T00:00:00"/>
  </r>
  <r>
    <n v="6319"/>
    <x v="4"/>
    <s v="Tech"/>
    <n v="40.121970791205264"/>
    <d v="2030-10-02T00:00:00"/>
  </r>
  <r>
    <n v="6320"/>
    <x v="0"/>
    <s v="Systems"/>
    <n v="38.54406228720466"/>
    <d v="2030-10-03T00:00:00"/>
  </r>
  <r>
    <n v="6321"/>
    <x v="1"/>
    <s v="Tech"/>
    <n v="64.84797178130512"/>
    <d v="2030-10-04T00:00:00"/>
  </r>
  <r>
    <n v="6322"/>
    <x v="1"/>
    <s v="Tech"/>
    <n v="30"/>
    <d v="2030-10-05T00:00:00"/>
  </r>
  <r>
    <n v="6323"/>
    <x v="0"/>
    <s v="Apps"/>
    <n v="215.65003080714726"/>
    <d v="2030-10-06T00:00:00"/>
  </r>
  <r>
    <n v="6324"/>
    <x v="4"/>
    <s v="Tech"/>
    <n v="277.0083102493075"/>
    <d v="2030-10-07T00:00:00"/>
  </r>
  <r>
    <n v="6325"/>
    <x v="0"/>
    <s v="Tech"/>
    <n v="61.614294516327789"/>
    <d v="2030-10-08T00:00:00"/>
  </r>
  <r>
    <n v="6326"/>
    <x v="0"/>
    <s v="Tech"/>
    <n v="34.470872113064452"/>
    <d v="2030-10-09T00:00:00"/>
  </r>
  <r>
    <n v="6327"/>
    <x v="2"/>
    <s v="Apps"/>
    <n v="42.359419675950441"/>
    <d v="2030-10-10T00:00:00"/>
  </r>
  <r>
    <n v="6328"/>
    <x v="0"/>
    <s v="Apps"/>
    <n v="462.10720887245844"/>
    <d v="2030-10-11T00:00:00"/>
  </r>
  <r>
    <n v="6329"/>
    <x v="0"/>
    <s v="Tech"/>
    <n v="61.614294516327789"/>
    <d v="2030-10-12T00:00:00"/>
  </r>
  <r>
    <n v="6330"/>
    <x v="0"/>
    <s v="Tech"/>
    <n v="61.614294516327789"/>
    <d v="2030-10-13T00:00:00"/>
  </r>
  <r>
    <n v="6331"/>
    <x v="0"/>
    <s v="Tech"/>
    <n v="462.10720887245844"/>
    <d v="2030-10-14T00:00:00"/>
  </r>
  <r>
    <n v="6332"/>
    <x v="0"/>
    <s v="Tech"/>
    <n v="15.403573629081947"/>
    <d v="2030-10-15T00:00:00"/>
  </r>
  <r>
    <n v="6333"/>
    <x v="0"/>
    <s v="Tech"/>
    <n v="23.105360443622921"/>
    <d v="2030-10-16T00:00:00"/>
  </r>
  <r>
    <n v="6334"/>
    <x v="0"/>
    <s v="Tech"/>
    <n v="15.403573629081947"/>
    <d v="2030-10-17T00:00:00"/>
  </r>
  <r>
    <n v="6335"/>
    <x v="0"/>
    <s v="Tech"/>
    <n v="15.403573629081947"/>
    <d v="2030-10-18T00:00:00"/>
  </r>
  <r>
    <n v="6336"/>
    <x v="0"/>
    <s v="Tech"/>
    <n v="15.403573629081947"/>
    <d v="2030-10-19T00:00:00"/>
  </r>
  <r>
    <n v="6337"/>
    <x v="0"/>
    <s v="Tech"/>
    <n v="15.403573629081947"/>
    <d v="2030-10-20T00:00:00"/>
  </r>
  <r>
    <n v="6338"/>
    <x v="0"/>
    <s v="Tech"/>
    <n v="15.403573629081947"/>
    <d v="2030-10-21T00:00:00"/>
  </r>
  <r>
    <n v="6339"/>
    <x v="0"/>
    <s v="Tech"/>
    <n v="15.403573629081947"/>
    <d v="2030-10-22T00:00:00"/>
  </r>
  <r>
    <n v="6340"/>
    <x v="1"/>
    <s v="OFM"/>
    <n v="19.8"/>
    <d v="2030-10-23T00:00:00"/>
  </r>
  <r>
    <n v="6341"/>
    <x v="1"/>
    <s v="Tech"/>
    <n v="330.68783068783068"/>
    <d v="2030-10-24T00:00:00"/>
  </r>
  <r>
    <n v="6342"/>
    <x v="3"/>
    <s v="Tech"/>
    <n v="91.585994669695125"/>
    <d v="2030-10-25T00:00:00"/>
  </r>
  <r>
    <n v="6343"/>
    <x v="3"/>
    <s v="Tech"/>
    <n v="412.13697601362799"/>
    <d v="2030-10-26T00:00:00"/>
  </r>
  <r>
    <n v="6344"/>
    <x v="3"/>
    <s v="Tech"/>
    <n v="91.585994669695125"/>
    <d v="2030-10-27T00:00:00"/>
  </r>
  <r>
    <n v="6345"/>
    <x v="3"/>
    <s v="Tech"/>
    <n v="82.427395202725606"/>
    <d v="2030-10-28T00:00:00"/>
  </r>
  <r>
    <n v="6346"/>
    <x v="3"/>
    <s v="OFM"/>
    <n v="12.822039253757318"/>
    <d v="2030-10-29T00:00:00"/>
  </r>
  <r>
    <n v="6347"/>
    <x v="3"/>
    <s v="Tech"/>
    <n v="82.427395202725606"/>
    <d v="2030-10-30T00:00:00"/>
  </r>
  <r>
    <n v="6348"/>
    <x v="3"/>
    <s v="OFM"/>
    <n v="28.391658347605489"/>
    <d v="2030-10-31T00:00:00"/>
  </r>
  <r>
    <n v="6349"/>
    <x v="3"/>
    <s v="OFM"/>
    <n v="10.990319360363413"/>
    <d v="2030-11-01T00:00:00"/>
  </r>
  <r>
    <n v="6350"/>
    <x v="1"/>
    <s v="Tech"/>
    <n v="327.82186948853615"/>
    <d v="2030-11-02T00:00:00"/>
  </r>
  <r>
    <n v="6351"/>
    <x v="3"/>
    <s v="Tech"/>
    <n v="91.585994669695125"/>
    <d v="2030-11-03T00:00:00"/>
  </r>
  <r>
    <n v="6352"/>
    <x v="0"/>
    <s v="OFM"/>
    <n v="0.2"/>
    <d v="2030-11-04T00:00:00"/>
  </r>
  <r>
    <n v="6353"/>
    <x v="1"/>
    <s v="Tech"/>
    <n v="220.45855379188714"/>
    <d v="2030-11-05T00:00:00"/>
  </r>
  <r>
    <n v="6354"/>
    <x v="0"/>
    <s v="Apps"/>
    <n v="770.17868145409739"/>
    <d v="2030-11-06T00:00:00"/>
  </r>
  <r>
    <n v="6355"/>
    <x v="1"/>
    <s v="Tech"/>
    <n v="92.592592592592595"/>
    <d v="2030-11-07T00:00:00"/>
  </r>
  <r>
    <n v="6356"/>
    <x v="0"/>
    <s v="Tech"/>
    <n v="4.529698199992291"/>
    <d v="2030-11-08T00:00:00"/>
  </r>
  <r>
    <n v="6357"/>
    <x v="4"/>
    <s v="Tech"/>
    <n v="821.90471815133003"/>
    <d v="2030-11-09T00:00:00"/>
  </r>
  <r>
    <n v="6358"/>
    <x v="4"/>
    <s v="Tech"/>
    <n v="75.701750356043561"/>
    <d v="2030-11-10T00:00:00"/>
  </r>
  <r>
    <n v="6359"/>
    <x v="4"/>
    <s v="Tech"/>
    <n v="3.8932328754536685"/>
    <d v="2030-11-11T00:00:00"/>
  </r>
  <r>
    <n v="6360"/>
    <x v="4"/>
    <s v="OFM"/>
    <n v="19.466164377268342"/>
    <d v="2030-11-12T00:00:00"/>
  </r>
  <r>
    <n v="6361"/>
    <x v="1"/>
    <s v="Tech"/>
    <n v="330.68783068783068"/>
    <d v="2030-11-13T00:00:00"/>
  </r>
  <r>
    <n v="6362"/>
    <x v="4"/>
    <s v="Tech"/>
    <n v="19.553527782304059"/>
    <d v="2030-11-14T00:00:00"/>
  </r>
  <r>
    <n v="6363"/>
    <x v="4"/>
    <s v="Tech"/>
    <n v="97.767638911520294"/>
    <d v="2030-11-15T00:00:00"/>
  </r>
  <r>
    <n v="6364"/>
    <x v="4"/>
    <s v="Apps"/>
    <n v="65.808090446639511"/>
    <d v="2030-11-16T00:00:00"/>
  </r>
  <r>
    <n v="6365"/>
    <x v="0"/>
    <s v="Systems"/>
    <n v="19.27203114360233"/>
    <d v="2030-11-17T00:00:00"/>
  </r>
  <r>
    <n v="6366"/>
    <x v="3"/>
    <s v="Tech"/>
    <n v="54.951596801817075"/>
    <d v="2030-11-18T00:00:00"/>
  </r>
  <r>
    <n v="6367"/>
    <x v="3"/>
    <s v="Tech"/>
    <n v="824.27395202725597"/>
    <d v="2030-11-19T00:00:00"/>
  </r>
  <r>
    <n v="6368"/>
    <x v="0"/>
    <s v="Tech"/>
    <n v="61.614294516327789"/>
    <d v="2030-11-20T00:00:00"/>
  </r>
  <r>
    <n v="6369"/>
    <x v="0"/>
    <s v="Tech"/>
    <n v="15.403573629081947"/>
    <d v="2030-11-21T00:00:00"/>
  </r>
  <r>
    <n v="6370"/>
    <x v="0"/>
    <s v="Tech"/>
    <n v="15.403573629081947"/>
    <d v="2030-11-22T00:00:00"/>
  </r>
  <r>
    <n v="6371"/>
    <x v="0"/>
    <s v="Tech"/>
    <n v="15.403573629081947"/>
    <d v="2030-11-23T00:00:00"/>
  </r>
  <r>
    <n v="6372"/>
    <x v="0"/>
    <s v="Tech"/>
    <n v="15.403573629081947"/>
    <d v="2030-11-24T00:00:00"/>
  </r>
  <r>
    <n v="6373"/>
    <x v="0"/>
    <s v="Tech"/>
    <n v="15.403573629081947"/>
    <d v="2030-11-25T00:00:00"/>
  </r>
  <r>
    <n v="6374"/>
    <x v="0"/>
    <s v="Tech"/>
    <n v="15.403573629081947"/>
    <d v="2030-11-26T00:00:00"/>
  </r>
  <r>
    <n v="6375"/>
    <x v="0"/>
    <s v="Tech"/>
    <n v="15.403573629081947"/>
    <d v="2030-11-27T00:00:00"/>
  </r>
  <r>
    <n v="6376"/>
    <x v="0"/>
    <s v="Tech"/>
    <n v="15.403573629081947"/>
    <d v="2030-11-28T00:00:00"/>
  </r>
  <r>
    <n v="6377"/>
    <x v="0"/>
    <s v="Apps"/>
    <n v="86.177180282661155"/>
    <d v="2030-11-29T00:00:00"/>
  </r>
  <r>
    <n v="6378"/>
    <x v="0"/>
    <s v="Apps"/>
    <n v="86.177180282661155"/>
    <d v="2030-11-30T00:00:00"/>
  </r>
  <r>
    <n v="6379"/>
    <x v="0"/>
    <s v="Apps"/>
    <n v="31.023784901758013"/>
    <d v="2030-12-01T00:00:00"/>
  </r>
  <r>
    <n v="6380"/>
    <x v="0"/>
    <s v="Tech"/>
    <n v="15.403573629081947"/>
    <d v="2030-12-02T00:00:00"/>
  </r>
  <r>
    <n v="6381"/>
    <x v="0"/>
    <s v="Tech"/>
    <n v="15.403573629081947"/>
    <d v="2030-12-03T00:00:00"/>
  </r>
  <r>
    <n v="6382"/>
    <x v="0"/>
    <s v="Tech"/>
    <n v="15.403573629081947"/>
    <d v="2030-12-04T00:00:00"/>
  </r>
  <r>
    <n v="6383"/>
    <x v="0"/>
    <s v="Tech"/>
    <n v="15.403573629081947"/>
    <d v="2030-12-05T00:00:00"/>
  </r>
  <r>
    <n v="6384"/>
    <x v="0"/>
    <s v="Tech"/>
    <n v="15.403573629081947"/>
    <d v="2030-12-06T00:00:00"/>
  </r>
  <r>
    <n v="6385"/>
    <x v="0"/>
    <s v="Tech"/>
    <n v="15.403573629081947"/>
    <d v="2030-12-07T00:00:00"/>
  </r>
  <r>
    <n v="6386"/>
    <x v="0"/>
    <s v="Tech"/>
    <n v="15.403573629081947"/>
    <d v="2030-12-08T00:00:00"/>
  </r>
  <r>
    <n v="6387"/>
    <x v="0"/>
    <s v="Tech"/>
    <n v="15.403573629081947"/>
    <d v="2030-12-09T00:00:00"/>
  </r>
  <r>
    <n v="6388"/>
    <x v="0"/>
    <s v="Tech"/>
    <n v="15.403573629081947"/>
    <d v="2030-12-10T00:00:00"/>
  </r>
  <r>
    <n v="6389"/>
    <x v="0"/>
    <s v="Tech"/>
    <n v="15.403573629081947"/>
    <d v="2030-12-11T00:00:00"/>
  </r>
  <r>
    <n v="6390"/>
    <x v="0"/>
    <s v="Tech"/>
    <n v="15.403573629081947"/>
    <d v="2030-12-12T00:00:00"/>
  </r>
  <r>
    <n v="6391"/>
    <x v="0"/>
    <s v="Tech"/>
    <n v="15.403573629081947"/>
    <d v="2030-12-13T00:00:00"/>
  </r>
  <r>
    <n v="6392"/>
    <x v="0"/>
    <s v="Tech"/>
    <n v="15.403573629081947"/>
    <d v="2030-12-14T00:00:00"/>
  </r>
  <r>
    <n v="6393"/>
    <x v="0"/>
    <s v="Tech"/>
    <n v="15.403573629081947"/>
    <d v="2030-12-15T00:00:00"/>
  </r>
  <r>
    <n v="6394"/>
    <x v="0"/>
    <s v="Tech"/>
    <n v="15.403573629081947"/>
    <d v="2030-12-16T00:00:00"/>
  </r>
  <r>
    <n v="6395"/>
    <x v="0"/>
    <s v="Tech"/>
    <n v="15.403573629081947"/>
    <d v="2030-12-17T00:00:00"/>
  </r>
  <r>
    <n v="6396"/>
    <x v="1"/>
    <s v="Tech"/>
    <n v="66.137566137566139"/>
    <d v="2030-12-18T00:00:00"/>
  </r>
  <r>
    <n v="6397"/>
    <x v="2"/>
    <s v="Tech"/>
    <n v="423.59419675950437"/>
    <d v="2030-12-19T00:00:00"/>
  </r>
  <r>
    <n v="6398"/>
    <x v="4"/>
    <s v="Apps"/>
    <n v="50"/>
    <d v="2030-12-20T00:00:00"/>
  </r>
  <r>
    <n v="6399"/>
    <x v="4"/>
    <s v="Apps"/>
    <n v="236"/>
    <d v="2030-12-21T00:00:00"/>
  </r>
  <r>
    <n v="6400"/>
    <x v="4"/>
    <s v="Tech"/>
    <n v="100"/>
    <d v="2030-12-22T00:00:00"/>
  </r>
  <r>
    <n v="6401"/>
    <x v="3"/>
    <s v="Tech"/>
    <n v="183.17198933939025"/>
    <d v="2030-12-23T00:00:00"/>
  </r>
  <r>
    <n v="6402"/>
    <x v="0"/>
    <s v="Tech"/>
    <n v="15.403573629081947"/>
    <d v="2030-12-24T00:00:00"/>
  </r>
  <r>
    <n v="6403"/>
    <x v="0"/>
    <s v="Tech"/>
    <n v="15.403573629081947"/>
    <d v="2030-12-25T00:00:00"/>
  </r>
  <r>
    <n v="6404"/>
    <x v="0"/>
    <s v="Tech"/>
    <n v="15.403573629081947"/>
    <d v="2030-12-26T00:00:00"/>
  </r>
  <r>
    <n v="6405"/>
    <x v="0"/>
    <s v="Tech"/>
    <n v="15.403573629081947"/>
    <d v="2030-12-27T00:00:00"/>
  </r>
  <r>
    <n v="6406"/>
    <x v="0"/>
    <s v="Tech"/>
    <n v="15.403573629081947"/>
    <d v="2030-12-28T00:00:00"/>
  </r>
  <r>
    <n v="6407"/>
    <x v="0"/>
    <s v="Tech"/>
    <n v="15.403573629081947"/>
    <d v="2030-12-29T00:00:00"/>
  </r>
  <r>
    <n v="6408"/>
    <x v="0"/>
    <s v="Tech"/>
    <n v="15.403573629081947"/>
    <d v="2030-12-30T00:00:00"/>
  </r>
  <r>
    <n v="6409"/>
    <x v="0"/>
    <s v="Tech"/>
    <n v="15.403573629081947"/>
    <d v="2030-12-31T00:00:00"/>
  </r>
  <r>
    <n v="6410"/>
    <x v="0"/>
    <s v="Tech"/>
    <n v="15.403573629081947"/>
    <d v="2031-01-01T00:00:00"/>
  </r>
  <r>
    <n v="6411"/>
    <x v="0"/>
    <s v="Tech"/>
    <n v="15.403573629081947"/>
    <d v="2031-01-02T00:00:00"/>
  </r>
  <r>
    <n v="6412"/>
    <x v="0"/>
    <s v="Tech"/>
    <n v="15.403573629081947"/>
    <d v="2031-01-03T00:00:00"/>
  </r>
  <r>
    <n v="6413"/>
    <x v="0"/>
    <s v="Tech"/>
    <n v="15.403573629081947"/>
    <d v="2031-01-04T00:00:00"/>
  </r>
  <r>
    <n v="6414"/>
    <x v="0"/>
    <s v="Tech"/>
    <n v="15.403573629081947"/>
    <d v="2031-01-05T00:00:00"/>
  </r>
  <r>
    <n v="6415"/>
    <x v="0"/>
    <s v="Tech"/>
    <n v="15.403573629081947"/>
    <d v="2031-01-06T00:00:00"/>
  </r>
  <r>
    <n v="6416"/>
    <x v="0"/>
    <s v="Tech"/>
    <n v="15.403573629081947"/>
    <d v="2031-01-07T00:00:00"/>
  </r>
  <r>
    <n v="6417"/>
    <x v="0"/>
    <s v="Tech"/>
    <n v="15.403573629081947"/>
    <d v="2031-01-08T00:00:00"/>
  </r>
  <r>
    <n v="6418"/>
    <x v="0"/>
    <s v="Tech"/>
    <n v="15.403573629081947"/>
    <d v="2031-01-09T00:00:00"/>
  </r>
  <r>
    <n v="6419"/>
    <x v="0"/>
    <s v="Tech"/>
    <n v="15.403573629081947"/>
    <d v="2031-01-10T00:00:00"/>
  </r>
  <r>
    <n v="6420"/>
    <x v="0"/>
    <s v="Tech"/>
    <n v="15.403573629081947"/>
    <d v="2031-01-11T00:00:00"/>
  </r>
  <r>
    <n v="6421"/>
    <x v="0"/>
    <s v="Tech"/>
    <n v="15.403573629081947"/>
    <d v="2031-01-12T00:00:00"/>
  </r>
  <r>
    <n v="6422"/>
    <x v="0"/>
    <s v="Tech"/>
    <n v="15.403573629081947"/>
    <d v="2031-01-13T00:00:00"/>
  </r>
  <r>
    <n v="6423"/>
    <x v="0"/>
    <s v="Tech"/>
    <n v="15.403573629081947"/>
    <d v="2031-01-14T00:00:00"/>
  </r>
  <r>
    <n v="6424"/>
    <x v="0"/>
    <s v="Tech"/>
    <n v="15.403573629081947"/>
    <d v="2031-01-15T00:00:00"/>
  </r>
  <r>
    <n v="6425"/>
    <x v="0"/>
    <s v="Tech"/>
    <n v="15.403573629081947"/>
    <d v="2031-01-16T00:00:00"/>
  </r>
  <r>
    <n v="6426"/>
    <x v="0"/>
    <s v="Tech"/>
    <n v="15.403573629081947"/>
    <d v="2031-01-17T00:00:00"/>
  </r>
  <r>
    <n v="6427"/>
    <x v="0"/>
    <s v="Tech"/>
    <n v="15.403573629081947"/>
    <d v="2031-01-18T00:00:00"/>
  </r>
  <r>
    <n v="6428"/>
    <x v="0"/>
    <s v="Tech"/>
    <n v="15.403573629081947"/>
    <d v="2031-01-19T00:00:00"/>
  </r>
  <r>
    <n v="6429"/>
    <x v="4"/>
    <s v="Tech"/>
    <n v="64.195153265928425"/>
    <d v="2031-01-20T00:00:00"/>
  </r>
  <r>
    <n v="6430"/>
    <x v="1"/>
    <s v="Tech"/>
    <n v="44.804894179894184"/>
    <d v="2031-01-21T00:00:00"/>
  </r>
  <r>
    <n v="6431"/>
    <x v="0"/>
    <s v="OFM"/>
    <n v="7.0000000000000007E-2"/>
    <d v="2031-01-22T00:00:00"/>
  </r>
  <r>
    <n v="6432"/>
    <x v="0"/>
    <s v="OFM"/>
    <n v="0.06"/>
    <d v="2031-01-23T00:00:00"/>
  </r>
  <r>
    <n v="6433"/>
    <x v="0"/>
    <s v="Tech"/>
    <n v="0.7701786814540974"/>
    <d v="2031-01-24T00:00:00"/>
  </r>
  <r>
    <n v="6434"/>
    <x v="0"/>
    <s v="Tech"/>
    <n v="1.5403573629081948"/>
    <d v="2031-01-25T00:00:00"/>
  </r>
  <r>
    <n v="6435"/>
    <x v="0"/>
    <s v="Tech"/>
    <n v="1.5403573629081948"/>
    <d v="2031-01-26T00:00:00"/>
  </r>
  <r>
    <n v="6436"/>
    <x v="0"/>
    <s v="Tech"/>
    <n v="1.2322858903265556E-3"/>
    <d v="2031-01-27T00:00:00"/>
  </r>
  <r>
    <n v="6437"/>
    <x v="0"/>
    <s v="Tech"/>
    <n v="15.403573629081947"/>
    <d v="2031-01-28T00:00:00"/>
  </r>
  <r>
    <n v="6438"/>
    <x v="0"/>
    <s v="Tech"/>
    <n v="15.403573629081947"/>
    <d v="2031-01-29T00:00:00"/>
  </r>
  <r>
    <n v="6439"/>
    <x v="0"/>
    <s v="Tech"/>
    <n v="138.63216266173754"/>
    <d v="2031-01-30T00:00:00"/>
  </r>
  <r>
    <n v="6440"/>
    <x v="2"/>
    <s v="Apps"/>
    <n v="152.49391083342158"/>
    <d v="2031-01-31T00:00:00"/>
  </r>
  <r>
    <n v="6441"/>
    <x v="2"/>
    <s v="Apps"/>
    <n v="201.20724346076457"/>
    <d v="2031-02-01T00:00:00"/>
  </r>
  <r>
    <n v="6442"/>
    <x v="4"/>
    <s v="Tech"/>
    <n v="95"/>
    <d v="2031-02-02T00:00:00"/>
  </r>
  <r>
    <n v="6443"/>
    <x v="2"/>
    <s v="Apps"/>
    <n v="105.89854918987609"/>
    <d v="2031-02-03T00:00:00"/>
  </r>
  <r>
    <n v="6444"/>
    <x v="0"/>
    <s v="Tech"/>
    <n v="15.403573629081947"/>
    <d v="2031-02-04T00:00:00"/>
  </r>
  <r>
    <n v="6445"/>
    <x v="0"/>
    <s v="Tech"/>
    <n v="15.403573629081947"/>
    <d v="2031-02-05T00:00:00"/>
  </r>
  <r>
    <n v="6446"/>
    <x v="0"/>
    <s v="Tech"/>
    <n v="15.403573629081947"/>
    <d v="2031-02-06T00:00:00"/>
  </r>
  <r>
    <n v="6447"/>
    <x v="0"/>
    <s v="Tech"/>
    <n v="100.12322858903266"/>
    <d v="2031-02-07T00:00:00"/>
  </r>
  <r>
    <n v="6448"/>
    <x v="0"/>
    <s v="Tech"/>
    <n v="15.403573629081947"/>
    <d v="2031-02-08T00:00:00"/>
  </r>
  <r>
    <n v="6449"/>
    <x v="0"/>
    <s v="Tech"/>
    <n v="92.421441774491683"/>
    <d v="2031-02-09T00:00:00"/>
  </r>
  <r>
    <n v="6450"/>
    <x v="0"/>
    <s v="Tech"/>
    <n v="15.403573629081947"/>
    <d v="2031-02-10T00:00:00"/>
  </r>
  <r>
    <n v="6451"/>
    <x v="0"/>
    <s v="Tech"/>
    <n v="15.403573629081947"/>
    <d v="2031-02-11T00:00:00"/>
  </r>
  <r>
    <n v="6452"/>
    <x v="0"/>
    <s v="Tech"/>
    <n v="15.403573629081947"/>
    <d v="2031-02-12T00:00:00"/>
  </r>
  <r>
    <n v="6453"/>
    <x v="0"/>
    <s v="Tech"/>
    <n v="77.017868145409736"/>
    <d v="2031-02-13T00:00:00"/>
  </r>
  <r>
    <n v="6454"/>
    <x v="0"/>
    <s v="Tech"/>
    <n v="15.403573629081947"/>
    <d v="2031-02-14T00:00:00"/>
  </r>
  <r>
    <n v="6455"/>
    <x v="0"/>
    <s v="Tech"/>
    <n v="15.403573629081947"/>
    <d v="2031-02-15T00:00:00"/>
  </r>
  <r>
    <n v="6456"/>
    <x v="0"/>
    <s v="Tech"/>
    <n v="15.403573629081947"/>
    <d v="2031-02-16T00:00:00"/>
  </r>
  <r>
    <n v="6457"/>
    <x v="0"/>
    <s v="Tech"/>
    <n v="123.22858903265558"/>
    <d v="2031-02-17T00:00:00"/>
  </r>
  <r>
    <n v="6458"/>
    <x v="0"/>
    <s v="Tech"/>
    <n v="15.403573629081947"/>
    <d v="2031-02-18T00:00:00"/>
  </r>
  <r>
    <n v="6459"/>
    <x v="2"/>
    <s v="Apps"/>
    <n v="28.592608281266543"/>
    <d v="2031-02-19T00:00:00"/>
  </r>
  <r>
    <n v="6460"/>
    <x v="0"/>
    <s v="Tech"/>
    <n v="15.403573629081947"/>
    <d v="2031-02-20T00:00:00"/>
  </r>
  <r>
    <n v="6461"/>
    <x v="0"/>
    <s v="Tech"/>
    <n v="15.403573629081947"/>
    <d v="2031-02-21T00:00:00"/>
  </r>
  <r>
    <n v="6462"/>
    <x v="0"/>
    <s v="Tech"/>
    <n v="15.403573629081947"/>
    <d v="2031-02-22T00:00:00"/>
  </r>
  <r>
    <n v="6463"/>
    <x v="0"/>
    <s v="Tech"/>
    <n v="15.403573629081947"/>
    <d v="2031-02-23T00:00:00"/>
  </r>
  <r>
    <n v="6464"/>
    <x v="0"/>
    <s v="Tech"/>
    <n v="15.403573629081947"/>
    <d v="2031-02-24T00:00:00"/>
  </r>
  <r>
    <n v="6465"/>
    <x v="0"/>
    <s v="Tech"/>
    <n v="15.403573629081947"/>
    <d v="2031-02-25T00:00:00"/>
  </r>
  <r>
    <n v="6466"/>
    <x v="0"/>
    <s v="Tech"/>
    <n v="15.403573629081947"/>
    <d v="2031-02-26T00:00:00"/>
  </r>
  <r>
    <n v="6467"/>
    <x v="0"/>
    <s v="Tech"/>
    <n v="15.403573629081947"/>
    <d v="2031-02-27T00:00:00"/>
  </r>
  <r>
    <n v="6468"/>
    <x v="0"/>
    <s v="Tech"/>
    <n v="15.403573629081947"/>
    <d v="2031-02-28T00:00:00"/>
  </r>
  <r>
    <n v="6469"/>
    <x v="0"/>
    <s v="Tech"/>
    <n v="15.403573629081947"/>
    <d v="2031-03-01T00:00:00"/>
  </r>
  <r>
    <n v="6470"/>
    <x v="0"/>
    <s v="Tech"/>
    <n v="15.403573629081947"/>
    <d v="2031-03-02T00:00:00"/>
  </r>
  <r>
    <n v="6471"/>
    <x v="0"/>
    <s v="Tech"/>
    <n v="15.403573629081947"/>
    <d v="2031-03-03T00:00:00"/>
  </r>
  <r>
    <n v="6472"/>
    <x v="0"/>
    <s v="Tech"/>
    <n v="15.403573629081947"/>
    <d v="2031-03-04T00:00:00"/>
  </r>
  <r>
    <n v="6473"/>
    <x v="0"/>
    <s v="Tech"/>
    <n v="15.403573629081947"/>
    <d v="2031-03-05T00:00:00"/>
  </r>
  <r>
    <n v="6474"/>
    <x v="0"/>
    <s v="Tech"/>
    <n v="15.403573629081947"/>
    <d v="2031-03-06T00:00:00"/>
  </r>
  <r>
    <n v="6475"/>
    <x v="0"/>
    <s v="Tech"/>
    <n v="15.403573629081947"/>
    <d v="2031-03-07T00:00:00"/>
  </r>
  <r>
    <n v="6476"/>
    <x v="0"/>
    <s v="Tech"/>
    <n v="15.403573629081947"/>
    <d v="2031-03-08T00:00:00"/>
  </r>
  <r>
    <n v="6477"/>
    <x v="0"/>
    <s v="Tech"/>
    <n v="15.403573629081947"/>
    <d v="2031-03-09T00:00:00"/>
  </r>
  <r>
    <n v="6478"/>
    <x v="0"/>
    <s v="Tech"/>
    <n v="15.403573629081947"/>
    <d v="2031-03-10T00:00:00"/>
  </r>
  <r>
    <n v="6479"/>
    <x v="0"/>
    <s v="Tech"/>
    <n v="15.403573629081947"/>
    <d v="2031-03-11T00:00:00"/>
  </r>
  <r>
    <n v="6480"/>
    <x v="0"/>
    <s v="Tech"/>
    <n v="15.403573629081947"/>
    <d v="2031-03-12T00:00:00"/>
  </r>
  <r>
    <n v="6481"/>
    <x v="0"/>
    <s v="Tech"/>
    <n v="15.403573629081947"/>
    <d v="2031-03-13T00:00:00"/>
  </r>
  <r>
    <n v="6482"/>
    <x v="0"/>
    <s v="Tech"/>
    <n v="15.403573629081947"/>
    <d v="2031-03-14T00:00:00"/>
  </r>
  <r>
    <n v="6483"/>
    <x v="0"/>
    <s v="Tech"/>
    <n v="15.403573629081947"/>
    <d v="2031-03-15T00:00:00"/>
  </r>
  <r>
    <n v="6484"/>
    <x v="0"/>
    <s v="Tech"/>
    <n v="15.403573629081947"/>
    <d v="2031-03-16T00:00:00"/>
  </r>
  <r>
    <n v="6485"/>
    <x v="0"/>
    <s v="Tech"/>
    <n v="15.403573629081947"/>
    <d v="2031-03-17T00:00:00"/>
  </r>
  <r>
    <n v="6486"/>
    <x v="4"/>
    <s v="Apps"/>
    <n v="500"/>
    <d v="2031-03-18T00:00:00"/>
  </r>
  <r>
    <n v="6487"/>
    <x v="0"/>
    <s v="Apps"/>
    <n v="128.48020762401552"/>
    <d v="2031-03-19T00:00:00"/>
  </r>
  <r>
    <n v="6488"/>
    <x v="2"/>
    <s v="Tech"/>
    <n v="84.718839351900883"/>
    <d v="2031-03-20T00:00:00"/>
  </r>
  <r>
    <n v="6489"/>
    <x v="0"/>
    <s v="Tech"/>
    <n v="2.5696041524803106"/>
    <d v="2031-03-21T00:00:00"/>
  </r>
  <r>
    <n v="6490"/>
    <x v="0"/>
    <s v="Systems"/>
    <n v="46.252874744645588"/>
    <d v="2031-03-22T00:00:00"/>
  </r>
  <r>
    <n v="6491"/>
    <x v="2"/>
    <s v="OFM"/>
    <n v="317.69564756962825"/>
    <d v="2031-03-23T00:00:00"/>
  </r>
  <r>
    <n v="6492"/>
    <x v="4"/>
    <s v="Tech"/>
    <n v="870.57012909450089"/>
    <d v="2031-03-24T00:00:00"/>
  </r>
  <r>
    <n v="6493"/>
    <x v="4"/>
    <s v="Tech"/>
    <n v="4.0215088805605346"/>
    <d v="2031-03-25T00:00:00"/>
  </r>
  <r>
    <n v="6494"/>
    <x v="1"/>
    <s v="Tech"/>
    <n v="248.51785714285717"/>
    <d v="2031-03-26T00:00:00"/>
  </r>
  <r>
    <n v="6495"/>
    <x v="1"/>
    <s v="Tech"/>
    <n v="76.168981481481495"/>
    <d v="2031-03-27T00:00:00"/>
  </r>
  <r>
    <n v="6496"/>
    <x v="2"/>
    <s v="Apps"/>
    <n v="211.79709837975219"/>
    <d v="2031-03-28T00:00:00"/>
  </r>
  <r>
    <n v="6497"/>
    <x v="0"/>
    <s v="OFM"/>
    <n v="61.614294516327789"/>
    <d v="2031-03-29T00:00:00"/>
  </r>
  <r>
    <n v="6498"/>
    <x v="1"/>
    <s v="OFM"/>
    <n v="6.9259259259259265"/>
    <d v="2031-03-30T00:00:00"/>
  </r>
  <r>
    <n v="6499"/>
    <x v="0"/>
    <s v="Tech"/>
    <n v="46.210720887245841"/>
    <d v="2031-03-31T00:00:00"/>
  </r>
  <r>
    <n v="6500"/>
    <x v="0"/>
    <s v="Tech"/>
    <n v="15.403573629081947"/>
    <d v="2031-04-01T00:00:00"/>
  </r>
  <r>
    <n v="6501"/>
    <x v="0"/>
    <s v="Tech"/>
    <n v="15.403573629081947"/>
    <d v="2031-04-02T00:00:00"/>
  </r>
  <r>
    <n v="6502"/>
    <x v="0"/>
    <s v="Apps"/>
    <n v="46.210720887245841"/>
    <d v="2031-04-03T00:00:00"/>
  </r>
  <r>
    <n v="6503"/>
    <x v="4"/>
    <s v="Tech"/>
    <n v="3.2589212970506765E-2"/>
    <d v="2031-04-04T00:00:00"/>
  </r>
  <r>
    <n v="6504"/>
    <x v="4"/>
    <s v="Tech"/>
    <n v="54.573896040410624"/>
    <d v="2031-04-05T00:00:00"/>
  </r>
  <r>
    <n v="6505"/>
    <x v="1"/>
    <s v="Tech"/>
    <n v="14.880952380952381"/>
    <d v="2031-04-06T00:00:00"/>
  </r>
  <r>
    <n v="6506"/>
    <x v="1"/>
    <s v="OFM"/>
    <n v="11.022927689594356"/>
    <d v="2031-04-07T00:00:00"/>
  </r>
  <r>
    <n v="6507"/>
    <x v="2"/>
    <s v="Apps"/>
    <n v="158.84782378481412"/>
    <d v="2031-04-08T00:00:00"/>
  </r>
  <r>
    <n v="6508"/>
    <x v="0"/>
    <s v="Tech"/>
    <n v="293.73126508100648"/>
    <d v="2031-04-09T00:00:00"/>
  </r>
  <r>
    <n v="6509"/>
    <x v="2"/>
    <s v="Apps"/>
    <n v="40.515355319666149"/>
    <d v="2031-04-10T00:00:00"/>
  </r>
  <r>
    <n v="6510"/>
    <x v="2"/>
    <s v="Apps"/>
    <n v="105.89854918987609"/>
    <d v="2031-04-11T00:00:00"/>
  </r>
  <r>
    <n v="6511"/>
    <x v="0"/>
    <s v="Tech"/>
    <n v="61.614294516327789"/>
    <d v="2031-04-12T00:00:00"/>
  </r>
  <r>
    <n v="6512"/>
    <x v="0"/>
    <s v="Tech"/>
    <n v="20.024645717806532"/>
    <d v="2031-04-13T00:00:00"/>
  </r>
  <r>
    <n v="6513"/>
    <x v="0"/>
    <s v="Tech"/>
    <n v="616.14294516327789"/>
    <d v="2031-04-14T00:00:00"/>
  </r>
  <r>
    <n v="6514"/>
    <x v="0"/>
    <s v="OFM"/>
    <n v="34.470872113064452"/>
    <d v="2031-04-15T00:00:00"/>
  </r>
  <r>
    <n v="6515"/>
    <x v="0"/>
    <s v="Tech"/>
    <n v="15.403573629081947"/>
    <d v="2031-04-16T00:00:00"/>
  </r>
  <r>
    <n v="6516"/>
    <x v="0"/>
    <s v="Apps"/>
    <n v="154.03573629081947"/>
    <d v="2031-04-17T00:00:00"/>
  </r>
  <r>
    <n v="6517"/>
    <x v="0"/>
    <s v="Tech"/>
    <n v="92.421441774491683"/>
    <d v="2031-04-18T00:00:00"/>
  </r>
  <r>
    <n v="6518"/>
    <x v="1"/>
    <s v="Apps"/>
    <n v="26.455026455026456"/>
    <d v="2031-04-19T00:00:00"/>
  </r>
  <r>
    <n v="6519"/>
    <x v="4"/>
    <s v="Apps"/>
    <n v="13.782331051591861"/>
    <d v="2031-04-20T00:00:00"/>
  </r>
  <r>
    <n v="6520"/>
    <x v="4"/>
    <s v="Apps"/>
    <n v="100"/>
    <d v="2031-04-21T00:00:00"/>
  </r>
  <r>
    <n v="6521"/>
    <x v="4"/>
    <s v="Apps"/>
    <n v="45.941103505306202"/>
    <d v="2031-04-22T00:00:00"/>
  </r>
  <r>
    <n v="6522"/>
    <x v="2"/>
    <s v="Tech"/>
    <n v="26.474637297469023"/>
    <d v="2031-04-23T00:00:00"/>
  </r>
  <r>
    <n v="6523"/>
    <x v="2"/>
    <s v="OFM"/>
    <n v="79.423911892407062"/>
    <d v="2031-04-24T00:00:00"/>
  </r>
  <r>
    <n v="6524"/>
    <x v="1"/>
    <s v="Apps"/>
    <n v="5.5114638447971785E-5"/>
    <d v="2031-04-25T00:00:00"/>
  </r>
  <r>
    <n v="6525"/>
    <x v="2"/>
    <s v="OFM"/>
    <n v="185.32246108228318"/>
    <d v="2031-04-26T00:00:00"/>
  </r>
  <r>
    <n v="6526"/>
    <x v="0"/>
    <s v="OFM"/>
    <n v="15.403573629081947"/>
    <d v="2031-04-27T00:00:00"/>
  </r>
  <r>
    <n v="6527"/>
    <x v="0"/>
    <s v="Apps"/>
    <n v="154.03573629081947"/>
    <d v="2031-04-28T00:00:00"/>
  </r>
  <r>
    <n v="6528"/>
    <x v="0"/>
    <s v="Tech"/>
    <n v="77.017868145409736"/>
    <d v="2031-04-29T00:00:00"/>
  </r>
  <r>
    <n v="6529"/>
    <x v="4"/>
    <s v="Tech"/>
    <n v="161.22982159426681"/>
    <d v="2031-04-30T00:00:00"/>
  </r>
  <r>
    <n v="6530"/>
    <x v="4"/>
    <s v="Tech"/>
    <n v="70"/>
    <d v="2031-05-01T00:00:00"/>
  </r>
  <r>
    <n v="6531"/>
    <x v="1"/>
    <s v="Tech"/>
    <n v="13.81172839506173"/>
    <d v="2031-05-02T00:00:00"/>
  </r>
  <r>
    <n v="6532"/>
    <x v="4"/>
    <s v="Tech"/>
    <n v="70.371842919993497"/>
    <d v="2031-05-03T00:00:00"/>
  </r>
  <r>
    <n v="6533"/>
    <x v="2"/>
    <s v="Apps"/>
    <n v="84.718839351900883"/>
    <d v="2031-05-04T00:00:00"/>
  </r>
  <r>
    <n v="6534"/>
    <x v="2"/>
    <s v="Apps"/>
    <n v="112.4748490945674"/>
    <d v="2031-05-05T00:00:00"/>
  </r>
  <r>
    <n v="6535"/>
    <x v="1"/>
    <s v="Apps"/>
    <n v="15.983245149911816"/>
    <d v="2031-05-06T00:00:00"/>
  </r>
  <r>
    <n v="6536"/>
    <x v="3"/>
    <s v="OFM"/>
    <n v="274.75798400908536"/>
    <d v="2031-05-07T00:00:00"/>
  </r>
  <r>
    <n v="6537"/>
    <x v="4"/>
    <s v="Tech"/>
    <n v="8.4451686491771234"/>
    <d v="2031-05-08T00:00:00"/>
  </r>
  <r>
    <n v="6538"/>
    <x v="3"/>
    <s v="OFM"/>
    <n v="45.792997334847563"/>
    <d v="2031-05-09T00:00:00"/>
  </r>
  <r>
    <n v="6539"/>
    <x v="3"/>
    <s v="Tech"/>
    <n v="119.04347587166971"/>
    <d v="2031-05-10T00:00:00"/>
  </r>
  <r>
    <n v="6540"/>
    <x v="3"/>
    <s v="Tech"/>
    <n v="64.110196268786581"/>
    <d v="2031-05-11T00:00:00"/>
  </r>
  <r>
    <n v="6541"/>
    <x v="1"/>
    <s v="Tech"/>
    <n v="48.500881834215171"/>
    <d v="2031-05-12T00:00:00"/>
  </r>
  <r>
    <n v="6542"/>
    <x v="2"/>
    <s v="Apps"/>
    <n v="105.89854918987609"/>
    <d v="2031-05-13T00:00:00"/>
  </r>
  <r>
    <n v="6543"/>
    <x v="2"/>
    <s v="Apps"/>
    <n v="188.49941755797943"/>
    <d v="2031-05-14T00:00:00"/>
  </r>
  <r>
    <n v="6544"/>
    <x v="3"/>
    <s v="Apps"/>
    <n v="1.3737899200454268E-4"/>
    <d v="2031-05-15T00:00:00"/>
  </r>
  <r>
    <n v="6545"/>
    <x v="3"/>
    <s v="Tech"/>
    <n v="73.2687957357561"/>
    <d v="2031-05-16T00:00:00"/>
  </r>
  <r>
    <n v="6546"/>
    <x v="3"/>
    <s v="OFM"/>
    <n v="274.75798400908536"/>
    <d v="2031-05-17T00:00:00"/>
  </r>
  <r>
    <n v="6547"/>
    <x v="3"/>
    <s v="Tech"/>
    <n v="274.75798400908536"/>
    <d v="2031-05-18T00:00:00"/>
  </r>
  <r>
    <n v="6548"/>
    <x v="3"/>
    <s v="Tech"/>
    <n v="91.585994669695125"/>
    <d v="2031-05-19T00:00:00"/>
  </r>
  <r>
    <n v="6549"/>
    <x v="3"/>
    <s v="Tech"/>
    <n v="274.75798400908536"/>
    <d v="2031-05-20T00:00:00"/>
  </r>
  <r>
    <n v="6550"/>
    <x v="1"/>
    <s v="Apps"/>
    <n v="66.137566137566139"/>
    <d v="2031-05-21T00:00:00"/>
  </r>
  <r>
    <n v="6551"/>
    <x v="0"/>
    <s v="OFM"/>
    <n v="231.05360443622922"/>
    <d v="2031-05-22T00:00:00"/>
  </r>
  <r>
    <n v="6552"/>
    <x v="0"/>
    <s v="Tech"/>
    <n v="431.30006161429452"/>
    <d v="2031-05-23T00:00:00"/>
  </r>
  <r>
    <n v="6553"/>
    <x v="0"/>
    <s v="OFM"/>
    <n v="616.14294516327789"/>
    <d v="2031-05-24T00:00:00"/>
  </r>
  <r>
    <n v="6554"/>
    <x v="0"/>
    <s v="Tech"/>
    <n v="61.614294516327789"/>
    <d v="2031-05-25T00:00:00"/>
  </r>
  <r>
    <n v="6555"/>
    <x v="0"/>
    <s v="OFM"/>
    <n v="77.017868145409736"/>
    <d v="2031-05-26T00:00:00"/>
  </r>
  <r>
    <n v="6556"/>
    <x v="0"/>
    <s v="Tech"/>
    <n v="46.210720887245841"/>
    <d v="2031-05-27T00:00:00"/>
  </r>
  <r>
    <n v="6557"/>
    <x v="0"/>
    <s v="Tech"/>
    <n v="38.508934072704868"/>
    <d v="2031-05-28T00:00:00"/>
  </r>
  <r>
    <n v="6558"/>
    <x v="0"/>
    <s v="Tech"/>
    <n v="34.470872113064452"/>
    <d v="2031-05-29T00:00:00"/>
  </r>
  <r>
    <n v="6559"/>
    <x v="1"/>
    <s v="Tech"/>
    <n v="391.73686067019401"/>
    <d v="2031-05-30T00:00:00"/>
  </r>
  <r>
    <n v="6560"/>
    <x v="1"/>
    <s v="OFM"/>
    <n v="264.55026455026456"/>
    <d v="2031-05-31T00:00:00"/>
  </r>
  <r>
    <n v="6561"/>
    <x v="1"/>
    <s v="Apps"/>
    <n v="44.091710758377424"/>
    <d v="2031-06-01T00:00:00"/>
  </r>
  <r>
    <n v="6562"/>
    <x v="4"/>
    <s v="OFM"/>
    <n v="100"/>
    <d v="2031-06-02T00:00:00"/>
  </r>
  <r>
    <n v="6563"/>
    <x v="4"/>
    <s v="Apps"/>
    <n v="5.8660583346912167"/>
    <d v="2031-06-03T00:00:00"/>
  </r>
  <r>
    <n v="6564"/>
    <x v="4"/>
    <s v="Tech"/>
    <n v="61.75"/>
    <d v="2031-06-04T00:00:00"/>
  </r>
  <r>
    <n v="6565"/>
    <x v="0"/>
    <s v="OFM"/>
    <n v="13.788348845225784"/>
    <d v="2031-06-05T00:00:00"/>
  </r>
  <r>
    <n v="6566"/>
    <x v="0"/>
    <s v="Apps"/>
    <n v="107.82501540357363"/>
    <d v="2031-06-06T00:00:00"/>
  </r>
  <r>
    <n v="6567"/>
    <x v="0"/>
    <s v="Apps"/>
    <n v="123.22858903265558"/>
    <d v="2031-06-07T00:00:00"/>
  </r>
  <r>
    <n v="6568"/>
    <x v="0"/>
    <s v="Tech"/>
    <n v="43.425668515095502"/>
    <d v="2031-06-08T00:00:00"/>
  </r>
  <r>
    <n v="6569"/>
    <x v="0"/>
    <s v="OFM"/>
    <n v="107.82501540357363"/>
    <d v="2031-06-09T00:00:00"/>
  </r>
  <r>
    <n v="6570"/>
    <x v="0"/>
    <s v="Tech"/>
    <n v="27.576697690451567"/>
    <d v="2031-06-10T00:00:00"/>
  </r>
  <r>
    <n v="6571"/>
    <x v="2"/>
    <s v="Apps"/>
    <n v="20.257677659833075"/>
    <d v="2031-06-11T00:00:00"/>
  </r>
  <r>
    <n v="6572"/>
    <x v="2"/>
    <s v="Apps"/>
    <n v="20.257677659833075"/>
    <d v="2031-06-12T00:00:00"/>
  </r>
  <r>
    <n v="6573"/>
    <x v="2"/>
    <s v="Apps"/>
    <n v="40.515355319666149"/>
    <d v="2031-06-13T00:00:00"/>
  </r>
  <r>
    <n v="6574"/>
    <x v="1"/>
    <s v="OFM"/>
    <n v="94.841534391534395"/>
    <d v="2031-06-14T00:00:00"/>
  </r>
  <r>
    <n v="6575"/>
    <x v="2"/>
    <s v="Apps"/>
    <n v="52.949274594938046"/>
    <d v="2031-06-15T00:00:00"/>
  </r>
  <r>
    <n v="6576"/>
    <x v="1"/>
    <s v="Tech"/>
    <n v="97.934215167548501"/>
    <d v="2031-06-16T00:00:00"/>
  </r>
  <r>
    <n v="6577"/>
    <x v="4"/>
    <s v="Tech"/>
    <n v="95"/>
    <d v="2031-06-17T00:00:00"/>
  </r>
  <r>
    <n v="6578"/>
    <x v="0"/>
    <s v="Apps"/>
    <n v="61.614294516327789"/>
    <d v="2031-06-18T00:00:00"/>
  </r>
  <r>
    <n v="6579"/>
    <x v="0"/>
    <s v="Tech"/>
    <n v="184.84288354898337"/>
    <d v="2031-06-19T00:00:00"/>
  </r>
  <r>
    <n v="6580"/>
    <x v="1"/>
    <s v="Tech"/>
    <n v="66.137566137566139"/>
    <d v="2031-06-20T00:00:00"/>
  </r>
  <r>
    <n v="6581"/>
    <x v="1"/>
    <s v="Tech"/>
    <n v="73.996538800705466"/>
    <d v="2031-06-21T00:00:00"/>
  </r>
  <r>
    <n v="6582"/>
    <x v="1"/>
    <s v="Tech"/>
    <n v="379.36507936507934"/>
    <d v="2031-06-22T00:00:00"/>
  </r>
  <r>
    <n v="6583"/>
    <x v="0"/>
    <s v="Systems"/>
    <n v="77.088124574409321"/>
    <d v="2031-06-23T00:00:00"/>
  </r>
  <r>
    <n v="6584"/>
    <x v="0"/>
    <s v="Systems"/>
    <n v="19.27203114360233"/>
    <d v="2031-06-24T00:00:00"/>
  </r>
  <r>
    <n v="6585"/>
    <x v="1"/>
    <s v="Apps"/>
    <n v="220.45855379188714"/>
    <d v="2031-06-25T00:00:00"/>
  </r>
  <r>
    <n v="6586"/>
    <x v="0"/>
    <s v="Tech"/>
    <n v="15.370408438580037"/>
    <d v="2031-06-26T00:00:00"/>
  </r>
  <r>
    <n v="6587"/>
    <x v="2"/>
    <s v="Apps"/>
    <n v="211.79709837975219"/>
    <d v="2031-06-27T00:00:00"/>
  </r>
  <r>
    <n v="6588"/>
    <x v="4"/>
    <s v="Tech"/>
    <n v="65.178425941013529"/>
    <d v="2031-06-28T00:00:00"/>
  </r>
  <r>
    <n v="6589"/>
    <x v="4"/>
    <s v="Apps"/>
    <n v="45.994"/>
    <d v="2031-06-29T00:00:00"/>
  </r>
  <r>
    <n v="6590"/>
    <x v="4"/>
    <s v="Apps"/>
    <n v="300"/>
    <d v="2031-06-30T00:00:00"/>
  </r>
  <r>
    <n v="6591"/>
    <x v="4"/>
    <s v="Apps"/>
    <n v="50"/>
    <d v="2031-07-01T00:00:00"/>
  </r>
  <r>
    <n v="6592"/>
    <x v="4"/>
    <s v="Apps"/>
    <n v="300"/>
    <d v="2031-07-02T00:00:00"/>
  </r>
  <r>
    <n v="6593"/>
    <x v="0"/>
    <s v="Tech"/>
    <n v="25.696041524803107"/>
    <d v="2031-07-03T00:00:00"/>
  </r>
  <r>
    <n v="6594"/>
    <x v="0"/>
    <s v="Systems"/>
    <n v="192.72031143602331"/>
    <d v="2031-07-04T00:00:00"/>
  </r>
  <r>
    <n v="6595"/>
    <x v="4"/>
    <s v="Tech"/>
    <n v="97.767638911520294"/>
    <d v="2031-07-05T00:00:00"/>
  </r>
  <r>
    <n v="6596"/>
    <x v="1"/>
    <s v="Tech"/>
    <n v="194.00352733686069"/>
    <d v="2031-07-06T00:00:00"/>
  </r>
  <r>
    <n v="6597"/>
    <x v="4"/>
    <s v="Tech"/>
    <n v="500"/>
    <d v="2031-07-07T00:00:00"/>
  </r>
  <r>
    <n v="6598"/>
    <x v="1"/>
    <s v="Tech"/>
    <n v="132.27513227513228"/>
    <d v="2031-07-08T00:00:00"/>
  </r>
  <r>
    <n v="6599"/>
    <x v="0"/>
    <s v="Apps"/>
    <n v="36.198398028342574"/>
    <d v="2031-07-09T00:00:00"/>
  </r>
  <r>
    <n v="6600"/>
    <x v="0"/>
    <s v="OFM"/>
    <n v="64.24010381200776"/>
    <d v="2031-07-10T00:00:00"/>
  </r>
  <r>
    <n v="6601"/>
    <x v="0"/>
    <s v="Apps"/>
    <n v="123.22858903265558"/>
    <d v="2031-07-11T00:00:00"/>
  </r>
  <r>
    <n v="6602"/>
    <x v="0"/>
    <s v="OFM"/>
    <n v="34.689656058484196"/>
    <d v="2031-07-12T00:00:00"/>
  </r>
  <r>
    <n v="6603"/>
    <x v="2"/>
    <s v="Tech"/>
    <n v="1E-3"/>
    <d v="2031-07-13T00:00:00"/>
  </r>
  <r>
    <n v="6604"/>
    <x v="0"/>
    <s v="Tech"/>
    <n v="12.064805239572561"/>
    <d v="2031-07-14T00:00:00"/>
  </r>
  <r>
    <n v="6605"/>
    <x v="0"/>
    <s v="Tech"/>
    <n v="107.70596346087555"/>
    <d v="2031-07-15T00:00:00"/>
  </r>
  <r>
    <n v="6606"/>
    <x v="3"/>
    <s v="Other"/>
    <n v="91.585994669695125"/>
    <d v="2031-07-16T00:00:00"/>
  </r>
  <r>
    <n v="6607"/>
    <x v="3"/>
    <s v="OFM"/>
    <n v="9.1585994669695125"/>
    <d v="2031-07-17T00:00:00"/>
  </r>
  <r>
    <n v="6608"/>
    <x v="2"/>
    <s v="OFM"/>
    <n v="211.79709837975219"/>
    <d v="2031-07-18T00:00:00"/>
  </r>
  <r>
    <n v="6609"/>
    <x v="1"/>
    <s v="Tech"/>
    <n v="220.45855379188714"/>
    <d v="2031-07-19T00:00:00"/>
  </r>
  <r>
    <n v="6610"/>
    <x v="0"/>
    <s v="Apps"/>
    <n v="128.48020762401552"/>
    <d v="2031-07-20T00:00:00"/>
  </r>
  <r>
    <n v="6611"/>
    <x v="1"/>
    <s v="Tech"/>
    <n v="220.45855379188714"/>
    <d v="2031-07-21T00:00:00"/>
  </r>
  <r>
    <n v="6612"/>
    <x v="0"/>
    <s v="Tech"/>
    <n v="68.941744226128904"/>
    <d v="2031-07-22T00:00:00"/>
  </r>
  <r>
    <n v="6613"/>
    <x v="0"/>
    <s v="Systems"/>
    <n v="103.41261633919338"/>
    <d v="2031-07-23T00:00:00"/>
  </r>
  <r>
    <n v="6614"/>
    <x v="0"/>
    <s v="Tech"/>
    <n v="206.82523267838675"/>
    <d v="2031-07-24T00:00:00"/>
  </r>
  <r>
    <n v="6615"/>
    <x v="0"/>
    <s v="OFM"/>
    <n v="246.45717806531115"/>
    <d v="2031-07-25T00:00:00"/>
  </r>
  <r>
    <n v="6616"/>
    <x v="0"/>
    <s v="Tech"/>
    <n v="308.07147258163894"/>
    <d v="2031-07-26T00:00:00"/>
  </r>
  <r>
    <n v="6617"/>
    <x v="4"/>
    <s v="Apps"/>
    <n v="200"/>
    <d v="2031-07-27T00:00:00"/>
  </r>
  <r>
    <n v="6618"/>
    <x v="3"/>
    <s v="Tech"/>
    <n v="73.2687957357561"/>
    <d v="2031-07-28T00:00:00"/>
  </r>
  <r>
    <n v="6619"/>
    <x v="3"/>
    <s v="Apps"/>
    <n v="137.37899200454268"/>
    <d v="2031-07-29T00:00:00"/>
  </r>
  <r>
    <n v="6620"/>
    <x v="0"/>
    <s v="Tech"/>
    <n v="34.470872113064452"/>
    <d v="2031-07-30T00:00:00"/>
  </r>
  <r>
    <n v="6621"/>
    <x v="0"/>
    <s v="Tech"/>
    <n v="5385.2981730437778"/>
    <d v="2031-07-31T00:00:00"/>
  </r>
  <r>
    <n v="6622"/>
    <x v="0"/>
    <s v="Tech"/>
    <n v="34.470872113064452"/>
    <d v="2031-08-01T00:00:00"/>
  </r>
  <r>
    <n v="6623"/>
    <x v="4"/>
    <s v="Tech"/>
    <n v="32.675999999999995"/>
    <d v="2031-08-02T00:00:00"/>
  </r>
  <r>
    <n v="6624"/>
    <x v="1"/>
    <s v="Apps"/>
    <n v="10"/>
    <d v="2031-08-03T00:00:00"/>
  </r>
  <r>
    <n v="6625"/>
    <x v="2"/>
    <s v="Apps"/>
    <n v="105.89854918987609"/>
    <d v="2031-08-04T00:00:00"/>
  </r>
  <r>
    <n v="6626"/>
    <x v="0"/>
    <s v="Tech"/>
    <n v="537.74560496380548"/>
    <d v="2031-08-05T00:00:00"/>
  </r>
  <r>
    <n v="6627"/>
    <x v="0"/>
    <s v="Tech"/>
    <n v="3.4470872113064459"/>
    <d v="2031-08-06T00:00:00"/>
  </r>
  <r>
    <n v="6628"/>
    <x v="0"/>
    <s v="Tech"/>
    <n v="107.70596346087555"/>
    <d v="2031-08-07T00:00:00"/>
  </r>
  <r>
    <n v="6629"/>
    <x v="0"/>
    <s v="Tech"/>
    <n v="107.70596346087555"/>
    <d v="2031-08-08T00:00:00"/>
  </r>
  <r>
    <n v="6630"/>
    <x v="0"/>
    <s v="OFM"/>
    <n v="53.912507701786815"/>
    <d v="2031-08-09T00:00:00"/>
  </r>
  <r>
    <n v="6631"/>
    <x v="0"/>
    <s v="Apps"/>
    <n v="123.22858903265558"/>
    <d v="2031-08-10T00:00:00"/>
  </r>
  <r>
    <n v="6632"/>
    <x v="1"/>
    <s v="Tech"/>
    <n v="187.38977072310408"/>
    <d v="2031-08-11T00:00:00"/>
  </r>
  <r>
    <n v="6633"/>
    <x v="2"/>
    <s v="Apps"/>
    <n v="26.474637297469023"/>
    <d v="2031-08-12T00:00:00"/>
  </r>
  <r>
    <n v="6634"/>
    <x v="1"/>
    <s v="Apps"/>
    <n v="220.45855379188714"/>
    <d v="2031-08-13T00:00:00"/>
  </r>
  <r>
    <n v="6635"/>
    <x v="4"/>
    <s v="Apps"/>
    <n v="88.45"/>
    <d v="2031-08-14T00:00:00"/>
  </r>
  <r>
    <n v="6636"/>
    <x v="0"/>
    <s v="Tech"/>
    <n v="68.941744226128904"/>
    <d v="2031-08-15T00:00:00"/>
  </r>
  <r>
    <n v="6637"/>
    <x v="0"/>
    <s v="Tech"/>
    <n v="58.60048259220958"/>
    <d v="2031-08-16T00:00:00"/>
  </r>
  <r>
    <n v="6638"/>
    <x v="0"/>
    <s v="Systems"/>
    <n v="19.27203114360233"/>
    <d v="2031-08-17T00:00:00"/>
  </r>
  <r>
    <n v="6639"/>
    <x v="0"/>
    <s v="Systems"/>
    <n v="38.54406228720466"/>
    <d v="2031-08-18T00:00:00"/>
  </r>
  <r>
    <n v="6640"/>
    <x v="1"/>
    <s v="Other"/>
    <n v="440.91710758377428"/>
    <d v="2031-08-19T00:00:00"/>
  </r>
  <r>
    <n v="6641"/>
    <x v="1"/>
    <s v="Tech"/>
    <n v="154.32098765432099"/>
    <d v="2031-08-20T00:00:00"/>
  </r>
  <r>
    <n v="6642"/>
    <x v="1"/>
    <s v="Apps"/>
    <n v="110.22927689594357"/>
    <d v="2031-08-21T00:00:00"/>
  </r>
  <r>
    <n v="6643"/>
    <x v="1"/>
    <s v="Tech"/>
    <n v="110.22927689594357"/>
    <d v="2031-08-22T00:00:00"/>
  </r>
  <r>
    <n v="6644"/>
    <x v="0"/>
    <s v="Tech"/>
    <n v="150.78834884522578"/>
    <d v="2031-08-23T00:00:00"/>
  </r>
  <r>
    <n v="6645"/>
    <x v="0"/>
    <s v="Tech"/>
    <n v="141.71837297483626"/>
    <d v="2031-08-24T00:00:00"/>
  </r>
  <r>
    <n v="6646"/>
    <x v="0"/>
    <s v="Apps"/>
    <n v="127.54653567735262"/>
    <d v="2031-08-25T00:00:00"/>
  </r>
  <r>
    <n v="6647"/>
    <x v="0"/>
    <s v="Tech"/>
    <n v="308.07147258163894"/>
    <d v="2031-08-26T00:00:00"/>
  </r>
  <r>
    <n v="6648"/>
    <x v="0"/>
    <s v="Tech"/>
    <n v="1232.2858903265558"/>
    <d v="2031-08-27T00:00:00"/>
  </r>
  <r>
    <n v="6649"/>
    <x v="1"/>
    <s v="Tech"/>
    <n v="66.137566137566139"/>
    <d v="2031-08-28T00:00:00"/>
  </r>
  <r>
    <n v="6650"/>
    <x v="2"/>
    <s v="OFM"/>
    <n v="211.79709837975219"/>
    <d v="2031-08-29T00:00:00"/>
  </r>
  <r>
    <n v="6651"/>
    <x v="0"/>
    <s v="Tech"/>
    <n v="103.41261633919338"/>
    <d v="2031-08-30T00:00:00"/>
  </r>
  <r>
    <n v="6652"/>
    <x v="0"/>
    <s v="Apps"/>
    <n v="61.614294516327789"/>
    <d v="2031-08-31T00:00:00"/>
  </r>
  <r>
    <n v="6653"/>
    <x v="0"/>
    <s v="Tech"/>
    <n v="123.22858903265558"/>
    <d v="2031-09-01T00:00:00"/>
  </r>
  <r>
    <n v="6654"/>
    <x v="0"/>
    <s v="Tech"/>
    <n v="77.017868145409736"/>
    <d v="2031-09-02T00:00:00"/>
  </r>
  <r>
    <n v="6655"/>
    <x v="0"/>
    <s v="Apps"/>
    <n v="46.210720887245841"/>
    <d v="2031-09-03T00:00:00"/>
  </r>
  <r>
    <n v="6656"/>
    <x v="0"/>
    <s v="Apps"/>
    <n v="77.017868145409736"/>
    <d v="2031-09-04T00:00:00"/>
  </r>
  <r>
    <n v="6657"/>
    <x v="2"/>
    <s v="Tech"/>
    <n v="84.718839351900883"/>
    <d v="2031-09-05T00:00:00"/>
  </r>
  <r>
    <n v="6658"/>
    <x v="2"/>
    <s v="Systems"/>
    <n v="6353.9129513925654"/>
    <d v="2031-09-06T00:00:00"/>
  </r>
  <r>
    <n v="6659"/>
    <x v="0"/>
    <s v="Apps"/>
    <n v="77.017868145409736"/>
    <d v="2031-09-07T00:00:00"/>
  </r>
  <r>
    <n v="6660"/>
    <x v="0"/>
    <s v="Apps"/>
    <n v="308.07147258163894"/>
    <d v="2031-09-08T00:00:00"/>
  </r>
  <r>
    <n v="6661"/>
    <x v="0"/>
    <s v="Tech"/>
    <n v="74.871842267406038"/>
    <d v="2031-09-09T00:00:00"/>
  </r>
  <r>
    <n v="6662"/>
    <x v="0"/>
    <s v="OFM"/>
    <n v="70.931146025877993"/>
    <d v="2031-09-10T00:00:00"/>
  </r>
  <r>
    <n v="6663"/>
    <x v="0"/>
    <s v="Apps"/>
    <n v="92.88354898336415"/>
    <d v="2031-09-11T00:00:00"/>
  </r>
  <r>
    <n v="6664"/>
    <x v="1"/>
    <s v="Tech"/>
    <n v="44.091710758377424"/>
    <d v="2031-09-12T00:00:00"/>
  </r>
  <r>
    <n v="6665"/>
    <x v="1"/>
    <s v="Tech"/>
    <n v="88.183421516754848"/>
    <d v="2031-09-13T00:00:00"/>
  </r>
  <r>
    <n v="6666"/>
    <x v="1"/>
    <s v="Tech"/>
    <n v="88.183421516754848"/>
    <d v="2031-09-14T00:00:00"/>
  </r>
  <r>
    <n v="6667"/>
    <x v="4"/>
    <s v="Apps"/>
    <n v="40.121970791205264"/>
    <d v="2031-09-15T00:00:00"/>
  </r>
  <r>
    <n v="6668"/>
    <x v="1"/>
    <s v="Tech"/>
    <n v="1543.2098765432099"/>
    <d v="2031-09-16T00:00:00"/>
  </r>
  <r>
    <n v="6669"/>
    <x v="4"/>
    <s v="Systems"/>
    <n v="9.7767638911520294"/>
    <d v="2031-09-17T00:00:00"/>
  </r>
  <r>
    <n v="6670"/>
    <x v="2"/>
    <s v="Apps"/>
    <n v="317.69564756962825"/>
    <d v="2031-09-18T00:00:00"/>
  </r>
  <r>
    <n v="6671"/>
    <x v="2"/>
    <s v="Apps"/>
    <n v="40.515355319666149"/>
    <d v="2031-09-19T00:00:00"/>
  </r>
  <r>
    <n v="6672"/>
    <x v="4"/>
    <s v="Systems"/>
    <n v="136.87469447612841"/>
    <d v="2031-09-20T00:00:00"/>
  </r>
  <r>
    <n v="6673"/>
    <x v="0"/>
    <s v="Systems"/>
    <n v="7.5835918648741805"/>
    <d v="2031-09-21T00:00:00"/>
  </r>
  <r>
    <n v="6674"/>
    <x v="0"/>
    <s v="OFM"/>
    <n v="16.546018614270938"/>
    <d v="2031-09-22T00:00:00"/>
  </r>
  <r>
    <n v="6675"/>
    <x v="0"/>
    <s v="Tech"/>
    <n v="224.06066873491898"/>
    <d v="2031-09-23T00:00:00"/>
  </r>
  <r>
    <n v="6676"/>
    <x v="2"/>
    <s v="Tech"/>
    <n v="120"/>
    <d v="2031-09-24T00:00:00"/>
  </r>
  <r>
    <n v="6677"/>
    <x v="2"/>
    <s v="Tech"/>
    <n v="211.79709837975219"/>
    <d v="2031-09-25T00:00:00"/>
  </r>
  <r>
    <n v="6678"/>
    <x v="1"/>
    <s v="Tech"/>
    <n v="40.343915343915349"/>
    <d v="2031-09-26T00:00:00"/>
  </r>
  <r>
    <n v="6679"/>
    <x v="3"/>
    <s v="Tech"/>
    <n v="27.475798400908538"/>
    <d v="2031-09-27T00:00:00"/>
  </r>
  <r>
    <n v="6680"/>
    <x v="0"/>
    <s v="Tech"/>
    <n v="146.33394947627849"/>
    <d v="2031-09-28T00:00:00"/>
  </r>
  <r>
    <n v="6681"/>
    <x v="0"/>
    <s v="Other"/>
    <n v="462.10720887245844"/>
    <d v="2031-09-29T00:00:00"/>
  </r>
  <r>
    <n v="6682"/>
    <x v="0"/>
    <s v="Other"/>
    <n v="462.10720887245844"/>
    <d v="2031-09-30T00:00:00"/>
  </r>
  <r>
    <n v="6683"/>
    <x v="0"/>
    <s v="Tech"/>
    <n v="924.21441774491689"/>
    <d v="2031-10-01T00:00:00"/>
  </r>
  <r>
    <n v="6684"/>
    <x v="0"/>
    <s v="Tech"/>
    <n v="616.14294516327789"/>
    <d v="2031-10-02T00:00:00"/>
  </r>
  <r>
    <n v="6685"/>
    <x v="1"/>
    <s v="Tech"/>
    <n v="145"/>
    <d v="2031-10-03T00:00:00"/>
  </r>
  <r>
    <n v="6686"/>
    <x v="1"/>
    <s v="Tech"/>
    <n v="165"/>
    <d v="2031-10-04T00:00:00"/>
  </r>
  <r>
    <n v="6687"/>
    <x v="1"/>
    <s v="Apps"/>
    <n v="104.76190476190476"/>
    <d v="2031-10-05T00:00:00"/>
  </r>
  <r>
    <n v="6688"/>
    <x v="0"/>
    <s v="Tech"/>
    <n v="46.210720887245841"/>
    <d v="2031-10-06T00:00:00"/>
  </r>
  <r>
    <n v="6689"/>
    <x v="2"/>
    <s v="Tech"/>
    <n v="105.89854918987609"/>
    <d v="2031-10-07T00:00:00"/>
  </r>
  <r>
    <n v="6690"/>
    <x v="0"/>
    <s v="Apps"/>
    <n v="77.017868145409736"/>
    <d v="2031-10-08T00:00:00"/>
  </r>
  <r>
    <n v="6691"/>
    <x v="4"/>
    <s v="Tech"/>
    <n v="37.850875178021781"/>
    <d v="2031-10-09T00:00:00"/>
  </r>
  <r>
    <n v="6692"/>
    <x v="1"/>
    <s v="Tech"/>
    <n v="195.868430335097"/>
    <d v="2031-10-10T00:00:00"/>
  </r>
  <r>
    <n v="6693"/>
    <x v="4"/>
    <s v="Apps"/>
    <n v="0"/>
    <d v="2031-10-11T00:00:00"/>
  </r>
  <r>
    <n v="6694"/>
    <x v="1"/>
    <s v="Tech"/>
    <n v="66.137566137566139"/>
    <d v="2031-10-12T00:00:00"/>
  </r>
  <r>
    <n v="6695"/>
    <x v="2"/>
    <s v="Apps"/>
    <n v="52.949274594938046"/>
    <d v="2031-10-13T00:00:00"/>
  </r>
  <r>
    <n v="6696"/>
    <x v="0"/>
    <s v="Apps"/>
    <n v="68.993871494096339"/>
    <d v="2031-10-14T00:00:00"/>
  </r>
  <r>
    <n v="6697"/>
    <x v="0"/>
    <s v="Tech"/>
    <n v="77.017868145409736"/>
    <d v="2031-10-15T00:00:00"/>
  </r>
  <r>
    <n v="6698"/>
    <x v="0"/>
    <s v="Tech"/>
    <n v="123.22858903265558"/>
    <d v="2031-10-16T00:00:00"/>
  </r>
  <r>
    <n v="6699"/>
    <x v="1"/>
    <s v="Tech"/>
    <n v="110.22927689594357"/>
    <d v="2031-10-17T00:00:00"/>
  </r>
  <r>
    <n v="6700"/>
    <x v="0"/>
    <s v="Tech"/>
    <n v="170.87867613994067"/>
    <d v="2031-10-18T00:00:00"/>
  </r>
  <r>
    <n v="6701"/>
    <x v="2"/>
    <s v="Apps"/>
    <n v="162.0614212786646"/>
    <d v="2031-10-19T00:00:00"/>
  </r>
  <r>
    <n v="6702"/>
    <x v="2"/>
    <s v="Tech"/>
    <n v="529.49274594938049"/>
    <d v="2031-10-20T00:00:00"/>
  </r>
  <r>
    <n v="6703"/>
    <x v="0"/>
    <s v="Apps"/>
    <n v="92.88354898336415"/>
    <d v="2031-10-21T00:00:00"/>
  </r>
  <r>
    <n v="6704"/>
    <x v="0"/>
    <s v="Apps"/>
    <n v="539.12507701786819"/>
    <d v="2031-10-22T00:00:00"/>
  </r>
  <r>
    <n v="6705"/>
    <x v="0"/>
    <s v="Tech"/>
    <n v="770.17868145409739"/>
    <d v="2031-10-23T00:00:00"/>
  </r>
  <r>
    <n v="6706"/>
    <x v="1"/>
    <s v="Tech"/>
    <n v="68.342151675485013"/>
    <d v="2031-10-24T00:00:00"/>
  </r>
  <r>
    <n v="6707"/>
    <x v="0"/>
    <s v="OFM"/>
    <n v="38.83262883352819"/>
    <d v="2031-10-25T00:00:00"/>
  </r>
  <r>
    <n v="6708"/>
    <x v="0"/>
    <s v="Tech"/>
    <n v="6.2047569803516023"/>
    <d v="2031-10-26T00:00:00"/>
  </r>
  <r>
    <n v="6709"/>
    <x v="4"/>
    <s v="Tech"/>
    <n v="2.204585537918871"/>
    <d v="2031-10-27T00:00:00"/>
  </r>
  <r>
    <n v="6710"/>
    <x v="2"/>
    <s v="Apps"/>
    <n v="211.79709837975219"/>
    <d v="2031-10-28T00:00:00"/>
  </r>
  <r>
    <n v="6711"/>
    <x v="0"/>
    <s v="Tech"/>
    <n v="26.542571527059632"/>
    <d v="2031-10-29T00:00:00"/>
  </r>
  <r>
    <n v="6712"/>
    <x v="1"/>
    <s v="Tech"/>
    <n v="66.137566137566139"/>
    <d v="2031-10-30T00:00:00"/>
  </r>
  <r>
    <n v="6713"/>
    <x v="3"/>
    <s v="Tech"/>
    <n v="64.110196268786581"/>
    <d v="2031-10-31T00:00:00"/>
  </r>
  <r>
    <n v="6714"/>
    <x v="3"/>
    <s v="Tech"/>
    <n v="366.3439786787805"/>
    <d v="2031-11-01T00:00:00"/>
  </r>
  <r>
    <n v="6715"/>
    <x v="3"/>
    <s v="OFM"/>
    <n v="137.37899200454268"/>
    <d v="2031-11-02T00:00:00"/>
  </r>
  <r>
    <n v="6716"/>
    <x v="3"/>
    <s v="Tech"/>
    <n v="73.2687957357561"/>
    <d v="2031-11-03T00:00:00"/>
  </r>
  <r>
    <n v="6717"/>
    <x v="3"/>
    <s v="Tech"/>
    <n v="366.3439786787805"/>
    <d v="2031-11-04T00:00:00"/>
  </r>
  <r>
    <n v="6718"/>
    <x v="1"/>
    <s v="Tech"/>
    <n v="110.22927689594357"/>
    <d v="2031-11-05T00:00:00"/>
  </r>
  <r>
    <n v="6719"/>
    <x v="0"/>
    <s v="Apps"/>
    <n v="0"/>
    <d v="2031-11-06T00:00:00"/>
  </r>
  <r>
    <n v="6720"/>
    <x v="1"/>
    <s v="Apps"/>
    <n v="1.5432098765432098"/>
    <d v="2031-11-07T00:00:00"/>
  </r>
  <r>
    <n v="6721"/>
    <x v="2"/>
    <s v="Apps"/>
    <n v="21.179709837975221"/>
    <d v="2031-11-08T00:00:00"/>
  </r>
  <r>
    <n v="6722"/>
    <x v="2"/>
    <s v="Apps"/>
    <n v="1058.985491898761"/>
    <d v="2031-11-09T00:00:00"/>
  </r>
  <r>
    <n v="6723"/>
    <x v="0"/>
    <s v="Tech"/>
    <n v="205.56833219842486"/>
    <d v="2031-11-10T00:00:00"/>
  </r>
  <r>
    <n v="6724"/>
    <x v="2"/>
    <s v="Apps"/>
    <n v="741.28984432913273"/>
    <d v="2031-11-11T00:00:00"/>
  </r>
  <r>
    <n v="6725"/>
    <x v="2"/>
    <s v="Apps"/>
    <n v="52.949274594938046"/>
    <d v="2031-11-12T00:00:00"/>
  </r>
  <r>
    <n v="6726"/>
    <x v="0"/>
    <s v="Tech"/>
    <n v="77.017868145409736"/>
    <d v="2031-11-13T00:00:00"/>
  </r>
  <r>
    <n v="6727"/>
    <x v="2"/>
    <s v="Apps"/>
    <n v="52.949274594938046"/>
    <d v="2031-11-14T00:00:00"/>
  </r>
  <r>
    <n v="6728"/>
    <x v="1"/>
    <s v="Tech"/>
    <n v="132.27513227513228"/>
    <d v="2031-11-15T00:00:00"/>
  </r>
  <r>
    <n v="6729"/>
    <x v="0"/>
    <s v="Apps"/>
    <n v="75.803322498169166"/>
    <d v="2031-11-16T00:00:00"/>
  </r>
  <r>
    <n v="6730"/>
    <x v="2"/>
    <s v="Apps"/>
    <n v="105.89854918987609"/>
    <d v="2031-11-17T00:00:00"/>
  </r>
  <r>
    <n v="6731"/>
    <x v="0"/>
    <s v="Systems"/>
    <n v="12.848020762401553"/>
    <d v="2031-11-18T00:00:00"/>
  </r>
  <r>
    <n v="6732"/>
    <x v="4"/>
    <s v="Tech"/>
    <n v="498.82140000000004"/>
    <d v="2031-11-19T00:00:00"/>
  </r>
  <r>
    <n v="6733"/>
    <x v="4"/>
    <s v="Apps"/>
    <n v="3.1598500896203361"/>
    <d v="2031-11-20T00:00:00"/>
  </r>
  <r>
    <n v="6734"/>
    <x v="2"/>
    <s v="Apps"/>
    <n v="211.79709837975219"/>
    <d v="2031-11-21T00:00:00"/>
  </r>
  <r>
    <n v="6735"/>
    <x v="2"/>
    <s v="Apps"/>
    <n v="158.84782378481412"/>
    <d v="2031-11-22T00:00:00"/>
  </r>
  <r>
    <n v="6736"/>
    <x v="1"/>
    <s v="Apps"/>
    <n v="6.3932980599647271"/>
    <d v="2031-11-23T00:00:00"/>
  </r>
  <r>
    <n v="6737"/>
    <x v="2"/>
    <s v="Apps"/>
    <n v="21.179709837975221"/>
    <d v="2031-11-24T00:00:00"/>
  </r>
  <r>
    <n v="6738"/>
    <x v="0"/>
    <s v="Tech"/>
    <n v="616.14294516327789"/>
    <d v="2031-11-25T00:00:00"/>
  </r>
  <r>
    <n v="6739"/>
    <x v="4"/>
    <s v="Tech"/>
    <n v="15.968714355548315"/>
    <d v="2031-11-26T00:00:00"/>
  </r>
  <r>
    <n v="6740"/>
    <x v="1"/>
    <s v="Tech"/>
    <n v="1.1946649029982364"/>
    <d v="2031-11-27T00:00:00"/>
  </r>
  <r>
    <n v="6741"/>
    <x v="1"/>
    <s v="Apps"/>
    <n v="20"/>
    <d v="2031-11-28T00:00:00"/>
  </r>
  <r>
    <n v="6742"/>
    <x v="4"/>
    <s v="Tech"/>
    <n v="150"/>
    <d v="2031-11-29T00:00:00"/>
  </r>
  <r>
    <n v="6743"/>
    <x v="0"/>
    <s v="Apps"/>
    <n v="23.126437372322794"/>
    <d v="2031-11-30T00:00:00"/>
  </r>
  <r>
    <n v="6744"/>
    <x v="0"/>
    <s v="Apps"/>
    <n v="81.330868761552694"/>
    <d v="2031-12-01T00:00:00"/>
  </r>
  <r>
    <n v="6745"/>
    <x v="2"/>
    <s v="OFM"/>
    <n v="317.69564756962825"/>
    <d v="2031-12-02T00:00:00"/>
  </r>
  <r>
    <n v="6746"/>
    <x v="0"/>
    <s v="Tech"/>
    <n v="134.43640124095137"/>
    <d v="2031-12-03T00:00:00"/>
  </r>
  <r>
    <n v="6747"/>
    <x v="0"/>
    <s v="Tech"/>
    <n v="308.07147258163894"/>
    <d v="2031-12-04T00:00:00"/>
  </r>
  <r>
    <n v="6748"/>
    <x v="0"/>
    <s v="Tech"/>
    <n v="308.07147258163894"/>
    <d v="2031-12-05T00:00:00"/>
  </r>
  <r>
    <n v="6749"/>
    <x v="0"/>
    <s v="Apps"/>
    <n v="154.03573629081947"/>
    <d v="2031-12-06T00:00:00"/>
  </r>
  <r>
    <n v="6750"/>
    <x v="4"/>
    <s v="Tech"/>
    <n v="8.2260113058299389"/>
    <d v="2031-12-07T00:00:00"/>
  </r>
  <r>
    <n v="6751"/>
    <x v="1"/>
    <s v="Tech"/>
    <n v="391.73677248677251"/>
    <d v="2031-12-08T00:00:00"/>
  </r>
  <r>
    <n v="6752"/>
    <x v="0"/>
    <s v="Other"/>
    <n v="616.14294516327789"/>
    <d v="2031-12-09T00:00:00"/>
  </r>
  <r>
    <n v="6753"/>
    <x v="0"/>
    <s v="Apps"/>
    <n v="308.07147258163894"/>
    <d v="2031-12-10T00:00:00"/>
  </r>
  <r>
    <n v="6754"/>
    <x v="0"/>
    <s v="Apps"/>
    <n v="354.28219346888477"/>
    <d v="2031-12-11T00:00:00"/>
  </r>
  <r>
    <n v="6755"/>
    <x v="0"/>
    <s v="Tech"/>
    <n v="115.52680221811461"/>
    <d v="2031-12-12T00:00:00"/>
  </r>
  <r>
    <n v="6756"/>
    <x v="0"/>
    <s v="Apps"/>
    <n v="59.23875539125077"/>
    <d v="2031-12-13T00:00:00"/>
  </r>
  <r>
    <n v="6757"/>
    <x v="0"/>
    <s v="Apps"/>
    <n v="25.783117683302528"/>
    <d v="2031-12-14T00:00:00"/>
  </r>
  <r>
    <n v="6758"/>
    <x v="0"/>
    <s v="Other"/>
    <n v="30.807147258163894"/>
    <d v="2031-12-15T00:00:00"/>
  </r>
  <r>
    <n v="6759"/>
    <x v="1"/>
    <s v="Tech"/>
    <n v="48.500881834215171"/>
    <d v="2031-12-16T00:00:00"/>
  </r>
  <r>
    <n v="6760"/>
    <x v="0"/>
    <s v="Tech"/>
    <n v="1034.1261633919337"/>
    <d v="2031-12-17T00:00:00"/>
  </r>
  <r>
    <n v="6761"/>
    <x v="0"/>
    <s v="Tech"/>
    <n v="149.41466420209488"/>
    <d v="2031-12-18T00:00:00"/>
  </r>
  <r>
    <n v="6762"/>
    <x v="3"/>
    <s v="Tech"/>
    <n v="137.37899200454268"/>
    <d v="2031-12-19T00:00:00"/>
  </r>
  <r>
    <n v="6763"/>
    <x v="4"/>
    <s v="Apps"/>
    <n v="78.461250000000007"/>
    <d v="2031-12-20T00:00:00"/>
  </r>
  <r>
    <n v="6764"/>
    <x v="1"/>
    <s v="Apps"/>
    <n v="110.22927689594357"/>
    <d v="2031-12-21T00:00:00"/>
  </r>
  <r>
    <n v="6765"/>
    <x v="0"/>
    <s v="Apps"/>
    <n v="92.421441774491683"/>
    <d v="2031-12-22T00:00:00"/>
  </r>
  <r>
    <n v="6766"/>
    <x v="4"/>
    <s v="Apps"/>
    <n v="0"/>
    <d v="2031-12-23T00:00:00"/>
  </r>
  <r>
    <n v="6767"/>
    <x v="0"/>
    <s v="Apps"/>
    <n v="123.22858903265558"/>
    <d v="2031-12-24T00:00:00"/>
  </r>
  <r>
    <n v="6768"/>
    <x v="4"/>
    <s v="Tech"/>
    <n v="97.112856444516879"/>
    <d v="2031-12-25T00:00:00"/>
  </r>
  <r>
    <n v="6769"/>
    <x v="4"/>
    <s v="Tech"/>
    <n v="1.0911012082510221"/>
    <d v="2031-12-26T00:00:00"/>
  </r>
  <r>
    <n v="6770"/>
    <x v="0"/>
    <s v="OFM"/>
    <n v="107.82501540357363"/>
    <d v="2031-12-27T00:00:00"/>
  </r>
  <r>
    <n v="6771"/>
    <x v="0"/>
    <s v="OFM"/>
    <n v="123.22858903265558"/>
    <d v="2031-12-28T00:00:00"/>
  </r>
  <r>
    <n v="6772"/>
    <x v="4"/>
    <s v="Tech"/>
    <n v="325.89212970506765"/>
    <d v="2031-12-29T00:00:00"/>
  </r>
  <r>
    <n v="6773"/>
    <x v="1"/>
    <s v="Tech"/>
    <n v="176.3668430335097"/>
    <d v="2031-12-30T00:00:00"/>
  </r>
  <r>
    <n v="6774"/>
    <x v="0"/>
    <s v="Systems"/>
    <n v="38.54406228720466"/>
    <d v="2031-12-31T00:00:00"/>
  </r>
  <r>
    <n v="6775"/>
    <x v="3"/>
    <s v="Tech"/>
    <n v="137.37899200454268"/>
    <d v="2032-01-01T00:00:00"/>
  </r>
  <r>
    <n v="6776"/>
    <x v="0"/>
    <s v="Tech"/>
    <n v="27.726432532347506"/>
    <d v="2032-01-02T00:00:00"/>
  </r>
  <r>
    <n v="6777"/>
    <x v="0"/>
    <s v="Tech"/>
    <n v="1.5403573629081948"/>
    <d v="2032-01-03T00:00:00"/>
  </r>
  <r>
    <n v="6778"/>
    <x v="1"/>
    <s v="Tech"/>
    <n v="55.114638447971785"/>
    <d v="2032-01-04T00:00:00"/>
  </r>
  <r>
    <n v="6779"/>
    <x v="1"/>
    <s v="Tech"/>
    <n v="88.183421516754848"/>
    <d v="2032-01-05T00:00:00"/>
  </r>
  <r>
    <n v="6780"/>
    <x v="1"/>
    <s v="Tech"/>
    <n v="77.160493827160494"/>
    <d v="2032-01-06T00:00:00"/>
  </r>
  <r>
    <n v="6781"/>
    <x v="1"/>
    <s v="Apps"/>
    <n v="110.22927689594357"/>
    <d v="2032-01-07T00:00:00"/>
  </r>
  <r>
    <n v="6782"/>
    <x v="4"/>
    <s v="Apps"/>
    <n v="0"/>
    <d v="2032-01-08T00:00:00"/>
  </r>
  <r>
    <n v="6783"/>
    <x v="1"/>
    <s v="Apps"/>
    <n v="55.114638447971785"/>
    <d v="2032-01-09T00:00:00"/>
  </r>
  <r>
    <n v="6784"/>
    <x v="0"/>
    <s v="Systems"/>
    <n v="385.44062287204662"/>
    <d v="2032-01-10T00:00:00"/>
  </r>
  <r>
    <n v="6785"/>
    <x v="0"/>
    <s v="Tech"/>
    <n v="3.4470872113064459"/>
    <d v="2032-01-11T00:00:00"/>
  </r>
  <r>
    <n v="6786"/>
    <x v="4"/>
    <s v="Apps"/>
    <n v="0"/>
    <d v="2032-01-12T00:00:00"/>
  </r>
  <r>
    <n v="6787"/>
    <x v="0"/>
    <s v="Apps"/>
    <n v="154.03573629081947"/>
    <d v="2032-01-13T00:00:00"/>
  </r>
  <r>
    <n v="6788"/>
    <x v="0"/>
    <s v="Apps"/>
    <n v="154.03573629081947"/>
    <d v="2032-01-14T00:00:00"/>
  </r>
  <r>
    <n v="6789"/>
    <x v="0"/>
    <s v="Apps"/>
    <n v="154.03573629081947"/>
    <d v="2032-01-15T00:00:00"/>
  </r>
  <r>
    <n v="6790"/>
    <x v="0"/>
    <s v="OFM"/>
    <n v="1.0782501540357363"/>
    <d v="2032-01-16T00:00:00"/>
  </r>
  <r>
    <n v="6791"/>
    <x v="0"/>
    <s v="Tech"/>
    <n v="9.7042513863216264"/>
    <d v="2032-01-17T00:00:00"/>
  </r>
  <r>
    <n v="6792"/>
    <x v="0"/>
    <s v="OFM"/>
    <n v="214.41"/>
    <d v="2032-01-18T00:00:00"/>
  </r>
  <r>
    <n v="6793"/>
    <x v="0"/>
    <s v="Apps"/>
    <n v="642.4010381200776"/>
    <d v="2032-01-19T00:00:00"/>
  </r>
  <r>
    <n v="6794"/>
    <x v="2"/>
    <s v="Apps"/>
    <n v="73.361153877319509"/>
    <d v="2032-01-20T00:00:00"/>
  </r>
  <r>
    <n v="6795"/>
    <x v="2"/>
    <s v="Apps"/>
    <n v="24.309213191799692"/>
    <d v="2032-01-21T00:00:00"/>
  </r>
  <r>
    <n v="6796"/>
    <x v="2"/>
    <s v="Apps"/>
    <n v="11.344299489506524"/>
    <d v="2032-01-22T00:00:00"/>
  </r>
  <r>
    <n v="6797"/>
    <x v="2"/>
    <s v="Apps"/>
    <n v="14.220889717202821"/>
    <d v="2032-01-23T00:00:00"/>
  </r>
  <r>
    <n v="6798"/>
    <x v="2"/>
    <s v="Apps"/>
    <n v="44.554898306458149"/>
    <d v="2032-01-24T00:00:00"/>
  </r>
  <r>
    <n v="6799"/>
    <x v="2"/>
    <s v="Apps"/>
    <n v="162.0614212786646"/>
    <d v="2032-01-25T00:00:00"/>
  </r>
  <r>
    <n v="6800"/>
    <x v="0"/>
    <s v="Apps"/>
    <n v="154.03573629081947"/>
    <d v="2032-01-26T00:00:00"/>
  </r>
  <r>
    <n v="6801"/>
    <x v="0"/>
    <s v="Apps"/>
    <n v="123.22858903265558"/>
    <d v="2032-01-27T00:00:00"/>
  </r>
  <r>
    <n v="6802"/>
    <x v="0"/>
    <s v="Apps"/>
    <n v="130.93037584719656"/>
    <d v="2032-01-28T00:00:00"/>
  </r>
  <r>
    <n v="6803"/>
    <x v="0"/>
    <s v="Apps"/>
    <n v="200.24645717806533"/>
    <d v="2032-01-29T00:00:00"/>
  </r>
  <r>
    <n v="6804"/>
    <x v="0"/>
    <s v="Apps"/>
    <n v="207.94824399260631"/>
    <d v="2032-01-30T00:00:00"/>
  </r>
  <r>
    <n v="6805"/>
    <x v="0"/>
    <s v="Apps"/>
    <n v="130.93037584719656"/>
    <d v="2032-01-31T00:00:00"/>
  </r>
  <r>
    <n v="6806"/>
    <x v="0"/>
    <s v="Apps"/>
    <n v="150.95502156500308"/>
    <d v="2032-02-01T00:00:00"/>
  </r>
  <r>
    <n v="6807"/>
    <x v="0"/>
    <s v="Apps"/>
    <n v="184.84288354898337"/>
    <d v="2032-02-02T00:00:00"/>
  </r>
  <r>
    <n v="6808"/>
    <x v="0"/>
    <s v="Tech"/>
    <n v="308.07147258163894"/>
    <d v="2032-02-03T00:00:00"/>
  </r>
  <r>
    <n v="6809"/>
    <x v="0"/>
    <s v="Tech"/>
    <n v="6.1614294516327792"/>
    <d v="2032-02-04T00:00:00"/>
  </r>
  <r>
    <n v="6810"/>
    <x v="0"/>
    <s v="Tech"/>
    <n v="61.614294516327789"/>
    <d v="2032-02-05T00:00:00"/>
  </r>
  <r>
    <n v="6811"/>
    <x v="2"/>
    <s v="Apps"/>
    <n v="20.257677659833075"/>
    <d v="2032-02-06T00:00:00"/>
  </r>
  <r>
    <n v="6812"/>
    <x v="2"/>
    <s v="Apps"/>
    <n v="202.57677659833075"/>
    <d v="2032-02-07T00:00:00"/>
  </r>
  <r>
    <n v="6813"/>
    <x v="0"/>
    <s v="Tech"/>
    <n v="15.88"/>
    <d v="2032-02-08T00:00:00"/>
  </r>
  <r>
    <n v="6814"/>
    <x v="0"/>
    <s v="Tech"/>
    <n v="127.056"/>
    <d v="2032-02-09T00:00:00"/>
  </r>
  <r>
    <n v="6815"/>
    <x v="0"/>
    <s v="Tech"/>
    <n v="127.056"/>
    <d v="2032-02-10T00:00:00"/>
  </r>
  <r>
    <n v="6816"/>
    <x v="0"/>
    <s v="Tech"/>
    <n v="117.06715958102281"/>
    <d v="2032-02-11T00:00:00"/>
  </r>
  <r>
    <n v="6817"/>
    <x v="0"/>
    <s v="Apps"/>
    <n v="154.03573629081947"/>
    <d v="2032-02-12T00:00:00"/>
  </r>
  <r>
    <n v="6818"/>
    <x v="0"/>
    <s v="Apps"/>
    <n v="192.54467036352435"/>
    <d v="2032-02-13T00:00:00"/>
  </r>
  <r>
    <n v="6819"/>
    <x v="0"/>
    <s v="Tech"/>
    <n v="30.807147258163894"/>
    <d v="2032-02-14T00:00:00"/>
  </r>
  <r>
    <n v="6820"/>
    <x v="0"/>
    <s v="Tech"/>
    <n v="770.17868145409739"/>
    <d v="2032-02-15T00:00:00"/>
  </r>
  <r>
    <n v="6821"/>
    <x v="0"/>
    <s v="Tech"/>
    <n v="92.421441774491683"/>
    <d v="2032-02-16T00:00:00"/>
  </r>
  <r>
    <n v="6822"/>
    <x v="3"/>
    <s v="Tech"/>
    <n v="91.585994669695125"/>
    <d v="2032-02-17T00:00:00"/>
  </r>
  <r>
    <n v="6823"/>
    <x v="3"/>
    <s v="Tech"/>
    <n v="54.951596801817075"/>
    <d v="2032-02-18T00:00:00"/>
  </r>
  <r>
    <n v="6824"/>
    <x v="3"/>
    <s v="Tech"/>
    <n v="348.02677974484146"/>
    <d v="2032-02-19T00:00:00"/>
  </r>
  <r>
    <n v="6825"/>
    <x v="1"/>
    <s v="Tech"/>
    <n v="10"/>
    <d v="2032-02-20T00:00:00"/>
  </r>
  <r>
    <n v="6826"/>
    <x v="1"/>
    <s v="Tech"/>
    <n v="1"/>
    <d v="2032-02-21T00:00:00"/>
  </r>
  <r>
    <n v="6827"/>
    <x v="1"/>
    <s v="Tech"/>
    <n v="206.71296296296299"/>
    <d v="2032-02-22T00:00:00"/>
  </r>
  <r>
    <n v="6828"/>
    <x v="0"/>
    <s v="Apps"/>
    <n v="164.81823783117684"/>
    <d v="2032-02-23T00:00:00"/>
  </r>
  <r>
    <n v="6829"/>
    <x v="2"/>
    <s v="Tech"/>
    <n v="529.49274594938049"/>
    <d v="2032-02-24T00:00:00"/>
  </r>
  <r>
    <n v="6830"/>
    <x v="4"/>
    <s v="Apps"/>
    <n v="47.397751344305043"/>
    <d v="2032-02-25T00:00:00"/>
  </r>
  <r>
    <n v="6831"/>
    <x v="0"/>
    <s v="Systems"/>
    <n v="18.269562219924161"/>
    <d v="2032-02-26T00:00:00"/>
  </r>
  <r>
    <n v="6832"/>
    <x v="4"/>
    <s v="Tech"/>
    <n v="10.053120417141926"/>
    <d v="2032-02-27T00:00:00"/>
  </r>
  <r>
    <n v="6833"/>
    <x v="0"/>
    <s v="Apps"/>
    <n v="77.345084989657352"/>
    <d v="2032-02-28T00:00:00"/>
  </r>
  <r>
    <n v="6834"/>
    <x v="4"/>
    <s v="Apps"/>
    <n v="31.598500896203358"/>
    <d v="2032-02-29T00:00:00"/>
  </r>
  <r>
    <n v="6835"/>
    <x v="3"/>
    <s v="Systems"/>
    <n v="2564.4078507514632"/>
    <d v="2032-03-01T00:00:00"/>
  </r>
  <r>
    <n v="6836"/>
    <x v="0"/>
    <s v="Tech"/>
    <n v="25.696041524803107"/>
    <d v="2032-03-02T00:00:00"/>
  </r>
  <r>
    <n v="6837"/>
    <x v="4"/>
    <s v="Tech"/>
    <n v="98.339601690632605"/>
    <d v="2032-03-03T00:00:00"/>
  </r>
  <r>
    <n v="6838"/>
    <x v="4"/>
    <s v="Apps"/>
    <n v="6.2115989801075022"/>
    <d v="2032-03-04T00:00:00"/>
  </r>
  <r>
    <n v="6839"/>
    <x v="1"/>
    <s v="Tech"/>
    <n v="176.3668430335097"/>
    <d v="2032-03-05T00:00:00"/>
  </r>
  <r>
    <n v="6840"/>
    <x v="3"/>
    <s v="Tech"/>
    <n v="137.37899200454268"/>
    <d v="2032-03-06T00:00:00"/>
  </r>
  <r>
    <n v="6841"/>
    <x v="0"/>
    <s v="Apps"/>
    <n v="77.017868145409736"/>
    <d v="2032-03-07T00:00:00"/>
  </r>
  <r>
    <n v="6842"/>
    <x v="0"/>
    <s v="Apps"/>
    <n v="154.03573629081947"/>
    <d v="2032-03-08T00:00:00"/>
  </r>
  <r>
    <n v="6843"/>
    <x v="0"/>
    <s v="Apps"/>
    <n v="154.03573629081947"/>
    <d v="2032-03-09T00:00:00"/>
  </r>
  <r>
    <n v="6844"/>
    <x v="0"/>
    <s v="Apps"/>
    <n v="231.05360443622922"/>
    <d v="2032-03-10T00:00:00"/>
  </r>
  <r>
    <n v="6845"/>
    <x v="0"/>
    <s v="Apps"/>
    <n v="154.03573629081947"/>
    <d v="2032-03-11T00:00:00"/>
  </r>
  <r>
    <n v="6846"/>
    <x v="0"/>
    <s v="Apps"/>
    <n v="92.421441774491683"/>
    <d v="2032-03-12T00:00:00"/>
  </r>
  <r>
    <n v="6847"/>
    <x v="0"/>
    <s v="Apps"/>
    <n v="46.210720887245841"/>
    <d v="2032-03-13T00:00:00"/>
  </r>
  <r>
    <n v="6848"/>
    <x v="0"/>
    <s v="Tech"/>
    <n v="92.421441774491683"/>
    <d v="2032-03-14T00:00:00"/>
  </r>
  <r>
    <n v="6849"/>
    <x v="0"/>
    <s v="Tech"/>
    <n v="30.807147258163894"/>
    <d v="2032-03-15T00:00:00"/>
  </r>
  <r>
    <n v="6850"/>
    <x v="0"/>
    <s v="Apps"/>
    <n v="41.148798521256936"/>
    <d v="2032-03-16T00:00:00"/>
  </r>
  <r>
    <n v="6851"/>
    <x v="1"/>
    <s v="Tech"/>
    <n v="176.3668430335097"/>
    <d v="2032-03-17T00:00:00"/>
  </r>
  <r>
    <n v="6852"/>
    <x v="0"/>
    <s v="OFM"/>
    <n v="256.96041524803104"/>
    <d v="2032-03-18T00:00:00"/>
  </r>
  <r>
    <n v="6853"/>
    <x v="0"/>
    <s v="Tech"/>
    <n v="15.511892450879007"/>
    <d v="2032-03-19T00:00:00"/>
  </r>
  <r>
    <n v="6854"/>
    <x v="4"/>
    <s v="Apps"/>
    <n v="75"/>
    <d v="2032-03-20T00:00:00"/>
  </r>
  <r>
    <n v="6855"/>
    <x v="0"/>
    <s v="Tech"/>
    <n v="9.4574861367837322"/>
    <d v="2032-03-21T00:00:00"/>
  </r>
  <r>
    <n v="6856"/>
    <x v="0"/>
    <s v="Tech"/>
    <n v="44.923105360443621"/>
    <d v="2032-03-22T00:00:00"/>
  </r>
  <r>
    <n v="6857"/>
    <x v="0"/>
    <s v="Tech"/>
    <n v="22.461552680221811"/>
    <d v="2032-03-23T00:00:00"/>
  </r>
  <r>
    <n v="6858"/>
    <x v="0"/>
    <s v="Tech"/>
    <n v="1.723543605653223"/>
    <d v="2032-03-24T00:00:00"/>
  </r>
  <r>
    <n v="6859"/>
    <x v="0"/>
    <s v="Systems"/>
    <n v="34.470872113064452"/>
    <d v="2032-03-25T00:00:00"/>
  </r>
  <r>
    <n v="6860"/>
    <x v="0"/>
    <s v="Tech"/>
    <n v="5.8600482592209584"/>
    <d v="2032-03-26T00:00:00"/>
  </r>
  <r>
    <n v="6861"/>
    <x v="1"/>
    <s v="Tech"/>
    <n v="20"/>
    <d v="2032-03-27T00:00:00"/>
  </r>
  <r>
    <n v="6862"/>
    <x v="0"/>
    <s v="Tech"/>
    <n v="154.03573629081947"/>
    <d v="2032-03-28T00:00:00"/>
  </r>
  <r>
    <n v="6863"/>
    <x v="0"/>
    <s v="Tech"/>
    <n v="38.607376766632193"/>
    <d v="2032-03-29T00:00:00"/>
  </r>
  <r>
    <n v="6864"/>
    <x v="0"/>
    <s v="Tech"/>
    <n v="100.12322858903266"/>
    <d v="2032-03-30T00:00:00"/>
  </r>
  <r>
    <n v="6865"/>
    <x v="0"/>
    <s v="Tech"/>
    <n v="77.017868145409736"/>
    <d v="2032-03-31T00:00:00"/>
  </r>
  <r>
    <n v="6866"/>
    <x v="0"/>
    <s v="OFM"/>
    <n v="77.017868145409736"/>
    <d v="2032-04-01T00:00:00"/>
  </r>
  <r>
    <n v="6867"/>
    <x v="0"/>
    <s v="Tech"/>
    <n v="6.2047569803516023"/>
    <d v="2032-04-02T00:00:00"/>
  </r>
  <r>
    <n v="6868"/>
    <x v="1"/>
    <s v="Tech"/>
    <n v="33.06878306878307"/>
    <d v="2032-04-03T00:00:00"/>
  </r>
  <r>
    <n v="6869"/>
    <x v="1"/>
    <s v="Tech"/>
    <n v="110.22927689594357"/>
    <d v="2032-04-04T00:00:00"/>
  </r>
  <r>
    <n v="6870"/>
    <x v="1"/>
    <s v="Tech"/>
    <n v="198.4126984126984"/>
    <d v="2032-04-05T00:00:00"/>
  </r>
  <r>
    <n v="6871"/>
    <x v="1"/>
    <s v="Tech"/>
    <n v="198.4126984126984"/>
    <d v="2032-04-06T00:00:00"/>
  </r>
  <r>
    <n v="6872"/>
    <x v="1"/>
    <s v="Tech"/>
    <n v="220.45855379188714"/>
    <d v="2032-04-07T00:00:00"/>
  </r>
  <r>
    <n v="6873"/>
    <x v="1"/>
    <s v="Tech"/>
    <n v="88.183421516754848"/>
    <d v="2032-04-08T00:00:00"/>
  </r>
  <r>
    <n v="6874"/>
    <x v="4"/>
    <s v="Apps"/>
    <n v="120"/>
    <d v="2032-04-09T00:00:00"/>
  </r>
  <r>
    <n v="6875"/>
    <x v="0"/>
    <s v="Tech"/>
    <n v="11.396194416250177"/>
    <d v="2032-04-10T00:00:00"/>
  </r>
  <r>
    <n v="6876"/>
    <x v="3"/>
    <s v="OFM"/>
    <n v="91.585994669695125"/>
    <d v="2032-04-11T00:00:00"/>
  </r>
  <r>
    <n v="6877"/>
    <x v="1"/>
    <s v="Tech"/>
    <n v="59.006900352733687"/>
    <d v="2032-04-12T00:00:00"/>
  </r>
  <r>
    <n v="6878"/>
    <x v="4"/>
    <s v="Apps"/>
    <n v="20"/>
    <d v="2032-04-13T00:00:00"/>
  </r>
  <r>
    <n v="6879"/>
    <x v="0"/>
    <s v="Systems"/>
    <n v="12.064805239572561"/>
    <d v="2032-04-14T00:00:00"/>
  </r>
  <r>
    <n v="6880"/>
    <x v="0"/>
    <s v="Systems"/>
    <n v="6.8941744226128918"/>
    <d v="2032-04-15T00:00:00"/>
  </r>
  <r>
    <n v="6881"/>
    <x v="4"/>
    <s v="Apps"/>
    <n v="10"/>
    <d v="2032-04-16T00:00:00"/>
  </r>
  <r>
    <n v="6882"/>
    <x v="0"/>
    <s v="Apps"/>
    <n v="150.18484288354898"/>
    <d v="2032-04-17T00:00:00"/>
  </r>
  <r>
    <n v="6883"/>
    <x v="0"/>
    <s v="Tech"/>
    <n v="69.316081330868769"/>
    <d v="2032-04-18T00:00:00"/>
  </r>
  <r>
    <n v="6884"/>
    <x v="0"/>
    <s v="Apps"/>
    <n v="150.18484288354898"/>
    <d v="2032-04-19T00:00:00"/>
  </r>
  <r>
    <n v="6885"/>
    <x v="0"/>
    <s v="Tech"/>
    <n v="61.614294516327789"/>
    <d v="2032-04-20T00:00:00"/>
  </r>
  <r>
    <n v="6886"/>
    <x v="0"/>
    <s v="Tech"/>
    <n v="92.421441774491683"/>
    <d v="2032-04-21T00:00:00"/>
  </r>
  <r>
    <n v="6887"/>
    <x v="0"/>
    <s v="Tech"/>
    <n v="61.614294516327789"/>
    <d v="2032-04-22T00:00:00"/>
  </r>
  <r>
    <n v="6888"/>
    <x v="0"/>
    <s v="Tech"/>
    <n v="98.582871226124468"/>
    <d v="2032-04-23T00:00:00"/>
  </r>
  <r>
    <n v="6889"/>
    <x v="0"/>
    <s v="Apps"/>
    <n v="77.017868145409736"/>
    <d v="2032-04-24T00:00:00"/>
  </r>
  <r>
    <n v="6890"/>
    <x v="0"/>
    <s v="Other"/>
    <n v="77.017868145409736"/>
    <d v="2032-04-25T00:00:00"/>
  </r>
  <r>
    <n v="6891"/>
    <x v="0"/>
    <s v="Tech"/>
    <n v="61.614294516327789"/>
    <d v="2032-04-26T00:00:00"/>
  </r>
  <r>
    <n v="6892"/>
    <x v="3"/>
    <s v="Tech"/>
    <n v="137.37899200454268"/>
    <d v="2032-04-27T00:00:00"/>
  </r>
  <r>
    <n v="6893"/>
    <x v="0"/>
    <s v="Tech"/>
    <n v="6.8941744226128918"/>
    <d v="2032-04-28T00:00:00"/>
  </r>
  <r>
    <n v="6894"/>
    <x v="0"/>
    <s v="Tech"/>
    <n v="86.177180282661155"/>
    <d v="2032-04-29T00:00:00"/>
  </r>
  <r>
    <n v="6895"/>
    <x v="0"/>
    <s v="Systems"/>
    <n v="13.788348845225784"/>
    <d v="2032-04-30T00:00:00"/>
  </r>
  <r>
    <n v="6896"/>
    <x v="0"/>
    <s v="OFM"/>
    <n v="45.022233712512929"/>
    <d v="2032-05-01T00:00:00"/>
  </r>
  <r>
    <n v="6897"/>
    <x v="3"/>
    <s v="OFM"/>
    <n v="91.585994669695125"/>
    <d v="2032-05-02T00:00:00"/>
  </r>
  <r>
    <n v="6898"/>
    <x v="3"/>
    <s v="Tech"/>
    <n v="54.951596801817075"/>
    <d v="2032-05-03T00:00:00"/>
  </r>
  <r>
    <n v="6899"/>
    <x v="2"/>
    <s v="Tech"/>
    <n v="529.49274594938049"/>
    <d v="2032-05-04T00:00:00"/>
  </r>
  <r>
    <n v="6900"/>
    <x v="0"/>
    <s v="Tech"/>
    <n v="13.788348845225784"/>
    <d v="2032-05-05T00:00:00"/>
  </r>
  <r>
    <n v="6901"/>
    <x v="0"/>
    <s v="Tech"/>
    <n v="10.341261633919338"/>
    <d v="2032-05-06T00:00:00"/>
  </r>
  <r>
    <n v="6902"/>
    <x v="4"/>
    <s v="OFM"/>
    <n v="26.655369072836894"/>
    <d v="2032-05-07T00:00:00"/>
  </r>
  <r>
    <n v="6903"/>
    <x v="1"/>
    <s v="Tech"/>
    <n v="1102.2927689594355"/>
    <d v="2032-05-08T00:00:00"/>
  </r>
  <r>
    <n v="6904"/>
    <x v="1"/>
    <s v="Tech"/>
    <n v="66.137566137566139"/>
    <d v="2032-05-09T00:00:00"/>
  </r>
  <r>
    <n v="6905"/>
    <x v="3"/>
    <s v="Tech"/>
    <n v="293.0751829430244"/>
    <d v="2032-05-10T00:00:00"/>
  </r>
  <r>
    <n v="6906"/>
    <x v="3"/>
    <s v="Apps"/>
    <n v="183.17198933939025"/>
    <d v="2032-05-11T00:00:00"/>
  </r>
  <r>
    <n v="6907"/>
    <x v="0"/>
    <s v="Tech"/>
    <n v="10.782501540357364"/>
    <d v="2032-05-12T00:00:00"/>
  </r>
  <r>
    <n v="6908"/>
    <x v="1"/>
    <s v="Tech"/>
    <n v="35.273368606701936"/>
    <d v="2032-05-13T00:00:00"/>
  </r>
  <r>
    <n v="6909"/>
    <x v="4"/>
    <s v="Apps"/>
    <n v="24.846395920430009"/>
    <d v="2032-05-14T00:00:00"/>
  </r>
  <r>
    <n v="6910"/>
    <x v="0"/>
    <s v="Tech"/>
    <n v="30.807147258163894"/>
    <d v="2032-05-15T00:00:00"/>
  </r>
  <r>
    <n v="6911"/>
    <x v="0"/>
    <s v="Tech"/>
    <n v="30.807147258163894"/>
    <d v="2032-05-16T00:00:00"/>
  </r>
  <r>
    <n v="6912"/>
    <x v="2"/>
    <s v="Tech"/>
    <n v="7.4128984432913265"/>
    <d v="2032-05-17T00:00:00"/>
  </r>
  <r>
    <n v="6913"/>
    <x v="0"/>
    <s v="Tech"/>
    <n v="23.105360443622921"/>
    <d v="2032-05-18T00:00:00"/>
  </r>
  <r>
    <n v="6914"/>
    <x v="1"/>
    <s v="Tech"/>
    <n v="66.137566137566139"/>
    <d v="2032-05-19T00:00:00"/>
  </r>
  <r>
    <n v="6915"/>
    <x v="0"/>
    <s v="Tech"/>
    <n v="12.848020762401553"/>
    <d v="2032-05-20T00:00:00"/>
  </r>
  <r>
    <n v="6916"/>
    <x v="4"/>
    <s v="Tech"/>
    <n v="6.5178425941013529"/>
    <d v="2032-05-21T00:00:00"/>
  </r>
  <r>
    <n v="6917"/>
    <x v="1"/>
    <s v="Tech"/>
    <n v="66.137566137566139"/>
    <d v="2032-05-22T00:00:00"/>
  </r>
  <r>
    <n v="6918"/>
    <x v="1"/>
    <s v="Tech"/>
    <n v="34.277006172839506"/>
    <d v="2032-05-23T00:00:00"/>
  </r>
  <r>
    <n v="6919"/>
    <x v="2"/>
    <s v="Tech"/>
    <n v="52.949274594938046"/>
    <d v="2032-05-24T00:00:00"/>
  </r>
  <r>
    <n v="6920"/>
    <x v="2"/>
    <s v="Tech"/>
    <n v="264.74637297469025"/>
    <d v="2032-05-25T00:00:00"/>
  </r>
  <r>
    <n v="6921"/>
    <x v="0"/>
    <s v="Tech"/>
    <n v="28.955532574974146"/>
    <d v="2032-05-26T00:00:00"/>
  </r>
  <r>
    <n v="6922"/>
    <x v="4"/>
    <s v="Tech"/>
    <n v="16.294606485253382"/>
    <d v="2032-05-27T00:00:00"/>
  </r>
  <r>
    <n v="6923"/>
    <x v="1"/>
    <s v="Tech"/>
    <n v="48.963844797178126"/>
    <d v="2032-05-28T00:00:00"/>
  </r>
  <r>
    <n v="6924"/>
    <x v="3"/>
    <s v="Tech"/>
    <n v="118.14593312390672"/>
    <d v="2032-05-29T00:00:00"/>
  </r>
  <r>
    <n v="6925"/>
    <x v="2"/>
    <s v="Apps"/>
    <n v="370.64492216456637"/>
    <d v="2032-05-30T00:00:00"/>
  </r>
  <r>
    <n v="6926"/>
    <x v="2"/>
    <s v="Tech"/>
    <n v="26.474637297469023"/>
    <d v="2032-05-31T00:00:00"/>
  </r>
  <r>
    <n v="6927"/>
    <x v="2"/>
    <s v="Apps"/>
    <n v="63.539129513925651"/>
    <d v="2032-06-01T00:00:00"/>
  </r>
  <r>
    <n v="6928"/>
    <x v="1"/>
    <s v="Tech"/>
    <n v="88.183421516754848"/>
    <d v="2032-06-02T00:00:00"/>
  </r>
  <r>
    <n v="6929"/>
    <x v="0"/>
    <s v="Tech"/>
    <n v="123.22858903265558"/>
    <d v="2032-06-03T00:00:00"/>
  </r>
  <r>
    <n v="6930"/>
    <x v="0"/>
    <s v="Apps"/>
    <n v="92.421441774491683"/>
    <d v="2032-06-04T00:00:00"/>
  </r>
  <r>
    <n v="6931"/>
    <x v="0"/>
    <s v="Tech"/>
    <n v="123.22858903265558"/>
    <d v="2032-06-05T00:00:00"/>
  </r>
  <r>
    <n v="6932"/>
    <x v="0"/>
    <s v="Tech"/>
    <n v="100.12322858903266"/>
    <d v="2032-06-06T00:00:00"/>
  </r>
  <r>
    <n v="6933"/>
    <x v="1"/>
    <s v="Tech"/>
    <n v="39.173721340388006"/>
    <d v="2032-06-07T00:00:00"/>
  </r>
  <r>
    <n v="6934"/>
    <x v="4"/>
    <s v="Tech"/>
    <n v="66.779758349795557"/>
    <d v="2032-06-08T00:00:00"/>
  </r>
  <r>
    <n v="6935"/>
    <x v="4"/>
    <s v="Tech"/>
    <n v="7.5701750356043558"/>
    <d v="2032-06-09T00:00:00"/>
  </r>
  <r>
    <n v="6936"/>
    <x v="2"/>
    <s v="Tech"/>
    <n v="370.64492216456637"/>
    <d v="2032-06-10T00:00:00"/>
  </r>
  <r>
    <n v="6937"/>
    <x v="4"/>
    <s v="Tech"/>
    <n v="200"/>
    <d v="2032-06-11T00:00:00"/>
  </r>
  <r>
    <n v="6938"/>
    <x v="1"/>
    <s v="Apps"/>
    <n v="154.32098765432099"/>
    <d v="2032-06-12T00:00:00"/>
  </r>
  <r>
    <n v="6939"/>
    <x v="0"/>
    <s v="Tech"/>
    <n v="25"/>
    <d v="2032-06-13T00:00:00"/>
  </r>
  <r>
    <n v="6940"/>
    <x v="0"/>
    <s v="OFM"/>
    <n v="308.07147258163894"/>
    <d v="2032-06-14T00:00:00"/>
  </r>
  <r>
    <n v="6941"/>
    <x v="0"/>
    <s v="Apps"/>
    <n v="231.05360443622922"/>
    <d v="2032-06-15T00:00:00"/>
  </r>
  <r>
    <n v="6942"/>
    <x v="4"/>
    <s v="Tech"/>
    <n v="97.767638911520294"/>
    <d v="2032-06-16T00:00:00"/>
  </r>
  <r>
    <n v="6943"/>
    <x v="1"/>
    <s v="Tech"/>
    <n v="194.00352733686069"/>
    <d v="2032-06-17T00:00:00"/>
  </r>
  <r>
    <n v="6944"/>
    <x v="1"/>
    <s v="Tech"/>
    <n v="551.14638447971777"/>
    <d v="2032-06-18T00:00:00"/>
  </r>
  <r>
    <n v="6945"/>
    <x v="1"/>
    <s v="Apps"/>
    <n v="99.206349206349202"/>
    <d v="2032-06-19T00:00:00"/>
  </r>
  <r>
    <n v="6946"/>
    <x v="0"/>
    <s v="Systems"/>
    <n v="12.848020762401553"/>
    <d v="2032-06-20T00:00:00"/>
  </r>
  <r>
    <n v="6947"/>
    <x v="1"/>
    <s v="Tech"/>
    <n v="97.001763668430343"/>
    <d v="2032-06-21T00:00:00"/>
  </r>
  <r>
    <n v="6948"/>
    <x v="1"/>
    <s v="Tech"/>
    <n v="143.29805996472663"/>
    <d v="2032-06-22T00:00:00"/>
  </r>
  <r>
    <n v="6949"/>
    <x v="2"/>
    <s v="Tech"/>
    <n v="47.654347135444247"/>
    <d v="2032-06-23T00:00:00"/>
  </r>
  <r>
    <n v="6950"/>
    <x v="2"/>
    <s v="Apps"/>
    <n v="127.0782590278513"/>
    <d v="2032-06-24T00:00:00"/>
  </r>
  <r>
    <n v="6951"/>
    <x v="2"/>
    <s v="Tech"/>
    <n v="264.74637297469025"/>
    <d v="2032-06-25T00:00:00"/>
  </r>
  <r>
    <n v="6952"/>
    <x v="4"/>
    <s v="Tech"/>
    <n v="1.4013361577317907"/>
    <d v="2032-06-26T00:00:00"/>
  </r>
  <r>
    <n v="6953"/>
    <x v="4"/>
    <s v="Tech"/>
    <n v="308.21426930674875"/>
    <d v="2032-06-27T00:00:00"/>
  </r>
  <r>
    <n v="6954"/>
    <x v="3"/>
    <s v="OFM"/>
    <n v="10.990319360363413"/>
    <d v="2032-06-28T00:00:00"/>
  </r>
  <r>
    <n v="6955"/>
    <x v="0"/>
    <s v="Tech"/>
    <n v="184.84288354898337"/>
    <d v="2032-06-29T00:00:00"/>
  </r>
  <r>
    <n v="6956"/>
    <x v="2"/>
    <s v="Apps"/>
    <n v="52.949274594938046"/>
    <d v="2032-06-30T00:00:00"/>
  </r>
  <r>
    <n v="6957"/>
    <x v="2"/>
    <s v="Apps"/>
    <n v="1058.985491898761"/>
    <d v="2032-07-01T00:00:00"/>
  </r>
  <r>
    <n v="6958"/>
    <x v="0"/>
    <s v="Tech"/>
    <n v="13.11"/>
    <d v="2032-07-02T00:00:00"/>
  </r>
  <r>
    <n v="6959"/>
    <x v="0"/>
    <s v="Tech"/>
    <n v="92.421441774491683"/>
    <d v="2032-07-03T00:00:00"/>
  </r>
  <r>
    <n v="6960"/>
    <x v="0"/>
    <s v="OFM"/>
    <n v="80.171649557385678"/>
    <d v="2032-07-04T00:00:00"/>
  </r>
  <r>
    <n v="6961"/>
    <x v="4"/>
    <s v="OFM"/>
    <n v="60"/>
    <d v="2032-07-05T00:00:00"/>
  </r>
  <r>
    <n v="6962"/>
    <x v="4"/>
    <s v="Apps"/>
    <n v="73.2"/>
    <d v="2032-07-06T00:00:00"/>
  </r>
  <r>
    <n v="6963"/>
    <x v="0"/>
    <s v="OFM"/>
    <n v="15.403573629081947"/>
    <d v="2032-07-07T00:00:00"/>
  </r>
  <r>
    <n v="6964"/>
    <x v="0"/>
    <s v="Apps"/>
    <n v="38.508934072704868"/>
    <d v="2032-07-08T00:00:00"/>
  </r>
  <r>
    <n v="6965"/>
    <x v="0"/>
    <s v="Apps"/>
    <n v="38.508934072704868"/>
    <d v="2032-07-09T00:00:00"/>
  </r>
  <r>
    <n v="6966"/>
    <x v="0"/>
    <s v="Apps"/>
    <n v="38.508934072704868"/>
    <d v="2032-07-10T00:00:00"/>
  </r>
  <r>
    <n v="6967"/>
    <x v="0"/>
    <s v="Apps"/>
    <n v="38.508934072704868"/>
    <d v="2032-07-11T00:00:00"/>
  </r>
  <r>
    <n v="6968"/>
    <x v="0"/>
    <s v="Apps"/>
    <n v="38.508934072704868"/>
    <d v="2032-07-12T00:00:00"/>
  </r>
  <r>
    <n v="6969"/>
    <x v="1"/>
    <s v="Tech"/>
    <n v="195.868430335097"/>
    <d v="2032-07-13T00:00:00"/>
  </r>
  <r>
    <n v="6970"/>
    <x v="0"/>
    <s v="Systems"/>
    <n v="34.470872113064452"/>
    <d v="2032-07-14T00:00:00"/>
  </r>
  <r>
    <n v="6971"/>
    <x v="1"/>
    <s v="Apps"/>
    <n v="94.832716049382711"/>
    <d v="2032-07-15T00:00:00"/>
  </r>
  <r>
    <n v="6972"/>
    <x v="1"/>
    <s v="OFM"/>
    <n v="56.701940035273374"/>
    <d v="2032-07-16T00:00:00"/>
  </r>
  <r>
    <n v="6973"/>
    <x v="4"/>
    <s v="Systems"/>
    <n v="16.294606485253382"/>
    <d v="2032-07-17T00:00:00"/>
  </r>
  <r>
    <n v="6974"/>
    <x v="4"/>
    <s v="OFM"/>
    <n v="171.76503177448265"/>
    <d v="2032-07-18T00:00:00"/>
  </r>
  <r>
    <n v="6975"/>
    <x v="1"/>
    <s v="Tech"/>
    <n v="132.27513227513228"/>
    <d v="2032-07-19T00:00:00"/>
  </r>
  <r>
    <n v="6976"/>
    <x v="2"/>
    <s v="Systems"/>
    <n v="31.769564756962826"/>
    <d v="2032-07-20T00:00:00"/>
  </r>
  <r>
    <n v="6977"/>
    <x v="1"/>
    <s v="Tech"/>
    <n v="88.183421516754848"/>
    <d v="2032-07-21T00:00:00"/>
  </r>
  <r>
    <n v="6978"/>
    <x v="0"/>
    <s v="Tech"/>
    <n v="12.322858903265558"/>
    <d v="2032-07-22T00:00:00"/>
  </r>
  <r>
    <n v="6979"/>
    <x v="0"/>
    <s v="Tech"/>
    <n v="77.017868145409736"/>
    <d v="2032-07-23T00:00:00"/>
  </r>
  <r>
    <n v="6980"/>
    <x v="0"/>
    <s v="Tech"/>
    <n v="46.210720887245841"/>
    <d v="2032-07-24T00:00:00"/>
  </r>
  <r>
    <n v="6981"/>
    <x v="0"/>
    <s v="Apps"/>
    <n v="277.26432532347508"/>
    <d v="2032-07-25T00:00:00"/>
  </r>
  <r>
    <n v="6982"/>
    <x v="0"/>
    <s v="Apps"/>
    <n v="462.10720887245844"/>
    <d v="2032-07-26T00:00:00"/>
  </r>
  <r>
    <n v="6983"/>
    <x v="0"/>
    <s v="Apps"/>
    <n v="199.93838570548368"/>
    <d v="2032-07-27T00:00:00"/>
  </r>
  <r>
    <n v="6984"/>
    <x v="0"/>
    <s v="Apps"/>
    <n v="308.07147258163894"/>
    <d v="2032-07-28T00:00:00"/>
  </r>
  <r>
    <n v="6985"/>
    <x v="0"/>
    <s v="Apps"/>
    <n v="308.07147258163894"/>
    <d v="2032-07-29T00:00:00"/>
  </r>
  <r>
    <n v="6986"/>
    <x v="0"/>
    <s v="Tech"/>
    <n v="154.03573629081947"/>
    <d v="2032-07-30T00:00:00"/>
  </r>
  <r>
    <n v="6987"/>
    <x v="0"/>
    <s v="Apps"/>
    <n v="770.17868145409739"/>
    <d v="2032-07-31T00:00:00"/>
  </r>
  <r>
    <n v="6988"/>
    <x v="0"/>
    <s v="OFM"/>
    <n v="7.7017868145409736"/>
    <d v="2032-08-01T00:00:00"/>
  </r>
  <r>
    <n v="6989"/>
    <x v="0"/>
    <s v="Tech"/>
    <n v="44.670363524337645"/>
    <d v="2032-08-02T00:00:00"/>
  </r>
  <r>
    <n v="6990"/>
    <x v="0"/>
    <s v="Tech"/>
    <n v="44.670363524337645"/>
    <d v="2032-08-03T00:00:00"/>
  </r>
  <r>
    <n v="6991"/>
    <x v="0"/>
    <s v="Apps"/>
    <n v="77.017868145409736"/>
    <d v="2032-08-04T00:00:00"/>
  </r>
  <r>
    <n v="6992"/>
    <x v="0"/>
    <s v="Apps"/>
    <n v="77.017868145409736"/>
    <d v="2032-08-05T00:00:00"/>
  </r>
  <r>
    <n v="6993"/>
    <x v="4"/>
    <s v="Apps"/>
    <n v="32.158772453714342"/>
    <d v="2032-08-06T00:00:00"/>
  </r>
  <r>
    <n v="6994"/>
    <x v="4"/>
    <s v="Apps"/>
    <n v="22.970551752653101"/>
    <d v="2032-08-07T00:00:00"/>
  </r>
  <r>
    <n v="6995"/>
    <x v="4"/>
    <s v="Apps"/>
    <n v="22.970551752653101"/>
    <d v="2032-08-08T00:00:00"/>
  </r>
  <r>
    <n v="6996"/>
    <x v="0"/>
    <s v="Tech"/>
    <n v="61.614294516327789"/>
    <d v="2032-08-09T00:00:00"/>
  </r>
  <r>
    <n v="6997"/>
    <x v="0"/>
    <s v="Apps"/>
    <n v="8.617718028266113"/>
    <d v="2032-08-10T00:00:00"/>
  </r>
  <r>
    <n v="6998"/>
    <x v="2"/>
    <s v="Tech"/>
    <n v="529.49274594938049"/>
    <d v="2032-08-11T00:00:00"/>
  </r>
  <r>
    <n v="6999"/>
    <x v="4"/>
    <s v="Apps"/>
    <n v="114.85275876326548"/>
    <d v="2032-08-12T00:00:00"/>
  </r>
  <r>
    <n v="7000"/>
    <x v="0"/>
    <s v="Tech"/>
    <n v="154.03573629081947"/>
    <d v="2032-08-13T00:00:00"/>
  </r>
  <r>
    <n v="7001"/>
    <x v="0"/>
    <s v="Tech"/>
    <n v="154.03573629081947"/>
    <d v="2032-08-14T00:00:00"/>
  </r>
  <r>
    <n v="7002"/>
    <x v="0"/>
    <s v="Apps"/>
    <n v="41.365046535677351"/>
    <d v="2032-08-15T00:00:00"/>
  </r>
  <r>
    <n v="7003"/>
    <x v="0"/>
    <s v="Tech"/>
    <n v="165.4601861427094"/>
    <d v="2032-08-16T00:00:00"/>
  </r>
  <r>
    <n v="7004"/>
    <x v="0"/>
    <s v="Tech"/>
    <n v="179.24853498793519"/>
    <d v="2032-08-17T00:00:00"/>
  </r>
  <r>
    <n v="7005"/>
    <x v="0"/>
    <s v="Tech"/>
    <n v="179.24853498793519"/>
    <d v="2032-08-18T00:00:00"/>
  </r>
  <r>
    <n v="7006"/>
    <x v="0"/>
    <s v="Tech"/>
    <n v="103.41261633919338"/>
    <d v="2032-08-19T00:00:00"/>
  </r>
  <r>
    <n v="7007"/>
    <x v="0"/>
    <s v="Tech"/>
    <n v="151.67183729748362"/>
    <d v="2032-08-20T00:00:00"/>
  </r>
  <r>
    <n v="7008"/>
    <x v="0"/>
    <s v="Tech"/>
    <n v="38.54406228720466"/>
    <d v="2032-08-21T00:00:00"/>
  </r>
  <r>
    <n v="7009"/>
    <x v="1"/>
    <s v="Tech"/>
    <n v="158.73015873015873"/>
    <d v="2032-08-22T00:00:00"/>
  </r>
  <r>
    <n v="7010"/>
    <x v="1"/>
    <s v="Tech"/>
    <n v="18.040564373897709"/>
    <d v="2032-08-23T00:00:00"/>
  </r>
  <r>
    <n v="7011"/>
    <x v="1"/>
    <s v="Apps"/>
    <n v="55.114638447971785"/>
    <d v="2032-08-24T00:00:00"/>
  </r>
  <r>
    <n v="7012"/>
    <x v="1"/>
    <s v="Apps"/>
    <n v="6.6137566137566139"/>
    <d v="2032-08-25T00:00:00"/>
  </r>
  <r>
    <n v="7013"/>
    <x v="1"/>
    <s v="Apps"/>
    <n v="6.6137566137566139"/>
    <d v="2032-08-26T00:00:00"/>
  </r>
  <r>
    <n v="7014"/>
    <x v="2"/>
    <s v="Tech"/>
    <n v="81.030710639332298"/>
    <d v="2032-08-27T00:00:00"/>
  </r>
  <r>
    <n v="7015"/>
    <x v="2"/>
    <s v="Apps"/>
    <n v="423.59419675950437"/>
    <d v="2032-08-28T00:00:00"/>
  </r>
  <r>
    <n v="7016"/>
    <x v="1"/>
    <s v="OFM"/>
    <n v="189.68306878306879"/>
    <d v="2032-08-29T00:00:00"/>
  </r>
  <r>
    <n v="7017"/>
    <x v="4"/>
    <s v="Tech"/>
    <n v="2.0107544402802673"/>
    <d v="2032-08-30T00:00:00"/>
  </r>
  <r>
    <n v="7018"/>
    <x v="0"/>
    <s v="Tech"/>
    <n v="172.35436056532231"/>
    <d v="2032-08-31T00:00:00"/>
  </r>
  <r>
    <n v="7019"/>
    <x v="0"/>
    <s v="Apps"/>
    <n v="77.017868145409736"/>
    <d v="2032-09-01T00:00:00"/>
  </r>
  <r>
    <n v="7020"/>
    <x v="0"/>
    <s v="Tech"/>
    <n v="23.105360443622921"/>
    <d v="2032-09-02T00:00:00"/>
  </r>
  <r>
    <n v="7021"/>
    <x v="0"/>
    <s v="Apps"/>
    <n v="27.110289587184226"/>
    <d v="2032-09-03T00:00:00"/>
  </r>
  <r>
    <n v="7022"/>
    <x v="0"/>
    <s v="Tech"/>
    <n v="154.03573629081947"/>
    <d v="2032-09-04T00:00:00"/>
  </r>
  <r>
    <n v="7023"/>
    <x v="0"/>
    <s v="Apps"/>
    <n v="462.10720887245844"/>
    <d v="2032-09-05T00:00:00"/>
  </r>
  <r>
    <n v="7024"/>
    <x v="0"/>
    <s v="Apps"/>
    <n v="1540.3573629081948"/>
    <d v="2032-09-06T00:00:00"/>
  </r>
  <r>
    <n v="7025"/>
    <x v="1"/>
    <s v="Apps"/>
    <n v="77.160493827160494"/>
    <d v="2032-09-07T00:00:00"/>
  </r>
  <r>
    <n v="7026"/>
    <x v="4"/>
    <s v="Apps"/>
    <n v="81.473032426266911"/>
    <d v="2032-09-08T00:00:00"/>
  </r>
  <r>
    <n v="7027"/>
    <x v="1"/>
    <s v="Apps"/>
    <n v="66.137566137566139"/>
    <d v="2032-09-09T00:00:00"/>
  </r>
  <r>
    <n v="7028"/>
    <x v="2"/>
    <s v="Tech"/>
    <n v="158.84782378481412"/>
    <d v="2032-09-10T00:00:00"/>
  </r>
  <r>
    <n v="7029"/>
    <x v="1"/>
    <s v="Apps"/>
    <n v="55.114638447971785"/>
    <d v="2032-09-11T00:00:00"/>
  </r>
  <r>
    <n v="7030"/>
    <x v="2"/>
    <s v="Tech"/>
    <n v="8.1030710639332302"/>
    <d v="2032-09-12T00:00:00"/>
  </r>
  <r>
    <n v="7031"/>
    <x v="0"/>
    <s v="Other"/>
    <n v="1232.2858903265558"/>
    <d v="2032-09-13T00:00:00"/>
  </r>
  <r>
    <n v="7032"/>
    <x v="0"/>
    <s v="Tech"/>
    <n v="19.254467036352434"/>
    <d v="2032-09-14T00:00:00"/>
  </r>
  <r>
    <n v="7033"/>
    <x v="2"/>
    <s v="Tech"/>
    <n v="8.1030710639332302"/>
    <d v="2032-09-15T00:00:00"/>
  </r>
  <r>
    <n v="7034"/>
    <x v="2"/>
    <s v="Tech"/>
    <n v="8.1030710639332302"/>
    <d v="2032-09-16T00:00:00"/>
  </r>
  <r>
    <n v="7035"/>
    <x v="0"/>
    <s v="OFM"/>
    <n v="68.941744226128904"/>
    <d v="2032-09-17T00:00:00"/>
  </r>
  <r>
    <n v="7036"/>
    <x v="0"/>
    <s v="Systems"/>
    <n v="17.235436056532226"/>
    <d v="2032-09-18T00:00:00"/>
  </r>
  <r>
    <n v="7037"/>
    <x v="0"/>
    <s v="OFM"/>
    <n v="6.8941744226128918"/>
    <d v="2032-09-19T00:00:00"/>
  </r>
  <r>
    <n v="7038"/>
    <x v="2"/>
    <s v="Tech"/>
    <n v="8.1030710639332302"/>
    <d v="2032-09-20T00:00:00"/>
  </r>
  <r>
    <n v="7039"/>
    <x v="1"/>
    <s v="Tech"/>
    <n v="66.137566137566139"/>
    <d v="2032-09-21T00:00:00"/>
  </r>
  <r>
    <n v="7040"/>
    <x v="1"/>
    <s v="Tech"/>
    <n v="55.114638447971785"/>
    <d v="2032-09-22T00:00:00"/>
  </r>
  <r>
    <n v="7041"/>
    <x v="0"/>
    <s v="Tech"/>
    <n v="77.017868145409736"/>
    <d v="2032-09-23T00:00:00"/>
  </r>
  <r>
    <n v="7042"/>
    <x v="0"/>
    <s v="Tech"/>
    <n v="770.17868145409739"/>
    <d v="2032-09-24T00:00:00"/>
  </r>
  <r>
    <n v="7043"/>
    <x v="0"/>
    <s v="Apps"/>
    <n v="61.614294516327789"/>
    <d v="2032-09-25T00:00:00"/>
  </r>
  <r>
    <n v="7044"/>
    <x v="0"/>
    <s v="Apps"/>
    <n v="154.03573629081947"/>
    <d v="2032-09-26T00:00:00"/>
  </r>
  <r>
    <n v="7045"/>
    <x v="0"/>
    <s v="Apps"/>
    <n v="77.017868145409736"/>
    <d v="2032-09-27T00:00:00"/>
  </r>
  <r>
    <n v="7046"/>
    <x v="4"/>
    <s v="Apps"/>
    <n v="12.633803463959204"/>
    <d v="2032-09-28T00:00:00"/>
  </r>
  <r>
    <n v="7047"/>
    <x v="1"/>
    <s v="Apps"/>
    <n v="44.091710758377424"/>
    <d v="2032-09-29T00:00:00"/>
  </r>
  <r>
    <n v="7048"/>
    <x v="4"/>
    <s v="Tech"/>
    <n v="7.5"/>
    <d v="2032-09-30T00:00:00"/>
  </r>
  <r>
    <n v="7049"/>
    <x v="4"/>
    <s v="Tech"/>
    <n v="28.5"/>
    <d v="2032-10-01T00:00:00"/>
  </r>
  <r>
    <n v="7050"/>
    <x v="4"/>
    <s v="Tech"/>
    <n v="50"/>
    <d v="2032-10-02T00:00:00"/>
  </r>
  <r>
    <n v="7051"/>
    <x v="4"/>
    <s v="Tech"/>
    <n v="95"/>
    <d v="2032-10-03T00:00:00"/>
  </r>
  <r>
    <n v="7052"/>
    <x v="4"/>
    <s v="Tech"/>
    <n v="50"/>
    <d v="2032-10-04T00:00:00"/>
  </r>
  <r>
    <n v="7053"/>
    <x v="4"/>
    <s v="Tech"/>
    <n v="10"/>
    <d v="2032-10-05T00:00:00"/>
  </r>
  <r>
    <n v="7054"/>
    <x v="4"/>
    <s v="Tech"/>
    <n v="30"/>
    <d v="2032-10-06T00:00:00"/>
  </r>
  <r>
    <n v="7055"/>
    <x v="4"/>
    <s v="Tech"/>
    <n v="25"/>
    <d v="2032-10-07T00:00:00"/>
  </r>
  <r>
    <n v="7056"/>
    <x v="4"/>
    <s v="Tech"/>
    <n v="50"/>
    <d v="2032-10-08T00:00:00"/>
  </r>
  <r>
    <n v="7057"/>
    <x v="2"/>
    <s v="Systems"/>
    <n v="264.74637297469025"/>
    <d v="2032-10-09T00:00:00"/>
  </r>
  <r>
    <n v="7058"/>
    <x v="0"/>
    <s v="Tech"/>
    <n v="15.403573629081947"/>
    <d v="2032-10-10T00:00:00"/>
  </r>
  <r>
    <n v="7059"/>
    <x v="4"/>
    <s v="Tech"/>
    <n v="7.5914457665273121"/>
    <d v="2032-10-11T00:00:00"/>
  </r>
  <r>
    <n v="7060"/>
    <x v="2"/>
    <s v="Apps"/>
    <n v="81.030710639332298"/>
    <d v="2032-10-12T00:00:00"/>
  </r>
  <r>
    <n v="7061"/>
    <x v="0"/>
    <s v="Tech"/>
    <n v="3850.8934072704869"/>
    <d v="2032-10-13T00:00:00"/>
  </r>
  <r>
    <n v="7062"/>
    <x v="0"/>
    <s v="Tech"/>
    <n v="1.0782501540357363"/>
    <d v="2032-10-14T00:00:00"/>
  </r>
  <r>
    <n v="7063"/>
    <x v="0"/>
    <s v="Tech"/>
    <n v="46.210720887245841"/>
    <d v="2032-10-15T00:00:00"/>
  </r>
  <r>
    <n v="7064"/>
    <x v="0"/>
    <s v="Tech"/>
    <n v="23.105360443622921"/>
    <d v="2032-10-16T00:00:00"/>
  </r>
  <r>
    <n v="7065"/>
    <x v="0"/>
    <s v="Tech"/>
    <n v="7.7017868145409736"/>
    <d v="2032-10-17T00:00:00"/>
  </r>
  <r>
    <n v="7066"/>
    <x v="0"/>
    <s v="Tech"/>
    <n v="7.7017868145409736"/>
    <d v="2032-10-18T00:00:00"/>
  </r>
  <r>
    <n v="7067"/>
    <x v="0"/>
    <s v="Tech"/>
    <n v="12.322858903265558"/>
    <d v="2032-10-19T00:00:00"/>
  </r>
  <r>
    <n v="7068"/>
    <x v="0"/>
    <s v="Tech"/>
    <n v="12.322858903265558"/>
    <d v="2032-10-20T00:00:00"/>
  </r>
  <r>
    <n v="7069"/>
    <x v="4"/>
    <s v="Tech"/>
    <n v="390.4993797951027"/>
    <d v="2032-10-21T00:00:00"/>
  </r>
  <r>
    <n v="7070"/>
    <x v="0"/>
    <s v="OFM"/>
    <n v="20.682523267838675"/>
    <d v="2032-10-22T00:00:00"/>
  </r>
  <r>
    <n v="7071"/>
    <x v="0"/>
    <s v="Tech"/>
    <n v="34.470872113064452"/>
    <d v="2032-10-23T00:00:00"/>
  </r>
  <r>
    <n v="7072"/>
    <x v="0"/>
    <s v="Tech"/>
    <n v="34.470872113064452"/>
    <d v="2032-10-24T00:00:00"/>
  </r>
  <r>
    <n v="7073"/>
    <x v="0"/>
    <s v="Tech"/>
    <n v="34.470872113064452"/>
    <d v="2032-10-25T00:00:00"/>
  </r>
  <r>
    <n v="7074"/>
    <x v="0"/>
    <s v="OFM"/>
    <n v="68.941744226128904"/>
    <d v="2032-10-26T00:00:00"/>
  </r>
  <r>
    <n v="7075"/>
    <x v="0"/>
    <s v="OFM"/>
    <n v="34.470872113064452"/>
    <d v="2032-10-27T00:00:00"/>
  </r>
  <r>
    <n v="7076"/>
    <x v="0"/>
    <s v="Tech"/>
    <n v="68.941744226128904"/>
    <d v="2032-10-28T00:00:00"/>
  </r>
  <r>
    <n v="7077"/>
    <x v="0"/>
    <s v="Tech"/>
    <n v="51.706308169596689"/>
    <d v="2032-10-29T00:00:00"/>
  </r>
  <r>
    <n v="7078"/>
    <x v="0"/>
    <s v="Other"/>
    <n v="30.807147258163894"/>
    <d v="2032-10-30T00:00:00"/>
  </r>
  <r>
    <n v="7079"/>
    <x v="0"/>
    <s v="Apps"/>
    <n v="61.614294516327789"/>
    <d v="2032-10-31T00:00:00"/>
  </r>
  <r>
    <n v="7080"/>
    <x v="0"/>
    <s v="Apps"/>
    <n v="77.017868145409736"/>
    <d v="2032-11-01T00:00:00"/>
  </r>
  <r>
    <n v="7081"/>
    <x v="0"/>
    <s v="Apps"/>
    <n v="77.017868145409736"/>
    <d v="2032-11-02T00:00:00"/>
  </r>
  <r>
    <n v="7082"/>
    <x v="0"/>
    <s v="Apps"/>
    <n v="77.017868145409736"/>
    <d v="2032-11-03T00:00:00"/>
  </r>
  <r>
    <n v="7083"/>
    <x v="0"/>
    <s v="Apps"/>
    <n v="77.017868145409736"/>
    <d v="2032-11-04T00:00:00"/>
  </r>
  <r>
    <n v="7084"/>
    <x v="0"/>
    <s v="Apps"/>
    <n v="92.421441774491683"/>
    <d v="2032-11-05T00:00:00"/>
  </r>
  <r>
    <n v="7085"/>
    <x v="0"/>
    <s v="Apps"/>
    <n v="77.017868145409736"/>
    <d v="2032-11-06T00:00:00"/>
  </r>
  <r>
    <n v="7086"/>
    <x v="1"/>
    <s v="Tech"/>
    <n v="15.5"/>
    <d v="2032-11-07T00:00:00"/>
  </r>
  <r>
    <n v="7087"/>
    <x v="1"/>
    <s v="Tech"/>
    <n v="352.73368606701939"/>
    <d v="2032-11-08T00:00:00"/>
  </r>
  <r>
    <n v="7088"/>
    <x v="0"/>
    <s v="Apps"/>
    <n v="77.017868145409736"/>
    <d v="2032-11-09T00:00:00"/>
  </r>
  <r>
    <n v="7089"/>
    <x v="4"/>
    <s v="Systems"/>
    <n v="500"/>
    <d v="2032-11-10T00:00:00"/>
  </r>
  <r>
    <n v="7090"/>
    <x v="1"/>
    <s v="Tech"/>
    <n v="195.868430335097"/>
    <d v="2032-11-11T00:00:00"/>
  </r>
  <r>
    <n v="7091"/>
    <x v="2"/>
    <s v="Tech"/>
    <n v="264.74637297469025"/>
    <d v="2032-11-12T00:00:00"/>
  </r>
  <r>
    <n v="7092"/>
    <x v="2"/>
    <s v="Systems"/>
    <n v="317.69564756962825"/>
    <d v="2032-11-13T00:00:00"/>
  </r>
  <r>
    <n v="7093"/>
    <x v="2"/>
    <s v="Apps"/>
    <n v="23.472413427936036"/>
    <d v="2032-11-14T00:00:00"/>
  </r>
  <r>
    <n v="7094"/>
    <x v="2"/>
    <s v="Apps"/>
    <n v="51.195594620353702"/>
    <d v="2032-11-15T00:00:00"/>
  </r>
  <r>
    <n v="7095"/>
    <x v="1"/>
    <s v="Tech"/>
    <n v="661.37566137566137"/>
    <d v="2032-11-16T00:00:00"/>
  </r>
  <r>
    <n v="7096"/>
    <x v="2"/>
    <s v="Apps"/>
    <n v="10.58985491898761"/>
    <d v="2032-11-17T00:00:00"/>
  </r>
  <r>
    <n v="7097"/>
    <x v="2"/>
    <s v="Apps"/>
    <n v="1323.7318648734513"/>
    <d v="2032-11-18T00:00:00"/>
  </r>
  <r>
    <n v="7098"/>
    <x v="4"/>
    <s v="Tech"/>
    <n v="170.8"/>
    <d v="2032-11-19T00:00:00"/>
  </r>
  <r>
    <n v="7099"/>
    <x v="0"/>
    <s v="Systems"/>
    <n v="206.82523267838675"/>
    <d v="2032-11-20T00:00:00"/>
  </r>
  <r>
    <n v="7100"/>
    <x v="1"/>
    <s v="Apps"/>
    <n v="165.34391534391534"/>
    <d v="2032-11-21T00:00:00"/>
  </r>
  <r>
    <n v="7101"/>
    <x v="3"/>
    <s v="Systems"/>
    <n v="18.317198933939025"/>
    <d v="2032-11-22T00:00:00"/>
  </r>
  <r>
    <n v="7102"/>
    <x v="0"/>
    <s v="Apps"/>
    <n v="45.748613678373381"/>
    <d v="2032-11-23T00:00:00"/>
  </r>
  <r>
    <n v="7103"/>
    <x v="0"/>
    <s v="Apps"/>
    <n v="50.83179297597043"/>
    <d v="2032-11-24T00:00:00"/>
  </r>
  <r>
    <n v="7104"/>
    <x v="0"/>
    <s v="Apps"/>
    <n v="60.998151571164513"/>
    <d v="2032-11-25T00:00:00"/>
  </r>
  <r>
    <n v="7105"/>
    <x v="0"/>
    <s v="Systems"/>
    <n v="12.848020762401553"/>
    <d v="2032-11-26T00:00:00"/>
  </r>
  <r>
    <n v="7106"/>
    <x v="4"/>
    <s v="Apps"/>
    <n v="0"/>
    <d v="2032-11-27T00:00:00"/>
  </r>
  <r>
    <n v="7107"/>
    <x v="0"/>
    <s v="Tech"/>
    <n v="61.614294516327789"/>
    <d v="2032-11-28T00:00:00"/>
  </r>
  <r>
    <n v="7108"/>
    <x v="1"/>
    <s v="Tech"/>
    <n v="66.137566137566139"/>
    <d v="2032-11-29T00:00:00"/>
  </r>
  <r>
    <n v="7109"/>
    <x v="1"/>
    <s v="Tech"/>
    <n v="110.22927689594357"/>
    <d v="2032-11-30T00:00:00"/>
  </r>
  <r>
    <n v="7110"/>
    <x v="1"/>
    <s v="Apps"/>
    <n v="242.50440917107585"/>
    <d v="2032-12-01T00:00:00"/>
  </r>
  <r>
    <n v="7111"/>
    <x v="1"/>
    <s v="Tech"/>
    <n v="638.00705467372131"/>
    <d v="2032-12-02T00:00:00"/>
  </r>
  <r>
    <n v="7112"/>
    <x v="1"/>
    <s v="Apps"/>
    <n v="110.22927689594357"/>
    <d v="2032-12-03T00:00:00"/>
  </r>
  <r>
    <n v="7113"/>
    <x v="0"/>
    <s v="Tech"/>
    <n v="77.017868145409736"/>
    <d v="2032-12-04T00:00:00"/>
  </r>
  <r>
    <n v="7114"/>
    <x v="3"/>
    <s v="Apps"/>
    <n v="137.37899200454268"/>
    <d v="2032-12-05T00:00:00"/>
  </r>
  <r>
    <n v="7115"/>
    <x v="2"/>
    <s v="Tech"/>
    <n v="423.59419675950437"/>
    <d v="2032-12-06T00:00:00"/>
  </r>
  <r>
    <n v="7116"/>
    <x v="2"/>
    <s v="OFM"/>
    <n v="63.697977337710469"/>
    <d v="2032-12-07T00:00:00"/>
  </r>
  <r>
    <n v="7117"/>
    <x v="4"/>
    <s v="Tech"/>
    <n v="102.73808976891625"/>
    <d v="2032-12-08T00:00:00"/>
  </r>
  <r>
    <n v="7118"/>
    <x v="0"/>
    <s v="Apps"/>
    <n v="154.03573629081947"/>
    <d v="2032-12-09T00:00:00"/>
  </r>
  <r>
    <n v="7119"/>
    <x v="2"/>
    <s v="Systems"/>
    <n v="158.84782378481412"/>
    <d v="2032-12-10T00:00:00"/>
  </r>
  <r>
    <n v="7120"/>
    <x v="4"/>
    <s v="Tech"/>
    <n v="80.424963337135409"/>
    <d v="2032-12-11T00:00:00"/>
  </r>
  <r>
    <n v="7121"/>
    <x v="2"/>
    <s v="Apps"/>
    <n v="158.84782378481412"/>
    <d v="2032-12-12T00:00:00"/>
  </r>
  <r>
    <n v="7122"/>
    <x v="0"/>
    <s v="Apps"/>
    <n v="40.665434380776347"/>
    <d v="2032-12-13T00:00:00"/>
  </r>
  <r>
    <n v="7123"/>
    <x v="0"/>
    <s v="Tech"/>
    <n v="61.614294516327789"/>
    <d v="2032-12-14T00:00:00"/>
  </r>
  <r>
    <n v="7124"/>
    <x v="0"/>
    <s v="Tech"/>
    <n v="23.105360443622921"/>
    <d v="2032-12-15T00:00:00"/>
  </r>
  <r>
    <n v="7125"/>
    <x v="0"/>
    <s v="OFM"/>
    <n v="27.726432532347506"/>
    <d v="2032-12-16T00:00:00"/>
  </r>
  <r>
    <n v="7126"/>
    <x v="0"/>
    <s v="OFM"/>
    <n v="34.470872113064452"/>
    <d v="2032-12-17T00:00:00"/>
  </r>
  <r>
    <n v="7127"/>
    <x v="4"/>
    <s v="Tech"/>
    <n v="2.0107544402802673"/>
    <d v="2032-12-18T00:00:00"/>
  </r>
  <r>
    <n v="7128"/>
    <x v="0"/>
    <s v="Systems"/>
    <n v="1232.2858903265558"/>
    <d v="2032-12-19T00:00:00"/>
  </r>
  <r>
    <n v="7129"/>
    <x v="0"/>
    <s v="Apps"/>
    <n v="246.45717806531115"/>
    <d v="2032-12-20T00:00:00"/>
  </r>
  <r>
    <n v="7130"/>
    <x v="3"/>
    <s v="Apps"/>
    <n v="137.37899200454268"/>
    <d v="2032-12-21T00:00:00"/>
  </r>
  <r>
    <n v="7131"/>
    <x v="0"/>
    <s v="Apps"/>
    <n v="45.748613678373381"/>
    <d v="2032-12-22T00:00:00"/>
  </r>
  <r>
    <n v="7132"/>
    <x v="0"/>
    <s v="Apps"/>
    <n v="40.665434380776347"/>
    <d v="2032-12-23T00:00:00"/>
  </r>
  <r>
    <n v="7133"/>
    <x v="0"/>
    <s v="Apps"/>
    <n v="81.330868761552694"/>
    <d v="2032-12-24T00:00:00"/>
  </r>
  <r>
    <n v="7134"/>
    <x v="0"/>
    <s v="Tech"/>
    <n v="80.098582871226128"/>
    <d v="2032-12-25T00:00:00"/>
  </r>
  <r>
    <n v="7135"/>
    <x v="0"/>
    <s v="Apps"/>
    <n v="154.03573629081947"/>
    <d v="2032-12-26T00:00:00"/>
  </r>
  <r>
    <n v="7136"/>
    <x v="3"/>
    <s v="Tech"/>
    <n v="27.475798400908538"/>
    <d v="2032-12-27T00:00:00"/>
  </r>
  <r>
    <n v="7137"/>
    <x v="1"/>
    <s v="Tech"/>
    <n v="132.27513227513228"/>
    <d v="2032-12-28T00:00:00"/>
  </r>
  <r>
    <n v="7138"/>
    <x v="2"/>
    <s v="Systems"/>
    <n v="52.949274594938046"/>
    <d v="2032-12-29T00:00:00"/>
  </r>
  <r>
    <n v="7139"/>
    <x v="0"/>
    <s v="Tech"/>
    <n v="23.105360443622921"/>
    <d v="2032-12-30T00:00:00"/>
  </r>
  <r>
    <n v="7140"/>
    <x v="0"/>
    <s v="Tech"/>
    <n v="6.1614294516327792"/>
    <d v="2032-12-31T00:00:00"/>
  </r>
  <r>
    <n v="7141"/>
    <x v="1"/>
    <s v="Apps"/>
    <n v="25"/>
    <d v="2033-01-01T00:00:00"/>
  </r>
  <r>
    <n v="7142"/>
    <x v="0"/>
    <s v="Tech"/>
    <n v="27.726432532347506"/>
    <d v="2033-01-02T00:00:00"/>
  </r>
  <r>
    <n v="7143"/>
    <x v="0"/>
    <s v="Tech"/>
    <n v="123.22858903265558"/>
    <d v="2033-01-03T00:00:00"/>
  </r>
  <r>
    <n v="7144"/>
    <x v="0"/>
    <s v="Tech"/>
    <n v="92.421441774491683"/>
    <d v="2033-01-04T00:00:00"/>
  </r>
  <r>
    <n v="7145"/>
    <x v="1"/>
    <s v="Tech"/>
    <n v="200"/>
    <d v="2033-01-05T00:00:00"/>
  </r>
  <r>
    <n v="7146"/>
    <x v="0"/>
    <s v="Tech"/>
    <n v="231.05360443622922"/>
    <d v="2033-01-06T00:00:00"/>
  </r>
  <r>
    <n v="7147"/>
    <x v="0"/>
    <s v="Apps"/>
    <n v="144.79359211337029"/>
    <d v="2033-01-07T00:00:00"/>
  </r>
  <r>
    <n v="7148"/>
    <x v="0"/>
    <s v="Tech"/>
    <n v="53.912507701786815"/>
    <d v="2033-01-08T00:00:00"/>
  </r>
  <r>
    <n v="7149"/>
    <x v="0"/>
    <s v="Tech"/>
    <n v="123.22858903265558"/>
    <d v="2033-01-09T00:00:00"/>
  </r>
  <r>
    <n v="7150"/>
    <x v="0"/>
    <s v="Tech"/>
    <n v="69.316081330868769"/>
    <d v="2033-01-10T00:00:00"/>
  </r>
  <r>
    <n v="7151"/>
    <x v="0"/>
    <s v="Apps"/>
    <n v="50.83179297597043"/>
    <d v="2033-01-11T00:00:00"/>
  </r>
  <r>
    <n v="7152"/>
    <x v="0"/>
    <s v="Apps"/>
    <n v="50.83179297597043"/>
    <d v="2033-01-12T00:00:00"/>
  </r>
  <r>
    <n v="7153"/>
    <x v="0"/>
    <s v="Systems"/>
    <n v="146.33394947627849"/>
    <d v="2033-01-13T00:00:00"/>
  </r>
  <r>
    <n v="7154"/>
    <x v="0"/>
    <s v="Tech"/>
    <n v="46.210720887245841"/>
    <d v="2033-01-14T00:00:00"/>
  </r>
  <r>
    <n v="7155"/>
    <x v="0"/>
    <s v="Tech"/>
    <n v="16.173752310536045"/>
    <d v="2033-01-15T00:00:00"/>
  </r>
  <r>
    <n v="7156"/>
    <x v="0"/>
    <s v="Tech"/>
    <n v="16.173752310536045"/>
    <d v="2033-01-16T00:00:00"/>
  </r>
  <r>
    <n v="7157"/>
    <x v="0"/>
    <s v="Tech"/>
    <n v="16.173752310536045"/>
    <d v="2033-01-17T00:00:00"/>
  </r>
  <r>
    <n v="7158"/>
    <x v="1"/>
    <s v="OFM"/>
    <n v="200"/>
    <d v="2033-01-18T00:00:00"/>
  </r>
  <r>
    <n v="7159"/>
    <x v="2"/>
    <s v="OFM"/>
    <n v="117.54738960076247"/>
    <d v="2033-01-19T00:00:00"/>
  </r>
  <r>
    <n v="7160"/>
    <x v="1"/>
    <s v="Systems"/>
    <n v="44.091710758377424"/>
    <d v="2033-01-20T00:00:00"/>
  </r>
  <r>
    <n v="7161"/>
    <x v="2"/>
    <s v="Apps"/>
    <n v="317.69564756962825"/>
    <d v="2033-01-21T00:00:00"/>
  </r>
  <r>
    <n v="7162"/>
    <x v="2"/>
    <s v="Apps"/>
    <n v="105.89854918987609"/>
    <d v="2033-01-22T00:00:00"/>
  </r>
  <r>
    <n v="7163"/>
    <x v="0"/>
    <s v="Tech"/>
    <n v="51.392083049606214"/>
    <d v="2033-01-23T00:00:00"/>
  </r>
  <r>
    <n v="7164"/>
    <x v="2"/>
    <s v="OFM"/>
    <n v="105.89854918987609"/>
    <d v="2033-01-24T00:00:00"/>
  </r>
  <r>
    <n v="7165"/>
    <x v="0"/>
    <s v="Tech"/>
    <n v="385.08934072704869"/>
    <d v="2033-01-25T00:00:00"/>
  </r>
  <r>
    <n v="7166"/>
    <x v="0"/>
    <s v="Tech"/>
    <n v="25.696041524803107"/>
    <d v="2033-01-26T00:00:00"/>
  </r>
  <r>
    <n v="7167"/>
    <x v="1"/>
    <s v="Tech"/>
    <n v="200.26455026455025"/>
    <d v="2033-01-27T00:00:00"/>
  </r>
  <r>
    <n v="7168"/>
    <x v="0"/>
    <s v="Apps"/>
    <n v="154.03573629081947"/>
    <d v="2033-01-28T00:00:00"/>
  </r>
  <r>
    <n v="7169"/>
    <x v="0"/>
    <s v="Apps"/>
    <n v="154.03573629081947"/>
    <d v="2033-01-29T00:00:00"/>
  </r>
  <r>
    <n v="7170"/>
    <x v="0"/>
    <s v="Apps"/>
    <n v="154.03573629081947"/>
    <d v="2033-01-30T00:00:00"/>
  </r>
  <r>
    <n v="7171"/>
    <x v="0"/>
    <s v="Apps"/>
    <n v="154.03573629081947"/>
    <d v="2033-01-31T00:00:00"/>
  </r>
  <r>
    <n v="7172"/>
    <x v="2"/>
    <s v="Apps"/>
    <n v="211.79709837975219"/>
    <d v="2033-02-01T00:00:00"/>
  </r>
  <r>
    <n v="7173"/>
    <x v="0"/>
    <s v="Apps"/>
    <n v="77.017868145409736"/>
    <d v="2033-02-02T00:00:00"/>
  </r>
  <r>
    <n v="7174"/>
    <x v="3"/>
    <s v="Apps"/>
    <n v="274.75798400908536"/>
    <d v="2033-02-03T00:00:00"/>
  </r>
  <r>
    <n v="7175"/>
    <x v="3"/>
    <s v="Tech"/>
    <n v="59.530896535301828"/>
    <d v="2033-02-04T00:00:00"/>
  </r>
  <r>
    <n v="7176"/>
    <x v="1"/>
    <s v="Tech"/>
    <n v="22.045855379188712"/>
    <d v="2033-02-05T00:00:00"/>
  </r>
  <r>
    <n v="7177"/>
    <x v="0"/>
    <s v="OFM"/>
    <n v="68.941744226128904"/>
    <d v="2033-02-06T00:00:00"/>
  </r>
  <r>
    <n v="7178"/>
    <x v="0"/>
    <s v="OFM"/>
    <n v="86.177180282661155"/>
    <d v="2033-02-07T00:00:00"/>
  </r>
  <r>
    <n v="7179"/>
    <x v="0"/>
    <s v="Tech"/>
    <n v="72.319889693209234"/>
    <d v="2033-02-08T00:00:00"/>
  </r>
  <r>
    <n v="7180"/>
    <x v="0"/>
    <s v="OFM"/>
    <n v="456.39434677697346"/>
    <d v="2033-02-09T00:00:00"/>
  </r>
  <r>
    <n v="7181"/>
    <x v="0"/>
    <s v="Tech"/>
    <n v="68.941744226128904"/>
    <d v="2033-02-10T00:00:00"/>
  </r>
  <r>
    <n v="7182"/>
    <x v="0"/>
    <s v="Tech"/>
    <n v="92.421441774491683"/>
    <d v="2033-02-11T00:00:00"/>
  </r>
  <r>
    <n v="7183"/>
    <x v="0"/>
    <s v="Tech"/>
    <n v="123.22858903265558"/>
    <d v="2033-02-12T00:00:00"/>
  </r>
  <r>
    <n v="7184"/>
    <x v="0"/>
    <s v="Tech"/>
    <n v="61.614294516327789"/>
    <d v="2033-02-13T00:00:00"/>
  </r>
  <r>
    <n v="7185"/>
    <x v="0"/>
    <s v="Apps"/>
    <n v="123.22858903265558"/>
    <d v="2033-02-14T00:00:00"/>
  </r>
  <r>
    <n v="7186"/>
    <x v="4"/>
    <s v="Tech"/>
    <n v="263.27987320255437"/>
    <d v="2033-02-15T00:00:00"/>
  </r>
  <r>
    <n v="7187"/>
    <x v="0"/>
    <s v="Apps"/>
    <n v="154.03573629081947"/>
    <d v="2033-02-16T00:00:00"/>
  </r>
  <r>
    <n v="7188"/>
    <x v="0"/>
    <s v="Apps"/>
    <n v="154.03573629081947"/>
    <d v="2033-02-17T00:00:00"/>
  </r>
  <r>
    <n v="7189"/>
    <x v="0"/>
    <s v="Apps"/>
    <n v="154.03573629081947"/>
    <d v="2033-02-18T00:00:00"/>
  </r>
  <r>
    <n v="7190"/>
    <x v="0"/>
    <s v="Apps"/>
    <n v="154.03573629081947"/>
    <d v="2033-02-19T00:00:00"/>
  </r>
  <r>
    <n v="7191"/>
    <x v="0"/>
    <s v="Apps"/>
    <n v="128.48020762401552"/>
    <d v="2033-02-20T00:00:00"/>
  </r>
  <r>
    <n v="7192"/>
    <x v="0"/>
    <s v="Apps"/>
    <n v="50.107280973366052"/>
    <d v="2033-02-21T00:00:00"/>
  </r>
  <r>
    <n v="7193"/>
    <x v="0"/>
    <s v="Tech"/>
    <n v="4.1365046535677346"/>
    <d v="2033-02-22T00:00:00"/>
  </r>
  <r>
    <n v="7194"/>
    <x v="0"/>
    <s v="Tech"/>
    <n v="79.362288865908297"/>
    <d v="2033-02-23T00:00:00"/>
  </r>
  <r>
    <n v="7195"/>
    <x v="1"/>
    <s v="Tech"/>
    <n v="110.22927689594357"/>
    <d v="2033-02-24T00:00:00"/>
  </r>
  <r>
    <n v="7196"/>
    <x v="0"/>
    <s v="Apps"/>
    <n v="65.465187923598279"/>
    <d v="2033-02-25T00:00:00"/>
  </r>
  <r>
    <n v="7197"/>
    <x v="0"/>
    <s v="Tech"/>
    <n v="30.807147258163894"/>
    <d v="2033-02-26T00:00:00"/>
  </r>
  <r>
    <n v="7198"/>
    <x v="1"/>
    <s v="Tech"/>
    <n v="3.5273368606701943"/>
    <d v="2033-02-27T00:00:00"/>
  </r>
  <r>
    <n v="7199"/>
    <x v="0"/>
    <s v="Tech"/>
    <n v="5.5153395380903127"/>
    <d v="2033-02-28T00:00:00"/>
  </r>
  <r>
    <n v="7200"/>
    <x v="0"/>
    <s v="Systems"/>
    <n v="15.511892450879007"/>
    <d v="2033-03-01T00:00:00"/>
  </r>
  <r>
    <n v="7201"/>
    <x v="1"/>
    <s v="Apps"/>
    <n v="55.114638447971785"/>
    <d v="2033-03-02T00:00:00"/>
  </r>
  <r>
    <n v="7202"/>
    <x v="1"/>
    <s v="OFM"/>
    <n v="4.409171075837742"/>
    <d v="2033-03-03T00:00:00"/>
  </r>
  <r>
    <n v="7203"/>
    <x v="0"/>
    <s v="Tech"/>
    <n v="61.614294516327789"/>
    <d v="2033-03-04T00:00:00"/>
  </r>
  <r>
    <n v="7204"/>
    <x v="0"/>
    <s v="Tech"/>
    <n v="61.614294516327789"/>
    <d v="2033-03-05T00:00:00"/>
  </r>
  <r>
    <n v="7205"/>
    <x v="0"/>
    <s v="Tech"/>
    <n v="61.614294516327789"/>
    <d v="2033-03-06T00:00:00"/>
  </r>
  <r>
    <n v="7206"/>
    <x v="0"/>
    <s v="Tech"/>
    <n v="61.614294516327789"/>
    <d v="2033-03-07T00:00:00"/>
  </r>
  <r>
    <n v="7207"/>
    <x v="0"/>
    <s v="Apps"/>
    <n v="92.421441774491683"/>
    <d v="2033-03-08T00:00:00"/>
  </r>
  <r>
    <n v="7208"/>
    <x v="0"/>
    <s v="Apps"/>
    <n v="92.421441774491683"/>
    <d v="2033-03-09T00:00:00"/>
  </r>
  <r>
    <n v="7209"/>
    <x v="0"/>
    <s v="Apps"/>
    <n v="92.421441774491683"/>
    <d v="2033-03-10T00:00:00"/>
  </r>
  <r>
    <n v="7210"/>
    <x v="0"/>
    <s v="Apps"/>
    <n v="92.421441774491683"/>
    <d v="2033-03-11T00:00:00"/>
  </r>
  <r>
    <n v="7211"/>
    <x v="0"/>
    <s v="Apps"/>
    <n v="92.421441774491683"/>
    <d v="2033-03-12T00:00:00"/>
  </r>
  <r>
    <n v="7212"/>
    <x v="0"/>
    <s v="Apps"/>
    <n v="92.421441774491683"/>
    <d v="2033-03-13T00:00:00"/>
  </r>
  <r>
    <n v="7213"/>
    <x v="0"/>
    <s v="Apps"/>
    <n v="92.421441774491683"/>
    <d v="2033-03-14T00:00:00"/>
  </r>
  <r>
    <n v="7214"/>
    <x v="0"/>
    <s v="Apps"/>
    <n v="92.421441774491683"/>
    <d v="2033-03-15T00:00:00"/>
  </r>
  <r>
    <n v="7215"/>
    <x v="0"/>
    <s v="Apps"/>
    <n v="92.421441774491683"/>
    <d v="2033-03-16T00:00:00"/>
  </r>
  <r>
    <n v="7216"/>
    <x v="0"/>
    <s v="Apps"/>
    <n v="92.421441774491683"/>
    <d v="2033-03-17T00:00:00"/>
  </r>
  <r>
    <n v="7217"/>
    <x v="2"/>
    <s v="Apps"/>
    <n v="162.0614212786646"/>
    <d v="2033-03-18T00:00:00"/>
  </r>
  <r>
    <n v="7218"/>
    <x v="2"/>
    <s v="OFM"/>
    <n v="127.92862437784602"/>
    <d v="2033-03-19T00:00:00"/>
  </r>
  <r>
    <n v="7219"/>
    <x v="0"/>
    <s v="Apps"/>
    <n v="184.84288354898337"/>
    <d v="2033-03-20T00:00:00"/>
  </r>
  <r>
    <n v="7220"/>
    <x v="2"/>
    <s v="Apps"/>
    <n v="26.474637297469023"/>
    <d v="2033-03-21T00:00:00"/>
  </r>
  <r>
    <n v="7221"/>
    <x v="0"/>
    <s v="Tech"/>
    <n v="61.614294516327789"/>
    <d v="2033-03-22T00:00:00"/>
  </r>
  <r>
    <n v="7222"/>
    <x v="0"/>
    <s v="Systems"/>
    <n v="107.82501540357363"/>
    <d v="2033-03-23T00:00:00"/>
  </r>
  <r>
    <n v="7223"/>
    <x v="0"/>
    <s v="Apps"/>
    <n v="92.421441774491683"/>
    <d v="2033-03-24T00:00:00"/>
  </r>
  <r>
    <n v="7224"/>
    <x v="4"/>
    <s v="Tech"/>
    <n v="4.0215088805605346"/>
    <d v="2033-03-25T00:00:00"/>
  </r>
  <r>
    <n v="7225"/>
    <x v="4"/>
    <s v="OFM"/>
    <n v="2.0694150236271796"/>
    <d v="2033-03-26T00:00:00"/>
  </r>
  <r>
    <n v="7226"/>
    <x v="0"/>
    <s v="OFM"/>
    <n v="68.941744226128904"/>
    <d v="2033-03-27T00:00:00"/>
  </r>
  <r>
    <n v="7227"/>
    <x v="0"/>
    <s v="OFM"/>
    <n v="68.941744226128904"/>
    <d v="2033-03-28T00:00:00"/>
  </r>
  <r>
    <n v="7228"/>
    <x v="0"/>
    <s v="OFM"/>
    <n v="68.941744226128904"/>
    <d v="2033-03-29T00:00:00"/>
  </r>
  <r>
    <n v="7229"/>
    <x v="0"/>
    <s v="OFM"/>
    <n v="86.177180282661155"/>
    <d v="2033-03-30T00:00:00"/>
  </r>
  <r>
    <n v="7230"/>
    <x v="0"/>
    <s v="Tech"/>
    <n v="16.890727335401586"/>
    <d v="2033-03-31T00:00:00"/>
  </r>
  <r>
    <n v="7231"/>
    <x v="1"/>
    <s v="OFM"/>
    <n v="11.022927689594356"/>
    <d v="2033-04-01T00:00:00"/>
  </r>
  <r>
    <n v="7232"/>
    <x v="0"/>
    <s v="OFM"/>
    <n v="20.556833219842485"/>
    <d v="2033-04-02T00:00:00"/>
  </r>
  <r>
    <n v="7233"/>
    <x v="0"/>
    <s v="Tech"/>
    <n v="46.210720887245841"/>
    <d v="2033-04-03T00:00:00"/>
  </r>
  <r>
    <n v="7234"/>
    <x v="0"/>
    <s v="Apps"/>
    <n v="92.421441774491683"/>
    <d v="2033-04-04T00:00:00"/>
  </r>
  <r>
    <n v="7235"/>
    <x v="0"/>
    <s v="Tech"/>
    <n v="33.887861983980287"/>
    <d v="2033-04-05T00:00:00"/>
  </r>
  <r>
    <n v="7236"/>
    <x v="0"/>
    <s v="Tech"/>
    <n v="61.614294516327789"/>
    <d v="2033-04-06T00:00:00"/>
  </r>
  <r>
    <n v="7237"/>
    <x v="3"/>
    <s v="OFM"/>
    <n v="73.2687957357561"/>
    <d v="2033-04-07T00:00:00"/>
  </r>
  <r>
    <n v="7238"/>
    <x v="3"/>
    <s v="Tech"/>
    <n v="228.96498667423779"/>
    <d v="2033-04-08T00:00:00"/>
  </r>
  <r>
    <n v="7239"/>
    <x v="1"/>
    <s v="Tech"/>
    <n v="220.45855379188714"/>
    <d v="2033-04-09T00:00:00"/>
  </r>
  <r>
    <n v="7240"/>
    <x v="0"/>
    <s v="Tech"/>
    <n v="630.72612892106167"/>
    <d v="2033-04-10T00:00:00"/>
  </r>
  <r>
    <n v="7241"/>
    <x v="2"/>
    <s v="OFM"/>
    <n v="200"/>
    <d v="2033-04-11T00:00:00"/>
  </r>
  <r>
    <n v="7242"/>
    <x v="0"/>
    <s v="Apps"/>
    <n v="154.03573629081947"/>
    <d v="2033-04-12T00:00:00"/>
  </r>
  <r>
    <n v="7243"/>
    <x v="0"/>
    <s v="Apps"/>
    <n v="123.22858903265558"/>
    <d v="2033-04-13T00:00:00"/>
  </r>
  <r>
    <n v="7244"/>
    <x v="0"/>
    <s v="Apps"/>
    <n v="101.66358595194086"/>
    <d v="2033-04-14T00:00:00"/>
  </r>
  <r>
    <n v="7245"/>
    <x v="2"/>
    <s v="OFM"/>
    <n v="52.5"/>
    <d v="2033-04-15T00:00:00"/>
  </r>
  <r>
    <n v="7246"/>
    <x v="0"/>
    <s v="Tech"/>
    <n v="38.508934072704868"/>
    <d v="2033-04-16T00:00:00"/>
  </r>
  <r>
    <n v="7247"/>
    <x v="0"/>
    <s v="Tech"/>
    <n v="17.235436056532226"/>
    <d v="2033-04-17T00:00:00"/>
  </r>
  <r>
    <n v="7248"/>
    <x v="0"/>
    <s v="Tech"/>
    <n v="15.403573629081947"/>
    <d v="2033-04-18T00:00:00"/>
  </r>
  <r>
    <n v="7249"/>
    <x v="0"/>
    <s v="OFM"/>
    <n v="27.726432532347506"/>
    <d v="2033-04-19T00:00:00"/>
  </r>
  <r>
    <n v="7250"/>
    <x v="0"/>
    <s v="Tech"/>
    <n v="46.210720887245841"/>
    <d v="2033-04-20T00:00:00"/>
  </r>
  <r>
    <n v="7251"/>
    <x v="0"/>
    <s v="Tech"/>
    <n v="46.210720887245841"/>
    <d v="2033-04-21T00:00:00"/>
  </r>
  <r>
    <n v="7252"/>
    <x v="0"/>
    <s v="Tech"/>
    <n v="38.508934072704868"/>
    <d v="2033-04-22T00:00:00"/>
  </r>
  <r>
    <n v="7253"/>
    <x v="0"/>
    <s v="Apps"/>
    <n v="123.22858903265558"/>
    <d v="2033-04-23T00:00:00"/>
  </r>
  <r>
    <n v="7254"/>
    <x v="0"/>
    <s v="Tech"/>
    <n v="61.614294516327789"/>
    <d v="2033-04-24T00:00:00"/>
  </r>
  <r>
    <n v="7255"/>
    <x v="4"/>
    <s v="Tech"/>
    <n v="4.0215088805605346"/>
    <d v="2033-04-25T00:00:00"/>
  </r>
  <r>
    <n v="7256"/>
    <x v="0"/>
    <s v="Apps"/>
    <n v="92.421441774491683"/>
    <d v="2033-04-26T00:00:00"/>
  </r>
  <r>
    <n v="7257"/>
    <x v="0"/>
    <s v="Apps"/>
    <n v="92.421441774491683"/>
    <d v="2033-04-27T00:00:00"/>
  </r>
  <r>
    <n v="7258"/>
    <x v="0"/>
    <s v="Apps"/>
    <n v="92.421441774491683"/>
    <d v="2033-04-28T00:00:00"/>
  </r>
  <r>
    <n v="7259"/>
    <x v="0"/>
    <s v="Tech"/>
    <n v="77.017868145409736"/>
    <d v="2033-04-29T00:00:00"/>
  </r>
  <r>
    <n v="7260"/>
    <x v="1"/>
    <s v="Tech"/>
    <n v="5.9791446208112875"/>
    <d v="2033-04-30T00:00:00"/>
  </r>
  <r>
    <n v="7261"/>
    <x v="1"/>
    <s v="Tech"/>
    <n v="3.6080246913580249"/>
    <d v="2033-05-01T00:00:00"/>
  </r>
  <r>
    <n v="7262"/>
    <x v="2"/>
    <s v="Tech"/>
    <n v="158.84782378481412"/>
    <d v="2033-05-02T00:00:00"/>
  </r>
  <r>
    <n v="7263"/>
    <x v="0"/>
    <s v="Apps"/>
    <n v="154.03573629081947"/>
    <d v="2033-05-03T00:00:00"/>
  </r>
  <r>
    <n v="7264"/>
    <x v="0"/>
    <s v="Apps"/>
    <n v="154.03573629081947"/>
    <d v="2033-05-04T00:00:00"/>
  </r>
  <r>
    <n v="7265"/>
    <x v="0"/>
    <s v="Apps"/>
    <n v="154.03573629081947"/>
    <d v="2033-05-05T00:00:00"/>
  </r>
  <r>
    <n v="7266"/>
    <x v="2"/>
    <s v="Systems"/>
    <n v="42.359419675950441"/>
    <d v="2033-05-06T00:00:00"/>
  </r>
  <r>
    <n v="7267"/>
    <x v="4"/>
    <s v="Apps"/>
    <n v="5.8660583346912167"/>
    <d v="2033-05-07T00:00:00"/>
  </r>
  <r>
    <n v="7268"/>
    <x v="0"/>
    <s v="Tech"/>
    <n v="34.470872113064452"/>
    <d v="2033-05-08T00:00:00"/>
  </r>
  <r>
    <n v="7269"/>
    <x v="0"/>
    <s v="Tech"/>
    <n v="41.365046535677351"/>
    <d v="2033-05-09T00:00:00"/>
  </r>
  <r>
    <n v="7270"/>
    <x v="0"/>
    <s v="Tech"/>
    <n v="34.470872113064452"/>
    <d v="2033-05-10T00:00:00"/>
  </r>
  <r>
    <n v="7271"/>
    <x v="0"/>
    <s v="Tech"/>
    <n v="29.30024129610479"/>
    <d v="2033-05-11T00:00:00"/>
  </r>
  <r>
    <n v="7272"/>
    <x v="0"/>
    <s v="Tech"/>
    <n v="34.470872113064452"/>
    <d v="2033-05-12T00:00:00"/>
  </r>
  <r>
    <n v="7273"/>
    <x v="0"/>
    <s v="Tech"/>
    <n v="34.470872113064452"/>
    <d v="2033-05-13T00:00:00"/>
  </r>
  <r>
    <n v="7274"/>
    <x v="0"/>
    <s v="OFM"/>
    <n v="25.696041524803107"/>
    <d v="2033-05-14T00:00:00"/>
  </r>
  <r>
    <n v="7275"/>
    <x v="0"/>
    <s v="Apps"/>
    <n v="154.03573629081947"/>
    <d v="2033-05-15T00:00:00"/>
  </r>
  <r>
    <n v="7276"/>
    <x v="0"/>
    <s v="Apps"/>
    <n v="154.03573629081947"/>
    <d v="2033-05-16T00:00:00"/>
  </r>
  <r>
    <n v="7277"/>
    <x v="0"/>
    <s v="Apps"/>
    <n v="154.03573629081947"/>
    <d v="2033-05-17T00:00:00"/>
  </r>
  <r>
    <n v="7278"/>
    <x v="3"/>
    <s v="Tech"/>
    <n v="58.533525053348853"/>
    <d v="2033-05-18T00:00:00"/>
  </r>
  <r>
    <n v="7279"/>
    <x v="2"/>
    <s v="Apps"/>
    <n v="63.539129513925651"/>
    <d v="2033-05-19T00:00:00"/>
  </r>
  <r>
    <n v="7280"/>
    <x v="2"/>
    <s v="OFM"/>
    <n v="46.997812170812736"/>
    <d v="2033-05-20T00:00:00"/>
  </r>
  <r>
    <n v="7281"/>
    <x v="2"/>
    <s v="Tech"/>
    <n v="12.154606595899846"/>
    <d v="2033-05-21T00:00:00"/>
  </r>
  <r>
    <n v="7282"/>
    <x v="4"/>
    <s v="Tech"/>
    <n v="13.327684536418447"/>
    <d v="2033-05-22T00:00:00"/>
  </r>
  <r>
    <n v="7283"/>
    <x v="4"/>
    <s v="Tech"/>
    <n v="13.327684536418447"/>
    <d v="2033-05-23T00:00:00"/>
  </r>
  <r>
    <n v="7284"/>
    <x v="4"/>
    <s v="Tech"/>
    <n v="11.406224539677368"/>
    <d v="2033-05-24T00:00:00"/>
  </r>
  <r>
    <n v="7285"/>
    <x v="1"/>
    <s v="Tech"/>
    <n v="2.204585537918871"/>
    <d v="2033-05-25T00:00:00"/>
  </r>
  <r>
    <n v="7286"/>
    <x v="0"/>
    <s v="OFM"/>
    <n v="17.924853498793521"/>
    <d v="2033-05-26T00:00:00"/>
  </r>
  <r>
    <n v="7287"/>
    <x v="0"/>
    <s v="OFM"/>
    <n v="43.706099815157117"/>
    <d v="2033-05-27T00:00:00"/>
  </r>
  <r>
    <n v="7288"/>
    <x v="0"/>
    <s v="Systems"/>
    <n v="61.614294516327789"/>
    <d v="2033-05-28T00:00:00"/>
  </r>
  <r>
    <n v="7289"/>
    <x v="2"/>
    <s v="Apps"/>
    <n v="529.49274594938049"/>
    <d v="2033-05-29T00:00:00"/>
  </r>
  <r>
    <n v="7290"/>
    <x v="2"/>
    <s v="Tech"/>
    <n v="47.80811927720606"/>
    <d v="2033-05-30T00:00:00"/>
  </r>
  <r>
    <n v="7291"/>
    <x v="2"/>
    <s v="Tech"/>
    <n v="84.718839351900883"/>
    <d v="2033-05-31T00:00:00"/>
  </r>
  <r>
    <n v="7292"/>
    <x v="3"/>
    <s v="Tech"/>
    <n v="32.730086915108949"/>
    <d v="2033-06-01T00:00:00"/>
  </r>
  <r>
    <n v="7293"/>
    <x v="1"/>
    <s v="Apps"/>
    <n v="88.183421516754848"/>
    <d v="2033-06-02T00:00:00"/>
  </r>
  <r>
    <n v="7294"/>
    <x v="4"/>
    <s v="Tech"/>
    <n v="10.053772201401337"/>
    <d v="2033-06-03T00:00:00"/>
  </r>
  <r>
    <n v="7295"/>
    <x v="1"/>
    <s v="Tech"/>
    <n v="88.183421516754848"/>
    <d v="2033-06-04T00:00:00"/>
  </r>
  <r>
    <n v="7296"/>
    <x v="4"/>
    <s v="Tech"/>
    <n v="97.767638911520294"/>
    <d v="2033-06-05T00:00:00"/>
  </r>
  <r>
    <n v="7297"/>
    <x v="0"/>
    <s v="Apps"/>
    <n v="246.45717806531115"/>
    <d v="2033-06-06T00:00:00"/>
  </r>
  <r>
    <n v="7298"/>
    <x v="0"/>
    <s v="Apps"/>
    <n v="261.86075169439312"/>
    <d v="2033-06-07T00:00:00"/>
  </r>
  <r>
    <n v="7299"/>
    <x v="0"/>
    <s v="Apps"/>
    <n v="261.86075169439312"/>
    <d v="2033-06-08T00:00:00"/>
  </r>
  <r>
    <n v="7300"/>
    <x v="0"/>
    <s v="Apps"/>
    <n v="246.45717806531115"/>
    <d v="2033-06-09T00:00:00"/>
  </r>
  <r>
    <n v="7301"/>
    <x v="1"/>
    <s v="Tech"/>
    <n v="0"/>
    <d v="2033-06-10T00:00:00"/>
  </r>
  <r>
    <n v="7302"/>
    <x v="0"/>
    <s v="OFM"/>
    <n v="73.471965495995065"/>
    <d v="2033-06-11T00:00:00"/>
  </r>
  <r>
    <n v="7303"/>
    <x v="0"/>
    <s v="OFM"/>
    <n v="51.748527418361057"/>
    <d v="2033-06-12T00:00:00"/>
  </r>
  <r>
    <n v="7304"/>
    <x v="0"/>
    <s v="OFM"/>
    <n v="308.07147258163894"/>
    <d v="2033-06-13T00:00:00"/>
  </r>
  <r>
    <n v="7305"/>
    <x v="0"/>
    <s v="Tech"/>
    <n v="16.943930991990143"/>
    <d v="2033-06-14T00:00:00"/>
  </r>
  <r>
    <n v="7306"/>
    <x v="0"/>
    <s v="Tech"/>
    <n v="27.726432532347506"/>
    <d v="2033-06-15T00:00:00"/>
  </r>
  <r>
    <n v="7307"/>
    <x v="0"/>
    <s v="Tech"/>
    <n v="53.912507701786815"/>
    <d v="2033-06-16T00:00:00"/>
  </r>
  <r>
    <n v="7308"/>
    <x v="0"/>
    <s v="OFM"/>
    <n v="27.726432532347506"/>
    <d v="2033-06-17T00:00:00"/>
  </r>
  <r>
    <n v="7309"/>
    <x v="0"/>
    <s v="Apps"/>
    <n v="261.86075169439312"/>
    <d v="2033-06-18T00:00:00"/>
  </r>
  <r>
    <n v="7310"/>
    <x v="0"/>
    <s v="Apps"/>
    <n v="26.956253850893408"/>
    <d v="2033-06-19T00:00:00"/>
  </r>
  <r>
    <n v="7311"/>
    <x v="0"/>
    <s v="Apps"/>
    <n v="10.012322858903266"/>
    <d v="2033-06-20T00:00:00"/>
  </r>
  <r>
    <n v="7312"/>
    <x v="4"/>
    <s v="OFM"/>
    <n v="150"/>
    <d v="2033-06-21T00:00:00"/>
  </r>
  <r>
    <n v="7313"/>
    <x v="4"/>
    <s v="Tech"/>
    <n v="140.45399963247118"/>
    <d v="2033-06-22T00:00:00"/>
  </r>
  <r>
    <n v="7314"/>
    <x v="4"/>
    <s v="Tech"/>
    <n v="46.065663312647658"/>
    <d v="2033-06-23T00:00:00"/>
  </r>
  <r>
    <n v="7315"/>
    <x v="2"/>
    <s v="OFM"/>
    <n v="47.654347135444247"/>
    <d v="2033-06-24T00:00:00"/>
  </r>
  <r>
    <n v="7316"/>
    <x v="2"/>
    <s v="Apps"/>
    <n v="0.75520622315857711"/>
    <d v="2033-06-25T00:00:00"/>
  </r>
  <r>
    <n v="7317"/>
    <x v="4"/>
    <s v="Tech"/>
    <n v="61.75"/>
    <d v="2033-06-26T00:00:00"/>
  </r>
  <r>
    <n v="7318"/>
    <x v="1"/>
    <s v="Apps"/>
    <n v="11.022927689594356"/>
    <d v="2033-06-27T00:00:00"/>
  </r>
  <r>
    <n v="7319"/>
    <x v="0"/>
    <s v="Tech"/>
    <n v="34.620790667197717"/>
    <d v="2033-06-28T00:00:00"/>
  </r>
  <r>
    <n v="7320"/>
    <x v="4"/>
    <s v="Tech"/>
    <n v="97.767638911520294"/>
    <d v="2033-06-29T00:00:00"/>
  </r>
  <r>
    <n v="7321"/>
    <x v="4"/>
    <s v="OFM"/>
    <n v="150"/>
    <d v="2033-06-30T00:00:00"/>
  </r>
  <r>
    <n v="7322"/>
    <x v="4"/>
    <s v="OFM"/>
    <n v="150"/>
    <d v="2033-07-01T00:00:00"/>
  </r>
  <r>
    <n v="7323"/>
    <x v="2"/>
    <s v="Apps"/>
    <n v="5.1811036382789082"/>
    <d v="2033-07-02T00:00:00"/>
  </r>
  <r>
    <n v="7324"/>
    <x v="1"/>
    <s v="Tech"/>
    <n v="110.22927689594357"/>
    <d v="2033-07-03T00:00:00"/>
  </r>
  <r>
    <n v="7325"/>
    <x v="0"/>
    <s v="Systems"/>
    <n v="25.853154084798344"/>
    <d v="2033-07-04T00:00:00"/>
  </r>
  <r>
    <n v="7326"/>
    <x v="2"/>
    <s v="Apps"/>
    <n v="44.477390659747961"/>
    <d v="2033-07-05T00:00:00"/>
  </r>
  <r>
    <n v="7327"/>
    <x v="0"/>
    <s v="Tech"/>
    <n v="184.84288354898337"/>
    <d v="2033-07-06T00:00:00"/>
  </r>
  <r>
    <n v="7328"/>
    <x v="0"/>
    <s v="OFM"/>
    <n v="46.210720887245841"/>
    <d v="2033-07-07T00:00:00"/>
  </r>
  <r>
    <n v="7329"/>
    <x v="0"/>
    <s v="Tech"/>
    <n v="3.0807147258163896"/>
    <d v="2033-07-08T00:00:00"/>
  </r>
  <r>
    <n v="7330"/>
    <x v="2"/>
    <s v="OFM"/>
    <n v="48.618426383599385"/>
    <d v="2033-07-09T00:00:00"/>
  </r>
  <r>
    <n v="7331"/>
    <x v="2"/>
    <s v="OFM"/>
    <n v="211.79709837975219"/>
    <d v="2033-07-10T00:00:00"/>
  </r>
  <r>
    <n v="7332"/>
    <x v="0"/>
    <s v="OFM"/>
    <n v="89.936145336810867"/>
    <d v="2033-07-11T00:00:00"/>
  </r>
  <r>
    <n v="7333"/>
    <x v="2"/>
    <s v="Tech"/>
    <n v="105.89854918987609"/>
    <d v="2033-07-12T00:00:00"/>
  </r>
  <r>
    <n v="7334"/>
    <x v="2"/>
    <s v="Tech"/>
    <n v="31.769564756962826"/>
    <d v="2033-07-13T00:00:00"/>
  </r>
  <r>
    <n v="7335"/>
    <x v="0"/>
    <s v="Apps"/>
    <n v="231.05360443622922"/>
    <d v="2033-07-14T00:00:00"/>
  </r>
  <r>
    <n v="7336"/>
    <x v="0"/>
    <s v="Systems"/>
    <n v="256.96041524803104"/>
    <d v="2033-07-15T00:00:00"/>
  </r>
  <r>
    <n v="7337"/>
    <x v="2"/>
    <s v="OFM"/>
    <n v="0"/>
    <d v="2033-07-16T00:00:00"/>
  </r>
  <r>
    <n v="7338"/>
    <x v="3"/>
    <s v="OFM"/>
    <n v="45.792997334847563"/>
    <d v="2033-07-17T00:00:00"/>
  </r>
  <r>
    <n v="7339"/>
    <x v="3"/>
    <s v="OFM"/>
    <n v="91.585994669695125"/>
    <d v="2033-07-18T00:00:00"/>
  </r>
  <r>
    <n v="7340"/>
    <x v="0"/>
    <s v="Apps"/>
    <n v="246.45717806531115"/>
    <d v="2033-07-19T00:00:00"/>
  </r>
  <r>
    <n v="7341"/>
    <x v="0"/>
    <s v="Apps"/>
    <n v="231.05360443622922"/>
    <d v="2033-07-20T00:00:00"/>
  </r>
  <r>
    <n v="7342"/>
    <x v="0"/>
    <s v="OFM"/>
    <n v="46.210720887245841"/>
    <d v="2033-07-21T00:00:00"/>
  </r>
  <r>
    <n v="7343"/>
    <x v="0"/>
    <s v="Apps"/>
    <n v="3.0807147258163896"/>
    <d v="2033-07-22T00:00:00"/>
  </r>
  <r>
    <n v="7344"/>
    <x v="0"/>
    <s v="Other"/>
    <n v="15.403573629081947"/>
    <d v="2033-07-23T00:00:00"/>
  </r>
  <r>
    <n v="7345"/>
    <x v="0"/>
    <s v="Tech"/>
    <n v="15.403573629081947"/>
    <d v="2033-07-24T00:00:00"/>
  </r>
  <r>
    <n v="7346"/>
    <x v="0"/>
    <s v="Tech"/>
    <n v="15.403573629081947"/>
    <d v="2033-07-25T00:00:00"/>
  </r>
  <r>
    <n v="7347"/>
    <x v="0"/>
    <s v="Tech"/>
    <n v="15.403573629081947"/>
    <d v="2033-07-26T00:00:00"/>
  </r>
  <r>
    <n v="7348"/>
    <x v="3"/>
    <s v="OFM"/>
    <n v="45.792997334847563"/>
    <d v="2033-07-27T00:00:00"/>
  </r>
  <r>
    <n v="7349"/>
    <x v="3"/>
    <s v="OFM"/>
    <n v="45.792997334847563"/>
    <d v="2033-07-28T00:00:00"/>
  </r>
  <r>
    <n v="7350"/>
    <x v="3"/>
    <s v="OFM"/>
    <n v="45.792997334847563"/>
    <d v="2033-07-29T00:00:00"/>
  </r>
  <r>
    <n v="7351"/>
    <x v="2"/>
    <s v="Tech"/>
    <n v="81.030710639332298"/>
    <d v="2033-07-30T00:00:00"/>
  </r>
  <r>
    <n v="7352"/>
    <x v="0"/>
    <s v="OFM"/>
    <n v="89.936145336810867"/>
    <d v="2033-07-31T00:00:00"/>
  </r>
  <r>
    <n v="7353"/>
    <x v="2"/>
    <s v="Apps"/>
    <n v="52.949274594938046"/>
    <d v="2033-08-01T00:00:00"/>
  </r>
  <r>
    <n v="7354"/>
    <x v="0"/>
    <s v="Apps"/>
    <n v="154.03573629081947"/>
    <d v="2033-08-02T00:00:00"/>
  </r>
  <r>
    <n v="7355"/>
    <x v="1"/>
    <s v="Tech"/>
    <n v="220.45855379188714"/>
    <d v="2033-08-03T00:00:00"/>
  </r>
  <r>
    <n v="7356"/>
    <x v="0"/>
    <s v="Apps"/>
    <n v="123.22858903265558"/>
    <d v="2033-08-04T00:00:00"/>
  </r>
  <r>
    <n v="7357"/>
    <x v="1"/>
    <s v="Tech"/>
    <n v="60"/>
    <d v="2033-08-05T00:00:00"/>
  </r>
  <r>
    <n v="7358"/>
    <x v="0"/>
    <s v="Apps"/>
    <n v="154.03573629081947"/>
    <d v="2033-08-06T00:00:00"/>
  </r>
  <r>
    <n v="7359"/>
    <x v="0"/>
    <s v="Apps"/>
    <n v="154.03573629081947"/>
    <d v="2033-08-07T00:00:00"/>
  </r>
  <r>
    <n v="7360"/>
    <x v="0"/>
    <s v="Apps"/>
    <n v="154.03573629081947"/>
    <d v="2033-08-08T00:00:00"/>
  </r>
  <r>
    <n v="7361"/>
    <x v="0"/>
    <s v="Apps"/>
    <n v="154.03573629081947"/>
    <d v="2033-08-09T00:00:00"/>
  </r>
  <r>
    <n v="7362"/>
    <x v="0"/>
    <s v="Apps"/>
    <n v="154.03573629081947"/>
    <d v="2033-08-10T00:00:00"/>
  </r>
  <r>
    <n v="7363"/>
    <x v="0"/>
    <s v="Apps"/>
    <n v="154.03573629081947"/>
    <d v="2033-08-11T00:00:00"/>
  </r>
  <r>
    <n v="7364"/>
    <x v="0"/>
    <s v="Apps"/>
    <n v="154.03573629081947"/>
    <d v="2033-08-12T00:00:00"/>
  </r>
  <r>
    <n v="7365"/>
    <x v="0"/>
    <s v="Apps"/>
    <n v="154.03573629081947"/>
    <d v="2033-08-13T00:00:00"/>
  </r>
  <r>
    <n v="7366"/>
    <x v="4"/>
    <s v="Tech"/>
    <n v="162.94606485253382"/>
    <d v="2033-08-14T00:00:00"/>
  </r>
  <r>
    <n v="7367"/>
    <x v="1"/>
    <s v="Tech"/>
    <n v="88.183421516754848"/>
    <d v="2033-08-15T00:00:00"/>
  </r>
  <r>
    <n v="7368"/>
    <x v="0"/>
    <s v="Tech"/>
    <n v="102.78416609921243"/>
    <d v="2033-08-16T00:00:00"/>
  </r>
  <r>
    <n v="7369"/>
    <x v="1"/>
    <s v="Systems"/>
    <n v="220.45855379188714"/>
    <d v="2033-08-17T00:00:00"/>
  </r>
  <r>
    <n v="7370"/>
    <x v="0"/>
    <s v="Apps"/>
    <n v="123.22858903265558"/>
    <d v="2033-08-18T00:00:00"/>
  </r>
  <r>
    <n v="7371"/>
    <x v="0"/>
    <s v="Tech"/>
    <n v="34.470872113064452"/>
    <d v="2033-08-19T00:00:00"/>
  </r>
  <r>
    <n v="7372"/>
    <x v="1"/>
    <s v="Tech"/>
    <n v="77.160493827160494"/>
    <d v="2033-08-20T00:00:00"/>
  </r>
  <r>
    <n v="7373"/>
    <x v="0"/>
    <s v="Apps"/>
    <n v="123.22858903265558"/>
    <d v="2033-08-21T00:00:00"/>
  </r>
  <r>
    <n v="7374"/>
    <x v="0"/>
    <s v="Apps"/>
    <n v="169.43930991990143"/>
    <d v="2033-08-22T00:00:00"/>
  </r>
  <r>
    <n v="7375"/>
    <x v="0"/>
    <s v="Apps"/>
    <n v="92.421441774491683"/>
    <d v="2033-08-23T00:00:00"/>
  </r>
  <r>
    <n v="7376"/>
    <x v="0"/>
    <s v="Tech"/>
    <n v="22.652345406190175"/>
    <d v="2033-08-24T00:00:00"/>
  </r>
  <r>
    <n v="7377"/>
    <x v="0"/>
    <s v="Tech"/>
    <n v="22.652345406190175"/>
    <d v="2033-08-25T00:00:00"/>
  </r>
  <r>
    <n v="7378"/>
    <x v="0"/>
    <s v="Apps"/>
    <n v="154.03573629081947"/>
    <d v="2033-08-26T00:00:00"/>
  </r>
  <r>
    <n v="7379"/>
    <x v="0"/>
    <s v="Tech"/>
    <n v="15.403573629081947"/>
    <d v="2033-08-27T00:00:00"/>
  </r>
  <r>
    <n v="7380"/>
    <x v="0"/>
    <s v="Apps"/>
    <n v="12.322858903265558"/>
    <d v="2033-08-28T00:00:00"/>
  </r>
  <r>
    <n v="7381"/>
    <x v="0"/>
    <s v="Other"/>
    <n v="15.403573629081947"/>
    <d v="2033-08-29T00:00:00"/>
  </r>
  <r>
    <n v="7382"/>
    <x v="0"/>
    <s v="Apps"/>
    <n v="15.403573629081947"/>
    <d v="2033-08-30T00:00:00"/>
  </r>
  <r>
    <n v="7383"/>
    <x v="0"/>
    <s v="Other"/>
    <n v="30.807147258163894"/>
    <d v="2033-08-31T00:00:00"/>
  </r>
  <r>
    <n v="7384"/>
    <x v="4"/>
    <s v="Other"/>
    <n v="329.04045223319753"/>
    <d v="2033-09-01T00:00:00"/>
  </r>
  <r>
    <n v="7385"/>
    <x v="1"/>
    <s v="OFM"/>
    <n v="26.455026455026456"/>
    <d v="2033-09-02T00:00:00"/>
  </r>
  <r>
    <n v="7386"/>
    <x v="0"/>
    <s v="Apps"/>
    <n v="69.316081330868769"/>
    <d v="2033-09-03T00:00:00"/>
  </r>
  <r>
    <n v="7387"/>
    <x v="2"/>
    <s v="Apps"/>
    <n v="476.54347135444243"/>
    <d v="2033-09-04T00:00:00"/>
  </r>
  <r>
    <n v="7388"/>
    <x v="1"/>
    <s v="Apps"/>
    <n v="2.0751543209876546"/>
    <d v="2033-09-05T00:00:00"/>
  </r>
  <r>
    <n v="7389"/>
    <x v="1"/>
    <s v="Tech"/>
    <n v="110.22927689594357"/>
    <d v="2033-09-06T00:00:00"/>
  </r>
  <r>
    <n v="7390"/>
    <x v="0"/>
    <s v="Apps"/>
    <n v="53.912507701786815"/>
    <d v="2033-09-07T00:00:00"/>
  </r>
  <r>
    <n v="7391"/>
    <x v="0"/>
    <s v="Apps"/>
    <n v="46.210720887245841"/>
    <d v="2033-09-08T00:00:00"/>
  </r>
  <r>
    <n v="7392"/>
    <x v="4"/>
    <s v="Tech"/>
    <n v="24.127423822714682"/>
    <d v="2033-09-09T00:00:00"/>
  </r>
  <r>
    <n v="7393"/>
    <x v="4"/>
    <s v="Tech"/>
    <n v="32.589212970506765"/>
    <d v="2033-09-10T00:00:00"/>
  </r>
  <r>
    <n v="7394"/>
    <x v="4"/>
    <s v="Tech"/>
    <n v="4.6646895877464569"/>
    <d v="2033-09-11T00:00:00"/>
  </r>
  <r>
    <n v="7395"/>
    <x v="2"/>
    <s v="Systems"/>
    <n v="31.769564756962826"/>
    <d v="2033-09-12T00:00:00"/>
  </r>
  <r>
    <n v="7396"/>
    <x v="0"/>
    <s v="Tech"/>
    <n v="24.645717806531117"/>
    <d v="2033-09-13T00:00:00"/>
  </r>
  <r>
    <n v="7397"/>
    <x v="0"/>
    <s v="Tech"/>
    <n v="184.84288354898337"/>
    <d v="2033-09-14T00:00:00"/>
  </r>
  <r>
    <n v="7398"/>
    <x v="0"/>
    <s v="Apps"/>
    <n v="231.05360443622922"/>
    <d v="2033-09-15T00:00:00"/>
  </r>
  <r>
    <n v="7399"/>
    <x v="0"/>
    <s v="Apps"/>
    <n v="77.017868145409736"/>
    <d v="2033-09-16T00:00:00"/>
  </r>
  <r>
    <n v="7400"/>
    <x v="0"/>
    <s v="Apps"/>
    <n v="107.82501540357363"/>
    <d v="2033-09-17T00:00:00"/>
  </r>
  <r>
    <n v="7401"/>
    <x v="0"/>
    <s v="Apps"/>
    <n v="123.22858903265558"/>
    <d v="2033-09-18T00:00:00"/>
  </r>
  <r>
    <n v="7402"/>
    <x v="1"/>
    <s v="Tech"/>
    <n v="39.682539682539684"/>
    <d v="2033-09-19T00:00:00"/>
  </r>
  <r>
    <n v="7403"/>
    <x v="4"/>
    <s v="Tech"/>
    <n v="28.148606811145513"/>
    <d v="2033-09-20T00:00:00"/>
  </r>
  <r>
    <n v="7404"/>
    <x v="0"/>
    <s v="Tech"/>
    <n v="49.291435613062234"/>
    <d v="2033-09-21T00:00:00"/>
  </r>
  <r>
    <n v="7405"/>
    <x v="0"/>
    <s v="OFM"/>
    <n v="12.322858903265558"/>
    <d v="2033-09-22T00:00:00"/>
  </r>
  <r>
    <n v="7406"/>
    <x v="1"/>
    <s v="Tech"/>
    <n v="33.078417107583775"/>
    <d v="2033-09-23T00:00:00"/>
  </r>
  <r>
    <n v="7407"/>
    <x v="1"/>
    <s v="Tech"/>
    <n v="165.34391534391534"/>
    <d v="2033-09-24T00:00:00"/>
  </r>
  <r>
    <n v="7408"/>
    <x v="0"/>
    <s v="Apps"/>
    <n v="92.421441774491683"/>
    <d v="2033-09-25T00:00:00"/>
  </r>
  <r>
    <n v="7409"/>
    <x v="0"/>
    <s v="Apps"/>
    <n v="92.421441774491683"/>
    <d v="2033-09-26T00:00:00"/>
  </r>
  <r>
    <n v="7410"/>
    <x v="0"/>
    <s v="Apps"/>
    <n v="77.017868145409736"/>
    <d v="2033-09-27T00:00:00"/>
  </r>
  <r>
    <n v="7411"/>
    <x v="0"/>
    <s v="Tech"/>
    <n v="770.17868145409739"/>
    <d v="2033-09-28T00:00:00"/>
  </r>
  <r>
    <n v="7412"/>
    <x v="4"/>
    <s v="Tech"/>
    <n v="100"/>
    <d v="2033-09-29T00:00:00"/>
  </r>
  <r>
    <n v="7413"/>
    <x v="4"/>
    <s v="OFM"/>
    <n v="0.1"/>
    <d v="2033-09-30T00:00:00"/>
  </r>
  <r>
    <n v="7414"/>
    <x v="4"/>
    <s v="Tech"/>
    <n v="0.1"/>
    <d v="2033-10-01T00:00:00"/>
  </r>
  <r>
    <n v="7415"/>
    <x v="4"/>
    <s v="Tech"/>
    <n v="250"/>
    <d v="2033-10-02T00:00:00"/>
  </r>
  <r>
    <n v="7416"/>
    <x v="4"/>
    <s v="Apps"/>
    <n v="200"/>
    <d v="2033-10-03T00:00:00"/>
  </r>
  <r>
    <n v="7417"/>
    <x v="4"/>
    <s v="Apps"/>
    <n v="100"/>
    <d v="2033-10-04T00:00:00"/>
  </r>
  <r>
    <n v="7418"/>
    <x v="0"/>
    <s v="Tech"/>
    <n v="6.1614294516327786E-2"/>
    <d v="2033-10-05T00:00:00"/>
  </r>
  <r>
    <n v="7419"/>
    <x v="3"/>
    <s v="Tech"/>
    <n v="137.37899200454268"/>
    <d v="2033-10-06T00:00:00"/>
  </r>
  <r>
    <n v="7420"/>
    <x v="0"/>
    <s v="Tech"/>
    <n v="38.508934072704868"/>
    <d v="2033-10-07T00:00:00"/>
  </r>
  <r>
    <n v="7421"/>
    <x v="0"/>
    <s v="Tech"/>
    <n v="385.08934072704869"/>
    <d v="2033-10-08T00:00:00"/>
  </r>
  <r>
    <n v="7422"/>
    <x v="4"/>
    <s v="Apps"/>
    <n v="184.65699853348542"/>
    <d v="2033-10-09T00:00:00"/>
  </r>
  <r>
    <n v="7423"/>
    <x v="4"/>
    <s v="OFM"/>
    <n v="493.56067834979632"/>
    <d v="2033-10-10T00:00:00"/>
  </r>
  <r>
    <n v="7424"/>
    <x v="0"/>
    <s v="Tech"/>
    <n v="51.706308169596689"/>
    <d v="2033-10-11T00:00:00"/>
  </r>
  <r>
    <n v="7425"/>
    <x v="1"/>
    <s v="Tech"/>
    <n v="244.83553791887127"/>
    <d v="2033-10-12T00:00:00"/>
  </r>
  <r>
    <n v="7426"/>
    <x v="2"/>
    <s v="Systems"/>
    <n v="47.654347135444247"/>
    <d v="2033-10-13T00:00:00"/>
  </r>
  <r>
    <n v="7427"/>
    <x v="4"/>
    <s v="Tech"/>
    <n v="100"/>
    <d v="2033-10-14T00:00:00"/>
  </r>
  <r>
    <n v="7428"/>
    <x v="1"/>
    <s v="Tech"/>
    <n v="88.183421516754848"/>
    <d v="2033-10-15T00:00:00"/>
  </r>
  <r>
    <n v="7429"/>
    <x v="1"/>
    <s v="Tech"/>
    <n v="110.22927689594357"/>
    <d v="2033-10-16T00:00:00"/>
  </r>
  <r>
    <n v="7430"/>
    <x v="4"/>
    <s v="OFM"/>
    <n v="9.7767638911520294"/>
    <d v="2033-10-17T00:00:00"/>
  </r>
  <r>
    <n v="7431"/>
    <x v="2"/>
    <s v="OFM"/>
    <n v="105.89854918987609"/>
    <d v="2033-10-18T00:00:00"/>
  </r>
  <r>
    <n v="7432"/>
    <x v="1"/>
    <s v="Tech"/>
    <n v="783.47372134038801"/>
    <d v="2033-10-19T00:00:00"/>
  </r>
  <r>
    <n v="7433"/>
    <x v="4"/>
    <s v="Systems"/>
    <n v="26.071370376405412"/>
    <d v="2033-10-20T00:00:00"/>
  </r>
  <r>
    <n v="7434"/>
    <x v="0"/>
    <s v="Apps"/>
    <n v="31.023784901758013"/>
    <d v="2033-10-21T00:00:00"/>
  </r>
  <r>
    <n v="7435"/>
    <x v="0"/>
    <s v="Apps"/>
    <n v="41.365046535677351"/>
    <d v="2033-10-22T00:00:00"/>
  </r>
  <r>
    <n v="7436"/>
    <x v="0"/>
    <s v="Apps"/>
    <n v="41.365046535677351"/>
    <d v="2033-10-23T00:00:00"/>
  </r>
  <r>
    <n v="7437"/>
    <x v="0"/>
    <s v="Apps"/>
    <n v="62.047569803516026"/>
    <d v="2033-10-24T00:00:00"/>
  </r>
  <r>
    <n v="7438"/>
    <x v="0"/>
    <s v="Apps"/>
    <n v="33.781454670803171"/>
    <d v="2033-10-25T00:00:00"/>
  </r>
  <r>
    <n v="7439"/>
    <x v="0"/>
    <s v="Apps"/>
    <n v="51.706308169596689"/>
    <d v="2033-10-26T00:00:00"/>
  </r>
  <r>
    <n v="7440"/>
    <x v="0"/>
    <s v="Apps"/>
    <n v="62.047569803516026"/>
    <d v="2033-10-27T00:00:00"/>
  </r>
  <r>
    <n v="7441"/>
    <x v="4"/>
    <s v="OFM"/>
    <n v="100"/>
    <d v="2033-10-28T00:00:00"/>
  </r>
  <r>
    <n v="7442"/>
    <x v="2"/>
    <s v="Apps"/>
    <n v="105.89854918987609"/>
    <d v="2033-10-29T00:00:00"/>
  </r>
  <r>
    <n v="7443"/>
    <x v="2"/>
    <s v="OFM"/>
    <n v="264.74637297469025"/>
    <d v="2033-10-30T00:00:00"/>
  </r>
  <r>
    <n v="7444"/>
    <x v="0"/>
    <s v="Apps"/>
    <n v="51.706308169596689"/>
    <d v="2033-10-31T00:00:00"/>
  </r>
  <r>
    <n v="7445"/>
    <x v="0"/>
    <s v="Tech"/>
    <n v="34.470872113064452"/>
    <d v="2033-11-01T00:00:00"/>
  </r>
  <r>
    <n v="7446"/>
    <x v="0"/>
    <s v="Tech"/>
    <n v="160"/>
    <d v="2033-11-02T00:00:00"/>
  </r>
  <r>
    <n v="7447"/>
    <x v="4"/>
    <s v="Apps"/>
    <n v="158.73015873015873"/>
    <d v="2033-11-03T00:00:00"/>
  </r>
  <r>
    <n v="7448"/>
    <x v="0"/>
    <s v="Tech"/>
    <n v="61.614294516327789"/>
    <d v="2033-11-04T00:00:00"/>
  </r>
  <r>
    <n v="7449"/>
    <x v="4"/>
    <s v="Apps"/>
    <n v="17.079999999999998"/>
    <d v="2033-11-05T00:00:00"/>
  </r>
  <r>
    <n v="7450"/>
    <x v="2"/>
    <s v="Tech"/>
    <n v="26.474637297469023"/>
    <d v="2033-11-06T00:00:00"/>
  </r>
  <r>
    <n v="7451"/>
    <x v="3"/>
    <s v="OFM"/>
    <n v="183.17198933939025"/>
    <d v="2033-11-07T00:00:00"/>
  </r>
  <r>
    <n v="7452"/>
    <x v="3"/>
    <s v="OFM"/>
    <n v="11.906179307060365"/>
    <d v="2033-11-08T00:00:00"/>
  </r>
  <r>
    <n v="7453"/>
    <x v="0"/>
    <s v="OFM"/>
    <n v="154.03573629081947"/>
    <d v="2033-11-09T00:00:00"/>
  </r>
  <r>
    <n v="7454"/>
    <x v="0"/>
    <s v="OFM"/>
    <n v="10.341261633919338"/>
    <d v="2033-11-10T00:00:00"/>
  </r>
  <r>
    <n v="7455"/>
    <x v="0"/>
    <s v="Tech"/>
    <n v="51.392083049606214"/>
    <d v="2033-11-11T00:00:00"/>
  </r>
  <r>
    <n v="7456"/>
    <x v="2"/>
    <s v="Apps"/>
    <n v="21.179709837975221"/>
    <d v="2033-11-12T00:00:00"/>
  </r>
  <r>
    <n v="7457"/>
    <x v="1"/>
    <s v="Apps"/>
    <n v="66.137566137566139"/>
    <d v="2033-11-13T00:00:00"/>
  </r>
  <r>
    <n v="7458"/>
    <x v="1"/>
    <s v="Systems"/>
    <n v="661.37566137566137"/>
    <d v="2033-11-14T00:00:00"/>
  </r>
  <r>
    <n v="7459"/>
    <x v="0"/>
    <s v="Tech"/>
    <n v="38.508934072704868"/>
    <d v="2033-11-15T00:00:00"/>
  </r>
  <r>
    <n v="7460"/>
    <x v="0"/>
    <s v="OFM"/>
    <n v="18.484288354898336"/>
    <d v="2033-11-16T00:00:00"/>
  </r>
  <r>
    <n v="7461"/>
    <x v="0"/>
    <s v="Tech"/>
    <n v="23.105360443622921"/>
    <d v="2033-11-17T00:00:00"/>
  </r>
  <r>
    <n v="7462"/>
    <x v="4"/>
    <s v="Systems"/>
    <n v="500"/>
    <d v="2033-11-18T00:00:00"/>
  </r>
  <r>
    <n v="7463"/>
    <x v="4"/>
    <s v="OFM"/>
    <n v="27.475798400908538"/>
    <d v="2033-11-19T00:00:00"/>
  </r>
  <r>
    <n v="7464"/>
    <x v="0"/>
    <s v="Tech"/>
    <n v="107.82501540357363"/>
    <d v="2033-11-20T00:00:00"/>
  </r>
  <r>
    <n v="7465"/>
    <x v="1"/>
    <s v="Tech"/>
    <n v="15.4320987654321"/>
    <d v="2033-11-21T00:00:00"/>
  </r>
  <r>
    <n v="7466"/>
    <x v="1"/>
    <s v="Apps"/>
    <n v="66.137566137566139"/>
    <d v="2033-11-22T00:00:00"/>
  </r>
  <r>
    <n v="7467"/>
    <x v="1"/>
    <s v="Apps"/>
    <n v="66.137566137566139"/>
    <d v="2033-11-23T00:00:00"/>
  </r>
  <r>
    <n v="7468"/>
    <x v="1"/>
    <s v="Apps"/>
    <n v="220.45855379188714"/>
    <d v="2033-11-24T00:00:00"/>
  </r>
  <r>
    <n v="7469"/>
    <x v="2"/>
    <s v="Tech"/>
    <n v="52.949274594938046"/>
    <d v="2033-11-25T00:00:00"/>
  </r>
  <r>
    <n v="7470"/>
    <x v="4"/>
    <s v="Tech"/>
    <n v="104.31"/>
    <d v="2033-11-26T00:00:00"/>
  </r>
  <r>
    <n v="7471"/>
    <x v="1"/>
    <s v="Apps"/>
    <n v="176.3668430335097"/>
    <d v="2033-11-27T00:00:00"/>
  </r>
  <r>
    <n v="7472"/>
    <x v="1"/>
    <s v="Apps"/>
    <n v="66.137566137566139"/>
    <d v="2033-11-28T00:00:00"/>
  </r>
  <r>
    <n v="7473"/>
    <x v="4"/>
    <s v="Tech"/>
    <n v="4.0215088805605346"/>
    <d v="2033-11-29T00:00:00"/>
  </r>
  <r>
    <n v="7474"/>
    <x v="0"/>
    <s v="Tech"/>
    <n v="49.291435613062234"/>
    <d v="2033-11-30T00:00:00"/>
  </r>
  <r>
    <n v="7475"/>
    <x v="0"/>
    <s v="OFM"/>
    <n v="24.645717806531117"/>
    <d v="2033-12-01T00:00:00"/>
  </r>
  <r>
    <n v="7476"/>
    <x v="1"/>
    <s v="Apps"/>
    <n v="110.22927689594357"/>
    <d v="2033-12-02T00:00:00"/>
  </r>
  <r>
    <n v="7477"/>
    <x v="0"/>
    <s v="Tech"/>
    <n v="49.291435613062234"/>
    <d v="2033-12-03T00:00:00"/>
  </r>
  <r>
    <n v="7478"/>
    <x v="3"/>
    <s v="Other"/>
    <n v="9.1585994669695108E-6"/>
    <d v="2033-12-04T00:00:00"/>
  </r>
  <r>
    <n v="7479"/>
    <x v="3"/>
    <s v="OFM"/>
    <n v="6.2278476375392682"/>
    <d v="2033-12-05T00:00:00"/>
  </r>
  <r>
    <n v="7480"/>
    <x v="1"/>
    <s v="Apps"/>
    <n v="88.183421516754848"/>
    <d v="2033-12-06T00:00:00"/>
  </r>
  <r>
    <n v="7481"/>
    <x v="4"/>
    <s v="Apps"/>
    <n v="50.325000000000003"/>
    <d v="2033-12-07T00:00:00"/>
  </r>
  <r>
    <n v="7482"/>
    <x v="0"/>
    <s v="Apps"/>
    <n v="924.21441774491689"/>
    <d v="2033-12-08T00:00:00"/>
  </r>
  <r>
    <n v="7483"/>
    <x v="1"/>
    <s v="Apps"/>
    <n v="66.137566137566139"/>
    <d v="2033-12-09T00:00:00"/>
  </r>
  <r>
    <n v="7484"/>
    <x v="2"/>
    <s v="Apps"/>
    <n v="162.0614212786646"/>
    <d v="2033-12-10T00:00:00"/>
  </r>
  <r>
    <n v="7485"/>
    <x v="3"/>
    <s v="Other"/>
    <n v="9.1585994669695116E-7"/>
    <d v="2033-12-11T00:00:00"/>
  </r>
  <r>
    <n v="7486"/>
    <x v="2"/>
    <s v="Systems"/>
    <n v="137.66811394683893"/>
    <d v="2033-12-12T00:00:00"/>
  </r>
  <r>
    <n v="7487"/>
    <x v="0"/>
    <s v="Apps"/>
    <n v="123.22858903265558"/>
    <d v="2033-12-13T00:00:00"/>
  </r>
  <r>
    <n v="7488"/>
    <x v="2"/>
    <s v="Apps"/>
    <n v="79.423911892407062"/>
    <d v="2033-12-14T00:00:00"/>
  </r>
  <r>
    <n v="7489"/>
    <x v="1"/>
    <s v="Apps"/>
    <n v="88.183421516754848"/>
    <d v="2033-12-15T00:00:00"/>
  </r>
  <r>
    <n v="7490"/>
    <x v="0"/>
    <s v="Apps"/>
    <n v="84.411583487369072"/>
    <d v="2033-12-16T00:00:00"/>
  </r>
  <r>
    <n v="7491"/>
    <x v="1"/>
    <s v="Tech"/>
    <n v="220.45855379188714"/>
    <d v="2033-12-17T00:00:00"/>
  </r>
  <r>
    <n v="7492"/>
    <x v="0"/>
    <s v="Systems"/>
    <n v="369.68576709796673"/>
    <d v="2033-12-18T00:00:00"/>
  </r>
  <r>
    <n v="7493"/>
    <x v="3"/>
    <s v="OFM"/>
    <n v="41.213697601362803"/>
    <d v="2033-12-19T00:00:00"/>
  </r>
  <r>
    <n v="7494"/>
    <x v="2"/>
    <s v="OFM"/>
    <n v="60.362173038229372"/>
    <d v="2033-12-20T00:00:00"/>
  </r>
  <r>
    <n v="7495"/>
    <x v="1"/>
    <s v="Tech"/>
    <n v="48.500881834215171"/>
    <d v="2033-12-21T00:00:00"/>
  </r>
  <r>
    <n v="7496"/>
    <x v="2"/>
    <s v="Tech"/>
    <n v="158.84782378481412"/>
    <d v="2033-12-22T00:00:00"/>
  </r>
  <r>
    <n v="7497"/>
    <x v="2"/>
    <s v="Apps"/>
    <n v="264.74637297469025"/>
    <d v="2033-12-23T00:00:00"/>
  </r>
  <r>
    <n v="7498"/>
    <x v="0"/>
    <s v="Apps"/>
    <n v="154.03573629081947"/>
    <d v="2033-12-24T00:00:00"/>
  </r>
  <r>
    <n v="7499"/>
    <x v="2"/>
    <s v="Apps"/>
    <n v="112.4748490945674"/>
    <d v="2033-12-25T00:00:00"/>
  </r>
  <r>
    <n v="7500"/>
    <x v="4"/>
    <s v="OFM"/>
    <n v="100"/>
    <d v="2033-12-26T00:00:00"/>
  </r>
  <r>
    <n v="7501"/>
    <x v="4"/>
    <s v="Apps"/>
    <n v="98.712135669959252"/>
    <d v="2033-12-27T00:00:00"/>
  </r>
  <r>
    <n v="7502"/>
    <x v="4"/>
    <s v="Apps"/>
    <n v="264.55026455026456"/>
    <d v="2033-12-28T00:00:00"/>
  </r>
  <r>
    <n v="7503"/>
    <x v="1"/>
    <s v="Apps"/>
    <n v="77.160493827160494"/>
    <d v="2033-12-29T00:00:00"/>
  </r>
  <r>
    <n v="7504"/>
    <x v="0"/>
    <s v="Apps"/>
    <n v="103.41261633919338"/>
    <d v="2033-12-30T00:00:00"/>
  </r>
  <r>
    <n v="7505"/>
    <x v="0"/>
    <s v="Apps"/>
    <n v="103.41261633919338"/>
    <d v="2033-12-31T00:00:00"/>
  </r>
  <r>
    <n v="7506"/>
    <x v="0"/>
    <s v="Tech"/>
    <n v="25.696041524803107"/>
    <d v="2034-01-01T00:00:00"/>
  </r>
  <r>
    <n v="7507"/>
    <x v="0"/>
    <s v="Apps"/>
    <n v="2.5696041524803106"/>
    <d v="2034-01-02T00:00:00"/>
  </r>
  <r>
    <n v="7508"/>
    <x v="1"/>
    <s v="Apps"/>
    <n v="33.06878306878307"/>
    <d v="2034-01-03T00:00:00"/>
  </r>
  <r>
    <n v="7509"/>
    <x v="0"/>
    <s v="Apps"/>
    <n v="344.70872113064462"/>
    <d v="2034-01-04T00:00:00"/>
  </r>
  <r>
    <n v="7510"/>
    <x v="1"/>
    <s v="Tech"/>
    <n v="22.045855379188712"/>
    <d v="2034-01-05T00:00:00"/>
  </r>
  <r>
    <n v="7511"/>
    <x v="2"/>
    <s v="Tech"/>
    <n v="47.654347135444247"/>
    <d v="2034-01-06T00:00:00"/>
  </r>
  <r>
    <n v="7512"/>
    <x v="4"/>
    <s v="Apps"/>
    <n v="5.9540492097115854"/>
    <d v="2034-01-07T00:00:00"/>
  </r>
  <r>
    <n v="7513"/>
    <x v="4"/>
    <s v="Apps"/>
    <n v="6.8046276682418121"/>
    <d v="2034-01-08T00:00:00"/>
  </r>
  <r>
    <n v="7514"/>
    <x v="0"/>
    <s v="OFM"/>
    <n v="30.807147258163894"/>
    <d v="2034-01-09T00:00:00"/>
  </r>
  <r>
    <n v="7515"/>
    <x v="3"/>
    <s v="Tech"/>
    <n v="183.17198933939025"/>
    <d v="2034-01-10T00:00:00"/>
  </r>
  <r>
    <n v="7516"/>
    <x v="0"/>
    <s v="Apps"/>
    <n v="51.392083049606214"/>
    <d v="2034-01-11T00:00:00"/>
  </r>
  <r>
    <n v="7517"/>
    <x v="4"/>
    <s v="Apps"/>
    <n v="80"/>
    <d v="2034-01-12T00:00:00"/>
  </r>
  <r>
    <n v="7518"/>
    <x v="2"/>
    <s v="Tech"/>
    <n v="136.10081541882874"/>
    <d v="2034-01-13T00:00:00"/>
  </r>
  <r>
    <n v="7519"/>
    <x v="2"/>
    <s v="Tech"/>
    <n v="423.59419675950437"/>
    <d v="2034-01-14T00:00:00"/>
  </r>
  <r>
    <n v="7520"/>
    <x v="2"/>
    <s v="Tech"/>
    <n v="317.69564756962825"/>
    <d v="2034-01-15T00:00:00"/>
  </r>
  <r>
    <n v="7521"/>
    <x v="1"/>
    <s v="Tech"/>
    <n v="104.71781305114638"/>
    <d v="2034-01-16T00:00:00"/>
  </r>
  <r>
    <n v="7522"/>
    <x v="0"/>
    <s v="Tech"/>
    <n v="30.807147258163894"/>
    <d v="2034-01-17T00:00:00"/>
  </r>
  <r>
    <n v="7523"/>
    <x v="0"/>
    <s v="OFM"/>
    <n v="23.105360443622921"/>
    <d v="2034-01-18T00:00:00"/>
  </r>
  <r>
    <n v="7524"/>
    <x v="2"/>
    <s v="Apps"/>
    <n v="47.654347135444247"/>
    <d v="2034-01-19T00:00:00"/>
  </r>
  <r>
    <n v="7525"/>
    <x v="0"/>
    <s v="Tech"/>
    <n v="84.719654959950716"/>
    <d v="2034-01-20T00:00:00"/>
  </r>
  <r>
    <n v="7526"/>
    <x v="0"/>
    <s v="Tech"/>
    <n v="30.807147258163894"/>
    <d v="2034-01-21T00:00:00"/>
  </r>
  <r>
    <n v="7527"/>
    <x v="0"/>
    <s v="OFM"/>
    <n v="64.24010381200776"/>
    <d v="2034-01-22T00:00:00"/>
  </r>
  <r>
    <n v="7528"/>
    <x v="0"/>
    <s v="Tech"/>
    <n v="46.210720887245841"/>
    <d v="2034-01-23T00:00:00"/>
  </r>
  <r>
    <n v="7529"/>
    <x v="1"/>
    <s v="Tech"/>
    <n v="44.091710758377424"/>
    <d v="2034-01-24T00:00:00"/>
  </r>
  <r>
    <n v="7530"/>
    <x v="2"/>
    <s v="Apps"/>
    <n v="216.54135338345861"/>
    <d v="2034-01-25T00:00:00"/>
  </r>
  <r>
    <n v="7531"/>
    <x v="4"/>
    <s v="Tech"/>
    <n v="60.1829561868079"/>
    <d v="2034-01-26T00:00:00"/>
  </r>
  <r>
    <n v="7532"/>
    <x v="4"/>
    <s v="Tech"/>
    <n v="802.43941582410525"/>
    <d v="2034-01-27T00:00:00"/>
  </r>
  <r>
    <n v="7533"/>
    <x v="1"/>
    <s v="Tech"/>
    <n v="149.91181657848324"/>
    <d v="2034-01-28T00:00:00"/>
  </r>
  <r>
    <n v="7534"/>
    <x v="4"/>
    <s v="Systems"/>
    <n v="24"/>
    <d v="2034-01-29T00:00:00"/>
  </r>
  <r>
    <n v="7535"/>
    <x v="4"/>
    <s v="Apps"/>
    <n v="65.808090446639511"/>
    <d v="2034-01-30T00:00:00"/>
  </r>
  <r>
    <n v="7536"/>
    <x v="0"/>
    <s v="Apps"/>
    <n v="154.03573629081947"/>
    <d v="2034-01-31T00:00:00"/>
  </r>
  <r>
    <n v="7537"/>
    <x v="0"/>
    <s v="Tech"/>
    <n v="261.86075169439312"/>
    <d v="2034-02-01T00:00:00"/>
  </r>
  <r>
    <n v="7538"/>
    <x v="0"/>
    <s v="Tech"/>
    <n v="123.22858903265558"/>
    <d v="2034-02-02T00:00:00"/>
  </r>
  <r>
    <n v="7539"/>
    <x v="1"/>
    <s v="Tech"/>
    <n v="274.75798400908536"/>
    <d v="2034-02-03T00:00:00"/>
  </r>
  <r>
    <n v="7540"/>
    <x v="0"/>
    <s v="Tech"/>
    <n v="15.403573629081947"/>
    <d v="2034-02-04T00:00:00"/>
  </r>
  <r>
    <n v="7541"/>
    <x v="3"/>
    <s v="Tech"/>
    <n v="91.585994669695125"/>
    <d v="2034-02-05T00:00:00"/>
  </r>
  <r>
    <n v="7542"/>
    <x v="0"/>
    <s v="Tech"/>
    <n v="15.403573629081947"/>
    <d v="2034-02-06T00:00:00"/>
  </r>
  <r>
    <n v="7543"/>
    <x v="0"/>
    <s v="Tech"/>
    <n v="15.403573629081947"/>
    <d v="2034-02-07T00:00:00"/>
  </r>
  <r>
    <n v="7544"/>
    <x v="4"/>
    <s v="Tech"/>
    <n v="200"/>
    <d v="2034-02-08T00:00:00"/>
  </r>
  <r>
    <n v="7545"/>
    <x v="1"/>
    <s v="Apps"/>
    <n v="110.22927689594357"/>
    <d v="2034-02-09T00:00:00"/>
  </r>
  <r>
    <n v="7546"/>
    <x v="0"/>
    <s v="Tech"/>
    <n v="15.403573629081947"/>
    <d v="2034-02-10T00:00:00"/>
  </r>
  <r>
    <n v="7547"/>
    <x v="0"/>
    <s v="Tech"/>
    <n v="15.403573629081947"/>
    <d v="2034-02-11T00:00:00"/>
  </r>
  <r>
    <n v="7548"/>
    <x v="0"/>
    <s v="Tech"/>
    <n v="15.403573629081947"/>
    <d v="2034-02-12T00:00:00"/>
  </r>
  <r>
    <n v="7549"/>
    <x v="0"/>
    <s v="Tech"/>
    <n v="15.403573629081947"/>
    <d v="2034-02-13T00:00:00"/>
  </r>
  <r>
    <n v="7550"/>
    <x v="0"/>
    <s v="Tech"/>
    <n v="15.403573629081947"/>
    <d v="2034-02-14T00:00:00"/>
  </r>
  <r>
    <n v="7551"/>
    <x v="0"/>
    <s v="Tech"/>
    <n v="15.403573629081947"/>
    <d v="2034-02-15T00:00:00"/>
  </r>
  <r>
    <n v="7552"/>
    <x v="0"/>
    <s v="Tech"/>
    <n v="15.403573629081947"/>
    <d v="2034-02-16T00:00:00"/>
  </r>
  <r>
    <n v="7553"/>
    <x v="0"/>
    <s v="Tech"/>
    <n v="15.403573629081947"/>
    <d v="2034-02-17T00:00:00"/>
  </r>
  <r>
    <n v="7554"/>
    <x v="0"/>
    <s v="OFM"/>
    <n v="53.912507701786815"/>
    <d v="2034-02-18T00:00:00"/>
  </r>
  <r>
    <n v="7555"/>
    <x v="0"/>
    <s v="Tech"/>
    <n v="15.403573629081947"/>
    <d v="2034-02-19T00:00:00"/>
  </r>
  <r>
    <n v="7556"/>
    <x v="4"/>
    <s v="Apps"/>
    <n v="200"/>
    <d v="2034-02-20T00:00:00"/>
  </r>
  <r>
    <n v="7557"/>
    <x v="4"/>
    <s v="Apps"/>
    <n v="30"/>
    <d v="2034-02-21T00:00:00"/>
  </r>
  <r>
    <n v="7558"/>
    <x v="0"/>
    <s v="Tech"/>
    <n v="15.403573629081947"/>
    <d v="2034-02-22T00:00:00"/>
  </r>
  <r>
    <n v="7559"/>
    <x v="0"/>
    <s v="Tech"/>
    <n v="15.403573629081947"/>
    <d v="2034-02-23T00:00:00"/>
  </r>
  <r>
    <n v="7560"/>
    <x v="0"/>
    <s v="Tech"/>
    <n v="15.403573629081947"/>
    <d v="2034-02-24T00:00:00"/>
  </r>
  <r>
    <n v="7561"/>
    <x v="1"/>
    <s v="OFM"/>
    <n v="0.55114638447971775"/>
    <d v="2034-02-25T00:00:00"/>
  </r>
  <r>
    <n v="7562"/>
    <x v="0"/>
    <s v="OFM"/>
    <n v="46.210720887245841"/>
    <d v="2034-02-26T00:00:00"/>
  </r>
  <r>
    <n v="7563"/>
    <x v="0"/>
    <s v="Tech"/>
    <n v="15.403573629081947"/>
    <d v="2034-02-27T00:00:00"/>
  </r>
  <r>
    <n v="7564"/>
    <x v="0"/>
    <s v="Tech"/>
    <n v="15.403573629081947"/>
    <d v="2034-02-28T00:00:00"/>
  </r>
  <r>
    <n v="7565"/>
    <x v="0"/>
    <s v="Tech"/>
    <n v="123.22858903265558"/>
    <d v="2034-03-01T00:00:00"/>
  </r>
  <r>
    <n v="7566"/>
    <x v="4"/>
    <s v="Apps"/>
    <n v="97.767638911520294"/>
    <d v="2034-03-02T00:00:00"/>
  </r>
  <r>
    <n v="7567"/>
    <x v="0"/>
    <s v="Tech"/>
    <n v="15.403573629081947"/>
    <d v="2034-03-03T00:00:00"/>
  </r>
  <r>
    <n v="7568"/>
    <x v="0"/>
    <s v="Tech"/>
    <n v="15.403573629081947"/>
    <d v="2034-03-04T00:00:00"/>
  </r>
  <r>
    <n v="7569"/>
    <x v="0"/>
    <s v="Tech"/>
    <n v="15.403573629081947"/>
    <d v="2034-03-05T00:00:00"/>
  </r>
  <r>
    <n v="7570"/>
    <x v="0"/>
    <s v="Tech"/>
    <n v="15.403573629081947"/>
    <d v="2034-03-06T00:00:00"/>
  </r>
  <r>
    <n v="7571"/>
    <x v="0"/>
    <s v="Tech"/>
    <n v="15.403573629081947"/>
    <d v="2034-03-07T00:00:00"/>
  </r>
  <r>
    <n v="7572"/>
    <x v="0"/>
    <s v="Tech"/>
    <n v="15.403573629081947"/>
    <d v="2034-03-08T00:00:00"/>
  </r>
  <r>
    <n v="7573"/>
    <x v="0"/>
    <s v="Tech"/>
    <n v="15.403573629081947"/>
    <d v="2034-03-09T00:00:00"/>
  </r>
  <r>
    <n v="7574"/>
    <x v="0"/>
    <s v="Tech"/>
    <n v="15.403573629081947"/>
    <d v="2034-03-10T00:00:00"/>
  </r>
  <r>
    <n v="7575"/>
    <x v="0"/>
    <s v="Tech"/>
    <n v="15.403573629081947"/>
    <d v="2034-03-11T00:00:00"/>
  </r>
  <r>
    <n v="7576"/>
    <x v="4"/>
    <s v="Apps"/>
    <n v="220.45855379188714"/>
    <d v="2034-03-12T00:00:00"/>
  </r>
  <r>
    <n v="7577"/>
    <x v="4"/>
    <s v="OFM"/>
    <n v="100"/>
    <d v="2034-03-13T00:00:00"/>
  </r>
  <r>
    <n v="7578"/>
    <x v="0"/>
    <s v="Apps"/>
    <n v="68.971224584103524"/>
    <d v="2034-03-14T00:00:00"/>
  </r>
  <r>
    <n v="7579"/>
    <x v="0"/>
    <s v="Tech"/>
    <n v="427.59565619223656"/>
    <d v="2034-03-15T00:00:00"/>
  </r>
  <r>
    <n v="7580"/>
    <x v="0"/>
    <s v="Tech"/>
    <n v="1.5403573629081948"/>
    <d v="2034-03-16T00:00:00"/>
  </r>
  <r>
    <n v="7581"/>
    <x v="4"/>
    <s v="Apps"/>
    <n v="200"/>
    <d v="2034-03-17T00:00:00"/>
  </r>
  <r>
    <n v="7582"/>
    <x v="0"/>
    <s v="Tech"/>
    <n v="15.403573629081947"/>
    <d v="2034-03-18T00:00:00"/>
  </r>
  <r>
    <n v="7583"/>
    <x v="4"/>
    <s v="Apps"/>
    <n v="15.86"/>
    <d v="2034-03-19T00:00:00"/>
  </r>
  <r>
    <n v="7584"/>
    <x v="2"/>
    <s v="Apps"/>
    <n v="953.08694270888486"/>
    <d v="2034-03-20T00:00:00"/>
  </r>
  <r>
    <n v="7585"/>
    <x v="0"/>
    <s v="Tech"/>
    <n v="15.403573629081947"/>
    <d v="2034-03-21T00:00:00"/>
  </r>
  <r>
    <n v="7586"/>
    <x v="0"/>
    <s v="Tech"/>
    <n v="15.403573629081947"/>
    <d v="2034-03-22T00:00:00"/>
  </r>
  <r>
    <n v="7587"/>
    <x v="0"/>
    <s v="Tech"/>
    <n v="641.33949476278497"/>
    <d v="2034-03-23T00:00:00"/>
  </r>
  <r>
    <n v="7588"/>
    <x v="0"/>
    <s v="Tech"/>
    <n v="77.017868145409736"/>
    <d v="2034-03-24T00:00:00"/>
  </r>
  <r>
    <n v="7589"/>
    <x v="0"/>
    <s v="OFM"/>
    <n v="300"/>
    <d v="2034-03-25T00:00:00"/>
  </r>
  <r>
    <n v="7590"/>
    <x v="2"/>
    <s v="Apps"/>
    <n v="51.195594620353702"/>
    <d v="2034-03-26T00:00:00"/>
  </r>
  <r>
    <n v="7591"/>
    <x v="2"/>
    <s v="OFM"/>
    <n v="48.618426383599385"/>
    <d v="2034-03-27T00:00:00"/>
  </r>
  <r>
    <n v="7592"/>
    <x v="0"/>
    <s v="Apps"/>
    <n v="64.24010381200776"/>
    <d v="2034-03-28T00:00:00"/>
  </r>
  <r>
    <n v="7593"/>
    <x v="4"/>
    <s v="Tech"/>
    <n v="10.98256477106078"/>
    <d v="2034-03-29T00:00:00"/>
  </r>
  <r>
    <n v="7594"/>
    <x v="0"/>
    <s v="Apps"/>
    <n v="34.470872113064452"/>
    <d v="2034-03-30T00:00:00"/>
  </r>
  <r>
    <n v="7595"/>
    <x v="4"/>
    <s v="Apps"/>
    <n v="15.888300433317285"/>
    <d v="2034-03-31T00:00:00"/>
  </r>
  <r>
    <n v="7596"/>
    <x v="4"/>
    <s v="Tech"/>
    <n v="35"/>
    <d v="2034-04-01T00:00:00"/>
  </r>
  <r>
    <n v="7597"/>
    <x v="3"/>
    <s v="OFM"/>
    <n v="45.792997334847563"/>
    <d v="2034-04-02T00:00:00"/>
  </r>
  <r>
    <n v="7598"/>
    <x v="0"/>
    <s v="Tech"/>
    <n v="130.93037584719656"/>
    <d v="2034-04-03T00:00:00"/>
  </r>
  <r>
    <n v="7599"/>
    <x v="0"/>
    <s v="Tech"/>
    <n v="154.03573629081947"/>
    <d v="2034-04-04T00:00:00"/>
  </r>
  <r>
    <n v="7600"/>
    <x v="0"/>
    <s v="Tech"/>
    <n v="53.853843502240608"/>
    <d v="2034-04-05T00:00:00"/>
  </r>
  <r>
    <n v="7601"/>
    <x v="4"/>
    <s v="Tech"/>
    <n v="20.107544402802674"/>
    <d v="2034-04-06T00:00:00"/>
  </r>
  <r>
    <n v="7602"/>
    <x v="0"/>
    <s v="Apps"/>
    <n v="92.421441774491683"/>
    <d v="2034-04-07T00:00:00"/>
  </r>
  <r>
    <n v="7603"/>
    <x v="0"/>
    <s v="Tech"/>
    <n v="154.03573629081947"/>
    <d v="2034-04-08T00:00:00"/>
  </r>
  <r>
    <n v="7604"/>
    <x v="4"/>
    <s v="Tech"/>
    <n v="85.4"/>
    <d v="2034-04-09T00:00:00"/>
  </r>
  <r>
    <n v="7605"/>
    <x v="4"/>
    <s v="Apps"/>
    <n v="100"/>
    <d v="2034-04-10T00:00:00"/>
  </r>
  <r>
    <n v="7606"/>
    <x v="4"/>
    <s v="Apps"/>
    <n v="100"/>
    <d v="2034-04-11T00:00:00"/>
  </r>
  <r>
    <n v="7607"/>
    <x v="2"/>
    <s v="Tech"/>
    <n v="60.773032979499227"/>
    <d v="2034-04-12T00:00:00"/>
  </r>
  <r>
    <n v="7608"/>
    <x v="2"/>
    <s v="Tech"/>
    <n v="31.769564756962826"/>
    <d v="2034-04-13T00:00:00"/>
  </r>
  <r>
    <n v="7609"/>
    <x v="0"/>
    <s v="Tech"/>
    <n v="48.259220958290243"/>
    <d v="2034-04-14T00:00:00"/>
  </r>
  <r>
    <n v="7610"/>
    <x v="0"/>
    <s v="OFM"/>
    <n v="83.795440542205796"/>
    <d v="2034-04-15T00:00:00"/>
  </r>
  <r>
    <n v="7611"/>
    <x v="4"/>
    <s v="Tech"/>
    <n v="32.589212970506765"/>
    <d v="2034-04-16T00:00:00"/>
  </r>
  <r>
    <n v="7612"/>
    <x v="0"/>
    <s v="Apps"/>
    <n v="46.210720887245841"/>
    <d v="2034-04-17T00:00:00"/>
  </r>
  <r>
    <n v="7613"/>
    <x v="4"/>
    <s v="Apps"/>
    <n v="21.228000000000002"/>
    <d v="2034-04-18T00:00:00"/>
  </r>
  <r>
    <n v="7614"/>
    <x v="4"/>
    <s v="Tech"/>
    <n v="48.883819455760147"/>
    <d v="2034-04-19T00:00:00"/>
  </r>
  <r>
    <n v="7615"/>
    <x v="4"/>
    <s v="Tech"/>
    <n v="42.7"/>
    <d v="2034-04-20T00:00:00"/>
  </r>
  <r>
    <n v="7616"/>
    <x v="1"/>
    <s v="Apps"/>
    <n v="100"/>
    <d v="2034-04-21T00:00:00"/>
  </r>
  <r>
    <n v="7617"/>
    <x v="1"/>
    <s v="Apps"/>
    <n v="150"/>
    <d v="2034-04-22T00:00:00"/>
  </r>
  <r>
    <n v="7618"/>
    <x v="0"/>
    <s v="Systems"/>
    <n v="12.848020762401553"/>
    <d v="2034-04-23T00:00:00"/>
  </r>
  <r>
    <n v="7619"/>
    <x v="2"/>
    <s v="Apps"/>
    <n v="64.529280948850996"/>
    <d v="2034-04-24T00:00:00"/>
  </r>
  <r>
    <n v="7620"/>
    <x v="0"/>
    <s v="Tech"/>
    <n v="34.470872113064452"/>
    <d v="2034-04-25T00:00:00"/>
  </r>
  <r>
    <n v="7621"/>
    <x v="0"/>
    <s v="Tech"/>
    <n v="34.470872113064452"/>
    <d v="2034-04-26T00:00:00"/>
  </r>
  <r>
    <n v="7622"/>
    <x v="1"/>
    <s v="Tech"/>
    <n v="23.452676366843033"/>
    <d v="2034-04-27T00:00:00"/>
  </r>
  <r>
    <n v="7623"/>
    <x v="2"/>
    <s v="Apps"/>
    <n v="255.80853542306468"/>
    <d v="2034-04-28T00:00:00"/>
  </r>
  <r>
    <n v="7624"/>
    <x v="0"/>
    <s v="Tech"/>
    <n v="616.14294516327789"/>
    <d v="2034-04-29T00:00:00"/>
  </r>
  <r>
    <n v="7625"/>
    <x v="4"/>
    <s v="Tech"/>
    <n v="80"/>
    <d v="2034-04-30T00:00:00"/>
  </r>
  <r>
    <n v="7626"/>
    <x v="0"/>
    <s v="Apps"/>
    <n v="25.696041524803107"/>
    <d v="2034-05-01T00:00:00"/>
  </r>
  <r>
    <n v="7627"/>
    <x v="0"/>
    <s v="Tech"/>
    <n v="25.696041524803107"/>
    <d v="2034-05-02T00:00:00"/>
  </r>
  <r>
    <n v="7628"/>
    <x v="2"/>
    <s v="Apps"/>
    <n v="52.949274594938046"/>
    <d v="2034-05-03T00:00:00"/>
  </r>
  <r>
    <n v="7629"/>
    <x v="1"/>
    <s v="Apps"/>
    <n v="110.22927689594357"/>
    <d v="2034-05-04T00:00:00"/>
  </r>
  <r>
    <n v="7630"/>
    <x v="0"/>
    <s v="Systems"/>
    <n v="25.853154084798344"/>
    <d v="2034-05-05T00:00:00"/>
  </r>
  <r>
    <n v="7631"/>
    <x v="1"/>
    <s v="Tech"/>
    <n v="391.73677248677251"/>
    <d v="2034-05-06T00:00:00"/>
  </r>
  <r>
    <n v="7632"/>
    <x v="4"/>
    <s v="OFM"/>
    <n v="11.489327032752161"/>
    <d v="2034-05-07T00:00:00"/>
  </r>
  <r>
    <n v="7633"/>
    <x v="1"/>
    <s v="OFM"/>
    <n v="23.259611992945327"/>
    <d v="2034-05-08T00:00:00"/>
  </r>
  <r>
    <n v="7634"/>
    <x v="3"/>
    <s v="Tech"/>
    <n v="39.3819777079689"/>
    <d v="2034-05-09T00:00:00"/>
  </r>
  <r>
    <n v="7635"/>
    <x v="4"/>
    <s v="Apps"/>
    <n v="60"/>
    <d v="2034-05-10T00:00:00"/>
  </r>
  <r>
    <n v="7636"/>
    <x v="2"/>
    <s v="Tech"/>
    <n v="423.59419675950437"/>
    <d v="2034-05-11T00:00:00"/>
  </r>
  <r>
    <n v="7637"/>
    <x v="0"/>
    <s v="Tech"/>
    <n v="46.210720887245841"/>
    <d v="2034-05-12T00:00:00"/>
  </r>
  <r>
    <n v="7638"/>
    <x v="0"/>
    <s v="OFM"/>
    <n v="36.968576709796672"/>
    <d v="2034-05-13T00:00:00"/>
  </r>
  <r>
    <n v="7639"/>
    <x v="2"/>
    <s v="Apps"/>
    <n v="140.8344805676162"/>
    <d v="2034-05-14T00:00:00"/>
  </r>
  <r>
    <n v="7640"/>
    <x v="3"/>
    <s v="Tech"/>
    <n v="54.951596801817075"/>
    <d v="2034-05-15T00:00:00"/>
  </r>
  <r>
    <n v="7641"/>
    <x v="4"/>
    <s v="Systems"/>
    <n v="50"/>
    <d v="2034-05-16T00:00:00"/>
  </r>
  <r>
    <n v="7642"/>
    <x v="1"/>
    <s v="Tech"/>
    <n v="48.967151675485006"/>
    <d v="2034-05-17T00:00:00"/>
  </r>
  <r>
    <n v="7643"/>
    <x v="2"/>
    <s v="OFM"/>
    <n v="42.359419675950441"/>
    <d v="2034-05-18T00:00:00"/>
  </r>
  <r>
    <n v="7644"/>
    <x v="2"/>
    <s v="Apps"/>
    <n v="21.179709837975221"/>
    <d v="2034-05-19T00:00:00"/>
  </r>
  <r>
    <n v="7645"/>
    <x v="2"/>
    <s v="Apps"/>
    <n v="52.949274594938046"/>
    <d v="2034-05-20T00:00:00"/>
  </r>
  <r>
    <n v="7646"/>
    <x v="2"/>
    <s v="Apps"/>
    <n v="52.949274594938046"/>
    <d v="2034-05-21T00:00:00"/>
  </r>
  <r>
    <n v="7647"/>
    <x v="2"/>
    <s v="Apps"/>
    <n v="52.949274594938046"/>
    <d v="2034-05-22T00:00:00"/>
  </r>
  <r>
    <n v="7648"/>
    <x v="2"/>
    <s v="Apps"/>
    <n v="52.949274594938046"/>
    <d v="2034-05-23T00:00:00"/>
  </r>
  <r>
    <n v="7649"/>
    <x v="0"/>
    <s v="Tech"/>
    <n v="46.210720887245841"/>
    <d v="2034-05-24T00:00:00"/>
  </r>
  <r>
    <n v="7650"/>
    <x v="2"/>
    <s v="Apps"/>
    <n v="52.949274594938046"/>
    <d v="2034-05-25T00:00:00"/>
  </r>
  <r>
    <n v="7651"/>
    <x v="1"/>
    <s v="Apps"/>
    <n v="110.22927689594357"/>
    <d v="2034-05-26T00:00:00"/>
  </r>
  <r>
    <n v="7652"/>
    <x v="0"/>
    <s v="Apps"/>
    <n v="23.983599999999999"/>
    <d v="2034-05-27T00:00:00"/>
  </r>
  <r>
    <n v="7653"/>
    <x v="2"/>
    <s v="Apps"/>
    <n v="52.949274594938046"/>
    <d v="2034-05-28T00:00:00"/>
  </r>
  <r>
    <n v="7654"/>
    <x v="0"/>
    <s v="Apps"/>
    <n v="81.330868761552694"/>
    <d v="2034-05-29T00:00:00"/>
  </r>
  <r>
    <n v="7655"/>
    <x v="0"/>
    <s v="Apps"/>
    <n v="91.497227356746762"/>
    <d v="2034-05-30T00:00:00"/>
  </r>
  <r>
    <n v="7656"/>
    <x v="0"/>
    <s v="Tech"/>
    <n v="616.14294516327789"/>
    <d v="2034-05-31T00:00:00"/>
  </r>
  <r>
    <n v="7657"/>
    <x v="0"/>
    <s v="Tech"/>
    <n v="1540.3573629081948"/>
    <d v="2034-06-01T00:00:00"/>
  </r>
  <r>
    <n v="7658"/>
    <x v="3"/>
    <s v="Tech"/>
    <n v="91.585994669695125"/>
    <d v="2034-06-02T00:00:00"/>
  </r>
  <r>
    <n v="7659"/>
    <x v="4"/>
    <s v="Tech"/>
    <n v="20.106240834283852"/>
    <d v="2034-06-03T00:00:00"/>
  </r>
  <r>
    <n v="7660"/>
    <x v="0"/>
    <s v="Tech"/>
    <n v="770.17868145409739"/>
    <d v="2034-06-04T00:00:00"/>
  </r>
  <r>
    <n v="7661"/>
    <x v="4"/>
    <s v="Tech"/>
    <n v="130.35685188202706"/>
    <d v="2034-06-05T00:00:00"/>
  </r>
  <r>
    <n v="7662"/>
    <x v="3"/>
    <s v="Tech"/>
    <n v="30.223378240999391"/>
    <d v="2034-06-06T00:00:00"/>
  </r>
  <r>
    <n v="7663"/>
    <x v="0"/>
    <s v="Apps"/>
    <n v="462.10720887245844"/>
    <d v="2034-06-07T00:00:00"/>
  </r>
  <r>
    <n v="7664"/>
    <x v="0"/>
    <s v="Apps"/>
    <n v="400.49291435613065"/>
    <d v="2034-06-08T00:00:00"/>
  </r>
  <r>
    <n v="7665"/>
    <x v="0"/>
    <s v="Tech"/>
    <n v="117.20096518441916"/>
    <d v="2034-06-09T00:00:00"/>
  </r>
  <r>
    <n v="7666"/>
    <x v="0"/>
    <s v="Apps"/>
    <n v="308.07147258163894"/>
    <d v="2034-06-10T00:00:00"/>
  </r>
  <r>
    <n v="7667"/>
    <x v="0"/>
    <s v="Tech"/>
    <n v="154.03573629081947"/>
    <d v="2034-06-11T00:00:00"/>
  </r>
  <r>
    <n v="7668"/>
    <x v="4"/>
    <s v="Tech"/>
    <n v="12.06354896529249"/>
    <d v="2034-06-12T00:00:00"/>
  </r>
  <r>
    <n v="7669"/>
    <x v="4"/>
    <s v="Apps"/>
    <n v="280.85379553843683"/>
    <d v="2034-06-13T00:00:00"/>
  </r>
  <r>
    <n v="7670"/>
    <x v="1"/>
    <s v="Tech"/>
    <n v="77.160493827160494"/>
    <d v="2034-06-14T00:00:00"/>
  </r>
  <r>
    <n v="7671"/>
    <x v="4"/>
    <s v="Tech"/>
    <n v="375.33881563835166"/>
    <d v="2034-06-15T00:00:00"/>
  </r>
  <r>
    <n v="7672"/>
    <x v="3"/>
    <s v="Tech"/>
    <n v="64.110196268786581"/>
    <d v="2034-06-16T00:00:00"/>
  </r>
  <r>
    <n v="7673"/>
    <x v="0"/>
    <s v="Apps"/>
    <n v="154.03573629081947"/>
    <d v="2034-06-17T00:00:00"/>
  </r>
  <r>
    <n v="7674"/>
    <x v="3"/>
    <s v="Tech"/>
    <n v="64.110196268786581"/>
    <d v="2034-06-18T00:00:00"/>
  </r>
  <r>
    <n v="7675"/>
    <x v="0"/>
    <s v="Apps"/>
    <n v="154.03573629081947"/>
    <d v="2034-06-19T00:00:00"/>
  </r>
  <r>
    <n v="7676"/>
    <x v="0"/>
    <s v="Tech"/>
    <n v="385.44062287204662"/>
    <d v="2034-06-20T00:00:00"/>
  </r>
  <r>
    <n v="7677"/>
    <x v="0"/>
    <s v="OFM"/>
    <n v="142.94200000000001"/>
    <d v="2034-06-21T00:00:00"/>
  </r>
  <r>
    <n v="7678"/>
    <x v="0"/>
    <s v="OFM"/>
    <n v="142.94200000000001"/>
    <d v="2034-06-22T00:00:00"/>
  </r>
  <r>
    <n v="7679"/>
    <x v="0"/>
    <s v="Tech"/>
    <n v="61.614294516327789"/>
    <d v="2034-06-23T00:00:00"/>
  </r>
  <r>
    <n v="7680"/>
    <x v="0"/>
    <s v="Apps"/>
    <n v="77.017868145409736"/>
    <d v="2034-06-24T00:00:00"/>
  </r>
  <r>
    <n v="7681"/>
    <x v="0"/>
    <s v="Tech"/>
    <n v="34.470872113064452"/>
    <d v="2034-06-25T00:00:00"/>
  </r>
  <r>
    <n v="7682"/>
    <x v="0"/>
    <s v="Tech"/>
    <n v="1232.2858903265558"/>
    <d v="2034-06-26T00:00:00"/>
  </r>
  <r>
    <n v="7683"/>
    <x v="3"/>
    <s v="Tech"/>
    <n v="549.51596801817072"/>
    <d v="2034-06-27T00:00:00"/>
  </r>
  <r>
    <n v="7684"/>
    <x v="1"/>
    <s v="Tech"/>
    <n v="66.137566137566139"/>
    <d v="2034-06-28T00:00:00"/>
  </r>
  <r>
    <n v="7685"/>
    <x v="0"/>
    <s v="Tech"/>
    <n v="81.006549465701482"/>
    <d v="2034-06-29T00:00:00"/>
  </r>
  <r>
    <n v="7686"/>
    <x v="1"/>
    <s v="Tech"/>
    <n v="13.227513227513228"/>
    <d v="2034-06-30T00:00:00"/>
  </r>
  <r>
    <n v="7687"/>
    <x v="1"/>
    <s v="Tech"/>
    <n v="88.183421516754848"/>
    <d v="2034-07-01T00:00:00"/>
  </r>
  <r>
    <n v="7688"/>
    <x v="0"/>
    <s v="Apps"/>
    <n v="3.8508934072704868"/>
    <d v="2034-07-02T00:00:00"/>
  </r>
  <r>
    <n v="7689"/>
    <x v="0"/>
    <s v="Tech"/>
    <n v="31.023784901758013"/>
    <d v="2034-07-03T00:00:00"/>
  </r>
  <r>
    <n v="7690"/>
    <x v="0"/>
    <s v="Tech"/>
    <n v="2.7576697690451564"/>
    <d v="2034-07-04T00:00:00"/>
  </r>
  <r>
    <n v="7691"/>
    <x v="0"/>
    <s v="Tech"/>
    <n v="137.88348845225781"/>
    <d v="2034-07-05T00:00:00"/>
  </r>
  <r>
    <n v="7692"/>
    <x v="0"/>
    <s v="Tech"/>
    <n v="354.28219346888477"/>
    <d v="2034-07-06T00:00:00"/>
  </r>
  <r>
    <n v="7693"/>
    <x v="1"/>
    <s v="Tech"/>
    <n v="1102.2927689594355"/>
    <d v="2034-07-07T00:00:00"/>
  </r>
  <r>
    <n v="7694"/>
    <x v="0"/>
    <s v="Tech"/>
    <n v="46.210720887245841"/>
    <d v="2034-07-08T00:00:00"/>
  </r>
  <r>
    <n v="7695"/>
    <x v="4"/>
    <s v="Tech"/>
    <n v="76.258758350985829"/>
    <d v="2034-07-09T00:00:00"/>
  </r>
  <r>
    <n v="7696"/>
    <x v="0"/>
    <s v="Apps"/>
    <n v="231.05360443622922"/>
    <d v="2034-07-10T00:00:00"/>
  </r>
  <r>
    <n v="7697"/>
    <x v="0"/>
    <s v="Apps"/>
    <n v="184.84288354898337"/>
    <d v="2034-07-11T00:00:00"/>
  </r>
  <r>
    <n v="7698"/>
    <x v="2"/>
    <s v="Tech"/>
    <n v="84.718839351900883"/>
    <d v="2034-07-12T00:00:00"/>
  </r>
  <r>
    <n v="7699"/>
    <x v="0"/>
    <s v="Tech"/>
    <n v="92.421441774491683"/>
    <d v="2034-07-13T00:00:00"/>
  </r>
  <r>
    <n v="7700"/>
    <x v="0"/>
    <s v="Tech"/>
    <n v="123.22858903265558"/>
    <d v="2034-07-14T00:00:00"/>
  </r>
  <r>
    <n v="7701"/>
    <x v="0"/>
    <s v="Tech"/>
    <n v="1.7580144777662874"/>
    <d v="2034-07-15T00:00:00"/>
  </r>
  <r>
    <n v="7702"/>
    <x v="0"/>
    <s v="Tech"/>
    <n v="69.316081330868769"/>
    <d v="2034-07-16T00:00:00"/>
  </r>
  <r>
    <n v="7703"/>
    <x v="0"/>
    <s v="Systems"/>
    <n v="13.788348845225784"/>
    <d v="2034-07-17T00:00:00"/>
  </r>
  <r>
    <n v="7704"/>
    <x v="4"/>
    <s v="Apps"/>
    <n v="25"/>
    <d v="2034-07-18T00:00:00"/>
  </r>
  <r>
    <n v="7705"/>
    <x v="0"/>
    <s v="Apps"/>
    <n v="123.22858903265558"/>
    <d v="2034-07-19T00:00:00"/>
  </r>
  <r>
    <n v="7706"/>
    <x v="1"/>
    <s v="OFM"/>
    <n v="440.91710758377428"/>
    <d v="2034-07-20T00:00:00"/>
  </r>
  <r>
    <n v="7707"/>
    <x v="4"/>
    <s v="Tech"/>
    <n v="433.43653250773997"/>
    <d v="2034-07-21T00:00:00"/>
  </r>
  <r>
    <n v="7708"/>
    <x v="0"/>
    <s v="Apps"/>
    <n v="77.017868145409736"/>
    <d v="2034-07-22T00:00:00"/>
  </r>
  <r>
    <n v="7709"/>
    <x v="2"/>
    <s v="Apps"/>
    <n v="12.707825902785132"/>
    <d v="2034-07-23T00:00:00"/>
  </r>
  <r>
    <n v="7710"/>
    <x v="4"/>
    <s v="Tech"/>
    <n v="308.21426930674875"/>
    <d v="2034-07-24T00:00:00"/>
  </r>
  <r>
    <n v="7711"/>
    <x v="3"/>
    <s v="Tech"/>
    <n v="183.17198933939025"/>
    <d v="2034-07-25T00:00:00"/>
  </r>
  <r>
    <n v="7712"/>
    <x v="3"/>
    <s v="Apps"/>
    <n v="183.17198933939025"/>
    <d v="2034-07-26T00:00:00"/>
  </r>
  <r>
    <n v="7713"/>
    <x v="4"/>
    <s v="Apps"/>
    <n v="150"/>
    <d v="2034-07-27T00:00:00"/>
  </r>
  <r>
    <n v="7714"/>
    <x v="0"/>
    <s v="Tech"/>
    <n v="14.425340151349685"/>
    <d v="2034-07-28T00:00:00"/>
  </r>
  <r>
    <n v="7715"/>
    <x v="0"/>
    <s v="Tech"/>
    <n v="184.84288354898337"/>
    <d v="2034-07-29T00:00:00"/>
  </r>
  <r>
    <n v="7716"/>
    <x v="2"/>
    <s v="Apps"/>
    <n v="79.423911892407062"/>
    <d v="2034-07-30T00:00:00"/>
  </r>
  <r>
    <n v="7717"/>
    <x v="0"/>
    <s v="OFM"/>
    <n v="15.403573629081947"/>
    <d v="2034-07-31T00:00:00"/>
  </r>
  <r>
    <n v="7718"/>
    <x v="0"/>
    <s v="OFM"/>
    <n v="7.7017868145409736"/>
    <d v="2034-08-01T00:00:00"/>
  </r>
  <r>
    <n v="7719"/>
    <x v="0"/>
    <s v="OFM"/>
    <n v="7.7017868145409736"/>
    <d v="2034-08-02T00:00:00"/>
  </r>
  <r>
    <n v="7720"/>
    <x v="0"/>
    <s v="OFM"/>
    <n v="7.7017868145409736"/>
    <d v="2034-08-03T00:00:00"/>
  </r>
  <r>
    <n v="7721"/>
    <x v="1"/>
    <s v="Tech"/>
    <n v="385.80246913580248"/>
    <d v="2034-08-04T00:00:00"/>
  </r>
  <r>
    <n v="7722"/>
    <x v="2"/>
    <s v="OFM"/>
    <n v="980.27999999999986"/>
    <d v="2034-08-05T00:00:00"/>
  </r>
  <r>
    <n v="7723"/>
    <x v="0"/>
    <s v="Tech"/>
    <n v="44.670363524337645"/>
    <d v="2034-08-06T00:00:00"/>
  </r>
  <r>
    <n v="7724"/>
    <x v="0"/>
    <s v="Tech"/>
    <n v="165.4601861427094"/>
    <d v="2034-08-07T00:00:00"/>
  </r>
  <r>
    <n v="7725"/>
    <x v="0"/>
    <s v="Apps"/>
    <n v="123.22858903265558"/>
    <d v="2034-08-08T00:00:00"/>
  </r>
  <r>
    <n v="7726"/>
    <x v="1"/>
    <s v="Tech"/>
    <n v="77.160493827160494"/>
    <d v="2034-08-09T00:00:00"/>
  </r>
  <r>
    <n v="7727"/>
    <x v="0"/>
    <s v="OFM"/>
    <n v="92.421441774491683"/>
    <d v="2034-08-10T00:00:00"/>
  </r>
  <r>
    <n v="7728"/>
    <x v="0"/>
    <s v="Apps"/>
    <n v="308.07147258163894"/>
    <d v="2034-08-11T00:00:00"/>
  </r>
  <r>
    <n v="7729"/>
    <x v="2"/>
    <s v="Tech"/>
    <n v="8.1030710639332302"/>
    <d v="2034-08-12T00:00:00"/>
  </r>
  <r>
    <n v="7730"/>
    <x v="0"/>
    <s v="Tech"/>
    <n v="231.05360443622922"/>
    <d v="2034-08-13T00:00:00"/>
  </r>
  <r>
    <n v="7731"/>
    <x v="0"/>
    <s v="Tech"/>
    <n v="154.03573629081947"/>
    <d v="2034-08-14T00:00:00"/>
  </r>
  <r>
    <n v="7732"/>
    <x v="2"/>
    <s v="Tech"/>
    <n v="10"/>
    <d v="2034-08-15T00:00:00"/>
  </r>
  <r>
    <n v="7733"/>
    <x v="4"/>
    <s v="Tech"/>
    <n v="25"/>
    <d v="2034-08-16T00:00:00"/>
  </r>
  <r>
    <n v="7734"/>
    <x v="4"/>
    <s v="Tech"/>
    <n v="10"/>
    <d v="2034-08-17T00:00:00"/>
  </r>
  <r>
    <n v="7735"/>
    <x v="0"/>
    <s v="Tech"/>
    <n v="46.210720887245841"/>
    <d v="2034-08-18T00:00:00"/>
  </r>
  <r>
    <n v="7736"/>
    <x v="0"/>
    <s v="Tech"/>
    <n v="23.105360443622921"/>
    <d v="2034-08-19T00:00:00"/>
  </r>
  <r>
    <n v="7737"/>
    <x v="4"/>
    <s v="OFM"/>
    <n v="200"/>
    <d v="2034-08-20T00:00:00"/>
  </r>
  <r>
    <n v="7738"/>
    <x v="0"/>
    <s v="Tech"/>
    <n v="12.322858903265558"/>
    <d v="2034-08-21T00:00:00"/>
  </r>
  <r>
    <n v="7739"/>
    <x v="1"/>
    <s v="Tech"/>
    <n v="7.1649029982363315"/>
    <d v="2034-08-22T00:00:00"/>
  </r>
  <r>
    <n v="7740"/>
    <x v="2"/>
    <s v="Apps"/>
    <n v="450.0688340569734"/>
    <d v="2034-08-23T00:00:00"/>
  </r>
  <r>
    <n v="7741"/>
    <x v="0"/>
    <s v="Apps"/>
    <n v="77.017868145409736"/>
    <d v="2034-08-24T00:00:00"/>
  </r>
  <r>
    <n v="7742"/>
    <x v="0"/>
    <s v="Tech"/>
    <n v="79.085335797905103"/>
    <d v="2034-08-25T00:00:00"/>
  </r>
  <r>
    <n v="7743"/>
    <x v="3"/>
    <s v="Tech"/>
    <n v="141.95829173802744"/>
    <d v="2034-08-26T00:00:00"/>
  </r>
  <r>
    <n v="7744"/>
    <x v="3"/>
    <s v="Tech"/>
    <n v="146.32694368377187"/>
    <d v="2034-08-27T00:00:00"/>
  </r>
  <r>
    <n v="7745"/>
    <x v="2"/>
    <s v="Apps"/>
    <n v="211.79709837975219"/>
    <d v="2034-08-28T00:00:00"/>
  </r>
  <r>
    <n v="7746"/>
    <x v="0"/>
    <s v="Apps"/>
    <n v="92.421441774491683"/>
    <d v="2034-08-29T00:00:00"/>
  </r>
  <r>
    <n v="7747"/>
    <x v="0"/>
    <s v="OFM"/>
    <n v="30.807147258163894"/>
    <d v="2034-08-30T00:00:00"/>
  </r>
  <r>
    <n v="7748"/>
    <x v="0"/>
    <s v="Systems"/>
    <n v="308.07147258163894"/>
    <d v="2034-08-31T00:00:00"/>
  </r>
  <r>
    <n v="7749"/>
    <x v="0"/>
    <s v="Tech"/>
    <n v="26.076180627369872"/>
    <d v="2034-09-01T00:00:00"/>
  </r>
  <r>
    <n v="7750"/>
    <x v="0"/>
    <s v="Tech"/>
    <n v="61.614294516327789"/>
    <d v="2034-09-02T00:00:00"/>
  </r>
  <r>
    <n v="7751"/>
    <x v="4"/>
    <s v="OFM"/>
    <n v="16.294606485253382"/>
    <d v="2034-09-03T00:00:00"/>
  </r>
  <r>
    <n v="7752"/>
    <x v="0"/>
    <s v="Apps"/>
    <n v="462.10720887245844"/>
    <d v="2034-09-04T00:00:00"/>
  </r>
  <r>
    <n v="7753"/>
    <x v="0"/>
    <s v="Tech"/>
    <n v="34.470872113064452"/>
    <d v="2034-09-05T00:00:00"/>
  </r>
  <r>
    <n v="7754"/>
    <x v="0"/>
    <s v="Apps"/>
    <n v="203.32717190388172"/>
    <d v="2034-09-06T00:00:00"/>
  </r>
  <r>
    <n v="7755"/>
    <x v="1"/>
    <s v="Tech"/>
    <n v="154.32098765432099"/>
    <d v="2034-09-07T00:00:00"/>
  </r>
  <r>
    <n v="7756"/>
    <x v="0"/>
    <s v="Systems"/>
    <n v="6.8941744226128918"/>
    <d v="2034-09-08T00:00:00"/>
  </r>
  <r>
    <n v="7757"/>
    <x v="0"/>
    <s v="Apps"/>
    <n v="308.07147258163894"/>
    <d v="2034-09-09T00:00:00"/>
  </r>
  <r>
    <n v="7758"/>
    <x v="0"/>
    <s v="Apps"/>
    <n v="308.07147258163894"/>
    <d v="2034-09-10T00:00:00"/>
  </r>
  <r>
    <n v="7759"/>
    <x v="0"/>
    <s v="Tech"/>
    <n v="23.105360443622921"/>
    <d v="2034-09-11T00:00:00"/>
  </r>
  <r>
    <n v="7760"/>
    <x v="0"/>
    <s v="OFM"/>
    <n v="1.5403573629081947E-2"/>
    <d v="2034-09-12T00:00:00"/>
  </r>
  <r>
    <n v="7761"/>
    <x v="2"/>
    <s v="Apps"/>
    <n v="31.769564756962826"/>
    <d v="2034-09-13T00:00:00"/>
  </r>
  <r>
    <n v="7762"/>
    <x v="1"/>
    <s v="Tech"/>
    <n v="22"/>
    <d v="2034-09-14T00:00:00"/>
  </r>
  <r>
    <n v="7763"/>
    <x v="0"/>
    <s v="Tech"/>
    <n v="46.210720887245841"/>
    <d v="2034-09-15T00:00:00"/>
  </r>
  <r>
    <n v="7764"/>
    <x v="1"/>
    <s v="Apps"/>
    <n v="242.50440917107585"/>
    <d v="2034-09-16T00:00:00"/>
  </r>
  <r>
    <n v="7765"/>
    <x v="1"/>
    <s v="Apps"/>
    <n v="0"/>
    <d v="2034-09-17T00:00:00"/>
  </r>
  <r>
    <n v="7766"/>
    <x v="0"/>
    <s v="OFM"/>
    <n v="23.105360443622921"/>
    <d v="2034-09-18T00:00:00"/>
  </r>
  <r>
    <n v="7767"/>
    <x v="4"/>
    <s v="Apps"/>
    <n v="64.195153265928425"/>
    <d v="2034-09-19T00:00:00"/>
  </r>
  <r>
    <n v="7768"/>
    <x v="3"/>
    <s v="Tech"/>
    <n v="183.17198933939025"/>
    <d v="2034-09-20T00:00:00"/>
  </r>
  <r>
    <n v="7769"/>
    <x v="0"/>
    <s v="Systems"/>
    <n v="20.042912389346419"/>
    <d v="2034-09-21T00:00:00"/>
  </r>
  <r>
    <n v="7770"/>
    <x v="3"/>
    <s v="Tech"/>
    <n v="54.951596801817075"/>
    <d v="2034-09-22T00:00:00"/>
  </r>
  <r>
    <n v="7771"/>
    <x v="4"/>
    <s v="Apps"/>
    <n v="0"/>
    <d v="2034-09-23T00:00:00"/>
  </r>
  <r>
    <n v="7772"/>
    <x v="0"/>
    <s v="OFM"/>
    <n v="86.177180282661155"/>
    <d v="2034-09-24T00:00:00"/>
  </r>
  <r>
    <n v="7773"/>
    <x v="2"/>
    <s v="OFM"/>
    <n v="105.89854918987609"/>
    <d v="2034-09-25T00:00:00"/>
  </r>
  <r>
    <n v="7774"/>
    <x v="4"/>
    <s v="Apps"/>
    <n v="5.8660583346912167"/>
    <d v="2034-09-26T00:00:00"/>
  </r>
  <r>
    <n v="7775"/>
    <x v="0"/>
    <s v="Tech"/>
    <n v="385.44062287204662"/>
    <d v="2034-09-27T00:00:00"/>
  </r>
  <r>
    <n v="7776"/>
    <x v="4"/>
    <s v="Systems"/>
    <n v="75.435291955712771"/>
    <d v="2034-09-28T00:00:00"/>
  </r>
  <r>
    <n v="7777"/>
    <x v="0"/>
    <s v="Systems"/>
    <n v="15.511892450879007"/>
    <d v="2034-09-29T00:00:00"/>
  </r>
  <r>
    <n v="7778"/>
    <x v="0"/>
    <s v="Tech"/>
    <n v="154.03573629081947"/>
    <d v="2034-09-30T00:00:00"/>
  </r>
  <r>
    <n v="7779"/>
    <x v="0"/>
    <s v="Tech"/>
    <n v="61.614294516327789"/>
    <d v="2034-10-01T00:00:00"/>
  </r>
  <r>
    <n v="7780"/>
    <x v="1"/>
    <s v="Tech"/>
    <n v="12.125220458553793"/>
    <d v="2034-10-02T00:00:00"/>
  </r>
  <r>
    <n v="7781"/>
    <x v="0"/>
    <s v="Tech"/>
    <n v="16.173752310536045"/>
    <d v="2034-10-03T00:00:00"/>
  </r>
  <r>
    <n v="7782"/>
    <x v="0"/>
    <s v="Apps"/>
    <n v="92.421441774491683"/>
    <d v="2034-10-04T00:00:00"/>
  </r>
  <r>
    <n v="7783"/>
    <x v="0"/>
    <s v="Apps"/>
    <n v="92.421441774491683"/>
    <d v="2034-10-05T00:00:00"/>
  </r>
  <r>
    <n v="7784"/>
    <x v="2"/>
    <s v="Tech"/>
    <n v="8.1030710639332302"/>
    <d v="2034-10-06T00:00:00"/>
  </r>
  <r>
    <n v="7785"/>
    <x v="0"/>
    <s v="Tech"/>
    <n v="53.912507701786815"/>
    <d v="2034-10-07T00:00:00"/>
  </r>
  <r>
    <n v="7786"/>
    <x v="3"/>
    <s v="Systems"/>
    <n v="549.51596801817072"/>
    <d v="2034-10-08T00:00:00"/>
  </r>
  <r>
    <n v="7787"/>
    <x v="0"/>
    <s v="Apps"/>
    <n v="308.07147258163894"/>
    <d v="2034-10-09T00:00:00"/>
  </r>
  <r>
    <n v="7788"/>
    <x v="0"/>
    <s v="OFM"/>
    <n v="68.941744226128904"/>
    <d v="2034-10-10T00:00:00"/>
  </r>
  <r>
    <n v="7789"/>
    <x v="0"/>
    <s v="Tech"/>
    <n v="131.38572905894517"/>
    <d v="2034-10-11T00:00:00"/>
  </r>
  <r>
    <n v="7790"/>
    <x v="0"/>
    <s v="Other"/>
    <n v="61.614294516327789"/>
    <d v="2034-10-12T00:00:00"/>
  </r>
  <r>
    <n v="7791"/>
    <x v="1"/>
    <s v="Systems"/>
    <n v="176.3668430335097"/>
    <d v="2034-10-13T00:00:00"/>
  </r>
  <r>
    <n v="7792"/>
    <x v="1"/>
    <s v="Tech"/>
    <n v="3.6080246913580249"/>
    <d v="2034-10-14T00:00:00"/>
  </r>
  <r>
    <n v="7793"/>
    <x v="0"/>
    <s v="Tech"/>
    <n v="27.576697690451567"/>
    <d v="2034-10-15T00:00:00"/>
  </r>
  <r>
    <n v="7794"/>
    <x v="0"/>
    <s v="Apps"/>
    <n v="154.03573629081947"/>
    <d v="2034-10-16T00:00:00"/>
  </r>
  <r>
    <n v="7795"/>
    <x v="0"/>
    <s v="Tech"/>
    <n v="41.365046535677351"/>
    <d v="2034-10-17T00:00:00"/>
  </r>
  <r>
    <n v="7796"/>
    <x v="0"/>
    <s v="Apps"/>
    <n v="154.03573629081947"/>
    <d v="2034-10-18T00:00:00"/>
  </r>
  <r>
    <n v="7797"/>
    <x v="0"/>
    <s v="Apps"/>
    <n v="154.03573629081947"/>
    <d v="2034-10-19T00:00:00"/>
  </r>
  <r>
    <n v="7798"/>
    <x v="0"/>
    <s v="Apps"/>
    <n v="154.03573629081947"/>
    <d v="2034-10-20T00:00:00"/>
  </r>
  <r>
    <n v="7799"/>
    <x v="0"/>
    <s v="Apps"/>
    <n v="123.22858903265558"/>
    <d v="2034-10-21T00:00:00"/>
  </r>
  <r>
    <n v="7800"/>
    <x v="0"/>
    <s v="Apps"/>
    <n v="123.22858903265558"/>
    <d v="2034-10-22T00:00:00"/>
  </r>
  <r>
    <n v="7801"/>
    <x v="2"/>
    <s v="OFM"/>
    <n v="0"/>
    <d v="2034-10-23T00:00:00"/>
  </r>
  <r>
    <n v="7802"/>
    <x v="2"/>
    <s v="Apps"/>
    <n v="36.463819787699542"/>
    <d v="2034-10-24T00:00:00"/>
  </r>
  <r>
    <n v="7803"/>
    <x v="2"/>
    <s v="Tech"/>
    <n v="152.81690140845072"/>
    <d v="2034-10-25T00:00:00"/>
  </r>
  <r>
    <n v="7804"/>
    <x v="1"/>
    <s v="Tech"/>
    <n v="8.8183421516754841"/>
    <d v="2034-10-26T00:00:00"/>
  </r>
  <r>
    <n v="7805"/>
    <x v="0"/>
    <s v="Apps"/>
    <n v="123.22858903265558"/>
    <d v="2034-10-27T00:00:00"/>
  </r>
  <r>
    <n v="7806"/>
    <x v="0"/>
    <s v="Apps"/>
    <n v="92.421441774491683"/>
    <d v="2034-10-28T00:00:00"/>
  </r>
  <r>
    <n v="7807"/>
    <x v="3"/>
    <s v="Tech"/>
    <n v="39.275737954152056"/>
    <d v="2034-10-29T00:00:00"/>
  </r>
  <r>
    <n v="7808"/>
    <x v="1"/>
    <s v="Tech"/>
    <n v="8.8183421516754841"/>
    <d v="2034-10-30T00:00:00"/>
  </r>
  <r>
    <n v="7809"/>
    <x v="1"/>
    <s v="Apps"/>
    <n v="88.183421516754848"/>
    <d v="2034-10-31T00:00:00"/>
  </r>
  <r>
    <n v="7810"/>
    <x v="0"/>
    <s v="Other"/>
    <n v="25.696041524803107"/>
    <d v="2034-11-01T00:00:00"/>
  </r>
  <r>
    <n v="7811"/>
    <x v="0"/>
    <s v="OFM"/>
    <n v="74.910967344423895"/>
    <d v="2034-11-02T00:00:00"/>
  </r>
  <r>
    <n v="7812"/>
    <x v="0"/>
    <s v="OFM"/>
    <n v="75.659272951324709"/>
    <d v="2034-11-03T00:00:00"/>
  </r>
  <r>
    <n v="7813"/>
    <x v="0"/>
    <s v="Tech"/>
    <n v="65.494657014822465"/>
    <d v="2034-11-04T00:00:00"/>
  </r>
  <r>
    <n v="7814"/>
    <x v="0"/>
    <s v="OFM"/>
    <n v="97.64754467036353"/>
    <d v="2034-11-05T00:00:00"/>
  </r>
  <r>
    <n v="7815"/>
    <x v="0"/>
    <s v="Tech"/>
    <n v="30.807147258163894"/>
    <d v="2034-11-06T00:00:00"/>
  </r>
  <r>
    <n v="7816"/>
    <x v="4"/>
    <s v="Apps"/>
    <n v="100"/>
    <d v="2034-11-07T00:00:00"/>
  </r>
  <r>
    <n v="7817"/>
    <x v="0"/>
    <s v="Apps"/>
    <n v="215.65003080714726"/>
    <d v="2034-11-08T00:00:00"/>
  </r>
  <r>
    <n v="7818"/>
    <x v="0"/>
    <s v="Tech"/>
    <n v="206.82523267838675"/>
    <d v="2034-11-09T00:00:00"/>
  </r>
  <r>
    <n v="7819"/>
    <x v="0"/>
    <s v="Tech"/>
    <n v="154.03573629081947"/>
    <d v="2034-11-10T00:00:00"/>
  </r>
  <r>
    <n v="7820"/>
    <x v="0"/>
    <s v="Tech"/>
    <n v="30.807147258163894"/>
    <d v="2034-11-11T00:00:00"/>
  </r>
  <r>
    <n v="7821"/>
    <x v="1"/>
    <s v="Tech"/>
    <n v="66.137566137566139"/>
    <d v="2034-11-12T00:00:00"/>
  </r>
  <r>
    <n v="7822"/>
    <x v="0"/>
    <s v="Apps"/>
    <n v="154.03573629081947"/>
    <d v="2034-11-13T00:00:00"/>
  </r>
  <r>
    <n v="7823"/>
    <x v="0"/>
    <s v="Apps"/>
    <n v="154.03573629081947"/>
    <d v="2034-11-14T00:00:00"/>
  </r>
  <r>
    <n v="7824"/>
    <x v="0"/>
    <s v="Apps"/>
    <n v="154.03573629081947"/>
    <d v="2034-11-15T00:00:00"/>
  </r>
  <r>
    <n v="7825"/>
    <x v="2"/>
    <s v="Apps"/>
    <n v="150"/>
    <d v="2034-11-16T00:00:00"/>
  </r>
  <r>
    <n v="7826"/>
    <x v="4"/>
    <s v="OFM"/>
    <n v="451.77339110897128"/>
    <d v="2034-11-17T00:00:00"/>
  </r>
  <r>
    <n v="7827"/>
    <x v="0"/>
    <s v="OFM"/>
    <n v="51.748527418361057"/>
    <d v="2034-11-18T00:00:00"/>
  </r>
  <r>
    <n v="7828"/>
    <x v="1"/>
    <s v="Tech"/>
    <n v="216.04938271604939"/>
    <d v="2034-11-19T00:00:00"/>
  </r>
  <r>
    <n v="7829"/>
    <x v="0"/>
    <s v="Other"/>
    <n v="1.5403573629081948"/>
    <d v="2034-11-20T00:00:00"/>
  </r>
  <r>
    <n v="7830"/>
    <x v="4"/>
    <s v="Tech"/>
    <n v="369.88756721525181"/>
    <d v="2034-11-21T00:00:00"/>
  </r>
  <r>
    <n v="7831"/>
    <x v="0"/>
    <s v="Tech"/>
    <n v="46.210720887245841"/>
    <d v="2034-11-22T00:00:00"/>
  </r>
  <r>
    <n v="7832"/>
    <x v="0"/>
    <s v="Apps"/>
    <n v="154.03573629081947"/>
    <d v="2034-11-23T00:00:00"/>
  </r>
  <r>
    <n v="7833"/>
    <x v="0"/>
    <s v="Apps"/>
    <n v="154.03573629081947"/>
    <d v="2034-11-24T00:00:00"/>
  </r>
  <r>
    <n v="7834"/>
    <x v="0"/>
    <s v="Apps"/>
    <n v="169.43930991990143"/>
    <d v="2034-11-25T00:00:00"/>
  </r>
  <r>
    <n v="7835"/>
    <x v="0"/>
    <s v="Apps"/>
    <n v="38.508934072704868"/>
    <d v="2034-11-26T00:00:00"/>
  </r>
  <r>
    <n v="7836"/>
    <x v="2"/>
    <s v="Apps"/>
    <n v="202.57677659833075"/>
    <d v="2034-11-27T00:00:00"/>
  </r>
  <r>
    <n v="7837"/>
    <x v="4"/>
    <s v="Apps"/>
    <n v="1378.2331051591862"/>
    <d v="2034-11-28T00:00:00"/>
  </r>
  <r>
    <n v="7838"/>
    <x v="1"/>
    <s v="Apps"/>
    <n v="44.091710758377424"/>
    <d v="2034-11-29T00:00:00"/>
  </r>
  <r>
    <n v="7839"/>
    <x v="2"/>
    <s v="Apps"/>
    <n v="105.89854918987609"/>
    <d v="2034-11-30T00:00:00"/>
  </r>
  <r>
    <n v="7840"/>
    <x v="4"/>
    <s v="Tech"/>
    <n v="110.98680136874695"/>
    <d v="2034-12-01T00:00:00"/>
  </r>
  <r>
    <n v="7841"/>
    <x v="0"/>
    <s v="Tech"/>
    <n v="46.210720887245841"/>
    <d v="2034-12-02T00:00:00"/>
  </r>
  <r>
    <n v="7842"/>
    <x v="2"/>
    <s v="Apps"/>
    <n v="121.54606595899845"/>
    <d v="2034-12-03T00:00:00"/>
  </r>
  <r>
    <n v="7843"/>
    <x v="2"/>
    <s v="Apps"/>
    <n v="162.0614212786646"/>
    <d v="2034-12-04T00:00:00"/>
  </r>
  <r>
    <n v="7844"/>
    <x v="4"/>
    <s v="Apps"/>
    <n v="100"/>
    <d v="2034-12-05T00:00:00"/>
  </r>
  <r>
    <n v="7845"/>
    <x v="4"/>
    <s v="Apps"/>
    <n v="140.20849999999999"/>
    <d v="2034-12-06T00:00:00"/>
  </r>
  <r>
    <n v="7846"/>
    <x v="4"/>
    <s v="Apps"/>
    <n v="1816.2750000000001"/>
    <d v="2034-12-07T00:00:00"/>
  </r>
  <r>
    <n v="7847"/>
    <x v="1"/>
    <s v="Tech"/>
    <n v="66.137566137566139"/>
    <d v="2034-12-08T00:00:00"/>
  </r>
  <r>
    <n v="7848"/>
    <x v="2"/>
    <s v="OFM"/>
    <n v="200"/>
    <d v="2034-12-09T00:00:00"/>
  </r>
  <r>
    <n v="7849"/>
    <x v="0"/>
    <s v="Tech"/>
    <n v="84.719654959950716"/>
    <d v="2034-12-10T00:00:00"/>
  </r>
  <r>
    <n v="7850"/>
    <x v="0"/>
    <s v="Tech"/>
    <n v="84.719654959950716"/>
    <d v="2034-12-11T00:00:00"/>
  </r>
  <r>
    <n v="7851"/>
    <x v="0"/>
    <s v="OFM"/>
    <n v="77.017868145409736"/>
    <d v="2034-12-12T00:00:00"/>
  </r>
  <r>
    <n v="7852"/>
    <x v="0"/>
    <s v="OFM"/>
    <n v="46.210720887245841"/>
    <d v="2034-12-13T00:00:00"/>
  </r>
  <r>
    <n v="7853"/>
    <x v="0"/>
    <s v="OFM"/>
    <n v="46.210720887245841"/>
    <d v="2034-12-14T00:00:00"/>
  </r>
  <r>
    <n v="7854"/>
    <x v="0"/>
    <s v="OFM"/>
    <n v="92.421441774491683"/>
    <d v="2034-12-15T00:00:00"/>
  </r>
  <r>
    <n v="7855"/>
    <x v="0"/>
    <s v="Apps"/>
    <n v="123.22858903265558"/>
    <d v="2034-12-16T00:00:00"/>
  </r>
  <r>
    <n v="7856"/>
    <x v="0"/>
    <s v="OFM"/>
    <n v="1.8484288354898335"/>
    <d v="2034-12-17T00:00:00"/>
  </r>
  <r>
    <n v="7857"/>
    <x v="1"/>
    <s v="Apps"/>
    <n v="22.045855379188712"/>
    <d v="2034-12-18T00:00:00"/>
  </r>
  <r>
    <n v="7858"/>
    <x v="2"/>
    <s v="Tech"/>
    <n v="52.949274594938046"/>
    <d v="2034-12-19T00:00:00"/>
  </r>
  <r>
    <n v="7859"/>
    <x v="2"/>
    <s v="OFM"/>
    <n v="47.654347135444247"/>
    <d v="2034-12-20T00:00:00"/>
  </r>
  <r>
    <n v="7860"/>
    <x v="1"/>
    <s v="Tech"/>
    <n v="1.5"/>
    <d v="2034-12-21T00:00:00"/>
  </r>
  <r>
    <n v="7861"/>
    <x v="3"/>
    <s v="Apps"/>
    <n v="91.585994669695125"/>
    <d v="2034-12-22T00:00:00"/>
  </r>
  <r>
    <n v="7862"/>
    <x v="2"/>
    <s v="Tech"/>
    <n v="21.179709837975221"/>
    <d v="2034-12-23T00:00:00"/>
  </r>
  <r>
    <n v="7863"/>
    <x v="4"/>
    <s v="Apps"/>
    <n v="100"/>
    <d v="2034-12-24T00:00:00"/>
  </r>
  <r>
    <n v="7864"/>
    <x v="4"/>
    <s v="Apps"/>
    <n v="100"/>
    <d v="2034-12-25T00:00:00"/>
  </r>
  <r>
    <n v="7865"/>
    <x v="0"/>
    <s v="Apps"/>
    <n v="123.22858903265558"/>
    <d v="2034-12-26T00:00:00"/>
  </r>
  <r>
    <n v="7866"/>
    <x v="0"/>
    <s v="Tech"/>
    <n v="77.017868145409736"/>
    <d v="2034-12-27T00:00:00"/>
  </r>
  <r>
    <n v="7867"/>
    <x v="0"/>
    <s v="Apps"/>
    <n v="41.58964879852126"/>
    <d v="2034-12-28T00:00:00"/>
  </r>
  <r>
    <n v="7868"/>
    <x v="0"/>
    <s v="Systems"/>
    <n v="92.421441774491683"/>
    <d v="2034-12-29T00:00:00"/>
  </r>
  <r>
    <n v="7869"/>
    <x v="4"/>
    <s v="Apps"/>
    <n v="39.484854267983707"/>
    <d v="2034-12-30T00:00:00"/>
  </r>
  <r>
    <n v="7870"/>
    <x v="4"/>
    <s v="Apps"/>
    <n v="100"/>
    <d v="2034-12-31T00:00:00"/>
  </r>
  <r>
    <n v="7871"/>
    <x v="0"/>
    <s v="Tech"/>
    <n v="34.470872113064452"/>
    <d v="2035-01-01T00:00:00"/>
  </r>
  <r>
    <n v="7872"/>
    <x v="4"/>
    <s v="OFM"/>
    <n v="35"/>
    <d v="2035-01-02T00:00:00"/>
  </r>
  <r>
    <n v="7873"/>
    <x v="0"/>
    <s v="Tech"/>
    <n v="51.706308169596689"/>
    <d v="2035-01-03T00:00:00"/>
  </r>
  <r>
    <n v="7874"/>
    <x v="0"/>
    <s v="Apps"/>
    <n v="36.846776973457423"/>
    <d v="2035-01-04T00:00:00"/>
  </r>
  <r>
    <n v="7875"/>
    <x v="1"/>
    <s v="Apps"/>
    <n v="77.160493827160494"/>
    <d v="2035-01-05T00:00:00"/>
  </r>
  <r>
    <n v="7876"/>
    <x v="0"/>
    <s v="Tech"/>
    <n v="68.941744226128904"/>
    <d v="2035-01-06T00:00:00"/>
  </r>
  <r>
    <n v="7877"/>
    <x v="3"/>
    <s v="OFM"/>
    <n v="45.792997334847563"/>
    <d v="2035-01-07T00:00:00"/>
  </r>
  <r>
    <n v="7878"/>
    <x v="3"/>
    <s v="Tech"/>
    <n v="1427.6424849112075"/>
    <d v="2035-01-08T00:00:00"/>
  </r>
  <r>
    <n v="7879"/>
    <x v="3"/>
    <s v="Tech"/>
    <n v="27.475798400908538"/>
    <d v="2035-01-09T00:00:00"/>
  </r>
  <r>
    <n v="7880"/>
    <x v="3"/>
    <s v="Tech"/>
    <n v="45.792997334847563"/>
    <d v="2035-01-10T00:00:00"/>
  </r>
  <r>
    <n v="7881"/>
    <x v="4"/>
    <s v="Tech"/>
    <n v="12.301534432857077"/>
    <d v="2035-01-11T00:00:00"/>
  </r>
  <r>
    <n v="7882"/>
    <x v="0"/>
    <s v="Systems"/>
    <n v="46.210720887245841"/>
    <d v="2035-01-12T00:00:00"/>
  </r>
  <r>
    <n v="7883"/>
    <x v="0"/>
    <s v="Tech"/>
    <n v="462.10720887245844"/>
    <d v="2035-01-13T00:00:00"/>
  </r>
  <r>
    <n v="7884"/>
    <x v="0"/>
    <s v="OFM"/>
    <n v="7.7017868145409736"/>
    <d v="2035-01-14T00:00:00"/>
  </r>
  <r>
    <n v="7885"/>
    <x v="0"/>
    <s v="Tech"/>
    <n v="46.210720887245841"/>
    <d v="2035-01-15T00:00:00"/>
  </r>
  <r>
    <n v="7886"/>
    <x v="0"/>
    <s v="Tech"/>
    <n v="61.614294516327789"/>
    <d v="2035-01-16T00:00:00"/>
  </r>
  <r>
    <n v="7887"/>
    <x v="0"/>
    <s v="Tech"/>
    <n v="4.621072088724584"/>
    <d v="2035-01-17T00:00:00"/>
  </r>
  <r>
    <n v="7888"/>
    <x v="0"/>
    <s v="Tech"/>
    <n v="15.403573629081947"/>
    <d v="2035-01-18T00:00:00"/>
  </r>
  <r>
    <n v="7889"/>
    <x v="0"/>
    <s v="Tech"/>
    <n v="154.03573629081947"/>
    <d v="2035-01-19T00:00:00"/>
  </r>
  <r>
    <n v="7890"/>
    <x v="0"/>
    <s v="Tech"/>
    <n v="231.05360443622922"/>
    <d v="2035-01-20T00:00:00"/>
  </r>
  <r>
    <n v="7891"/>
    <x v="0"/>
    <s v="OFM"/>
    <n v="34.470872113064452"/>
    <d v="2035-01-21T00:00:00"/>
  </r>
  <r>
    <n v="7892"/>
    <x v="0"/>
    <s v="Tech"/>
    <n v="22.652345406190175"/>
    <d v="2035-01-22T00:00:00"/>
  </r>
  <r>
    <n v="7893"/>
    <x v="4"/>
    <s v="Systems"/>
    <n v="230.32831656323827"/>
    <d v="2035-01-23T00:00:00"/>
  </r>
  <r>
    <n v="7894"/>
    <x v="4"/>
    <s v="Systems"/>
    <n v="98.712135669959252"/>
    <d v="2035-01-24T00:00:00"/>
  </r>
  <r>
    <n v="7895"/>
    <x v="4"/>
    <s v="Systems"/>
    <n v="19.742427133991853"/>
    <d v="2035-01-25T00:00:00"/>
  </r>
  <r>
    <n v="7896"/>
    <x v="4"/>
    <s v="Systems"/>
    <n v="658.08090446639505"/>
    <d v="2035-01-26T00:00:00"/>
  </r>
  <r>
    <n v="7897"/>
    <x v="0"/>
    <s v="Tech"/>
    <n v="22.652345406190175"/>
    <d v="2035-01-27T00:00:00"/>
  </r>
  <r>
    <n v="7898"/>
    <x v="0"/>
    <s v="Systems"/>
    <n v="46.210720887245841"/>
    <d v="2035-01-28T00:00:00"/>
  </r>
  <r>
    <n v="7899"/>
    <x v="2"/>
    <s v="Apps"/>
    <n v="22.23869532987398"/>
    <d v="2035-01-29T00:00:00"/>
  </r>
  <r>
    <n v="7900"/>
    <x v="0"/>
    <s v="Tech"/>
    <n v="61.614294516327789"/>
    <d v="2035-01-30T00:00:00"/>
  </r>
  <r>
    <n v="7901"/>
    <x v="0"/>
    <s v="Tech"/>
    <n v="30.807147258163894"/>
    <d v="2035-01-31T00:00:00"/>
  </r>
  <r>
    <n v="7902"/>
    <x v="0"/>
    <s v="Apps"/>
    <n v="51.392083049606214"/>
    <d v="2035-02-01T00:00:00"/>
  </r>
  <r>
    <n v="7903"/>
    <x v="2"/>
    <s v="OFM"/>
    <n v="63.539129513925651"/>
    <d v="2035-02-02T00:00:00"/>
  </r>
  <r>
    <n v="7904"/>
    <x v="2"/>
    <s v="Apps"/>
    <n v="47.654347135444247"/>
    <d v="2035-02-03T00:00:00"/>
  </r>
  <r>
    <n v="7905"/>
    <x v="1"/>
    <s v="Tech"/>
    <n v="143.56102292768961"/>
    <d v="2035-02-04T00:00:00"/>
  </r>
  <r>
    <n v="7906"/>
    <x v="4"/>
    <s v="Apps"/>
    <n v="64.985489316056515"/>
    <d v="2035-02-05T00:00:00"/>
  </r>
  <r>
    <n v="7907"/>
    <x v="1"/>
    <s v="Tech"/>
    <n v="204.58553791887127"/>
    <d v="2035-02-06T00:00:00"/>
  </r>
  <r>
    <n v="7908"/>
    <x v="0"/>
    <s v="OFM"/>
    <n v="20.682523267838675"/>
    <d v="2035-02-07T00:00:00"/>
  </r>
  <r>
    <n v="7909"/>
    <x v="4"/>
    <s v="Systems"/>
    <n v="32.904045223319756"/>
    <d v="2035-02-08T00:00:00"/>
  </r>
  <r>
    <n v="7910"/>
    <x v="4"/>
    <s v="Systems"/>
    <n v="49.356067834979626"/>
    <d v="2035-02-09T00:00:00"/>
  </r>
  <r>
    <n v="7911"/>
    <x v="4"/>
    <s v="Systems"/>
    <n v="329.04045223319753"/>
    <d v="2035-02-10T00:00:00"/>
  </r>
  <r>
    <n v="7912"/>
    <x v="0"/>
    <s v="Apps"/>
    <n v="102.78416609921243"/>
    <d v="2035-02-11T00:00:00"/>
  </r>
  <r>
    <n v="7913"/>
    <x v="0"/>
    <s v="Tech"/>
    <n v="25.696041524803107"/>
    <d v="2035-02-12T00:00:00"/>
  </r>
  <r>
    <n v="7914"/>
    <x v="2"/>
    <s v="Systems"/>
    <n v="31.769564756962826"/>
    <d v="2035-02-13T00:00:00"/>
  </r>
  <r>
    <n v="7915"/>
    <x v="1"/>
    <s v="Tech"/>
    <n v="119.47089947089947"/>
    <d v="2035-02-14T00:00:00"/>
  </r>
  <r>
    <n v="7916"/>
    <x v="4"/>
    <s v="Tech"/>
    <n v="3.2589212970506763E-3"/>
    <d v="2035-02-15T00:00:00"/>
  </r>
  <r>
    <n v="7917"/>
    <x v="0"/>
    <s v="OFM"/>
    <n v="15.403573629081947"/>
    <d v="2035-02-16T00:00:00"/>
  </r>
  <r>
    <n v="7918"/>
    <x v="2"/>
    <s v="Tech"/>
    <n v="158.84782378481412"/>
    <d v="2035-02-17T00:00:00"/>
  </r>
  <r>
    <n v="7919"/>
    <x v="0"/>
    <s v="Tech"/>
    <n v="100.12322858903266"/>
    <d v="2035-02-18T00:00:00"/>
  </r>
  <r>
    <n v="7920"/>
    <x v="2"/>
    <s v="OFM"/>
    <n v="50"/>
    <d v="2035-02-19T00:00:00"/>
  </r>
  <r>
    <n v="7921"/>
    <x v="4"/>
    <s v="Tech"/>
    <n v="1.407528108196187"/>
    <d v="2035-02-20T00:00:00"/>
  </r>
  <r>
    <n v="7922"/>
    <x v="3"/>
    <s v="Tech"/>
    <n v="91.585994669695125"/>
    <d v="2035-02-21T00:00:00"/>
  </r>
  <r>
    <n v="7923"/>
    <x v="1"/>
    <s v="OFM"/>
    <n v="44.091710758377424"/>
    <d v="2035-02-22T00:00:00"/>
  </r>
  <r>
    <n v="7924"/>
    <x v="0"/>
    <s v="Tech"/>
    <n v="46.210720887245841"/>
    <d v="2035-02-23T00:00:00"/>
  </r>
  <r>
    <n v="7925"/>
    <x v="0"/>
    <s v="Tech"/>
    <n v="51.392083049606214"/>
    <d v="2035-02-24T00:00:00"/>
  </r>
  <r>
    <n v="7926"/>
    <x v="2"/>
    <s v="OFM"/>
    <n v="84.718839351900883"/>
    <d v="2035-02-25T00:00:00"/>
  </r>
  <r>
    <n v="7927"/>
    <x v="0"/>
    <s v="Tech"/>
    <n v="38.508934072704868"/>
    <d v="2035-02-26T00:00:00"/>
  </r>
  <r>
    <n v="7928"/>
    <x v="0"/>
    <s v="Apps"/>
    <n v="123.22858903265558"/>
    <d v="2035-02-27T00:00:00"/>
  </r>
  <r>
    <n v="7929"/>
    <x v="0"/>
    <s v="Systems"/>
    <n v="4621.0720887245843"/>
    <d v="2035-02-28T00:00:00"/>
  </r>
  <r>
    <n v="7930"/>
    <x v="2"/>
    <s v="Tech"/>
    <n v="81.030710639332298"/>
    <d v="2035-03-01T00:00:00"/>
  </r>
  <r>
    <n v="7931"/>
    <x v="1"/>
    <s v="Tech"/>
    <n v="21.274250440917108"/>
    <d v="2035-03-02T00:00:00"/>
  </r>
  <r>
    <n v="7932"/>
    <x v="0"/>
    <s v="Systems"/>
    <n v="25.696041524803107"/>
    <d v="2035-03-03T00:00:00"/>
  </r>
  <r>
    <n v="7933"/>
    <x v="4"/>
    <s v="OFM"/>
    <n v="256.7806130637137"/>
    <d v="2035-03-04T00:00:00"/>
  </r>
  <r>
    <n v="7934"/>
    <x v="1"/>
    <s v="Apps"/>
    <n v="33.06878306878307"/>
    <d v="2035-03-05T00:00:00"/>
  </r>
  <r>
    <n v="7935"/>
    <x v="0"/>
    <s v="Systems"/>
    <n v="25.696041524803107"/>
    <d v="2035-03-06T00:00:00"/>
  </r>
  <r>
    <n v="7936"/>
    <x v="2"/>
    <s v="OFM"/>
    <n v="40.515355319666149"/>
    <d v="2035-03-07T00:00:00"/>
  </r>
  <r>
    <n v="7937"/>
    <x v="1"/>
    <s v="Tech"/>
    <n v="55.114638447971785"/>
    <d v="2035-03-08T00:00:00"/>
  </r>
  <r>
    <n v="7938"/>
    <x v="1"/>
    <s v="Tech"/>
    <n v="110.22927689594357"/>
    <d v="2035-03-09T00:00:00"/>
  </r>
  <r>
    <n v="7939"/>
    <x v="4"/>
    <s v="Apps"/>
    <n v="100"/>
    <d v="2035-03-10T00:00:00"/>
  </r>
  <r>
    <n v="7940"/>
    <x v="2"/>
    <s v="Apps"/>
    <n v="0.1058985491898761"/>
    <d v="2035-03-11T00:00:00"/>
  </r>
  <r>
    <n v="7941"/>
    <x v="0"/>
    <s v="Systems"/>
    <n v="38.54406228720466"/>
    <d v="2035-03-12T00:00:00"/>
  </r>
  <r>
    <n v="7942"/>
    <x v="1"/>
    <s v="Tech"/>
    <n v="97.001763668430343"/>
    <d v="2035-03-13T00:00:00"/>
  </r>
  <r>
    <n v="7943"/>
    <x v="0"/>
    <s v="Systems"/>
    <n v="539.12507701786819"/>
    <d v="2035-03-14T00:00:00"/>
  </r>
  <r>
    <n v="7944"/>
    <x v="2"/>
    <s v="Systems"/>
    <n v="52.949274594938046"/>
    <d v="2035-03-15T00:00:00"/>
  </r>
  <r>
    <n v="7945"/>
    <x v="0"/>
    <s v="Tech"/>
    <n v="3.3887861983980283"/>
    <d v="2035-03-16T00:00:00"/>
  </r>
  <r>
    <n v="7946"/>
    <x v="0"/>
    <s v="Tech"/>
    <n v="4.61538"/>
    <d v="2035-03-17T00:00:00"/>
  </r>
  <r>
    <n v="7947"/>
    <x v="0"/>
    <s v="Systems"/>
    <n v="46.210720887245841"/>
    <d v="2035-03-18T00:00:00"/>
  </r>
  <r>
    <n v="7948"/>
    <x v="1"/>
    <s v="Tech"/>
    <n v="144.3241622574956"/>
    <d v="2035-03-19T00:00:00"/>
  </r>
  <r>
    <n v="7949"/>
    <x v="1"/>
    <s v="Tech"/>
    <n v="1102.2927689594355"/>
    <d v="2035-03-20T00:00:00"/>
  </r>
  <r>
    <n v="7950"/>
    <x v="2"/>
    <s v="OFM"/>
    <n v="1.0589854918987609"/>
    <d v="2035-03-21T00:00:00"/>
  </r>
  <r>
    <n v="7951"/>
    <x v="1"/>
    <s v="Tech"/>
    <n v="19.841269841269842"/>
    <d v="2035-03-22T00:00:00"/>
  </r>
  <r>
    <n v="7952"/>
    <x v="1"/>
    <s v="OFM"/>
    <n v="85.978835978835974"/>
    <d v="2035-03-23T00:00:00"/>
  </r>
  <r>
    <n v="7953"/>
    <x v="1"/>
    <s v="Tech"/>
    <n v="35.273368606701936"/>
    <d v="2035-03-24T00:00:00"/>
  </r>
  <r>
    <n v="7954"/>
    <x v="1"/>
    <s v="Apps"/>
    <n v="99.206349206349202"/>
    <d v="2035-03-25T00:00:00"/>
  </r>
  <r>
    <n v="7955"/>
    <x v="1"/>
    <s v="Apps"/>
    <n v="99.206349206349202"/>
    <d v="2035-03-26T00:00:00"/>
  </r>
  <r>
    <n v="7956"/>
    <x v="4"/>
    <s v="OFM"/>
    <n v="48.75"/>
    <d v="2035-03-27T00:00:00"/>
  </r>
  <r>
    <n v="7957"/>
    <x v="0"/>
    <s v="Systems"/>
    <n v="21.841635296082639"/>
    <d v="2035-03-28T00:00:00"/>
  </r>
  <r>
    <n v="7958"/>
    <x v="0"/>
    <s v="Tech"/>
    <n v="68.941744226128904"/>
    <d v="2035-03-29T00:00:00"/>
  </r>
  <r>
    <n v="7959"/>
    <x v="4"/>
    <s v="Systems"/>
    <n v="8.0243941582410532"/>
    <d v="2035-03-30T00:00:00"/>
  </r>
  <r>
    <n v="7960"/>
    <x v="2"/>
    <s v="Tech"/>
    <n v="211.79709837975219"/>
    <d v="2035-03-31T00:00:00"/>
  </r>
  <r>
    <n v="7961"/>
    <x v="4"/>
    <s v="Apps"/>
    <n v="200"/>
    <d v="2035-04-01T00:00:00"/>
  </r>
  <r>
    <n v="7962"/>
    <x v="2"/>
    <s v="OFM"/>
    <n v="529.49274594938049"/>
    <d v="2035-04-02T00:00:00"/>
  </r>
  <r>
    <n v="7963"/>
    <x v="2"/>
    <s v="Systems"/>
    <n v="52.949274594938046"/>
    <d v="2035-04-03T00:00:00"/>
  </r>
  <r>
    <n v="7964"/>
    <x v="2"/>
    <s v="Apps"/>
    <n v="31.769564756962826"/>
    <d v="2035-04-04T00:00:00"/>
  </r>
  <r>
    <n v="7965"/>
    <x v="2"/>
    <s v="Tech"/>
    <n v="40.515355319666149"/>
    <d v="2035-04-05T00:00:00"/>
  </r>
  <r>
    <n v="7966"/>
    <x v="1"/>
    <s v="Tech"/>
    <n v="88.183421516754848"/>
    <d v="2035-04-06T00:00:00"/>
  </r>
  <r>
    <n v="7967"/>
    <x v="1"/>
    <s v="Tech"/>
    <n v="97.934215167548501"/>
    <d v="2035-04-07T00:00:00"/>
  </r>
  <r>
    <n v="7968"/>
    <x v="1"/>
    <s v="Tech"/>
    <n v="77.160493827160494"/>
    <d v="2035-04-08T00:00:00"/>
  </r>
  <r>
    <n v="7969"/>
    <x v="1"/>
    <s v="Tech"/>
    <n v="88.183421516754848"/>
    <d v="2035-04-09T00:00:00"/>
  </r>
  <r>
    <n v="7970"/>
    <x v="1"/>
    <s v="Apps"/>
    <n v="72.162037037037038"/>
    <d v="2035-04-10T00:00:00"/>
  </r>
  <r>
    <n v="7971"/>
    <x v="0"/>
    <s v="Systems"/>
    <n v="30.807147258163894"/>
    <d v="2035-04-11T00:00:00"/>
  </r>
  <r>
    <n v="7972"/>
    <x v="0"/>
    <s v="Tech"/>
    <n v="66.552747549240038"/>
    <d v="2035-04-12T00:00:00"/>
  </r>
  <r>
    <n v="7973"/>
    <x v="0"/>
    <s v="Apps"/>
    <n v="154.03573629081947"/>
    <d v="2035-04-13T00:00:00"/>
  </r>
  <r>
    <n v="7974"/>
    <x v="1"/>
    <s v="Tech"/>
    <n v="88.183421516754848"/>
    <d v="2035-04-14T00:00:00"/>
  </r>
  <r>
    <n v="7975"/>
    <x v="1"/>
    <s v="Tech"/>
    <n v="33.06878306878307"/>
    <d v="2035-04-15T00:00:00"/>
  </r>
  <r>
    <n v="7976"/>
    <x v="1"/>
    <s v="Tech"/>
    <n v="176.3668430335097"/>
    <d v="2035-04-16T00:00:00"/>
  </r>
  <r>
    <n v="7977"/>
    <x v="2"/>
    <s v="OFM"/>
    <n v="211.79709837975219"/>
    <d v="2035-04-17T00:00:00"/>
  </r>
  <r>
    <n v="7978"/>
    <x v="2"/>
    <s v="Systems"/>
    <n v="26.474637297469023"/>
    <d v="2035-04-18T00:00:00"/>
  </r>
  <r>
    <n v="7979"/>
    <x v="0"/>
    <s v="Apps"/>
    <n v="128.48020762401552"/>
    <d v="2035-04-19T00:00:00"/>
  </r>
  <r>
    <n v="7980"/>
    <x v="4"/>
    <s v="Apps"/>
    <n v="70"/>
    <d v="2035-04-20T00:00:00"/>
  </r>
  <r>
    <n v="7981"/>
    <x v="4"/>
    <s v="Tech"/>
    <n v="100"/>
    <d v="2035-04-21T00:00:00"/>
  </r>
  <r>
    <n v="7982"/>
    <x v="0"/>
    <s v="Tech"/>
    <n v="12.848020762401553"/>
    <d v="2035-04-22T00:00:00"/>
  </r>
  <r>
    <n v="7983"/>
    <x v="1"/>
    <s v="Apps"/>
    <n v="110.22927689594357"/>
    <d v="2035-04-23T00:00:00"/>
  </r>
  <r>
    <n v="7984"/>
    <x v="1"/>
    <s v="Tech"/>
    <n v="48.967107583774251"/>
    <d v="2035-04-24T00:00:00"/>
  </r>
  <r>
    <n v="7985"/>
    <x v="0"/>
    <s v="Tech"/>
    <n v="241.29610479145123"/>
    <d v="2035-04-25T00:00:00"/>
  </r>
  <r>
    <n v="7986"/>
    <x v="1"/>
    <s v="Tech"/>
    <n v="661.37566137566137"/>
    <d v="2035-04-26T00:00:00"/>
  </r>
  <r>
    <n v="7987"/>
    <x v="2"/>
    <s v="Systems"/>
    <n v="6.3539129513925658"/>
    <d v="2035-04-27T00:00:00"/>
  </r>
  <r>
    <n v="7988"/>
    <x v="4"/>
    <s v="Tech"/>
    <n v="1645.2022611659877"/>
    <d v="2035-04-28T00:00:00"/>
  </r>
  <r>
    <n v="7989"/>
    <x v="1"/>
    <s v="Apps"/>
    <n v="4.409171075837742"/>
    <d v="2035-04-29T00:00:00"/>
  </r>
  <r>
    <n v="7990"/>
    <x v="1"/>
    <s v="OFM"/>
    <n v="4.409171075837742"/>
    <d v="2035-04-30T00:00:00"/>
  </r>
  <r>
    <n v="7991"/>
    <x v="1"/>
    <s v="OFM"/>
    <n v="71.693121693121697"/>
    <d v="2035-05-01T00:00:00"/>
  </r>
  <r>
    <n v="7992"/>
    <x v="1"/>
    <s v="Apps"/>
    <n v="4.409171075837742"/>
    <d v="2035-05-02T00:00:00"/>
  </r>
  <r>
    <n v="7993"/>
    <x v="0"/>
    <s v="Tech"/>
    <n v="1540.3573629081948"/>
    <d v="2035-05-03T00:00:00"/>
  </r>
  <r>
    <n v="7994"/>
    <x v="0"/>
    <s v="Tech"/>
    <n v="138.63216266173754"/>
    <d v="2035-05-04T00:00:00"/>
  </r>
  <r>
    <n v="7995"/>
    <x v="0"/>
    <s v="Tech"/>
    <n v="770.17868145409739"/>
    <d v="2035-05-05T00:00:00"/>
  </r>
  <r>
    <n v="7996"/>
    <x v="0"/>
    <s v="Tech"/>
    <n v="46.210720887245841"/>
    <d v="2035-05-06T00:00:00"/>
  </r>
  <r>
    <n v="7997"/>
    <x v="0"/>
    <s v="Systems"/>
    <n v="43.130006161429456"/>
    <d v="2035-05-07T00:00:00"/>
  </r>
  <r>
    <n v="7998"/>
    <x v="0"/>
    <s v="Tech"/>
    <n v="870.30191004313008"/>
    <d v="2035-05-08T00:00:00"/>
  </r>
  <r>
    <n v="7999"/>
    <x v="0"/>
    <s v="Tech"/>
    <n v="770.17868145409739"/>
    <d v="2035-05-09T00:00:00"/>
  </r>
  <r>
    <n v="8000"/>
    <x v="0"/>
    <s v="Systems"/>
    <n v="20.024645717806532"/>
    <d v="2035-05-10T00:00:00"/>
  </r>
  <r>
    <n v="8001"/>
    <x v="0"/>
    <s v="Apps"/>
    <n v="123.22858903265558"/>
    <d v="2035-05-11T00:00:00"/>
  </r>
  <r>
    <n v="8002"/>
    <x v="0"/>
    <s v="Systems"/>
    <n v="30.807147258163894"/>
    <d v="2035-05-12T00:00:00"/>
  </r>
  <r>
    <n v="8003"/>
    <x v="0"/>
    <s v="Tech"/>
    <n v="4.4812133746983802"/>
    <d v="2035-05-13T00:00:00"/>
  </r>
  <r>
    <n v="8004"/>
    <x v="0"/>
    <s v="Apps"/>
    <n v="50"/>
    <d v="2035-05-14T00:00:00"/>
  </r>
  <r>
    <n v="8005"/>
    <x v="1"/>
    <s v="Apps"/>
    <n v="110.22927689594357"/>
    <d v="2035-05-15T00:00:00"/>
  </r>
  <r>
    <n v="8006"/>
    <x v="1"/>
    <s v="Apps"/>
    <n v="44.091710758377424"/>
    <d v="2035-05-16T00:00:00"/>
  </r>
  <r>
    <n v="8007"/>
    <x v="0"/>
    <s v="Tech"/>
    <n v="573.4807652533608"/>
    <d v="2035-05-17T00:00:00"/>
  </r>
  <r>
    <n v="8008"/>
    <x v="0"/>
    <s v="Systems"/>
    <n v="84.719654959950716"/>
    <d v="2035-05-18T00:00:00"/>
  </r>
  <r>
    <n v="8009"/>
    <x v="0"/>
    <s v="Systems"/>
    <n v="84.719654959950716"/>
    <d v="2035-05-19T00:00:00"/>
  </r>
  <r>
    <n v="8010"/>
    <x v="4"/>
    <s v="Tech"/>
    <n v="49.116832328499271"/>
    <d v="2035-05-20T00:00:00"/>
  </r>
  <r>
    <n v="8011"/>
    <x v="2"/>
    <s v="Tech"/>
    <n v="105.89854918987609"/>
    <d v="2035-05-21T00:00:00"/>
  </r>
  <r>
    <n v="8012"/>
    <x v="0"/>
    <s v="Tech"/>
    <n v="154.03573629081947"/>
    <d v="2035-05-22T00:00:00"/>
  </r>
  <r>
    <n v="8013"/>
    <x v="0"/>
    <s v="Apps"/>
    <n v="154.03573629081947"/>
    <d v="2035-05-23T00:00:00"/>
  </r>
  <r>
    <n v="8014"/>
    <x v="0"/>
    <s v="Systems"/>
    <n v="84.719654959950716"/>
    <d v="2035-05-24T00:00:00"/>
  </r>
  <r>
    <n v="8015"/>
    <x v="1"/>
    <s v="Apps"/>
    <n v="1.4432319223985892"/>
    <d v="2035-05-25T00:00:00"/>
  </r>
  <r>
    <n v="8016"/>
    <x v="1"/>
    <s v="Tech"/>
    <n v="97.934215167548501"/>
    <d v="2035-05-26T00:00:00"/>
  </r>
  <r>
    <n v="8017"/>
    <x v="4"/>
    <s v="Apps"/>
    <n v="100"/>
    <d v="2035-05-27T00:00:00"/>
  </r>
  <r>
    <n v="8018"/>
    <x v="4"/>
    <s v="Tech"/>
    <n v="61.75"/>
    <d v="2035-05-28T00:00:00"/>
  </r>
  <r>
    <n v="8019"/>
    <x v="2"/>
    <s v="Apps"/>
    <n v="81.030710639332298"/>
    <d v="2035-05-29T00:00:00"/>
  </r>
  <r>
    <n v="8020"/>
    <x v="2"/>
    <s v="Systems"/>
    <n v="1482.5796886582655"/>
    <d v="2035-05-30T00:00:00"/>
  </r>
  <r>
    <n v="8021"/>
    <x v="4"/>
    <s v="Tech"/>
    <n v="4.3314322959100533"/>
    <d v="2035-05-31T00:00:00"/>
  </r>
  <r>
    <n v="8022"/>
    <x v="4"/>
    <s v="Tech"/>
    <n v="52.276030633860195"/>
    <d v="2035-06-01T00:00:00"/>
  </r>
  <r>
    <n v="8023"/>
    <x v="2"/>
    <s v="OFM"/>
    <n v="105.89854918987609"/>
    <d v="2035-06-02T00:00:00"/>
  </r>
  <r>
    <n v="8024"/>
    <x v="3"/>
    <s v="Tech"/>
    <n v="228.96498667423779"/>
    <d v="2035-06-03T00:00:00"/>
  </r>
  <r>
    <n v="8025"/>
    <x v="2"/>
    <s v="Tech"/>
    <n v="105.89854918987609"/>
    <d v="2035-06-04T00:00:00"/>
  </r>
  <r>
    <n v="8026"/>
    <x v="0"/>
    <s v="Tech"/>
    <n v="12.197396990993539"/>
    <d v="2035-06-05T00:00:00"/>
  </r>
  <r>
    <n v="8027"/>
    <x v="3"/>
    <s v="Tech"/>
    <n v="183.17198933939025"/>
    <d v="2035-06-06T00:00:00"/>
  </r>
  <r>
    <n v="8028"/>
    <x v="3"/>
    <s v="Tech"/>
    <n v="91.585994669695125"/>
    <d v="2035-06-07T00:00:00"/>
  </r>
  <r>
    <n v="8029"/>
    <x v="4"/>
    <s v="Apps"/>
    <n v="22"/>
    <d v="2035-06-08T00:00:00"/>
  </r>
  <r>
    <n v="8030"/>
    <x v="1"/>
    <s v="Tech"/>
    <n v="141.09347442680775"/>
    <d v="2035-06-09T00:00:00"/>
  </r>
  <r>
    <n v="8031"/>
    <x v="1"/>
    <s v="Tech"/>
    <n v="79.365079365079367"/>
    <d v="2035-06-10T00:00:00"/>
  </r>
  <r>
    <n v="8032"/>
    <x v="1"/>
    <s v="Tech"/>
    <n v="72.162081128747801"/>
    <d v="2035-06-11T00:00:00"/>
  </r>
  <r>
    <n v="8033"/>
    <x v="1"/>
    <s v="Apps"/>
    <n v="44.091710758377424"/>
    <d v="2035-06-12T00:00:00"/>
  </r>
  <r>
    <n v="8034"/>
    <x v="2"/>
    <s v="OFM"/>
    <n v="52.949274594938046"/>
    <d v="2035-06-13T00:00:00"/>
  </r>
  <r>
    <n v="8035"/>
    <x v="4"/>
    <s v="OFM"/>
    <n v="382.54242976631542"/>
    <d v="2035-06-14T00:00:00"/>
  </r>
  <r>
    <n v="8036"/>
    <x v="4"/>
    <s v="OFM"/>
    <n v="398.06655830267772"/>
    <d v="2035-06-15T00:00:00"/>
  </r>
  <r>
    <n v="8037"/>
    <x v="4"/>
    <s v="OFM"/>
    <n v="8.0425289229265111"/>
    <d v="2035-06-16T00:00:00"/>
  </r>
  <r>
    <n v="8038"/>
    <x v="4"/>
    <s v="Tech"/>
    <n v="261.95626527619362"/>
    <d v="2035-06-17T00:00:00"/>
  </r>
  <r>
    <n v="8039"/>
    <x v="2"/>
    <s v="Apps"/>
    <n v="8.1030710639332302"/>
    <d v="2035-06-18T00:00:00"/>
  </r>
  <r>
    <n v="8040"/>
    <x v="0"/>
    <s v="Tech"/>
    <n v="68.941744226128904"/>
    <d v="2035-06-19T00:00:00"/>
  </r>
  <r>
    <n v="8041"/>
    <x v="4"/>
    <s v="Tech"/>
    <n v="95"/>
    <d v="2035-06-20T00:00:00"/>
  </r>
  <r>
    <n v="8042"/>
    <x v="4"/>
    <s v="Tech"/>
    <n v="100"/>
    <d v="2035-06-21T00:00:00"/>
  </r>
  <r>
    <n v="8043"/>
    <x v="1"/>
    <s v="Tech"/>
    <n v="110.22927689594357"/>
    <d v="2035-06-22T00:00:00"/>
  </r>
  <r>
    <n v="8044"/>
    <x v="0"/>
    <s v="Apps"/>
    <n v="50"/>
    <d v="2035-06-23T00:00:00"/>
  </r>
  <r>
    <n v="8045"/>
    <x v="0"/>
    <s v="OFM"/>
    <n v="198.63164426059978"/>
    <d v="2035-06-24T00:00:00"/>
  </r>
  <r>
    <n v="8046"/>
    <x v="1"/>
    <s v="Tech"/>
    <n v="787.47795414462075"/>
    <d v="2035-06-25T00:00:00"/>
  </r>
  <r>
    <n v="8047"/>
    <x v="0"/>
    <s v="Systems"/>
    <n v="1350.4860392967942"/>
    <d v="2035-06-26T00:00:00"/>
  </r>
  <r>
    <n v="8048"/>
    <x v="0"/>
    <s v="Tech"/>
    <n v="1.6181661496035848"/>
    <d v="2035-06-27T00:00:00"/>
  </r>
  <r>
    <n v="8049"/>
    <x v="0"/>
    <s v="Tech"/>
    <n v="11.799379524301965"/>
    <d v="2035-06-28T00:00:00"/>
  </r>
  <r>
    <n v="8050"/>
    <x v="1"/>
    <s v="Tech"/>
    <n v="30"/>
    <d v="2035-06-29T00:00:00"/>
  </r>
  <r>
    <n v="8051"/>
    <x v="0"/>
    <s v="Tech"/>
    <n v="46.210720887245841"/>
    <d v="2035-06-30T00:00:00"/>
  </r>
  <r>
    <n v="8052"/>
    <x v="0"/>
    <s v="Systems"/>
    <n v="123.22858903265558"/>
    <d v="2035-07-01T00:00:00"/>
  </r>
  <r>
    <n v="8053"/>
    <x v="0"/>
    <s v="Systems"/>
    <n v="462.10720887245844"/>
    <d v="2035-07-02T00:00:00"/>
  </r>
  <r>
    <n v="8054"/>
    <x v="0"/>
    <s v="Systems"/>
    <n v="38.508934072704868"/>
    <d v="2035-07-03T00:00:00"/>
  </r>
  <r>
    <n v="8055"/>
    <x v="0"/>
    <s v="OFM"/>
    <n v="15.403573629081947"/>
    <d v="2035-07-04T00:00:00"/>
  </r>
  <r>
    <n v="8056"/>
    <x v="0"/>
    <s v="Tech"/>
    <n v="46.210720887245841"/>
    <d v="2035-07-05T00:00:00"/>
  </r>
  <r>
    <n v="8057"/>
    <x v="0"/>
    <s v="Systems"/>
    <n v="123.22858903265558"/>
    <d v="2035-07-06T00:00:00"/>
  </r>
  <r>
    <n v="8058"/>
    <x v="0"/>
    <s v="Systems"/>
    <n v="46.210720887245841"/>
    <d v="2035-07-07T00:00:00"/>
  </r>
  <r>
    <n v="8059"/>
    <x v="0"/>
    <s v="Systems"/>
    <n v="308.07147258163894"/>
    <d v="2035-07-08T00:00:00"/>
  </r>
  <r>
    <n v="8060"/>
    <x v="1"/>
    <s v="Tech"/>
    <n v="264.55026455026456"/>
    <d v="2035-07-09T00:00:00"/>
  </r>
  <r>
    <n v="8061"/>
    <x v="0"/>
    <s v="Tech"/>
    <n v="77.017868145409736"/>
    <d v="2035-07-10T00:00:00"/>
  </r>
  <r>
    <n v="8062"/>
    <x v="0"/>
    <s v="Tech"/>
    <n v="123.22858903265558"/>
    <d v="2035-07-11T00:00:00"/>
  </r>
  <r>
    <n v="8063"/>
    <x v="0"/>
    <s v="Tech"/>
    <n v="2.1565003080714726"/>
    <d v="2035-07-12T00:00:00"/>
  </r>
  <r>
    <n v="8064"/>
    <x v="0"/>
    <s v="Apps"/>
    <n v="77.017868145409736"/>
    <d v="2035-07-13T00:00:00"/>
  </r>
  <r>
    <n v="8065"/>
    <x v="4"/>
    <s v="Apps"/>
    <n v="183.75"/>
    <d v="2035-07-14T00:00:00"/>
  </r>
  <r>
    <n v="8066"/>
    <x v="1"/>
    <s v="Tech"/>
    <n v="174.8077601410935"/>
    <d v="2035-07-15T00:00:00"/>
  </r>
  <r>
    <n v="8067"/>
    <x v="1"/>
    <s v="OFM"/>
    <n v="308.64197530864197"/>
    <d v="2035-07-16T00:00:00"/>
  </r>
  <r>
    <n v="8068"/>
    <x v="2"/>
    <s v="OFM"/>
    <n v="52.949274594938046"/>
    <d v="2035-07-17T00:00:00"/>
  </r>
  <r>
    <n v="8069"/>
    <x v="4"/>
    <s v="Tech"/>
    <n v="2.6139807723643473"/>
    <d v="2035-07-18T00:00:00"/>
  </r>
  <r>
    <n v="8070"/>
    <x v="0"/>
    <s v="Tech"/>
    <n v="30.742487119859188"/>
    <d v="2035-07-19T00:00:00"/>
  </r>
  <r>
    <n v="8071"/>
    <x v="2"/>
    <s v="Apps"/>
    <n v="81.030710639332298"/>
    <d v="2035-07-20T00:00:00"/>
  </r>
  <r>
    <n v="8072"/>
    <x v="1"/>
    <s v="Apps"/>
    <n v="39.682539682539684"/>
    <d v="2035-07-21T00:00:00"/>
  </r>
  <r>
    <n v="8073"/>
    <x v="0"/>
    <s v="Tech"/>
    <n v="107.82501540357363"/>
    <d v="2035-07-22T00:00:00"/>
  </r>
  <r>
    <n v="8074"/>
    <x v="4"/>
    <s v="Systems"/>
    <n v="344.55827628979654"/>
    <d v="2035-07-23T00:00:00"/>
  </r>
  <r>
    <n v="8075"/>
    <x v="1"/>
    <s v="Apps"/>
    <n v="44.091710758377424"/>
    <d v="2035-07-24T00:00:00"/>
  </r>
  <r>
    <n v="8076"/>
    <x v="2"/>
    <s v="OFM"/>
    <n v="52.949274594938046"/>
    <d v="2035-07-25T00:00:00"/>
  </r>
  <r>
    <n v="8077"/>
    <x v="2"/>
    <s v="Apps"/>
    <n v="81.030710639332298"/>
    <d v="2035-07-26T00:00:00"/>
  </r>
  <r>
    <n v="8078"/>
    <x v="4"/>
    <s v="Tech"/>
    <n v="30.959752321981426"/>
    <d v="2035-07-27T00:00:00"/>
  </r>
  <r>
    <n v="8079"/>
    <x v="2"/>
    <s v="Apps"/>
    <n v="10589.85491898761"/>
    <d v="2035-07-28T00:00:00"/>
  </r>
  <r>
    <n v="8080"/>
    <x v="2"/>
    <s v="Apps"/>
    <n v="10589.85491898761"/>
    <d v="2035-07-29T00:00:00"/>
  </r>
  <r>
    <n v="8081"/>
    <x v="1"/>
    <s v="Apps"/>
    <n v="110.22927689594357"/>
    <d v="2035-07-30T00:00:00"/>
  </r>
  <r>
    <n v="8082"/>
    <x v="1"/>
    <s v="Apps"/>
    <n v="110.22927689594357"/>
    <d v="2035-07-31T00:00:00"/>
  </r>
  <r>
    <n v="8083"/>
    <x v="1"/>
    <s v="Apps"/>
    <n v="110.22927689594357"/>
    <d v="2035-08-01T00:00:00"/>
  </r>
  <r>
    <n v="8084"/>
    <x v="1"/>
    <s v="Apps"/>
    <n v="110.22927689594357"/>
    <d v="2035-08-02T00:00:00"/>
  </r>
  <r>
    <n v="8085"/>
    <x v="1"/>
    <s v="Apps"/>
    <n v="110.22927689594357"/>
    <d v="2035-08-03T00:00:00"/>
  </r>
  <r>
    <n v="8086"/>
    <x v="1"/>
    <s v="Apps"/>
    <n v="88.183421516754848"/>
    <d v="2035-08-04T00:00:00"/>
  </r>
  <r>
    <n v="8087"/>
    <x v="1"/>
    <s v="Apps"/>
    <n v="88.183421516754848"/>
    <d v="2035-08-05T00:00:00"/>
  </r>
  <r>
    <n v="8088"/>
    <x v="1"/>
    <s v="Apps"/>
    <n v="110.22927689594357"/>
    <d v="2035-08-06T00:00:00"/>
  </r>
  <r>
    <n v="8089"/>
    <x v="1"/>
    <s v="Apps"/>
    <n v="110.22927689594357"/>
    <d v="2035-08-07T00:00:00"/>
  </r>
  <r>
    <n v="8090"/>
    <x v="1"/>
    <s v="Other"/>
    <n v="55.114638447971785"/>
    <d v="2035-08-08T00:00:00"/>
  </r>
  <r>
    <n v="8091"/>
    <x v="1"/>
    <s v="Apps"/>
    <n v="110.22927689594357"/>
    <d v="2035-08-09T00:00:00"/>
  </r>
  <r>
    <n v="8092"/>
    <x v="1"/>
    <s v="Tech"/>
    <n v="176.3668430335097"/>
    <d v="2035-08-10T00:00:00"/>
  </r>
  <r>
    <n v="8093"/>
    <x v="1"/>
    <s v="Tech"/>
    <n v="42.989417989417987"/>
    <d v="2035-08-11T00:00:00"/>
  </r>
  <r>
    <n v="8094"/>
    <x v="2"/>
    <s v="Tech"/>
    <n v="21.179709837975221"/>
    <d v="2035-08-12T00:00:00"/>
  </r>
  <r>
    <n v="8095"/>
    <x v="0"/>
    <s v="Tech"/>
    <n v="41.58964879852126"/>
    <d v="2035-08-13T00:00:00"/>
  </r>
  <r>
    <n v="8096"/>
    <x v="0"/>
    <s v="Tech"/>
    <n v="30.807147258163894"/>
    <d v="2035-08-14T00:00:00"/>
  </r>
  <r>
    <n v="8097"/>
    <x v="0"/>
    <s v="Systems"/>
    <n v="43.130006161429456"/>
    <d v="2035-08-15T00:00:00"/>
  </r>
  <r>
    <n v="8098"/>
    <x v="1"/>
    <s v="Tech"/>
    <n v="132.27513227513228"/>
    <d v="2035-08-16T00:00:00"/>
  </r>
  <r>
    <n v="8099"/>
    <x v="1"/>
    <s v="Apps"/>
    <n v="110.22927689594357"/>
    <d v="2035-08-17T00:00:00"/>
  </r>
  <r>
    <n v="8100"/>
    <x v="1"/>
    <s v="Tech"/>
    <n v="440.91710758377428"/>
    <d v="2035-08-18T00:00:00"/>
  </r>
  <r>
    <n v="8101"/>
    <x v="0"/>
    <s v="Tech"/>
    <n v="327.47328507411237"/>
    <d v="2035-08-19T00:00:00"/>
  </r>
  <r>
    <n v="8102"/>
    <x v="0"/>
    <s v="Systems"/>
    <n v="34.470872113064452"/>
    <d v="2035-08-20T00:00:00"/>
  </r>
  <r>
    <n v="8103"/>
    <x v="4"/>
    <s v="Tech"/>
    <n v="100"/>
    <d v="2035-08-21T00:00:00"/>
  </r>
  <r>
    <n v="8104"/>
    <x v="2"/>
    <s v="Apps"/>
    <n v="105.89854918987609"/>
    <d v="2035-08-22T00:00:00"/>
  </r>
  <r>
    <n v="8105"/>
    <x v="2"/>
    <s v="Apps"/>
    <n v="40.515355319666149"/>
    <d v="2035-08-23T00:00:00"/>
  </r>
  <r>
    <n v="8106"/>
    <x v="4"/>
    <s v="Apps"/>
    <n v="137.82331051591859"/>
    <d v="2035-08-24T00:00:00"/>
  </r>
  <r>
    <n v="8107"/>
    <x v="1"/>
    <s v="Tech"/>
    <n v="4409.1710758377421"/>
    <d v="2035-08-25T00:00:00"/>
  </r>
  <r>
    <n v="8108"/>
    <x v="0"/>
    <s v="OFM"/>
    <n v="17.235436056532226"/>
    <d v="2035-08-26T00:00:00"/>
  </r>
  <r>
    <n v="8109"/>
    <x v="2"/>
    <s v="Apps"/>
    <n v="423.59419675950437"/>
    <d v="2035-08-27T00:00:00"/>
  </r>
  <r>
    <n v="8110"/>
    <x v="0"/>
    <s v="Apps"/>
    <n v="154.03573629081947"/>
    <d v="2035-08-28T00:00:00"/>
  </r>
  <r>
    <n v="8111"/>
    <x v="0"/>
    <s v="Tech"/>
    <n v="64.24010381200776"/>
    <d v="2035-08-29T00:00:00"/>
  </r>
  <r>
    <n v="8112"/>
    <x v="4"/>
    <s v="Systems"/>
    <n v="13.035685188202706"/>
    <d v="2035-08-30T00:00:00"/>
  </r>
  <r>
    <n v="8113"/>
    <x v="2"/>
    <s v="Apps"/>
    <n v="158.84782378481412"/>
    <d v="2035-08-31T00:00:00"/>
  </r>
  <r>
    <n v="8114"/>
    <x v="4"/>
    <s v="Tech"/>
    <n v="16.294606485253382"/>
    <d v="2035-09-01T00:00:00"/>
  </r>
  <r>
    <n v="8115"/>
    <x v="4"/>
    <s v="Tech"/>
    <n v="11.375"/>
    <d v="2035-09-02T00:00:00"/>
  </r>
  <r>
    <n v="8116"/>
    <x v="4"/>
    <s v="Tech"/>
    <n v="100"/>
    <d v="2035-09-03T00:00:00"/>
  </r>
  <r>
    <n v="8117"/>
    <x v="0"/>
    <s v="Systems"/>
    <n v="64.24010381200776"/>
    <d v="2035-09-04T00:00:00"/>
  </r>
  <r>
    <n v="8118"/>
    <x v="2"/>
    <s v="OFM"/>
    <n v="105.89854918987609"/>
    <d v="2035-09-05T00:00:00"/>
  </r>
  <r>
    <n v="8119"/>
    <x v="1"/>
    <s v="Apps"/>
    <n v="220.45855379188714"/>
    <d v="2035-09-06T00:00:00"/>
  </r>
  <r>
    <n v="8120"/>
    <x v="2"/>
    <s v="Apps"/>
    <n v="275"/>
    <d v="2035-09-07T00:00:00"/>
  </r>
  <r>
    <n v="8121"/>
    <x v="2"/>
    <s v="OFM"/>
    <n v="52.949274594938046"/>
    <d v="2035-09-08T00:00:00"/>
  </r>
  <r>
    <n v="8122"/>
    <x v="4"/>
    <s v="Tech"/>
    <n v="30.875"/>
    <d v="2035-09-09T00:00:00"/>
  </r>
  <r>
    <n v="8123"/>
    <x v="2"/>
    <s v="Apps"/>
    <n v="105.89854918987609"/>
    <d v="2035-09-10T00:00:00"/>
  </r>
  <r>
    <n v="8124"/>
    <x v="0"/>
    <s v="Tech"/>
    <n v="86.177180282661155"/>
    <d v="2035-09-11T00:00:00"/>
  </r>
  <r>
    <n v="8125"/>
    <x v="0"/>
    <s v="Other"/>
    <n v="154.03573629081947"/>
    <d v="2035-09-12T00:00:00"/>
  </r>
  <r>
    <n v="8126"/>
    <x v="0"/>
    <s v="Systems"/>
    <n v="46.210720887245841"/>
    <d v="2035-09-13T00:00:00"/>
  </r>
  <r>
    <n v="8127"/>
    <x v="2"/>
    <s v="Apps"/>
    <n v="810.30710639332301"/>
    <d v="2035-09-14T00:00:00"/>
  </r>
  <r>
    <n v="8128"/>
    <x v="4"/>
    <s v="Tech"/>
    <n v="97.767638911520294"/>
    <d v="2035-09-15T00:00:00"/>
  </r>
  <r>
    <n v="8129"/>
    <x v="4"/>
    <s v="Tech"/>
    <n v="11.375"/>
    <d v="2035-09-16T00:00:00"/>
  </r>
  <r>
    <n v="8130"/>
    <x v="0"/>
    <s v="Systems"/>
    <n v="12.848020762401553"/>
    <d v="2035-09-17T00:00:00"/>
  </r>
  <r>
    <n v="8131"/>
    <x v="2"/>
    <s v="OFM"/>
    <n v="52.949274594938046"/>
    <d v="2035-09-18T00:00:00"/>
  </r>
  <r>
    <n v="8132"/>
    <x v="0"/>
    <s v="Tech"/>
    <n v="31.467183729748363"/>
    <d v="2035-09-19T00:00:00"/>
  </r>
  <r>
    <n v="8133"/>
    <x v="0"/>
    <s v="Tech"/>
    <n v="27.635835699510491"/>
    <d v="2035-09-20T00:00:00"/>
  </r>
  <r>
    <n v="8134"/>
    <x v="0"/>
    <s v="Systems"/>
    <n v="38.54406228720466"/>
    <d v="2035-09-21T00:00:00"/>
  </r>
  <r>
    <n v="8135"/>
    <x v="2"/>
    <s v="OFM"/>
    <n v="52.949274594938046"/>
    <d v="2035-09-22T00:00:00"/>
  </r>
  <r>
    <n v="8136"/>
    <x v="2"/>
    <s v="Tech"/>
    <n v="63.539129513925651"/>
    <d v="2035-09-23T00:00:00"/>
  </r>
  <r>
    <n v="8137"/>
    <x v="0"/>
    <s v="Tech"/>
    <n v="25.696041524803107"/>
    <d v="2035-09-24T00:00:00"/>
  </r>
  <r>
    <n v="8138"/>
    <x v="4"/>
    <s v="Systems"/>
    <n v="98.712135669959252"/>
    <d v="2035-09-25T00:00:00"/>
  </r>
  <r>
    <n v="8139"/>
    <x v="4"/>
    <s v="Systems"/>
    <n v="98.712135669959252"/>
    <d v="2035-09-26T00:00:00"/>
  </r>
  <r>
    <n v="8140"/>
    <x v="4"/>
    <s v="Tech"/>
    <n v="150"/>
    <d v="2035-09-27T00:00:00"/>
  </r>
  <r>
    <n v="8141"/>
    <x v="0"/>
    <s v="Systems"/>
    <n v="66.235366605052377"/>
    <d v="2035-09-28T00:00:00"/>
  </r>
  <r>
    <n v="8142"/>
    <x v="0"/>
    <s v="Systems"/>
    <n v="7.7017868145409736"/>
    <d v="2035-09-29T00:00:00"/>
  </r>
  <r>
    <n v="8143"/>
    <x v="0"/>
    <s v="Tech"/>
    <n v="44.968072668405433"/>
    <d v="2035-09-30T00:00:00"/>
  </r>
  <r>
    <n v="8144"/>
    <x v="0"/>
    <s v="Systems"/>
    <n v="38.54406228720466"/>
    <d v="2035-10-01T00:00:00"/>
  </r>
  <r>
    <n v="8145"/>
    <x v="4"/>
    <s v="Apps"/>
    <n v="41.130056529149691"/>
    <d v="2035-10-02T00:00:00"/>
  </r>
  <r>
    <n v="8146"/>
    <x v="4"/>
    <s v="Apps"/>
    <n v="74.034101752469454"/>
    <d v="2035-10-03T00:00:00"/>
  </r>
  <r>
    <n v="8147"/>
    <x v="0"/>
    <s v="Tech"/>
    <n v="27.635835699510491"/>
    <d v="2035-10-04T00:00:00"/>
  </r>
  <r>
    <n v="8148"/>
    <x v="0"/>
    <s v="Systems"/>
    <n v="3080.7147258163895"/>
    <d v="2035-10-05T00:00:00"/>
  </r>
  <r>
    <n v="8149"/>
    <x v="0"/>
    <s v="Tech"/>
    <n v="61.614294516327789"/>
    <d v="2035-10-06T00:00:00"/>
  </r>
  <r>
    <n v="8150"/>
    <x v="2"/>
    <s v="Apps"/>
    <n v="81.030710639332298"/>
    <d v="2035-10-07T00:00:00"/>
  </r>
  <r>
    <n v="8151"/>
    <x v="0"/>
    <s v="Tech"/>
    <n v="9.4408135125818688"/>
    <d v="2035-10-08T00:00:00"/>
  </r>
  <r>
    <n v="8152"/>
    <x v="2"/>
    <s v="Systems"/>
    <n v="52.949274594938046"/>
    <d v="2035-10-09T00:00:00"/>
  </r>
  <r>
    <n v="8153"/>
    <x v="1"/>
    <s v="Tech"/>
    <n v="97.934215167548501"/>
    <d v="2035-10-10T00:00:00"/>
  </r>
  <r>
    <n v="8154"/>
    <x v="1"/>
    <s v="Apps"/>
    <n v="55.114638447971785"/>
    <d v="2035-10-11T00:00:00"/>
  </r>
  <r>
    <n v="8155"/>
    <x v="1"/>
    <s v="Apps"/>
    <n v="8.8183421516754841"/>
    <d v="2035-10-12T00:00:00"/>
  </r>
  <r>
    <n v="8156"/>
    <x v="2"/>
    <s v="Apps"/>
    <n v="622.68346923647141"/>
    <d v="2035-10-13T00:00:00"/>
  </r>
  <r>
    <n v="8157"/>
    <x v="2"/>
    <s v="OFM"/>
    <n v="52.949274594938046"/>
    <d v="2035-10-14T00:00:00"/>
  </r>
  <r>
    <n v="8158"/>
    <x v="2"/>
    <s v="Tech"/>
    <n v="31.769564756962826"/>
    <d v="2035-10-15T00:00:00"/>
  </r>
  <r>
    <n v="8159"/>
    <x v="0"/>
    <s v="Apps"/>
    <n v="128.48020762401552"/>
    <d v="2035-10-16T00:00:00"/>
  </r>
  <r>
    <n v="8160"/>
    <x v="0"/>
    <s v="Apps"/>
    <n v="128.48020762401552"/>
    <d v="2035-10-17T00:00:00"/>
  </r>
  <r>
    <n v="8161"/>
    <x v="0"/>
    <s v="Apps"/>
    <n v="128.48020762401552"/>
    <d v="2035-10-18T00:00:00"/>
  </r>
  <r>
    <n v="8162"/>
    <x v="4"/>
    <s v="Systems"/>
    <n v="32.904045223319756"/>
    <d v="2035-10-19T00:00:00"/>
  </r>
  <r>
    <n v="8163"/>
    <x v="0"/>
    <s v="Systems"/>
    <n v="124.09513960703205"/>
    <d v="2035-10-20T00:00:00"/>
  </r>
  <r>
    <n v="8164"/>
    <x v="2"/>
    <s v="Tech"/>
    <n v="158.84782378481412"/>
    <d v="2035-10-21T00:00:00"/>
  </r>
  <r>
    <n v="8165"/>
    <x v="4"/>
    <s v="Tech"/>
    <n v="27.681929281407854"/>
    <d v="2035-10-22T00:00:00"/>
  </r>
  <r>
    <n v="8166"/>
    <x v="4"/>
    <s v="Systems"/>
    <n v="120.3659123736158"/>
    <d v="2035-10-23T00:00:00"/>
  </r>
  <r>
    <n v="8167"/>
    <x v="4"/>
    <s v="Systems"/>
    <n v="240.7318247472316"/>
    <d v="2035-10-24T00:00:00"/>
  </r>
  <r>
    <n v="8168"/>
    <x v="1"/>
    <s v="Apps"/>
    <n v="99.206349206349202"/>
    <d v="2035-10-25T00:00:00"/>
  </r>
  <r>
    <n v="8169"/>
    <x v="4"/>
    <s v="Tech"/>
    <n v="26.323236178655804"/>
    <d v="2035-10-26T00:00:00"/>
  </r>
  <r>
    <n v="8170"/>
    <x v="4"/>
    <s v="Systems"/>
    <n v="23.032831656323829"/>
    <d v="2035-10-27T00:00:00"/>
  </r>
  <r>
    <n v="8171"/>
    <x v="4"/>
    <s v="Systems"/>
    <n v="92.131326625295316"/>
    <d v="2035-10-28T00:00:00"/>
  </r>
  <r>
    <n v="8172"/>
    <x v="4"/>
    <s v="Systems"/>
    <n v="28.085379553843687"/>
    <d v="2035-10-29T00:00:00"/>
  </r>
  <r>
    <n v="8173"/>
    <x v="2"/>
    <s v="Systems"/>
    <n v="105.89854918987609"/>
    <d v="2035-10-30T00:00:00"/>
  </r>
  <r>
    <n v="8174"/>
    <x v="0"/>
    <s v="Tech"/>
    <n v="23.567467652495381"/>
    <d v="2035-10-31T00:00:00"/>
  </r>
  <r>
    <n v="8175"/>
    <x v="0"/>
    <s v="Systems"/>
    <n v="77.088124574409321"/>
    <d v="2035-11-01T00:00:00"/>
  </r>
  <r>
    <n v="8176"/>
    <x v="1"/>
    <s v="Tech"/>
    <n v="55.114638447971785"/>
    <d v="2035-11-02T00:00:00"/>
  </r>
  <r>
    <n v="8177"/>
    <x v="0"/>
    <s v="Tech"/>
    <n v="155.11892450879009"/>
    <d v="2035-11-03T00:00:00"/>
  </r>
  <r>
    <n v="8178"/>
    <x v="4"/>
    <s v="Tech"/>
    <n v="283.78595404920969"/>
    <d v="2035-11-04T00:00:00"/>
  </r>
  <r>
    <n v="8179"/>
    <x v="4"/>
    <s v="Tech"/>
    <n v="467.23744217114051"/>
    <d v="2035-11-05T00:00:00"/>
  </r>
  <r>
    <n v="8180"/>
    <x v="2"/>
    <s v="Apps"/>
    <n v="203.48406226834692"/>
    <d v="2035-11-06T00:00:00"/>
  </r>
  <r>
    <n v="8181"/>
    <x v="4"/>
    <s v="OFM"/>
    <n v="160.48788316482106"/>
    <d v="2035-11-07T00:00:00"/>
  </r>
  <r>
    <n v="8182"/>
    <x v="2"/>
    <s v="Apps"/>
    <n v="317.69564756962825"/>
    <d v="2035-11-08T00:00:00"/>
  </r>
  <r>
    <n v="8183"/>
    <x v="2"/>
    <s v="Apps"/>
    <n v="132.37318648734512"/>
    <d v="2035-11-09T00:00:00"/>
  </r>
  <r>
    <n v="8184"/>
    <x v="0"/>
    <s v="Systems"/>
    <n v="17.235436056532226"/>
    <d v="2035-11-10T00:00:00"/>
  </r>
  <r>
    <n v="8185"/>
    <x v="0"/>
    <s v="Systems"/>
    <n v="32.12005190600388"/>
    <d v="2035-11-11T00:00:00"/>
  </r>
  <r>
    <n v="8186"/>
    <x v="0"/>
    <s v="Systems"/>
    <n v="30.807147258163894"/>
    <d v="2035-11-12T00:00:00"/>
  </r>
  <r>
    <n v="8187"/>
    <x v="2"/>
    <s v="Apps"/>
    <n v="87.419252356242723"/>
    <d v="2035-11-13T00:00:00"/>
  </r>
  <r>
    <n v="8188"/>
    <x v="2"/>
    <s v="Apps"/>
    <n v="63.581488933601605"/>
    <d v="2035-11-14T00:00:00"/>
  </r>
  <r>
    <n v="8189"/>
    <x v="0"/>
    <s v="Systems"/>
    <n v="84.719654959950716"/>
    <d v="2035-11-15T00:00:00"/>
  </r>
  <r>
    <n v="8190"/>
    <x v="3"/>
    <s v="Tech"/>
    <n v="91.585994669695125"/>
    <d v="2035-11-16T00:00:00"/>
  </r>
  <r>
    <n v="8191"/>
    <x v="0"/>
    <s v="Tech"/>
    <n v="17.235436056532226"/>
    <d v="2035-11-17T00:00:00"/>
  </r>
  <r>
    <n v="8192"/>
    <x v="0"/>
    <s v="Tech"/>
    <n v="327.47328507411237"/>
    <d v="2035-11-18T00:00:00"/>
  </r>
  <r>
    <n v="8193"/>
    <x v="0"/>
    <s v="Apps"/>
    <n v="92.421441774491683"/>
    <d v="2035-11-19T00:00:00"/>
  </r>
  <r>
    <n v="8194"/>
    <x v="0"/>
    <s v="Systems"/>
    <n v="30.807147258163894"/>
    <d v="2035-11-20T00:00:00"/>
  </r>
  <r>
    <n v="8195"/>
    <x v="0"/>
    <s v="Systems"/>
    <n v="77.017868145409736"/>
    <d v="2035-11-21T00:00:00"/>
  </r>
  <r>
    <n v="8196"/>
    <x v="0"/>
    <s v="Systems"/>
    <n v="41.365046535677351"/>
    <d v="2035-11-22T00:00:00"/>
  </r>
  <r>
    <n v="8197"/>
    <x v="0"/>
    <s v="Apps"/>
    <n v="53.912507701786815"/>
    <d v="2035-11-23T00:00:00"/>
  </r>
  <r>
    <n v="8198"/>
    <x v="0"/>
    <s v="Tech"/>
    <n v="30.807147258163894"/>
    <d v="2035-11-24T00:00:00"/>
  </r>
  <r>
    <n v="8199"/>
    <x v="0"/>
    <s v="Apps"/>
    <n v="123.22858903265558"/>
    <d v="2035-11-25T00:00:00"/>
  </r>
  <r>
    <n v="8200"/>
    <x v="0"/>
    <s v="Systems"/>
    <n v="39.741219963031419"/>
    <d v="2035-11-26T00:00:00"/>
  </r>
  <r>
    <n v="8201"/>
    <x v="0"/>
    <s v="Tech"/>
    <n v="77.017868145409736"/>
    <d v="2035-11-27T00:00:00"/>
  </r>
  <r>
    <n v="8202"/>
    <x v="0"/>
    <s v="Systems"/>
    <n v="154.03573629081947"/>
    <d v="2035-11-28T00:00:00"/>
  </r>
  <r>
    <n v="8203"/>
    <x v="0"/>
    <s v="Systems"/>
    <n v="107.82501540357363"/>
    <d v="2035-11-29T00:00:00"/>
  </r>
  <r>
    <n v="8204"/>
    <x v="0"/>
    <s v="Systems"/>
    <n v="61.614294516327789"/>
    <d v="2035-11-30T00:00:00"/>
  </r>
  <r>
    <n v="8205"/>
    <x v="0"/>
    <s v="Systems"/>
    <n v="107.82501540357363"/>
    <d v="2035-12-01T00:00:00"/>
  </r>
  <r>
    <n v="8206"/>
    <x v="0"/>
    <s v="Systems"/>
    <n v="30.807147258163894"/>
    <d v="2035-12-02T00:00:00"/>
  </r>
  <r>
    <n v="8207"/>
    <x v="0"/>
    <s v="Systems"/>
    <n v="30.807147258163894"/>
    <d v="2035-12-03T00:00:00"/>
  </r>
  <r>
    <n v="8208"/>
    <x v="0"/>
    <s v="OFM"/>
    <n v="53.912507701786815"/>
    <d v="2035-12-04T00:00:00"/>
  </r>
  <r>
    <n v="8209"/>
    <x v="4"/>
    <s v="Tech"/>
    <n v="61.75"/>
    <d v="2035-12-05T00:00:00"/>
  </r>
  <r>
    <n v="8210"/>
    <x v="3"/>
    <s v="Tech"/>
    <n v="183.17198933939025"/>
    <d v="2035-12-06T00:00:00"/>
  </r>
  <r>
    <n v="8211"/>
    <x v="3"/>
    <s v="Tech"/>
    <n v="91.585994669695125"/>
    <d v="2035-12-07T00:00:00"/>
  </r>
  <r>
    <n v="8212"/>
    <x v="2"/>
    <s v="Apps"/>
    <n v="76.297786720321938"/>
    <d v="2035-12-08T00:00:00"/>
  </r>
  <r>
    <n v="8213"/>
    <x v="3"/>
    <s v="Tech"/>
    <n v="45.792997334847563"/>
    <d v="2035-12-09T00:00:00"/>
  </r>
  <r>
    <n v="8214"/>
    <x v="3"/>
    <s v="OFM"/>
    <n v="73.2687957357561"/>
    <d v="2035-12-10T00:00:00"/>
  </r>
  <r>
    <n v="8215"/>
    <x v="3"/>
    <s v="OFM"/>
    <n v="73.2687957357561"/>
    <d v="2035-12-11T00:00:00"/>
  </r>
  <r>
    <n v="8216"/>
    <x v="3"/>
    <s v="Tech"/>
    <n v="109.90319360363415"/>
    <d v="2035-12-12T00:00:00"/>
  </r>
  <r>
    <n v="8217"/>
    <x v="3"/>
    <s v="Tech"/>
    <n v="85.358147032155841"/>
    <d v="2035-12-13T00:00:00"/>
  </r>
  <r>
    <n v="8218"/>
    <x v="1"/>
    <s v="Tech"/>
    <n v="284.52460317460321"/>
    <d v="2035-12-14T00:00:00"/>
  </r>
  <r>
    <n v="8219"/>
    <x v="1"/>
    <s v="Apps"/>
    <n v="154.32098765432099"/>
    <d v="2035-12-15T00:00:00"/>
  </r>
  <r>
    <n v="8220"/>
    <x v="4"/>
    <s v="Systems"/>
    <n v="13.035685188202706"/>
    <d v="2035-12-16T00:00:00"/>
  </r>
  <r>
    <n v="8221"/>
    <x v="4"/>
    <s v="Tech"/>
    <n v="200"/>
    <d v="2035-12-17T00:00:00"/>
  </r>
  <r>
    <n v="8222"/>
    <x v="4"/>
    <s v="OFM"/>
    <n v="40.121970791205264"/>
    <d v="2035-12-18T00:00:00"/>
  </r>
  <r>
    <n v="8223"/>
    <x v="0"/>
    <s v="Apps"/>
    <n v="77.088124574409321"/>
    <d v="2035-12-19T00:00:00"/>
  </r>
  <r>
    <n v="8224"/>
    <x v="0"/>
    <s v="Tech"/>
    <n v="30.807147258163894"/>
    <d v="2035-12-20T00:00:00"/>
  </r>
  <r>
    <n v="8225"/>
    <x v="1"/>
    <s v="Tech"/>
    <n v="99.206349206349202"/>
    <d v="2035-12-21T00:00:00"/>
  </r>
  <r>
    <n v="8226"/>
    <x v="0"/>
    <s v="Tech"/>
    <n v="51.706308169596689"/>
    <d v="2035-12-22T00:00:00"/>
  </r>
  <r>
    <n v="8227"/>
    <x v="4"/>
    <s v="Tech"/>
    <n v="131.61618089327902"/>
    <d v="2035-12-23T00:00:00"/>
  </r>
  <r>
    <n v="8228"/>
    <x v="2"/>
    <s v="Apps"/>
    <n v="52.949274594938046"/>
    <d v="2035-12-24T00:00:00"/>
  </r>
  <r>
    <n v="8229"/>
    <x v="2"/>
    <s v="Apps"/>
    <n v="52.949274594938046"/>
    <d v="2035-12-25T00:00:00"/>
  </r>
  <r>
    <n v="8230"/>
    <x v="2"/>
    <s v="Apps"/>
    <n v="31.769564756962826"/>
    <d v="2035-12-26T00:00:00"/>
  </r>
  <r>
    <n v="8231"/>
    <x v="0"/>
    <s v="Tech"/>
    <n v="84.719654959950716"/>
    <d v="2035-12-27T00:00:00"/>
  </r>
  <r>
    <n v="8232"/>
    <x v="2"/>
    <s v="Apps"/>
    <n v="42.359419675950441"/>
    <d v="2035-12-28T00:00:00"/>
  </r>
  <r>
    <n v="8233"/>
    <x v="2"/>
    <s v="Apps"/>
    <n v="52.949274594938046"/>
    <d v="2035-12-29T00:00:00"/>
  </r>
  <r>
    <n v="8234"/>
    <x v="2"/>
    <s v="Tech"/>
    <n v="52.949274594938046"/>
    <d v="2035-12-30T00:00:00"/>
  </r>
  <r>
    <n v="8235"/>
    <x v="2"/>
    <s v="Tech"/>
    <n v="58.244202054431852"/>
    <d v="2035-12-31T00:00:00"/>
  </r>
  <r>
    <n v="8236"/>
    <x v="2"/>
    <s v="Tech"/>
    <n v="63.539129513925651"/>
    <d v="2036-01-01T00:00:00"/>
  </r>
  <r>
    <n v="8237"/>
    <x v="2"/>
    <s v="Tech"/>
    <n v="42.359419675950441"/>
    <d v="2036-01-02T00:00:00"/>
  </r>
  <r>
    <n v="8238"/>
    <x v="2"/>
    <s v="Apps"/>
    <n v="52.949274594938046"/>
    <d v="2036-01-03T00:00:00"/>
  </r>
  <r>
    <n v="8239"/>
    <x v="0"/>
    <s v="Tech"/>
    <n v="258.49431230610134"/>
    <d v="2036-01-04T00:00:00"/>
  </r>
  <r>
    <n v="8240"/>
    <x v="0"/>
    <s v="Systems"/>
    <n v="20.556833219842485"/>
    <d v="2036-01-05T00:00:00"/>
  </r>
  <r>
    <n v="8241"/>
    <x v="0"/>
    <s v="Tech"/>
    <n v="12.848020762401553"/>
    <d v="2036-01-06T00:00:00"/>
  </r>
  <r>
    <n v="8242"/>
    <x v="1"/>
    <s v="Apps"/>
    <n v="44.091710758377424"/>
    <d v="2036-01-07T00:00:00"/>
  </r>
  <r>
    <n v="8243"/>
    <x v="4"/>
    <s v="Tech"/>
    <n v="400"/>
    <d v="2036-01-08T00:00:00"/>
  </r>
  <r>
    <n v="8244"/>
    <x v="2"/>
    <s v="Apps"/>
    <n v="105.89854918987609"/>
    <d v="2036-01-09T00:00:00"/>
  </r>
  <r>
    <n v="8245"/>
    <x v="2"/>
    <s v="Apps"/>
    <n v="211.79709837975219"/>
    <d v="2036-01-10T00:00:00"/>
  </r>
  <r>
    <n v="8246"/>
    <x v="2"/>
    <s v="Systems"/>
    <n v="90.013766811394689"/>
    <d v="2036-01-11T00:00:00"/>
  </r>
  <r>
    <n v="8247"/>
    <x v="2"/>
    <s v="Systems"/>
    <n v="349.46521232659114"/>
    <d v="2036-01-12T00:00:00"/>
  </r>
  <r>
    <n v="8248"/>
    <x v="2"/>
    <s v="OFM"/>
    <n v="105.89854918987609"/>
    <d v="2036-01-13T00:00:00"/>
  </r>
  <r>
    <n v="8249"/>
    <x v="0"/>
    <s v="Tech"/>
    <n v="184.45492271915512"/>
    <d v="2036-01-14T00:00:00"/>
  </r>
  <r>
    <n v="8250"/>
    <x v="0"/>
    <s v="Systems"/>
    <n v="128.48020762401552"/>
    <d v="2036-01-15T00:00:00"/>
  </r>
  <r>
    <n v="8251"/>
    <x v="4"/>
    <s v="Tech"/>
    <n v="200"/>
    <d v="2036-01-16T00:00:00"/>
  </r>
  <r>
    <n v="8252"/>
    <x v="2"/>
    <s v="Systems"/>
    <n v="211.79709837975219"/>
    <d v="2036-01-17T00:00:00"/>
  </r>
  <r>
    <n v="8253"/>
    <x v="1"/>
    <s v="Systems"/>
    <n v="158.84782378481412"/>
    <d v="2036-01-18T00:00:00"/>
  </r>
  <r>
    <n v="8254"/>
    <x v="4"/>
    <s v="Systems"/>
    <n v="230.32831656323827"/>
    <d v="2036-01-19T00:00:00"/>
  </r>
  <r>
    <n v="8255"/>
    <x v="0"/>
    <s v="Systems"/>
    <n v="25.696041524803107"/>
    <d v="2036-01-20T00:00:00"/>
  </r>
  <r>
    <n v="8256"/>
    <x v="4"/>
    <s v="Tech"/>
    <n v="22.75"/>
    <d v="2036-01-21T00:00:00"/>
  </r>
  <r>
    <n v="8257"/>
    <x v="1"/>
    <s v="Tech"/>
    <n v="477.91931216931215"/>
    <d v="2036-01-22T00:00:00"/>
  </r>
  <r>
    <n v="8258"/>
    <x v="4"/>
    <s v="Apps"/>
    <n v="100"/>
    <d v="2036-01-23T00:00:00"/>
  </r>
  <r>
    <n v="8259"/>
    <x v="2"/>
    <s v="OFM"/>
    <n v="52.949274594938046"/>
    <d v="2036-01-24T00:00:00"/>
  </r>
  <r>
    <n v="8260"/>
    <x v="2"/>
    <s v="Apps"/>
    <n v="211.79709837975219"/>
    <d v="2036-01-25T00:00:00"/>
  </r>
  <r>
    <n v="8261"/>
    <x v="2"/>
    <s v="Apps"/>
    <n v="63.539129513925651"/>
    <d v="2036-01-26T00:00:00"/>
  </r>
  <r>
    <n v="8262"/>
    <x v="2"/>
    <s v="Tech"/>
    <n v="529.49274594938049"/>
    <d v="2036-01-27T00:00:00"/>
  </r>
  <r>
    <n v="8263"/>
    <x v="4"/>
    <s v="Tech"/>
    <n v="76"/>
    <d v="2036-01-28T00:00:00"/>
  </r>
  <r>
    <n v="8264"/>
    <x v="0"/>
    <s v="Tech"/>
    <n v="53.912507701786815"/>
    <d v="2036-01-29T00:00:00"/>
  </r>
  <r>
    <n v="8265"/>
    <x v="0"/>
    <s v="OFM"/>
    <n v="5"/>
    <d v="2036-01-30T00:00:00"/>
  </r>
  <r>
    <n v="8266"/>
    <x v="4"/>
    <s v="Apps"/>
    <n v="40.141763076421711"/>
    <d v="2036-01-31T00:00:00"/>
  </r>
  <r>
    <n v="8267"/>
    <x v="2"/>
    <s v="OFM"/>
    <n v="211.79709837975219"/>
    <d v="2036-02-01T00:00:00"/>
  </r>
  <r>
    <n v="8268"/>
    <x v="0"/>
    <s v="Apps"/>
    <n v="128.48020762401552"/>
    <d v="2036-02-02T00:00:00"/>
  </r>
  <r>
    <n v="8269"/>
    <x v="4"/>
    <s v="Tech"/>
    <n v="36.194449745651724"/>
    <d v="2036-02-03T00:00:00"/>
  </r>
  <r>
    <n v="8270"/>
    <x v="2"/>
    <s v="OFM"/>
    <n v="317.69564756962825"/>
    <d v="2036-02-04T00:00:00"/>
  </r>
  <r>
    <n v="8271"/>
    <x v="0"/>
    <s v="OFM"/>
    <n v="5"/>
    <d v="2036-02-05T00:00:00"/>
  </r>
  <r>
    <n v="8272"/>
    <x v="1"/>
    <s v="Tech"/>
    <n v="14.550264550264551"/>
    <d v="2036-02-06T00:00:00"/>
  </r>
  <r>
    <n v="8273"/>
    <x v="2"/>
    <s v="Apps"/>
    <n v="211.79709837975219"/>
    <d v="2036-02-07T00:00:00"/>
  </r>
  <r>
    <n v="8274"/>
    <x v="0"/>
    <s v="Tech"/>
    <n v="246.45717806531115"/>
    <d v="2036-02-08T00:00:00"/>
  </r>
  <r>
    <n v="8275"/>
    <x v="0"/>
    <s v="Tech"/>
    <n v="36.628748707342297"/>
    <d v="2036-02-09T00:00:00"/>
  </r>
  <r>
    <n v="8276"/>
    <x v="0"/>
    <s v="Tech"/>
    <n v="551.53395380903123"/>
    <d v="2036-02-10T00:00:00"/>
  </r>
  <r>
    <n v="8277"/>
    <x v="1"/>
    <s v="Tech"/>
    <n v="15.4320987654321"/>
    <d v="2036-02-11T00:00:00"/>
  </r>
  <r>
    <n v="8278"/>
    <x v="2"/>
    <s v="Apps"/>
    <n v="81.030710639332298"/>
    <d v="2036-02-12T00:00:00"/>
  </r>
  <r>
    <n v="8279"/>
    <x v="4"/>
    <s v="Tech"/>
    <n v="26.137852370865247"/>
    <d v="2036-02-13T00:00:00"/>
  </r>
  <r>
    <n v="8280"/>
    <x v="4"/>
    <s v="Tech"/>
    <n v="4.0352778230405741"/>
    <d v="2036-02-14T00:00:00"/>
  </r>
  <r>
    <n v="8281"/>
    <x v="0"/>
    <s v="Tech"/>
    <n v="12.848020762401553"/>
    <d v="2036-02-15T00:00:00"/>
  </r>
  <r>
    <n v="8282"/>
    <x v="4"/>
    <s v="OFM"/>
    <n v="164.52022611659876"/>
    <d v="2036-02-16T00:00:00"/>
  </r>
  <r>
    <n v="8283"/>
    <x v="4"/>
    <s v="Apps"/>
    <n v="75"/>
    <d v="2036-02-17T00:00:00"/>
  </r>
  <r>
    <n v="8284"/>
    <x v="2"/>
    <s v="Apps"/>
    <n v="211.79709837975219"/>
    <d v="2036-02-18T00:00:00"/>
  </r>
  <r>
    <n v="8285"/>
    <x v="0"/>
    <s v="Systems"/>
    <n v="64.24010381200776"/>
    <d v="2036-02-19T00:00:00"/>
  </r>
  <r>
    <n v="8286"/>
    <x v="4"/>
    <s v="Apps"/>
    <n v="100"/>
    <d v="2036-02-20T00:00:00"/>
  </r>
  <r>
    <n v="8287"/>
    <x v="4"/>
    <s v="OFM"/>
    <n v="100"/>
    <d v="2036-02-21T00:00:00"/>
  </r>
  <r>
    <n v="8288"/>
    <x v="4"/>
    <s v="OFM"/>
    <n v="70"/>
    <d v="2036-02-22T00:00:00"/>
  </r>
  <r>
    <n v="8289"/>
    <x v="4"/>
    <s v="Tech"/>
    <n v="40.950000000000003"/>
    <d v="2036-02-23T00:00:00"/>
  </r>
  <r>
    <n v="8290"/>
    <x v="4"/>
    <s v="Tech"/>
    <n v="1102.2927689594355"/>
    <d v="2036-02-24T00:00:00"/>
  </r>
  <r>
    <n v="8291"/>
    <x v="0"/>
    <s v="OFM"/>
    <n v="44.968072668405433"/>
    <d v="2036-02-25T00:00:00"/>
  </r>
  <r>
    <n v="8292"/>
    <x v="0"/>
    <s v="Systems"/>
    <n v="68.941744226128904"/>
    <d v="2036-02-26T00:00:00"/>
  </r>
  <r>
    <n v="8293"/>
    <x v="0"/>
    <s v="OFM"/>
    <n v="70.664114193208547"/>
    <d v="2036-02-27T00:00:00"/>
  </r>
  <r>
    <n v="8294"/>
    <x v="0"/>
    <s v="Systems"/>
    <n v="77.017868145409736"/>
    <d v="2036-02-28T00:00:00"/>
  </r>
  <r>
    <n v="8295"/>
    <x v="0"/>
    <s v="Systems"/>
    <n v="46.210720887245841"/>
    <d v="2036-02-29T00:00:00"/>
  </r>
  <r>
    <n v="8296"/>
    <x v="0"/>
    <s v="Systems"/>
    <n v="23.105360443622921"/>
    <d v="2036-03-01T00:00:00"/>
  </r>
  <r>
    <n v="8297"/>
    <x v="1"/>
    <s v="Tech"/>
    <n v="66.137566137566139"/>
    <d v="2036-03-02T00:00:00"/>
  </r>
  <r>
    <n v="8298"/>
    <x v="0"/>
    <s v="Tech"/>
    <n v="46.210720887245841"/>
    <d v="2036-03-03T00:00:00"/>
  </r>
  <r>
    <n v="8299"/>
    <x v="0"/>
    <s v="Tech"/>
    <n v="77.017868145409736"/>
    <d v="2036-03-04T00:00:00"/>
  </r>
  <r>
    <n v="8300"/>
    <x v="0"/>
    <s v="Systems"/>
    <n v="123.22858903265558"/>
    <d v="2036-03-05T00:00:00"/>
  </r>
  <r>
    <n v="8301"/>
    <x v="0"/>
    <s v="OFM"/>
    <n v="46.210720887245841"/>
    <d v="2036-03-06T00:00:00"/>
  </r>
  <r>
    <n v="8302"/>
    <x v="0"/>
    <s v="Tech"/>
    <n v="53.912507701786815"/>
    <d v="2036-03-07T00:00:00"/>
  </r>
  <r>
    <n v="8303"/>
    <x v="0"/>
    <s v="Systems"/>
    <n v="46.210720887245841"/>
    <d v="2036-03-08T00:00:00"/>
  </r>
  <r>
    <n v="8304"/>
    <x v="0"/>
    <s v="Systems"/>
    <n v="23.105360443622921"/>
    <d v="2036-03-09T00:00:00"/>
  </r>
  <r>
    <n v="8305"/>
    <x v="0"/>
    <s v="Tech"/>
    <n v="43.130006161429456"/>
    <d v="2036-03-10T00:00:00"/>
  </r>
  <r>
    <n v="8306"/>
    <x v="0"/>
    <s v="Systems"/>
    <n v="17.235436056532226"/>
    <d v="2036-03-11T00:00:00"/>
  </r>
  <r>
    <n v="8307"/>
    <x v="0"/>
    <s v="Systems"/>
    <n v="30.807147258163894"/>
    <d v="2036-03-12T00:00:00"/>
  </r>
  <r>
    <n v="8308"/>
    <x v="4"/>
    <s v="Tech"/>
    <n v="32.589212970506765"/>
    <d v="2036-03-13T00:00:00"/>
  </r>
  <r>
    <n v="8309"/>
    <x v="4"/>
    <s v="Tech"/>
    <n v="987.12135669959264"/>
    <d v="2036-03-14T00:00:00"/>
  </r>
  <r>
    <n v="8310"/>
    <x v="1"/>
    <s v="Tech"/>
    <n v="26.455026455026456"/>
    <d v="2036-03-15T00:00:00"/>
  </r>
  <r>
    <n v="8311"/>
    <x v="1"/>
    <s v="Tech"/>
    <n v="176.3668430335097"/>
    <d v="2036-03-16T00:00:00"/>
  </r>
  <r>
    <n v="8312"/>
    <x v="0"/>
    <s v="OFM"/>
    <n v="192.72031143602331"/>
    <d v="2036-03-17T00:00:00"/>
  </r>
  <r>
    <n v="8313"/>
    <x v="1"/>
    <s v="Tech"/>
    <n v="771.60493827160496"/>
    <d v="2036-03-18T00:00:00"/>
  </r>
  <r>
    <n v="8314"/>
    <x v="3"/>
    <s v="OFM"/>
    <n v="62"/>
    <d v="2036-03-19T00:00:00"/>
  </r>
  <r>
    <n v="8315"/>
    <x v="3"/>
    <s v="OFM"/>
    <n v="62"/>
    <d v="2036-03-20T00:00:00"/>
  </r>
  <r>
    <n v="8316"/>
    <x v="1"/>
    <s v="OFM"/>
    <n v="34"/>
    <d v="2036-03-21T00:00:00"/>
  </r>
  <r>
    <n v="8317"/>
    <x v="4"/>
    <s v="Other"/>
    <n v="22.970551752653101"/>
    <d v="2036-03-22T00:00:00"/>
  </r>
  <r>
    <n v="8318"/>
    <x v="0"/>
    <s v="OFM"/>
    <n v="15.511892450879007"/>
    <d v="2036-03-23T00:00:00"/>
  </r>
  <r>
    <n v="8319"/>
    <x v="4"/>
    <s v="Apps"/>
    <n v="82.260113058299382"/>
    <d v="2036-03-24T00:00:00"/>
  </r>
  <r>
    <n v="8320"/>
    <x v="0"/>
    <s v="Systems"/>
    <n v="64.24010381200776"/>
    <d v="2036-03-25T00:00:00"/>
  </r>
  <r>
    <n v="8321"/>
    <x v="4"/>
    <s v="Tech"/>
    <n v="141.89278148932706"/>
    <d v="2036-03-26T00:00:00"/>
  </r>
  <r>
    <n v="8322"/>
    <x v="2"/>
    <s v="Apps"/>
    <n v="105.89854918987609"/>
    <d v="2036-03-27T00:00:00"/>
  </r>
  <r>
    <n v="8323"/>
    <x v="2"/>
    <s v="Apps"/>
    <n v="105.89854918987609"/>
    <d v="2036-03-28T00:00:00"/>
  </r>
  <r>
    <n v="8324"/>
    <x v="2"/>
    <s v="Apps"/>
    <n v="264.74637297469025"/>
    <d v="2036-03-29T00:00:00"/>
  </r>
  <r>
    <n v="8325"/>
    <x v="4"/>
    <s v="Apps"/>
    <n v="200"/>
    <d v="2036-03-30T00:00:00"/>
  </r>
  <r>
    <n v="8326"/>
    <x v="4"/>
    <s v="Systems"/>
    <n v="120.3659123736158"/>
    <d v="2036-03-31T00:00:00"/>
  </r>
  <r>
    <n v="8327"/>
    <x v="2"/>
    <s v="Apps"/>
    <n v="158.84782378481412"/>
    <d v="2036-04-01T00:00:00"/>
  </r>
  <r>
    <n v="8328"/>
    <x v="0"/>
    <s v="OFM"/>
    <n v="60.385697583287296"/>
    <d v="2036-04-02T00:00:00"/>
  </r>
  <r>
    <n v="8329"/>
    <x v="1"/>
    <s v="Tech"/>
    <n v="195.868430335097"/>
    <d v="2036-04-03T00:00:00"/>
  </r>
  <r>
    <n v="8330"/>
    <x v="3"/>
    <s v="Tech"/>
    <n v="5.4951596801817068E-5"/>
    <d v="2036-04-04T00:00:00"/>
  </r>
  <r>
    <n v="8331"/>
    <x v="1"/>
    <s v="Tech"/>
    <n v="238.0952380952381"/>
    <d v="2036-04-05T00:00:00"/>
  </r>
  <r>
    <n v="8332"/>
    <x v="1"/>
    <s v="Tech"/>
    <n v="12.628417107583775"/>
    <d v="2036-04-06T00:00:00"/>
  </r>
  <r>
    <n v="8333"/>
    <x v="0"/>
    <s v="Tech"/>
    <n v="62.047569803516026"/>
    <d v="2036-04-07T00:00:00"/>
  </r>
  <r>
    <n v="8334"/>
    <x v="4"/>
    <s v="Tech"/>
    <n v="1.75"/>
    <d v="2036-04-08T00:00:00"/>
  </r>
  <r>
    <n v="8335"/>
    <x v="4"/>
    <s v="Tech"/>
    <n v="1.75"/>
    <d v="2036-04-09T00:00:00"/>
  </r>
  <r>
    <n v="8336"/>
    <x v="1"/>
    <s v="Apps"/>
    <n v="661.37566137566137"/>
    <d v="2036-04-10T00:00:00"/>
  </r>
  <r>
    <n v="8337"/>
    <x v="0"/>
    <s v="Systems"/>
    <n v="61.614294516327789"/>
    <d v="2036-04-11T00:00:00"/>
  </r>
  <r>
    <n v="8338"/>
    <x v="4"/>
    <s v="Tech"/>
    <n v="3.7850875178021779"/>
    <d v="2036-04-12T00:00:00"/>
  </r>
  <r>
    <n v="8339"/>
    <x v="4"/>
    <s v="Tech"/>
    <n v="150"/>
    <d v="2036-04-13T00:00:00"/>
  </r>
  <r>
    <n v="8340"/>
    <x v="4"/>
    <s v="Tech"/>
    <n v="70"/>
    <d v="2036-04-14T00:00:00"/>
  </r>
  <r>
    <n v="8341"/>
    <x v="4"/>
    <s v="OFM"/>
    <n v="150"/>
    <d v="2036-04-15T00:00:00"/>
  </r>
  <r>
    <n v="8342"/>
    <x v="4"/>
    <s v="OFM"/>
    <n v="150"/>
    <d v="2036-04-16T00:00:00"/>
  </r>
  <r>
    <n v="8343"/>
    <x v="4"/>
    <s v="Tech"/>
    <n v="150"/>
    <d v="2036-04-17T00:00:00"/>
  </r>
  <r>
    <n v="8344"/>
    <x v="4"/>
    <s v="Systems"/>
    <n v="40.121970791205264"/>
    <d v="2036-04-18T00:00:00"/>
  </r>
  <r>
    <n v="8345"/>
    <x v="0"/>
    <s v="Tech"/>
    <n v="11.326172703095088"/>
    <d v="2036-04-19T00:00:00"/>
  </r>
  <r>
    <n v="8346"/>
    <x v="1"/>
    <s v="Tech"/>
    <n v="88.183421516754848"/>
    <d v="2036-04-20T00:00:00"/>
  </r>
  <r>
    <n v="8347"/>
    <x v="2"/>
    <s v="Tech"/>
    <n v="42.359419675950441"/>
    <d v="2036-04-21T00:00:00"/>
  </r>
  <r>
    <n v="8348"/>
    <x v="1"/>
    <s v="Apps"/>
    <n v="44.091710758377424"/>
    <d v="2036-04-22T00:00:00"/>
  </r>
  <r>
    <n v="8349"/>
    <x v="4"/>
    <s v="Systems"/>
    <n v="120.3659123736158"/>
    <d v="2036-04-23T00:00:00"/>
  </r>
  <r>
    <n v="8350"/>
    <x v="4"/>
    <s v="Systems"/>
    <n v="64.195153265928425"/>
    <d v="2036-04-24T00:00:00"/>
  </r>
  <r>
    <n v="8351"/>
    <x v="4"/>
    <s v="Systems"/>
    <n v="12.036591237361579"/>
    <d v="2036-04-25T00:00:00"/>
  </r>
  <r>
    <n v="8352"/>
    <x v="0"/>
    <s v="Systems"/>
    <n v="254.15896487985214"/>
    <d v="2036-04-26T00:00:00"/>
  </r>
  <r>
    <n v="8353"/>
    <x v="0"/>
    <s v="Apps"/>
    <n v="77.088124574409321"/>
    <d v="2036-04-27T00:00:00"/>
  </r>
  <r>
    <n v="8354"/>
    <x v="0"/>
    <s v="Tech"/>
    <n v="215.65003080714726"/>
    <d v="2036-04-28T00:00:00"/>
  </r>
  <r>
    <n v="8355"/>
    <x v="0"/>
    <s v="OFM"/>
    <n v="12.322858903265558"/>
    <d v="2036-04-29T00:00:00"/>
  </r>
  <r>
    <n v="8356"/>
    <x v="0"/>
    <s v="Tech"/>
    <n v="15.403573629081947"/>
    <d v="2036-04-30T00:00:00"/>
  </r>
  <r>
    <n v="8357"/>
    <x v="4"/>
    <s v="OFM"/>
    <n v="200"/>
    <d v="2036-05-01T00:00:00"/>
  </r>
  <r>
    <n v="8358"/>
    <x v="4"/>
    <s v="Tech"/>
    <n v="175"/>
    <d v="2036-05-02T00:00:00"/>
  </r>
  <r>
    <n v="8359"/>
    <x v="0"/>
    <s v="OFM"/>
    <n v="20.682523267838675"/>
    <d v="2036-05-03T00:00:00"/>
  </r>
  <r>
    <n v="8360"/>
    <x v="1"/>
    <s v="Tech"/>
    <n v="661.37566137566137"/>
    <d v="2036-05-04T00:00:00"/>
  </r>
  <r>
    <n v="8361"/>
    <x v="2"/>
    <s v="Apps"/>
    <n v="211.79709837975219"/>
    <d v="2036-05-05T00:00:00"/>
  </r>
  <r>
    <n v="8362"/>
    <x v="0"/>
    <s v="Systems"/>
    <n v="15.511892450879007"/>
    <d v="2036-05-06T00:00:00"/>
  </r>
  <r>
    <n v="8363"/>
    <x v="4"/>
    <s v="Tech"/>
    <n v="21.284014991037971"/>
    <d v="2036-05-07T00:00:00"/>
  </r>
  <r>
    <n v="8364"/>
    <x v="4"/>
    <s v="Systems"/>
    <n v="16.294606485253382"/>
    <d v="2036-05-08T00:00:00"/>
  </r>
  <r>
    <n v="8365"/>
    <x v="1"/>
    <s v="OFM"/>
    <n v="61.728395061728399"/>
    <d v="2036-05-09T00:00:00"/>
  </r>
  <r>
    <n v="8366"/>
    <x v="4"/>
    <s v="OFM"/>
    <n v="224.86556949649668"/>
    <d v="2036-05-10T00:00:00"/>
  </r>
  <r>
    <n v="8367"/>
    <x v="0"/>
    <s v="OFM"/>
    <n v="50"/>
    <d v="2036-05-11T00:00:00"/>
  </r>
  <r>
    <n v="8368"/>
    <x v="1"/>
    <s v="Apps"/>
    <n v="9.9206349206349209"/>
    <d v="2036-05-12T00:00:00"/>
  </r>
  <r>
    <n v="8369"/>
    <x v="4"/>
    <s v="Systems"/>
    <n v="3.9484854267983707"/>
    <d v="2036-05-13T00:00:00"/>
  </r>
  <r>
    <n v="8370"/>
    <x v="4"/>
    <s v="Tech"/>
    <n v="48.883819455760147"/>
    <d v="2036-05-14T00:00:00"/>
  </r>
  <r>
    <n v="8371"/>
    <x v="4"/>
    <s v="Systems"/>
    <n v="98.712135669959252"/>
    <d v="2036-05-15T00:00:00"/>
  </r>
  <r>
    <n v="8372"/>
    <x v="1"/>
    <s v="Apps"/>
    <n v="55.114638447971785"/>
    <d v="2036-05-16T00:00:00"/>
  </r>
  <r>
    <n v="8373"/>
    <x v="0"/>
    <s v="Tech"/>
    <n v="616.14294516327789"/>
    <d v="2036-05-17T00:00:00"/>
  </r>
  <r>
    <n v="8374"/>
    <x v="0"/>
    <s v="Apps"/>
    <n v="30.807147258163894"/>
    <d v="2036-05-18T00:00:00"/>
  </r>
  <r>
    <n v="8375"/>
    <x v="4"/>
    <s v="Systems"/>
    <n v="150"/>
    <d v="2036-05-19T00:00:00"/>
  </r>
  <r>
    <n v="8376"/>
    <x v="0"/>
    <s v="Tech"/>
    <n v="1109.0573012939003"/>
    <d v="2036-05-20T00:00:00"/>
  </r>
  <r>
    <n v="8377"/>
    <x v="3"/>
    <s v="Tech"/>
    <n v="137.37899200454268"/>
    <d v="2036-05-21T00:00:00"/>
  </r>
  <r>
    <n v="8378"/>
    <x v="4"/>
    <s v="Tech"/>
    <n v="5.1735375590679489"/>
    <d v="2036-05-22T00:00:00"/>
  </r>
  <r>
    <n v="8379"/>
    <x v="4"/>
    <s v="Tech"/>
    <n v="0.18"/>
    <d v="2036-05-23T00:00:00"/>
  </r>
  <r>
    <n v="8380"/>
    <x v="4"/>
    <s v="Systems"/>
    <n v="33.262999999999998"/>
    <d v="2036-05-24T00:00:00"/>
  </r>
  <r>
    <n v="8381"/>
    <x v="4"/>
    <s v="Systems"/>
    <n v="95"/>
    <d v="2036-05-25T00:00:00"/>
  </r>
  <r>
    <n v="8382"/>
    <x v="4"/>
    <s v="Systems"/>
    <n v="27"/>
    <d v="2036-05-26T00:00:00"/>
  </r>
  <r>
    <n v="8383"/>
    <x v="0"/>
    <s v="Tech"/>
    <n v="308.07147258163894"/>
    <d v="2036-05-27T00:00:00"/>
  </r>
  <r>
    <n v="8384"/>
    <x v="0"/>
    <s v="Apps"/>
    <n v="462.10720887245844"/>
    <d v="2036-05-28T00:00:00"/>
  </r>
  <r>
    <n v="8385"/>
    <x v="1"/>
    <s v="Apps"/>
    <n v="26.455026455026456"/>
    <d v="2036-05-29T00:00:00"/>
  </r>
  <r>
    <n v="8386"/>
    <x v="4"/>
    <s v="Tech"/>
    <n v="200"/>
    <d v="2036-05-30T00:00:00"/>
  </r>
  <r>
    <n v="8387"/>
    <x v="4"/>
    <s v="Apps"/>
    <n v="300"/>
    <d v="2036-05-31T00:00:00"/>
  </r>
  <r>
    <n v="8388"/>
    <x v="1"/>
    <s v="Apps"/>
    <n v="110.22927689594357"/>
    <d v="2036-06-01T00:00:00"/>
  </r>
  <r>
    <n v="8389"/>
    <x v="4"/>
    <s v="Apps"/>
    <n v="87.339090760958129"/>
    <d v="2036-06-02T00:00:00"/>
  </r>
  <r>
    <n v="8390"/>
    <x v="2"/>
    <s v="Systems"/>
    <n v="264.74637297469025"/>
    <d v="2036-06-03T00:00:00"/>
  </r>
  <r>
    <n v="8391"/>
    <x v="1"/>
    <s v="Apps"/>
    <n v="17.636684303350968"/>
    <d v="2036-06-04T00:00:00"/>
  </r>
  <r>
    <n v="8392"/>
    <x v="1"/>
    <s v="Apps"/>
    <n v="48.500881834215171"/>
    <d v="2036-06-05T00:00:00"/>
  </r>
  <r>
    <n v="8393"/>
    <x v="0"/>
    <s v="Systems"/>
    <n v="84.719654959950716"/>
    <d v="2036-06-06T00:00:00"/>
  </r>
  <r>
    <n v="8394"/>
    <x v="0"/>
    <s v="Systems"/>
    <n v="123.22858903265558"/>
    <d v="2036-06-07T00:00:00"/>
  </r>
  <r>
    <n v="8395"/>
    <x v="0"/>
    <s v="Tech"/>
    <n v="61.614294516327789"/>
    <d v="2036-06-08T00:00:00"/>
  </r>
  <r>
    <n v="8396"/>
    <x v="0"/>
    <s v="OFM"/>
    <n v="38.508934072704868"/>
    <d v="2036-06-09T00:00:00"/>
  </r>
  <r>
    <n v="8397"/>
    <x v="0"/>
    <s v="Systems"/>
    <n v="61.614294516327789"/>
    <d v="2036-06-10T00:00:00"/>
  </r>
  <r>
    <n v="8398"/>
    <x v="0"/>
    <s v="Apps"/>
    <n v="154.03573629081947"/>
    <d v="2036-06-11T00:00:00"/>
  </r>
  <r>
    <n v="8399"/>
    <x v="0"/>
    <s v="Tech"/>
    <n v="77.017868145409736"/>
    <d v="2036-06-12T00:00:00"/>
  </r>
  <r>
    <n v="8400"/>
    <x v="0"/>
    <s v="Apps"/>
    <n v="30.807147258163894"/>
    <d v="2036-06-13T00:00:00"/>
  </r>
  <r>
    <n v="8401"/>
    <x v="0"/>
    <s v="OFM"/>
    <n v="61.614294516327789"/>
    <d v="2036-06-14T00:00:00"/>
  </r>
  <r>
    <n v="8402"/>
    <x v="0"/>
    <s v="Tech"/>
    <n v="100.2145619467321"/>
    <d v="2036-06-15T00:00:00"/>
  </r>
  <r>
    <n v="8403"/>
    <x v="1"/>
    <s v="OFM"/>
    <n v="88.183421516754848"/>
    <d v="2036-06-16T00:00:00"/>
  </r>
  <r>
    <n v="8404"/>
    <x v="2"/>
    <s v="OFM"/>
    <n v="149.84644710367468"/>
    <d v="2036-06-17T00:00:00"/>
  </r>
  <r>
    <n v="8405"/>
    <x v="0"/>
    <s v="Apps"/>
    <n v="107.82501540357363"/>
    <d v="2036-06-18T00:00:00"/>
  </r>
  <r>
    <n v="8406"/>
    <x v="1"/>
    <s v="Tech"/>
    <n v="391.73686067019401"/>
    <d v="2036-06-19T00:00:00"/>
  </r>
  <r>
    <n v="8407"/>
    <x v="1"/>
    <s v="Apps"/>
    <n v="55.114638447971785"/>
    <d v="2036-06-20T00:00:00"/>
  </r>
  <r>
    <n v="8408"/>
    <x v="1"/>
    <s v="Tech"/>
    <n v="216.48624338624339"/>
    <d v="2036-06-21T00:00:00"/>
  </r>
  <r>
    <n v="8409"/>
    <x v="0"/>
    <s v="Systems"/>
    <n v="338.87861983980287"/>
    <d v="2036-06-22T00:00:00"/>
  </r>
  <r>
    <n v="8410"/>
    <x v="0"/>
    <s v="Tech"/>
    <n v="4.6210720887245836E-3"/>
    <d v="2036-06-23T00:00:00"/>
  </r>
  <r>
    <n v="8411"/>
    <x v="0"/>
    <s v="Tech"/>
    <n v="29.266789895255702"/>
    <d v="2036-06-24T00:00:00"/>
  </r>
  <r>
    <n v="8412"/>
    <x v="0"/>
    <s v="Tech"/>
    <n v="68.941744226128904"/>
    <d v="2036-06-25T00:00:00"/>
  </r>
  <r>
    <n v="8413"/>
    <x v="4"/>
    <s v="Systems"/>
    <n v="40"/>
    <d v="2036-06-26T00:00:00"/>
  </r>
  <r>
    <n v="8414"/>
    <x v="1"/>
    <s v="Apps"/>
    <n v="33.06878306878307"/>
    <d v="2036-06-27T00:00:00"/>
  </r>
  <r>
    <n v="8415"/>
    <x v="1"/>
    <s v="Tech"/>
    <n v="55.114638447971785"/>
    <d v="2036-06-28T00:00:00"/>
  </r>
  <r>
    <n v="8416"/>
    <x v="4"/>
    <s v="Systems"/>
    <n v="19.742427133991853"/>
    <d v="2036-06-29T00:00:00"/>
  </r>
  <r>
    <n v="8417"/>
    <x v="4"/>
    <s v="Tech"/>
    <n v="21"/>
    <d v="2036-06-30T00:00:00"/>
  </r>
  <r>
    <n v="8418"/>
    <x v="4"/>
    <s v="Apps"/>
    <n v="60"/>
    <d v="2036-07-01T00:00:00"/>
  </r>
  <r>
    <n v="8419"/>
    <x v="2"/>
    <s v="Apps"/>
    <n v="34.946521232659116"/>
    <d v="2036-07-02T00:00:00"/>
  </r>
  <r>
    <n v="8420"/>
    <x v="4"/>
    <s v="Tech"/>
    <n v="496.62538699690401"/>
    <d v="2036-07-03T00:00:00"/>
  </r>
  <r>
    <n v="8421"/>
    <x v="1"/>
    <s v="Tech"/>
    <n v="1128.747795414462"/>
    <d v="2036-07-04T00:00:00"/>
  </r>
  <r>
    <n v="8422"/>
    <x v="0"/>
    <s v="Tech"/>
    <n v="6.2936573595311955"/>
    <d v="2036-07-05T00:00:00"/>
  </r>
  <r>
    <n v="8423"/>
    <x v="0"/>
    <s v="Tech"/>
    <n v="123.22858903265558"/>
    <d v="2036-07-06T00:00:00"/>
  </r>
  <r>
    <n v="8424"/>
    <x v="1"/>
    <s v="Tech"/>
    <n v="66.137566137566139"/>
    <d v="2036-07-07T00:00:00"/>
  </r>
  <r>
    <n v="8425"/>
    <x v="0"/>
    <s v="Apps"/>
    <n v="123.22858903265558"/>
    <d v="2036-07-08T00:00:00"/>
  </r>
  <r>
    <n v="8426"/>
    <x v="4"/>
    <s v="Tech"/>
    <n v="30"/>
    <d v="2036-07-09T00:00:00"/>
  </r>
  <r>
    <n v="8427"/>
    <x v="4"/>
    <s v="Tech"/>
    <n v="50"/>
    <d v="2036-07-10T00:00:00"/>
  </r>
  <r>
    <n v="8428"/>
    <x v="4"/>
    <s v="Systems"/>
    <n v="102.78416609921243"/>
    <d v="2036-07-11T00:00:00"/>
  </r>
  <r>
    <n v="8429"/>
    <x v="3"/>
    <s v="OFM"/>
    <n v="6.2278476375392682"/>
    <d v="2036-07-12T00:00:00"/>
  </r>
  <r>
    <n v="8430"/>
    <x v="3"/>
    <s v="Tech"/>
    <n v="228.96498667423779"/>
    <d v="2036-07-13T00:00:00"/>
  </r>
  <r>
    <n v="8431"/>
    <x v="4"/>
    <s v="Tech"/>
    <n v="494"/>
    <d v="2036-07-14T00:00:00"/>
  </r>
  <r>
    <n v="8432"/>
    <x v="0"/>
    <s v="OFM"/>
    <n v="27.576697690451567"/>
    <d v="2036-07-15T00:00:00"/>
  </r>
  <r>
    <n v="8433"/>
    <x v="0"/>
    <s v="Apps"/>
    <n v="15.403573629081947"/>
    <d v="2036-07-16T00:00:00"/>
  </r>
  <r>
    <n v="8434"/>
    <x v="0"/>
    <s v="Systems"/>
    <n v="34.470872113064452"/>
    <d v="2036-07-17T00:00:00"/>
  </r>
  <r>
    <n v="8435"/>
    <x v="4"/>
    <s v="Other"/>
    <n v="150"/>
    <d v="2036-07-18T00:00:00"/>
  </r>
  <r>
    <n v="8436"/>
    <x v="1"/>
    <s v="Tech"/>
    <n v="18.04052028218695"/>
    <d v="2036-07-19T00:00:00"/>
  </r>
  <r>
    <n v="8437"/>
    <x v="4"/>
    <s v="Tech"/>
    <n v="285"/>
    <d v="2036-07-20T00:00:00"/>
  </r>
  <r>
    <n v="8438"/>
    <x v="2"/>
    <s v="Apps"/>
    <n v="64.529280948850996"/>
    <d v="2036-07-21T00:00:00"/>
  </r>
  <r>
    <n v="8439"/>
    <x v="0"/>
    <s v="Tech"/>
    <n v="154.03573629081947"/>
    <d v="2036-07-22T00:00:00"/>
  </r>
  <r>
    <n v="8440"/>
    <x v="2"/>
    <s v="Systems"/>
    <n v="42.359419675950441"/>
    <d v="2036-07-23T00:00:00"/>
  </r>
  <r>
    <n v="8441"/>
    <x v="2"/>
    <s v="Apps"/>
    <n v="105.89854918987609"/>
    <d v="2036-07-24T00:00:00"/>
  </r>
  <r>
    <n v="8442"/>
    <x v="2"/>
    <s v="Apps"/>
    <n v="158.84782378481412"/>
    <d v="2036-07-25T00:00:00"/>
  </r>
  <r>
    <n v="8443"/>
    <x v="2"/>
    <s v="OFM"/>
    <n v="105.89854918987609"/>
    <d v="2036-07-26T00:00:00"/>
  </r>
  <r>
    <n v="8444"/>
    <x v="1"/>
    <s v="Tech"/>
    <n v="216.04938271604939"/>
    <d v="2036-07-27T00:00:00"/>
  </r>
  <r>
    <n v="8445"/>
    <x v="0"/>
    <s v="Tech"/>
    <n v="85.385000000000005"/>
    <d v="2036-07-28T00:00:00"/>
  </r>
  <r>
    <n v="8446"/>
    <x v="4"/>
    <s v="Tech"/>
    <n v="150"/>
    <d v="2036-07-29T00:00:00"/>
  </r>
  <r>
    <n v="8447"/>
    <x v="1"/>
    <s v="Tech"/>
    <n v="70.546737213403873"/>
    <d v="2036-07-30T00:00:00"/>
  </r>
  <r>
    <n v="8448"/>
    <x v="2"/>
    <s v="Apps"/>
    <n v="264.74637297469025"/>
    <d v="2036-07-31T00:00:00"/>
  </r>
  <r>
    <n v="8449"/>
    <x v="2"/>
    <s v="OFM"/>
    <n v="158.84782378481412"/>
    <d v="2036-08-01T00:00:00"/>
  </r>
  <r>
    <n v="8450"/>
    <x v="2"/>
    <s v="Apps"/>
    <n v="264.74637297469025"/>
    <d v="2036-08-02T00:00:00"/>
  </r>
  <r>
    <n v="8451"/>
    <x v="1"/>
    <s v="Tech"/>
    <n v="17.636684303350968"/>
    <d v="2036-08-03T00:00:00"/>
  </r>
  <r>
    <n v="8452"/>
    <x v="0"/>
    <s v="Systems"/>
    <n v="46.210720887245841"/>
    <d v="2036-08-04T00:00:00"/>
  </r>
  <r>
    <n v="8453"/>
    <x v="4"/>
    <s v="OFM"/>
    <n v="30"/>
    <d v="2036-08-05T00:00:00"/>
  </r>
  <r>
    <n v="8454"/>
    <x v="0"/>
    <s v="Tech"/>
    <n v="77.017868145409736"/>
    <d v="2036-08-06T00:00:00"/>
  </r>
  <r>
    <n v="8455"/>
    <x v="0"/>
    <s v="OFM"/>
    <n v="77.017868145409736"/>
    <d v="2036-08-07T00:00:00"/>
  </r>
  <r>
    <n v="8456"/>
    <x v="0"/>
    <s v="Tech"/>
    <n v="77.017868145409736"/>
    <d v="2036-08-08T00:00:00"/>
  </r>
  <r>
    <n v="8457"/>
    <x v="0"/>
    <s v="Tech"/>
    <n v="46.210720887245841"/>
    <d v="2036-08-09T00:00:00"/>
  </r>
  <r>
    <n v="8458"/>
    <x v="0"/>
    <s v="Tech"/>
    <n v="184.84288354898337"/>
    <d v="2036-08-10T00:00:00"/>
  </r>
  <r>
    <n v="8459"/>
    <x v="0"/>
    <s v="Tech"/>
    <n v="92.421441774491683"/>
    <d v="2036-08-11T00:00:00"/>
  </r>
  <r>
    <n v="8460"/>
    <x v="1"/>
    <s v="Apps"/>
    <n v="77.160493827160494"/>
    <d v="2036-08-12T00:00:00"/>
  </r>
  <r>
    <n v="8461"/>
    <x v="0"/>
    <s v="OFM"/>
    <n v="138.63216266173754"/>
    <d v="2036-08-13T00:00:00"/>
  </r>
  <r>
    <n v="8462"/>
    <x v="2"/>
    <s v="Systems"/>
    <n v="1270.782590278513"/>
    <d v="2036-08-14T00:00:00"/>
  </r>
  <r>
    <n v="8463"/>
    <x v="4"/>
    <s v="Tech"/>
    <n v="205.47617953783251"/>
    <d v="2036-08-15T00:00:00"/>
  </r>
  <r>
    <n v="8464"/>
    <x v="0"/>
    <s v="Systems"/>
    <n v="77.017868145409736"/>
    <d v="2036-08-16T00:00:00"/>
  </r>
  <r>
    <n v="8465"/>
    <x v="0"/>
    <s v="Systems"/>
    <n v="504.46703635243381"/>
    <d v="2036-08-17T00:00:00"/>
  </r>
  <r>
    <n v="8466"/>
    <x v="2"/>
    <s v="Apps"/>
    <n v="529.49274594938049"/>
    <d v="2036-08-18T00:00:00"/>
  </r>
  <r>
    <n v="8467"/>
    <x v="4"/>
    <s v="Systems"/>
    <n v="34"/>
    <d v="2036-08-19T00:00:00"/>
  </r>
  <r>
    <n v="8468"/>
    <x v="0"/>
    <s v="Tech"/>
    <n v="413.65046535677351"/>
    <d v="2036-08-20T00:00:00"/>
  </r>
  <r>
    <n v="8469"/>
    <x v="1"/>
    <s v="Tech"/>
    <n v="66.137566137566139"/>
    <d v="2036-08-21T00:00:00"/>
  </r>
  <r>
    <n v="8470"/>
    <x v="1"/>
    <s v="Tech"/>
    <n v="110.22927689594357"/>
    <d v="2036-08-22T00:00:00"/>
  </r>
  <r>
    <n v="8471"/>
    <x v="2"/>
    <s v="OFM"/>
    <n v="737.54527162977865"/>
    <d v="2036-08-23T00:00:00"/>
  </r>
  <r>
    <n v="8472"/>
    <x v="2"/>
    <s v="Systems"/>
    <n v="48.618426383599385"/>
    <d v="2036-08-24T00:00:00"/>
  </r>
  <r>
    <n v="8473"/>
    <x v="2"/>
    <s v="Apps"/>
    <n v="93.190723287090961"/>
    <d v="2036-08-25T00:00:00"/>
  </r>
  <r>
    <n v="8474"/>
    <x v="2"/>
    <s v="Systems"/>
    <n v="158.84782378481412"/>
    <d v="2036-08-26T00:00:00"/>
  </r>
  <r>
    <n v="8475"/>
    <x v="4"/>
    <s v="Apps"/>
    <n v="150"/>
    <d v="2036-08-27T00:00:00"/>
  </r>
  <r>
    <n v="8476"/>
    <x v="0"/>
    <s v="Systems"/>
    <n v="28.743610597658655"/>
    <d v="2036-08-28T00:00:00"/>
  </r>
  <r>
    <n v="8477"/>
    <x v="0"/>
    <s v="Systems"/>
    <n v="141.71287738755393"/>
    <d v="2036-08-29T00:00:00"/>
  </r>
  <r>
    <n v="8478"/>
    <x v="0"/>
    <s v="Systems"/>
    <n v="141.71287738755393"/>
    <d v="2036-08-30T00:00:00"/>
  </r>
  <r>
    <n v="8479"/>
    <x v="0"/>
    <s v="Systems"/>
    <n v="38.508934072704868"/>
    <d v="2036-08-31T00:00:00"/>
  </r>
  <r>
    <n v="8480"/>
    <x v="0"/>
    <s v="Systems"/>
    <n v="130.93037584719656"/>
    <d v="2036-09-01T00:00:00"/>
  </r>
  <r>
    <n v="8481"/>
    <x v="0"/>
    <s v="Tech"/>
    <n v="27.726432532347506"/>
    <d v="2036-09-02T00:00:00"/>
  </r>
  <r>
    <n v="8482"/>
    <x v="3"/>
    <s v="Tech"/>
    <n v="228.96498667423779"/>
    <d v="2036-09-03T00:00:00"/>
  </r>
  <r>
    <n v="8483"/>
    <x v="3"/>
    <s v="Tech"/>
    <n v="274.75798400908536"/>
    <d v="2036-09-04T00:00:00"/>
  </r>
  <r>
    <n v="8484"/>
    <x v="3"/>
    <s v="Tech"/>
    <n v="91.585994669695125"/>
    <d v="2036-09-05T00:00:00"/>
  </r>
  <r>
    <n v="8485"/>
    <x v="0"/>
    <s v="Tech"/>
    <n v="46.210720887245841"/>
    <d v="2036-09-06T00:00:00"/>
  </r>
  <r>
    <n v="8486"/>
    <x v="0"/>
    <s v="Tech"/>
    <n v="462.10720887245844"/>
    <d v="2036-09-07T00:00:00"/>
  </r>
  <r>
    <n v="8487"/>
    <x v="0"/>
    <s v="Systems"/>
    <n v="138.63216266173754"/>
    <d v="2036-09-08T00:00:00"/>
  </r>
  <r>
    <n v="8488"/>
    <x v="0"/>
    <s v="Systems"/>
    <n v="154.03573629081947"/>
    <d v="2036-09-09T00:00:00"/>
  </r>
  <r>
    <n v="8489"/>
    <x v="0"/>
    <s v="Systems"/>
    <n v="77.017868145409736"/>
    <d v="2036-09-10T00:00:00"/>
  </r>
  <r>
    <n v="8490"/>
    <x v="0"/>
    <s v="Systems"/>
    <n v="123.22858903265558"/>
    <d v="2036-09-11T00:00:00"/>
  </r>
  <r>
    <n v="8491"/>
    <x v="0"/>
    <s v="Systems"/>
    <n v="61.614294516327789"/>
    <d v="2036-09-12T00:00:00"/>
  </r>
  <r>
    <n v="8492"/>
    <x v="1"/>
    <s v="Apps"/>
    <n v="44.091710758377424"/>
    <d v="2036-09-13T00:00:00"/>
  </r>
  <r>
    <n v="8493"/>
    <x v="0"/>
    <s v="Tech"/>
    <n v="155.11892450879009"/>
    <d v="2036-09-14T00:00:00"/>
  </r>
  <r>
    <n v="8494"/>
    <x v="2"/>
    <s v="OFM"/>
    <n v="105.89854918987609"/>
    <d v="2036-09-15T00:00:00"/>
  </r>
  <r>
    <n v="8495"/>
    <x v="2"/>
    <s v="Systems"/>
    <n v="169.43767870380177"/>
    <d v="2036-09-16T00:00:00"/>
  </r>
  <r>
    <n v="8496"/>
    <x v="2"/>
    <s v="Systems"/>
    <n v="84.718839351900883"/>
    <d v="2036-09-17T00:00:00"/>
  </r>
  <r>
    <n v="8497"/>
    <x v="2"/>
    <s v="Systems"/>
    <n v="26.474637297469023"/>
    <d v="2036-09-18T00:00:00"/>
  </r>
  <r>
    <n v="8498"/>
    <x v="0"/>
    <s v="Apps"/>
    <n v="216.19531561163004"/>
    <d v="2036-09-19T00:00:00"/>
  </r>
  <r>
    <n v="8499"/>
    <x v="0"/>
    <s v="Systems"/>
    <n v="92.421441774491683"/>
    <d v="2036-09-20T00:00:00"/>
  </r>
  <r>
    <n v="8500"/>
    <x v="0"/>
    <s v="Systems"/>
    <n v="123.22858903265558"/>
    <d v="2036-09-21T00:00:00"/>
  </r>
  <r>
    <n v="8501"/>
    <x v="0"/>
    <s v="Systems"/>
    <n v="154.03573629081947"/>
    <d v="2036-09-22T00:00:00"/>
  </r>
  <r>
    <n v="8502"/>
    <x v="0"/>
    <s v="Systems"/>
    <n v="77.017868145409736"/>
    <d v="2036-09-23T00:00:00"/>
  </r>
  <r>
    <n v="8503"/>
    <x v="0"/>
    <s v="Systems"/>
    <n v="77.017868145409736"/>
    <d v="2036-09-24T00:00:00"/>
  </r>
  <r>
    <n v="8504"/>
    <x v="0"/>
    <s v="Systems"/>
    <n v="60.0739371534196"/>
    <d v="2036-09-25T00:00:00"/>
  </r>
  <r>
    <n v="8505"/>
    <x v="0"/>
    <s v="Apps"/>
    <n v="462.10720887245844"/>
    <d v="2036-09-26T00:00:00"/>
  </r>
  <r>
    <n v="8506"/>
    <x v="0"/>
    <s v="Apps"/>
    <n v="60.998151571164513"/>
    <d v="2036-09-27T00:00:00"/>
  </r>
  <r>
    <n v="8507"/>
    <x v="3"/>
    <s v="Apps"/>
    <n v="500"/>
    <d v="2036-09-28T00:00:00"/>
  </r>
  <r>
    <n v="8508"/>
    <x v="0"/>
    <s v="Tech"/>
    <n v="61.614294516327789"/>
    <d v="2036-09-29T00:00:00"/>
  </r>
  <r>
    <n v="8509"/>
    <x v="0"/>
    <s v="Tech"/>
    <n v="770.17868145409739"/>
    <d v="2036-09-30T00:00:00"/>
  </r>
  <r>
    <n v="8510"/>
    <x v="2"/>
    <s v="Apps"/>
    <n v="95.308694270888495"/>
    <d v="2036-10-01T00:00:00"/>
  </r>
  <r>
    <n v="8511"/>
    <x v="2"/>
    <s v="Apps"/>
    <n v="149.31165943026579"/>
    <d v="2036-10-02T00:00:00"/>
  </r>
  <r>
    <n v="8512"/>
    <x v="2"/>
    <s v="Tech"/>
    <n v="52.949274594938046"/>
    <d v="2036-10-03T00:00:00"/>
  </r>
  <r>
    <n v="8513"/>
    <x v="2"/>
    <s v="Tech"/>
    <n v="15.884782378481413"/>
    <d v="2036-10-04T00:00:00"/>
  </r>
  <r>
    <n v="8514"/>
    <x v="0"/>
    <s v="Tech"/>
    <n v="231.05360443622922"/>
    <d v="2036-10-05T00:00:00"/>
  </r>
  <r>
    <n v="8515"/>
    <x v="1"/>
    <s v="Tech"/>
    <n v="88.183421516754848"/>
    <d v="2036-10-06T00:00:00"/>
  </r>
  <r>
    <n v="8516"/>
    <x v="0"/>
    <s v="Systems"/>
    <n v="154.03573629081947"/>
    <d v="2036-10-07T00:00:00"/>
  </r>
  <r>
    <n v="8517"/>
    <x v="0"/>
    <s v="Systems"/>
    <n v="61.614294516327789"/>
    <d v="2036-10-08T00:00:00"/>
  </r>
  <r>
    <n v="8518"/>
    <x v="0"/>
    <s v="Apps"/>
    <n v="308.07147258163894"/>
    <d v="2036-10-09T00:00:00"/>
  </r>
  <r>
    <n v="8519"/>
    <x v="0"/>
    <s v="Systems"/>
    <n v="231.05360443622922"/>
    <d v="2036-10-10T00:00:00"/>
  </r>
  <r>
    <n v="8520"/>
    <x v="1"/>
    <s v="Apps"/>
    <n v="11.022927689594356"/>
    <d v="2036-10-11T00:00:00"/>
  </r>
  <r>
    <n v="8521"/>
    <x v="1"/>
    <s v="Apps"/>
    <n v="11.022927689594356"/>
    <d v="2036-10-12T00:00:00"/>
  </r>
  <r>
    <n v="8522"/>
    <x v="0"/>
    <s v="Systems"/>
    <n v="53.912507701786815"/>
    <d v="2036-10-13T00:00:00"/>
  </r>
  <r>
    <n v="8523"/>
    <x v="0"/>
    <s v="Tech"/>
    <n v="103.41261633919338"/>
    <d v="2036-10-14T00:00:00"/>
  </r>
  <r>
    <n v="8524"/>
    <x v="0"/>
    <s v="Systems"/>
    <n v="60.0739371534196"/>
    <d v="2036-10-15T00:00:00"/>
  </r>
  <r>
    <n v="8525"/>
    <x v="2"/>
    <s v="Apps"/>
    <n v="370.64492216456637"/>
    <d v="2036-10-16T00:00:00"/>
  </r>
  <r>
    <n v="8526"/>
    <x v="2"/>
    <s v="Apps"/>
    <n v="211.79709837975219"/>
    <d v="2036-10-17T00:00:00"/>
  </r>
  <r>
    <n v="8527"/>
    <x v="2"/>
    <s v="Apps"/>
    <n v="741.28984432913273"/>
    <d v="2036-10-18T00:00:00"/>
  </r>
  <r>
    <n v="8528"/>
    <x v="2"/>
    <s v="Apps"/>
    <n v="317.69564756962825"/>
    <d v="2036-10-19T00:00:00"/>
  </r>
  <r>
    <n v="8529"/>
    <x v="2"/>
    <s v="Apps"/>
    <n v="211.79709837975219"/>
    <d v="2036-10-20T00:00:00"/>
  </r>
  <r>
    <n v="8530"/>
    <x v="2"/>
    <s v="Apps"/>
    <n v="37.784602350947786"/>
    <d v="2036-10-21T00:00:00"/>
  </r>
  <r>
    <n v="8531"/>
    <x v="0"/>
    <s v="Systems"/>
    <n v="34.470872113064452"/>
    <d v="2036-10-22T00:00:00"/>
  </r>
  <r>
    <n v="8532"/>
    <x v="2"/>
    <s v="Tech"/>
    <n v="60.415122312824316"/>
    <d v="2036-10-23T00:00:00"/>
  </r>
  <r>
    <n v="8533"/>
    <x v="0"/>
    <s v="Systems"/>
    <n v="30.807147258163894"/>
    <d v="2036-10-24T00:00:00"/>
  </r>
  <r>
    <n v="8534"/>
    <x v="1"/>
    <s v="Apps"/>
    <n v="44.091710758377424"/>
    <d v="2036-10-25T00:00:00"/>
  </r>
  <r>
    <n v="8535"/>
    <x v="0"/>
    <s v="Systems"/>
    <n v="38.508934072704868"/>
    <d v="2036-10-26T00:00:00"/>
  </r>
  <r>
    <n v="8536"/>
    <x v="0"/>
    <s v="Tech"/>
    <n v="277.26432532347508"/>
    <d v="2036-10-27T00:00:00"/>
  </r>
  <r>
    <n v="8537"/>
    <x v="2"/>
    <s v="Apps"/>
    <n v="81.030710639332298"/>
    <d v="2036-10-28T00:00:00"/>
  </r>
  <r>
    <n v="8538"/>
    <x v="3"/>
    <s v="Tech"/>
    <n v="73.2687957357561"/>
    <d v="2036-10-29T00:00:00"/>
  </r>
  <r>
    <n v="8539"/>
    <x v="2"/>
    <s v="Systems"/>
    <n v="32.412284255732921"/>
    <d v="2036-10-30T00:00:00"/>
  </r>
  <r>
    <n v="8540"/>
    <x v="4"/>
    <s v="Apps"/>
    <n v="107.529"/>
    <d v="2036-10-31T00:00:00"/>
  </r>
  <r>
    <n v="8541"/>
    <x v="0"/>
    <s v="Tech"/>
    <n v="38.508934072704868"/>
    <d v="2036-11-01T00:00:00"/>
  </r>
  <r>
    <n v="8542"/>
    <x v="3"/>
    <s v="Tech"/>
    <n v="91.585994669695125"/>
    <d v="2036-11-02T00:00:00"/>
  </r>
  <r>
    <n v="8543"/>
    <x v="1"/>
    <s v="Apps"/>
    <n v="66.137566137566139"/>
    <d v="2036-11-03T00:00:00"/>
  </r>
  <r>
    <n v="8544"/>
    <x v="1"/>
    <s v="OFM"/>
    <n v="308.64197530864197"/>
    <d v="2036-11-04T00:00:00"/>
  </r>
  <r>
    <n v="8545"/>
    <x v="1"/>
    <s v="Tech"/>
    <n v="253.52733686067018"/>
    <d v="2036-11-05T00:00:00"/>
  </r>
  <r>
    <n v="8546"/>
    <x v="1"/>
    <s v="OFM"/>
    <n v="308.64197530864197"/>
    <d v="2036-11-06T00:00:00"/>
  </r>
  <r>
    <n v="8547"/>
    <x v="2"/>
    <s v="Apps"/>
    <n v="52.949274594938046"/>
    <d v="2036-11-07T00:00:00"/>
  </r>
  <r>
    <n v="8548"/>
    <x v="2"/>
    <s v="Systems"/>
    <n v="264.74637297469025"/>
    <d v="2036-11-08T00:00:00"/>
  </r>
  <r>
    <n v="8549"/>
    <x v="0"/>
    <s v="Systems"/>
    <n v="26.980843601043258"/>
    <d v="2036-11-09T00:00:00"/>
  </r>
  <r>
    <n v="8550"/>
    <x v="0"/>
    <s v="Systems"/>
    <n v="24.645717806531117"/>
    <d v="2036-11-10T00:00:00"/>
  </r>
  <r>
    <n v="8551"/>
    <x v="0"/>
    <s v="OFM"/>
    <n v="123.22858903265558"/>
    <d v="2036-11-11T00:00:00"/>
  </r>
  <r>
    <n v="8552"/>
    <x v="0"/>
    <s v="Tech"/>
    <n v="46.210720887245841"/>
    <d v="2036-11-12T00:00:00"/>
  </r>
  <r>
    <n v="8553"/>
    <x v="0"/>
    <s v="Systems"/>
    <n v="107.82501540357363"/>
    <d v="2036-11-13T00:00:00"/>
  </r>
  <r>
    <n v="8554"/>
    <x v="0"/>
    <s v="Systems"/>
    <n v="154.03573629081947"/>
    <d v="2036-11-14T00:00:00"/>
  </r>
  <r>
    <n v="8555"/>
    <x v="0"/>
    <s v="Systems"/>
    <n v="92.421441774491683"/>
    <d v="2036-11-15T00:00:00"/>
  </r>
  <r>
    <n v="8556"/>
    <x v="2"/>
    <s v="Systems"/>
    <n v="121.54606595899845"/>
    <d v="2036-11-16T00:00:00"/>
  </r>
  <r>
    <n v="8557"/>
    <x v="0"/>
    <s v="Systems"/>
    <n v="77.017868145409736"/>
    <d v="2036-11-17T00:00:00"/>
  </r>
  <r>
    <n v="8558"/>
    <x v="0"/>
    <s v="Systems"/>
    <n v="27.726432532347506"/>
    <d v="2036-11-18T00:00:00"/>
  </r>
  <r>
    <n v="8559"/>
    <x v="0"/>
    <s v="Systems"/>
    <n v="23.105360443622921"/>
    <d v="2036-11-19T00:00:00"/>
  </r>
  <r>
    <n v="8560"/>
    <x v="0"/>
    <s v="Tech"/>
    <n v="4.621072088724584"/>
    <d v="2036-11-20T00:00:00"/>
  </r>
  <r>
    <n v="8561"/>
    <x v="0"/>
    <s v="Tech"/>
    <n v="9.2421441774491679"/>
    <d v="2036-11-21T00:00:00"/>
  </r>
  <r>
    <n v="8562"/>
    <x v="0"/>
    <s v="Systems"/>
    <n v="64.695009242144181"/>
    <d v="2036-11-22T00:00:00"/>
  </r>
  <r>
    <n v="8563"/>
    <x v="4"/>
    <s v="Apps"/>
    <n v="16"/>
    <d v="2036-11-23T00:00:00"/>
  </r>
  <r>
    <n v="8564"/>
    <x v="0"/>
    <s v="Tech"/>
    <n v="7.9283005860048252"/>
    <d v="2036-11-24T00:00:00"/>
  </r>
  <r>
    <n v="8565"/>
    <x v="4"/>
    <s v="Apps"/>
    <n v="45.95"/>
    <d v="2036-11-25T00:00:00"/>
  </r>
  <r>
    <n v="8566"/>
    <x v="0"/>
    <s v="Apps"/>
    <n v="431.30006161429452"/>
    <d v="2036-11-26T00:00:00"/>
  </r>
  <r>
    <n v="8567"/>
    <x v="0"/>
    <s v="Tech"/>
    <n v="7.7017868145409736"/>
    <d v="2036-11-27T00:00:00"/>
  </r>
  <r>
    <n v="8568"/>
    <x v="4"/>
    <s v="Systems"/>
    <n v="40"/>
    <d v="2036-11-28T00:00:00"/>
  </r>
  <r>
    <n v="8569"/>
    <x v="3"/>
    <s v="Tech"/>
    <n v="59.530896535301828"/>
    <d v="2036-11-29T00:00:00"/>
  </r>
  <r>
    <n v="8570"/>
    <x v="4"/>
    <s v="Other"/>
    <n v="45.95"/>
    <d v="2036-11-30T00:00:00"/>
  </r>
  <r>
    <n v="8571"/>
    <x v="0"/>
    <s v="Systems"/>
    <n v="107.82501540357363"/>
    <d v="2036-12-01T00:00:00"/>
  </r>
  <r>
    <n v="8572"/>
    <x v="0"/>
    <s v="Apps"/>
    <n v="64.24010381200776"/>
    <d v="2036-12-02T00:00:00"/>
  </r>
  <r>
    <n v="8573"/>
    <x v="2"/>
    <s v="Systems"/>
    <n v="39.182463200254155"/>
    <d v="2036-12-03T00:00:00"/>
  </r>
  <r>
    <n v="8574"/>
    <x v="2"/>
    <s v="Apps"/>
    <n v="40.515355319666149"/>
    <d v="2036-12-04T00:00:00"/>
  </r>
  <r>
    <n v="8575"/>
    <x v="2"/>
    <s v="Systems"/>
    <n v="24.309213191799692"/>
    <d v="2036-12-05T00:00:00"/>
  </r>
  <r>
    <n v="8576"/>
    <x v="1"/>
    <s v="Tech"/>
    <n v="70.546737213403873"/>
    <d v="2036-12-06T00:00:00"/>
  </r>
  <r>
    <n v="8577"/>
    <x v="4"/>
    <s v="Tech"/>
    <n v="123.5"/>
    <d v="2036-12-07T00:00:00"/>
  </r>
  <r>
    <n v="8578"/>
    <x v="4"/>
    <s v="Systems"/>
    <n v="26.323236178655804"/>
    <d v="2036-12-08T00:00:00"/>
  </r>
  <r>
    <n v="8579"/>
    <x v="0"/>
    <s v="Systems"/>
    <n v="25.696041524803107"/>
    <d v="2036-12-09T00:00:00"/>
  </r>
  <r>
    <n v="8580"/>
    <x v="2"/>
    <s v="Apps"/>
    <n v="0.584559991528116"/>
    <d v="2036-12-10T00:00:00"/>
  </r>
  <r>
    <n v="8581"/>
    <x v="2"/>
    <s v="Systems"/>
    <n v="42.359419675950441"/>
    <d v="2036-12-11T00:00:00"/>
  </r>
  <r>
    <n v="8582"/>
    <x v="2"/>
    <s v="Apps"/>
    <n v="52.949274594938046"/>
    <d v="2036-12-12T00:00:00"/>
  </r>
  <r>
    <n v="8583"/>
    <x v="2"/>
    <s v="OFM"/>
    <n v="52.949274594938046"/>
    <d v="2036-12-13T00:00:00"/>
  </r>
  <r>
    <n v="8584"/>
    <x v="2"/>
    <s v="Tech"/>
    <n v="529.49274594938049"/>
    <d v="2036-12-14T00:00:00"/>
  </r>
  <r>
    <n v="8585"/>
    <x v="0"/>
    <s v="Tech"/>
    <n v="85.384600000000006"/>
    <d v="2036-12-15T00:00:00"/>
  </r>
  <r>
    <n v="8586"/>
    <x v="2"/>
    <s v="Apps"/>
    <n v="52.949274594938046"/>
    <d v="2036-12-16T00:00:00"/>
  </r>
  <r>
    <n v="8587"/>
    <x v="1"/>
    <s v="OFM"/>
    <n v="44.091710758377424"/>
    <d v="2036-12-17T00:00:00"/>
  </r>
  <r>
    <n v="8588"/>
    <x v="3"/>
    <s v="Tech"/>
    <n v="64.110196268786581"/>
    <d v="2036-12-18T00:00:00"/>
  </r>
  <r>
    <n v="8589"/>
    <x v="1"/>
    <s v="Apps"/>
    <n v="55.114638447971785"/>
    <d v="2036-12-19T00:00:00"/>
  </r>
  <r>
    <n v="8590"/>
    <x v="4"/>
    <s v="Tech"/>
    <n v="30"/>
    <d v="2036-12-20T00:00:00"/>
  </r>
  <r>
    <n v="8591"/>
    <x v="1"/>
    <s v="Tech"/>
    <n v="8"/>
    <d v="2036-12-21T00:00:00"/>
  </r>
  <r>
    <n v="8592"/>
    <x v="0"/>
    <s v="Systems"/>
    <n v="23.105360443622921"/>
    <d v="2036-12-22T00:00:00"/>
  </r>
  <r>
    <n v="8593"/>
    <x v="0"/>
    <s v="Systems"/>
    <n v="26.186075169439309"/>
    <d v="2036-12-23T00:00:00"/>
  </r>
  <r>
    <n v="8594"/>
    <x v="4"/>
    <s v="Other"/>
    <n v="115.16415828161914"/>
    <d v="2036-12-24T00:00:00"/>
  </r>
  <r>
    <n v="8595"/>
    <x v="0"/>
    <s v="Other"/>
    <n v="103.41261633919338"/>
    <d v="2036-12-25T00:00:00"/>
  </r>
  <r>
    <n v="8596"/>
    <x v="1"/>
    <s v="Other"/>
    <n v="110.22927689594357"/>
    <d v="2036-12-26T00:00:00"/>
  </r>
  <r>
    <n v="8597"/>
    <x v="2"/>
    <s v="Other"/>
    <n v="370.64492216456637"/>
    <d v="2036-12-27T00:00:00"/>
  </r>
  <r>
    <n v="8598"/>
    <x v="0"/>
    <s v="Other"/>
    <n v="77.017868145409736"/>
    <d v="2036-12-28T00:00:00"/>
  </r>
  <r>
    <n v="8599"/>
    <x v="0"/>
    <s v="Systems"/>
    <n v="385.08934072704869"/>
    <d v="2036-12-29T00:00:00"/>
  </r>
  <r>
    <n v="8600"/>
    <x v="0"/>
    <s v="Systems"/>
    <n v="385.08934072704869"/>
    <d v="2036-12-30T00:00:00"/>
  </r>
  <r>
    <n v="8601"/>
    <x v="4"/>
    <s v="Systems"/>
    <n v="1203.6591237361581"/>
    <d v="2036-12-31T00:00:00"/>
  </r>
  <r>
    <n v="8602"/>
    <x v="0"/>
    <s v="Systems"/>
    <n v="385.08934072704869"/>
    <d v="2037-01-01T00:00:00"/>
  </r>
  <r>
    <n v="8603"/>
    <x v="0"/>
    <s v="Systems"/>
    <n v="385.08934072704869"/>
    <d v="2037-01-02T00:00:00"/>
  </r>
  <r>
    <n v="8604"/>
    <x v="0"/>
    <s v="Systems"/>
    <n v="64.24010381200776"/>
    <d v="2037-01-03T00:00:00"/>
  </r>
  <r>
    <n v="8605"/>
    <x v="2"/>
    <s v="Systems"/>
    <n v="635.3912951392565"/>
    <d v="2037-01-04T00:00:00"/>
  </r>
  <r>
    <n v="8606"/>
    <x v="4"/>
    <s v="Systems"/>
    <n v="1203.6591237361581"/>
    <d v="2037-01-05T00:00:00"/>
  </r>
  <r>
    <n v="8607"/>
    <x v="4"/>
    <s v="Systems"/>
    <n v="500"/>
    <d v="2037-01-06T00:00:00"/>
  </r>
  <r>
    <n v="8608"/>
    <x v="4"/>
    <s v="Systems"/>
    <n v="400"/>
    <d v="2037-01-07T00:00:00"/>
  </r>
  <r>
    <n v="8609"/>
    <x v="4"/>
    <s v="Systems"/>
    <n v="200"/>
    <d v="2037-01-08T00:00:00"/>
  </r>
  <r>
    <n v="8610"/>
    <x v="3"/>
    <s v="Systems"/>
    <n v="2106.4778774029878"/>
    <d v="2037-01-09T00:00:00"/>
  </r>
  <r>
    <n v="8611"/>
    <x v="3"/>
    <s v="Systems"/>
    <n v="549.51596801817072"/>
    <d v="2037-01-10T00:00:00"/>
  </r>
  <r>
    <n v="8612"/>
    <x v="3"/>
    <s v="Systems"/>
    <n v="366.3439786787805"/>
    <d v="2037-01-11T00:00:00"/>
  </r>
  <r>
    <n v="8613"/>
    <x v="3"/>
    <s v="Systems"/>
    <n v="531.19876908423169"/>
    <d v="2037-01-12T00:00:00"/>
  </r>
  <r>
    <n v="8614"/>
    <x v="3"/>
    <s v="Systems"/>
    <n v="366.3439786787805"/>
    <d v="2037-01-13T00:00:00"/>
  </r>
  <r>
    <n v="8615"/>
    <x v="4"/>
    <s v="Systems"/>
    <n v="233.13245999999998"/>
    <d v="2037-01-14T00:00:00"/>
  </r>
  <r>
    <n v="8616"/>
    <x v="1"/>
    <s v="Systems"/>
    <n v="330.68783068783068"/>
    <d v="2037-01-15T00:00:00"/>
  </r>
  <r>
    <n v="8617"/>
    <x v="4"/>
    <s v="Systems"/>
    <n v="600"/>
    <d v="2037-01-16T00:00:00"/>
  </r>
  <r>
    <n v="8618"/>
    <x v="4"/>
    <s v="Systems"/>
    <n v="600"/>
    <d v="2037-01-17T00:00:00"/>
  </r>
  <r>
    <n v="8619"/>
    <x v="1"/>
    <s v="Systems"/>
    <n v="330.68783068783068"/>
    <d v="2037-01-18T00:00:00"/>
  </r>
  <r>
    <n v="8620"/>
    <x v="4"/>
    <s v="Systems"/>
    <n v="658.08090446639505"/>
    <d v="2037-01-19T00:00:00"/>
  </r>
  <r>
    <n v="8621"/>
    <x v="3"/>
    <s v="Systems"/>
    <n v="549.51596801817072"/>
    <d v="2037-01-20T00:00:00"/>
  </r>
  <r>
    <n v="8622"/>
    <x v="0"/>
    <s v="Systems"/>
    <n v="29.266789895255702"/>
    <d v="2037-01-21T00:00:00"/>
  </r>
  <r>
    <n v="8623"/>
    <x v="2"/>
    <s v="Systems"/>
    <n v="15.884782378481413"/>
    <d v="2037-01-22T00:00:00"/>
  </r>
  <r>
    <n v="8624"/>
    <x v="1"/>
    <s v="Systems"/>
    <n v="17.636684303350968"/>
    <d v="2037-01-23T00:00:00"/>
  </r>
  <r>
    <n v="8625"/>
    <x v="1"/>
    <s v="Systems"/>
    <n v="5.0705467372134034"/>
    <d v="2037-01-24T00:00:00"/>
  </r>
  <r>
    <n v="8626"/>
    <x v="1"/>
    <s v="Systems"/>
    <n v="33.06878306878307"/>
    <d v="2037-01-25T00:00:00"/>
  </r>
  <r>
    <n v="8627"/>
    <x v="2"/>
    <s v="Systems"/>
    <n v="8.4718839351900872"/>
    <d v="2037-01-26T00:00:00"/>
  </r>
  <r>
    <n v="8628"/>
    <x v="2"/>
    <s v="Systems"/>
    <n v="7.9423911892407064"/>
    <d v="2037-01-27T00:00:00"/>
  </r>
  <r>
    <n v="8629"/>
    <x v="1"/>
    <s v="Systems"/>
    <n v="352.73368606701939"/>
    <d v="2037-01-28T00:00:00"/>
  </r>
  <r>
    <n v="8630"/>
    <x v="2"/>
    <s v="Systems"/>
    <n v="8.2600868368103342"/>
    <d v="2037-01-29T00:00:00"/>
  </r>
  <r>
    <n v="8631"/>
    <x v="1"/>
    <s v="Systems"/>
    <n v="22.045855379188712"/>
    <d v="2037-01-30T00:00:00"/>
  </r>
  <r>
    <n v="8632"/>
    <x v="4"/>
    <s v="Systems"/>
    <n v="750"/>
    <d v="2037-01-31T00:00:00"/>
  </r>
  <r>
    <n v="8633"/>
    <x v="2"/>
    <s v="Systems"/>
    <n v="8.1955204913692672"/>
    <d v="2037-02-01T00:00:00"/>
  </r>
  <r>
    <n v="8634"/>
    <x v="0"/>
    <s v="Systems"/>
    <n v="3.8544062287204657"/>
    <d v="2037-02-02T00:00:00"/>
  </r>
  <r>
    <n v="8635"/>
    <x v="4"/>
    <s v="Systems"/>
    <n v="14.5"/>
    <d v="2037-02-03T00:00:00"/>
  </r>
  <r>
    <n v="8636"/>
    <x v="2"/>
    <s v="Systems"/>
    <n v="105.89854918987609"/>
    <d v="2037-02-04T00:00:00"/>
  </r>
  <r>
    <n v="8637"/>
    <x v="0"/>
    <s v="Systems"/>
    <n v="61.614294516327789"/>
    <d v="2037-02-05T00:00:00"/>
  </r>
  <r>
    <n v="8638"/>
    <x v="0"/>
    <s v="Systems"/>
    <n v="61.614294516327789"/>
    <d v="2037-02-06T00:00:00"/>
  </r>
  <r>
    <n v="8639"/>
    <x v="0"/>
    <s v="Systems"/>
    <n v="23.105360443622921"/>
    <d v="2037-02-07T00:00:00"/>
  </r>
  <r>
    <n v="8640"/>
    <x v="0"/>
    <s v="Systems"/>
    <n v="1078.2501540357364"/>
    <d v="2037-02-08T00:00:00"/>
  </r>
  <r>
    <n v="8641"/>
    <x v="0"/>
    <s v="Systems"/>
    <n v="92.421441774491683"/>
    <d v="2037-02-09T00:00:00"/>
  </r>
  <r>
    <n v="8642"/>
    <x v="0"/>
    <s v="Systems"/>
    <n v="107.82501540357363"/>
    <d v="2037-02-10T00:00:00"/>
  </r>
  <r>
    <n v="8643"/>
    <x v="0"/>
    <s v="Systems"/>
    <n v="107.82501540357363"/>
    <d v="2037-02-11T00:00:00"/>
  </r>
  <r>
    <n v="8644"/>
    <x v="4"/>
    <s v="Systems"/>
    <n v="115.16415828161914"/>
    <d v="2037-02-12T00:00:00"/>
  </r>
  <r>
    <n v="8645"/>
    <x v="0"/>
    <s v="Systems"/>
    <n v="77.017868145409736"/>
    <d v="2037-02-13T00:00:00"/>
  </r>
  <r>
    <n v="8646"/>
    <x v="0"/>
    <s v="Systems"/>
    <n v="24.645717806531117"/>
    <d v="2037-02-14T00:00:00"/>
  </r>
  <r>
    <n v="8647"/>
    <x v="2"/>
    <s v="Systems"/>
    <n v="21.179709837975221"/>
    <d v="2037-02-15T00:00:00"/>
  </r>
  <r>
    <n v="8648"/>
    <x v="1"/>
    <s v="Systems"/>
    <n v="39.682539682539684"/>
    <d v="2037-02-16T00:00:00"/>
  </r>
  <r>
    <n v="8649"/>
    <x v="0"/>
    <s v="Systems"/>
    <n v="77.017868145409736"/>
    <d v="2037-02-17T00:00:00"/>
  </r>
  <r>
    <n v="8650"/>
    <x v="3"/>
    <s v="Systems"/>
    <n v="64.110196268786581"/>
    <d v="2037-02-18T00:00:00"/>
  </r>
  <r>
    <n v="8651"/>
    <x v="2"/>
    <s v="Systems"/>
    <n v="21.179709837975221"/>
    <d v="2037-02-19T00:00:00"/>
  </r>
  <r>
    <n v="8652"/>
    <x v="4"/>
    <s v="Systems"/>
    <n v="65.178425941013529"/>
    <d v="2037-02-20T00:00:00"/>
  </r>
  <r>
    <n v="8653"/>
    <x v="4"/>
    <s v="Systems"/>
    <n v="293.30291673456088"/>
    <d v="2037-02-21T00:00:00"/>
  </r>
  <r>
    <n v="8654"/>
    <x v="0"/>
    <s v="Systems"/>
    <n v="30.807147258163894"/>
    <d v="2037-02-22T00:00:00"/>
  </r>
  <r>
    <n v="8655"/>
    <x v="0"/>
    <s v="Systems"/>
    <n v="23.105360443622921"/>
    <d v="2037-02-23T00:00:00"/>
  </r>
  <r>
    <n v="8656"/>
    <x v="0"/>
    <s v="Systems"/>
    <n v="30.807147258163894"/>
    <d v="2037-02-24T00:00:00"/>
  </r>
  <r>
    <n v="8657"/>
    <x v="2"/>
    <s v="Systems"/>
    <n v="20.257677659833075"/>
    <d v="2037-02-25T00:00:00"/>
  </r>
  <r>
    <n v="8658"/>
    <x v="0"/>
    <s v="Systems"/>
    <n v="70.664114193208547"/>
    <d v="2037-02-26T00:00:00"/>
  </r>
  <r>
    <n v="8659"/>
    <x v="0"/>
    <s v="Systems"/>
    <n v="30.807147258163894"/>
    <d v="2037-02-27T00:00:00"/>
  </r>
  <r>
    <n v="8660"/>
    <x v="3"/>
    <s v="Systems"/>
    <n v="18.317198933939025"/>
    <d v="2037-02-28T00:00:00"/>
  </r>
  <r>
    <n v="8661"/>
    <x v="2"/>
    <s v="Systems"/>
    <n v="283.60748723766307"/>
    <d v="2037-03-01T00:00:00"/>
  </r>
  <r>
    <n v="8662"/>
    <x v="4"/>
    <s v="Systems"/>
    <n v="419.94726000000003"/>
    <d v="2037-03-02T00:00:00"/>
  </r>
  <r>
    <n v="8663"/>
    <x v="3"/>
    <s v="Systems"/>
    <n v="183.17198933939025"/>
    <d v="2037-03-03T00:00:00"/>
  </r>
  <r>
    <n v="8664"/>
    <x v="0"/>
    <s v="Systems"/>
    <n v="77.017868145409736"/>
    <d v="2037-03-04T00:00:00"/>
  </r>
  <r>
    <n v="8665"/>
    <x v="4"/>
    <s v="Systems"/>
    <n v="16.294606485253382"/>
    <d v="2037-03-05T00:00:00"/>
  </r>
  <r>
    <n v="8666"/>
    <x v="0"/>
    <s v="Systems"/>
    <n v="123.22858903265558"/>
    <d v="2037-03-06T00:00:00"/>
  </r>
  <r>
    <n v="8667"/>
    <x v="2"/>
    <s v="Systems"/>
    <n v="105.89854918987609"/>
    <d v="2037-03-07T00:00:00"/>
  </r>
  <r>
    <n v="8668"/>
    <x v="4"/>
    <s v="Systems"/>
    <n v="152.46348900658001"/>
    <d v="2037-03-08T00:00:00"/>
  </r>
  <r>
    <n v="8669"/>
    <x v="4"/>
    <s v="Systems"/>
    <n v="215.25175167019717"/>
    <d v="2037-03-09T00:00:00"/>
  </r>
  <r>
    <n v="8670"/>
    <x v="3"/>
    <s v="Systems"/>
    <n v="45.792997334847563"/>
    <d v="2037-03-10T00:00:00"/>
  </r>
  <r>
    <n v="8671"/>
    <x v="0"/>
    <s v="Systems"/>
    <n v="10.782501540357364"/>
    <d v="2037-03-11T00:00:00"/>
  </r>
  <r>
    <n v="8672"/>
    <x v="4"/>
    <s v="Systems"/>
    <n v="26.323236178655804"/>
    <d v="2037-03-12T00:00:00"/>
  </r>
  <r>
    <n v="8673"/>
    <x v="4"/>
    <s v="Systems"/>
    <n v="13.161618089327902"/>
    <d v="2037-03-13T00:00:00"/>
  </r>
  <r>
    <n v="8674"/>
    <x v="4"/>
    <s v="Systems"/>
    <n v="56.170759107687374"/>
    <d v="2037-03-14T00:00:00"/>
  </r>
  <r>
    <n v="8675"/>
    <x v="0"/>
    <s v="Systems"/>
    <n v="40.357362908194702"/>
    <d v="2037-03-15T00:00:00"/>
  </r>
  <r>
    <n v="8676"/>
    <x v="1"/>
    <s v="Systems"/>
    <n v="17.416225749559082"/>
    <d v="2037-03-16T00:00:00"/>
  </r>
  <r>
    <n v="8677"/>
    <x v="3"/>
    <s v="Systems"/>
    <n v="27.475798400908538"/>
    <d v="2037-03-17T00:00:00"/>
  </r>
  <r>
    <n v="8678"/>
    <x v="0"/>
    <s v="Systems"/>
    <n v="19.27203114360233"/>
    <d v="2037-03-18T00:00:00"/>
  </r>
  <r>
    <n v="8679"/>
    <x v="0"/>
    <s v="Systems"/>
    <n v="92.421441774491683"/>
    <d v="2037-03-19T00:00:00"/>
  </r>
  <r>
    <n v="8680"/>
    <x v="0"/>
    <s v="Systems"/>
    <n v="69.316081330868769"/>
    <d v="2037-03-20T00:00:00"/>
  </r>
  <r>
    <n v="8681"/>
    <x v="4"/>
    <s v="Systems"/>
    <n v="40"/>
    <d v="2037-03-21T00:00:00"/>
  </r>
  <r>
    <n v="8682"/>
    <x v="0"/>
    <s v="Systems"/>
    <n v="107.82501540357363"/>
    <d v="2037-03-22T00:00:00"/>
  </r>
  <r>
    <n v="8683"/>
    <x v="3"/>
    <s v="Systems"/>
    <n v="85.174975042816456"/>
    <d v="2037-03-23T00:00:00"/>
  </r>
  <r>
    <n v="8684"/>
    <x v="3"/>
    <s v="Systems"/>
    <n v="91.585994669695125"/>
    <d v="2037-03-24T00:00:00"/>
  </r>
  <r>
    <n v="8685"/>
    <x v="0"/>
    <s v="Systems"/>
    <n v="95.556512019323435"/>
    <d v="2037-03-25T00:00:00"/>
  </r>
  <r>
    <n v="8686"/>
    <x v="0"/>
    <s v="Systems"/>
    <n v="2.3105360443622922E-2"/>
    <d v="2037-03-26T00:00:00"/>
  </r>
  <r>
    <n v="8687"/>
    <x v="4"/>
    <s v="Systems"/>
    <n v="49.356067834979626"/>
    <d v="2037-03-27T00:00:00"/>
  </r>
  <r>
    <n v="8688"/>
    <x v="4"/>
    <s v="Systems"/>
    <n v="146.65145836728044"/>
    <d v="2037-03-28T00:00:00"/>
  </r>
  <r>
    <n v="8689"/>
    <x v="4"/>
    <s v="Systems"/>
    <n v="60"/>
    <d v="2037-03-29T00:00:00"/>
  </r>
  <r>
    <n v="8690"/>
    <x v="0"/>
    <s v="Systems"/>
    <n v="261.86075169439312"/>
    <d v="2037-03-30T00:00:00"/>
  </r>
  <r>
    <n v="8691"/>
    <x v="0"/>
    <s v="Systems"/>
    <n v="69.316081330868769"/>
    <d v="2037-03-31T00:00:00"/>
  </r>
  <r>
    <n v="8692"/>
    <x v="0"/>
    <s v="Systems"/>
    <n v="23.105360443622921"/>
    <d v="2037-04-01T00:00:00"/>
  </r>
  <r>
    <n v="8693"/>
    <x v="4"/>
    <s v="Systems"/>
    <n v="14.443909484833895"/>
    <d v="2037-04-02T00:00:00"/>
  </r>
  <r>
    <n v="8694"/>
    <x v="0"/>
    <s v="Systems"/>
    <n v="38.508934072704868"/>
    <d v="2037-04-03T00:00:00"/>
  </r>
  <r>
    <n v="8695"/>
    <x v="2"/>
    <s v="Systems"/>
    <n v="127.9508630731759"/>
    <d v="2037-04-04T00:00:00"/>
  </r>
  <r>
    <n v="8696"/>
    <x v="2"/>
    <s v="Systems"/>
    <n v="118.05570263687387"/>
    <d v="2037-04-05T00:00:00"/>
  </r>
  <r>
    <n v="8697"/>
    <x v="2"/>
    <s v="Systems"/>
    <n v="317.69564756962825"/>
    <d v="2037-04-06T00:00:00"/>
  </r>
  <r>
    <n v="8698"/>
    <x v="4"/>
    <s v="Systems"/>
    <n v="12"/>
    <d v="2037-04-07T00:00:00"/>
  </r>
  <r>
    <n v="8699"/>
    <x v="4"/>
    <s v="Systems"/>
    <n v="12"/>
    <d v="2037-04-08T00:00:00"/>
  </r>
  <r>
    <n v="8700"/>
    <x v="0"/>
    <s v="Systems"/>
    <n v="46.210720887245841"/>
    <d v="2037-04-09T00:00:00"/>
  </r>
  <r>
    <n v="8701"/>
    <x v="2"/>
    <s v="Systems"/>
    <n v="211.79709837975219"/>
    <d v="2037-04-10T00:00:00"/>
  </r>
  <r>
    <n v="8702"/>
    <x v="3"/>
    <s v="Systems"/>
    <n v="18.317198933939025"/>
    <d v="2037-04-11T00:00:00"/>
  </r>
  <r>
    <n v="8703"/>
    <x v="0"/>
    <s v="Systems"/>
    <n v="16.943930991990143"/>
    <d v="2037-04-12T00:00:00"/>
  </r>
  <r>
    <n v="8704"/>
    <x v="3"/>
    <s v="Systems"/>
    <n v="22.896498667423781"/>
    <d v="2037-04-13T00:00:00"/>
  </r>
  <r>
    <n v="8705"/>
    <x v="2"/>
    <s v="Systems"/>
    <n v="10.58985491898761"/>
    <d v="2037-04-14T00:00:00"/>
  </r>
  <r>
    <n v="8706"/>
    <x v="2"/>
    <s v="Systems"/>
    <n v="127.0782590278513"/>
    <d v="2037-04-15T00:00:00"/>
  </r>
  <r>
    <n v="8707"/>
    <x v="4"/>
    <s v="Systems"/>
    <n v="24.073182474723158"/>
    <d v="2037-04-16T00:00:00"/>
  </r>
  <r>
    <n v="8708"/>
    <x v="0"/>
    <s v="Systems"/>
    <n v="92.421441774491683"/>
    <d v="2037-04-17T00:00:00"/>
  </r>
  <r>
    <n v="8709"/>
    <x v="0"/>
    <s v="Systems"/>
    <n v="38.508934072704868"/>
    <d v="2037-04-18T00:00:00"/>
  </r>
  <r>
    <n v="8710"/>
    <x v="3"/>
    <s v="Systems"/>
    <n v="137.37899200454268"/>
    <d v="2037-04-19T00:00:00"/>
  </r>
  <r>
    <n v="8711"/>
    <x v="3"/>
    <s v="Systems"/>
    <n v="27.475798400908538"/>
    <d v="2037-04-20T00:00:00"/>
  </r>
  <r>
    <n v="8712"/>
    <x v="3"/>
    <s v="Systems"/>
    <n v="45.792997334847563"/>
    <d v="2037-04-21T00:00:00"/>
  </r>
  <r>
    <n v="8713"/>
    <x v="0"/>
    <s v="Systems"/>
    <n v="462.10720887245844"/>
    <d v="2037-04-22T00:00:00"/>
  </r>
  <r>
    <n v="8714"/>
    <x v="0"/>
    <s v="Systems"/>
    <n v="770.17868145409739"/>
    <d v="2037-04-23T00:00:00"/>
  </r>
  <r>
    <n v="8715"/>
    <x v="0"/>
    <s v="Systems"/>
    <n v="770.17868145409739"/>
    <d v="2037-04-24T00:00:00"/>
  </r>
  <r>
    <n v="8716"/>
    <x v="0"/>
    <s v="Systems"/>
    <n v="693.16081330868769"/>
    <d v="2037-04-25T00:00:00"/>
  </r>
  <r>
    <n v="8717"/>
    <x v="4"/>
    <s v="Systems"/>
    <n v="200"/>
    <d v="2037-04-26T00:00:00"/>
  </r>
  <r>
    <n v="8718"/>
    <x v="3"/>
    <s v="Systems"/>
    <n v="915.85994669695117"/>
    <d v="2037-04-27T00:00:00"/>
  </r>
  <r>
    <n v="8719"/>
    <x v="4"/>
    <s v="Systems"/>
    <n v="360"/>
    <d v="2037-04-28T00:00:00"/>
  </r>
  <r>
    <n v="8720"/>
    <x v="0"/>
    <s v="Systems"/>
    <n v="1771.4109673444241"/>
    <d v="2037-04-29T00:00:00"/>
  </r>
  <r>
    <n v="8721"/>
    <x v="0"/>
    <s v="Systems"/>
    <n v="1771.4109673444241"/>
    <d v="2037-04-30T00:00:00"/>
  </r>
  <r>
    <n v="8722"/>
    <x v="0"/>
    <s v="Systems"/>
    <n v="1771.4109673444241"/>
    <d v="2037-05-01T00:00:00"/>
  </r>
  <r>
    <n v="8723"/>
    <x v="0"/>
    <s v="Systems"/>
    <n v="38.508934072704868"/>
    <d v="2037-05-02T00:00:00"/>
  </r>
  <r>
    <n v="8724"/>
    <x v="0"/>
    <s v="Systems"/>
    <n v="38.508934072704868"/>
    <d v="2037-05-03T00:00:00"/>
  </r>
  <r>
    <n v="8725"/>
    <x v="0"/>
    <s v="Systems"/>
    <n v="77.017868145409736"/>
    <d v="2037-05-04T00:00:00"/>
  </r>
  <r>
    <n v="8726"/>
    <x v="0"/>
    <s v="Systems"/>
    <n v="15.403573629081947"/>
    <d v="2037-05-05T00:00:00"/>
  </r>
  <r>
    <n v="8727"/>
    <x v="3"/>
    <s v="Systems"/>
    <n v="274.75798400908536"/>
    <d v="2037-05-06T00:00:00"/>
  </r>
  <r>
    <n v="8728"/>
    <x v="0"/>
    <s v="Systems"/>
    <n v="38.54406228720466"/>
    <d v="2037-05-07T00:00:00"/>
  </r>
  <r>
    <n v="8729"/>
    <x v="0"/>
    <s v="Systems"/>
    <n v="14.132822838641708"/>
    <d v="2037-05-08T00:00:00"/>
  </r>
  <r>
    <n v="8730"/>
    <x v="0"/>
    <s v="Systems"/>
    <n v="38.508934072704868"/>
    <d v="2037-05-09T00:00:00"/>
  </r>
  <r>
    <n v="8731"/>
    <x v="0"/>
    <s v="Systems"/>
    <n v="25.696041524803107"/>
    <d v="2037-05-10T00:00:00"/>
  </r>
  <r>
    <n v="8732"/>
    <x v="2"/>
    <s v="Systems"/>
    <n v="95.308694270888495"/>
    <d v="2037-05-11T00:00:00"/>
  </r>
  <r>
    <n v="8733"/>
    <x v="0"/>
    <s v="Systems"/>
    <n v="12.848020762401553"/>
    <d v="2037-05-12T00:00:00"/>
  </r>
  <r>
    <n v="8734"/>
    <x v="2"/>
    <s v="Systems"/>
    <n v="317.69564756962825"/>
    <d v="2037-05-13T00:00:00"/>
  </r>
  <r>
    <n v="8735"/>
    <x v="2"/>
    <s v="Systems"/>
    <n v="102.54474213703273"/>
    <d v="2037-05-14T00:00:00"/>
  </r>
  <r>
    <n v="8736"/>
    <x v="3"/>
    <s v="Systems"/>
    <n v="13.737899200454269"/>
    <d v="2037-05-15T00:00:00"/>
  </r>
  <r>
    <n v="8737"/>
    <x v="4"/>
    <s v="Systems"/>
    <n v="13.035685188202706"/>
    <d v="2037-05-16T00:00:00"/>
  </r>
  <r>
    <n v="8738"/>
    <x v="3"/>
    <s v="Systems"/>
    <n v="18.317198933939025"/>
    <d v="2037-05-17T00:00:00"/>
  </r>
  <r>
    <n v="8739"/>
    <x v="0"/>
    <s v="Systems"/>
    <n v="23.105360443622921"/>
    <d v="2037-05-18T00:00:00"/>
  </r>
  <r>
    <n v="8740"/>
    <x v="3"/>
    <s v="Systems"/>
    <n v="82.427395202725606"/>
    <d v="2037-05-19T00:00:00"/>
  </r>
  <r>
    <n v="8741"/>
    <x v="3"/>
    <s v="Systems"/>
    <n v="27.475798400908538"/>
    <d v="2037-05-20T00:00:00"/>
  </r>
  <r>
    <n v="8742"/>
    <x v="0"/>
    <s v="Systems"/>
    <n v="77.017868145409736"/>
    <d v="2037-05-21T00:00:00"/>
  </r>
  <r>
    <n v="8743"/>
    <x v="0"/>
    <s v="Systems"/>
    <n v="123.22858903265558"/>
    <d v="2037-05-22T00:00:00"/>
  </r>
  <r>
    <n v="8744"/>
    <x v="2"/>
    <s v="Systems"/>
    <n v="51.890289103039287"/>
    <d v="2037-05-23T00:00:00"/>
  </r>
  <r>
    <n v="8745"/>
    <x v="0"/>
    <s v="Systems"/>
    <n v="53.912507701786815"/>
    <d v="2037-05-24T00:00:00"/>
  </r>
  <r>
    <n v="8746"/>
    <x v="0"/>
    <s v="Systems"/>
    <n v="27.726432532347506"/>
    <d v="2037-05-25T00:00:00"/>
  </r>
  <r>
    <n v="8747"/>
    <x v="4"/>
    <s v="Systems"/>
    <n v="80.243941582410528"/>
    <d v="2037-05-26T00:00:00"/>
  </r>
  <r>
    <n v="8748"/>
    <x v="0"/>
    <s v="Systems"/>
    <n v="30.807147258163894"/>
    <d v="2037-05-27T00:00:00"/>
  </r>
  <r>
    <n v="8749"/>
    <x v="0"/>
    <s v="Systems"/>
    <n v="92.421441774491683"/>
    <d v="2037-05-28T00:00:00"/>
  </r>
  <r>
    <n v="8750"/>
    <x v="0"/>
    <s v="Systems"/>
    <n v="154.03573629081947"/>
    <d v="2037-05-29T00:00:00"/>
  </r>
  <r>
    <n v="8751"/>
    <x v="0"/>
    <s v="Systems"/>
    <n v="92.421441774491683"/>
    <d v="2037-05-30T00:00:00"/>
  </r>
  <r>
    <n v="8752"/>
    <x v="0"/>
    <s v="Systems"/>
    <n v="68.941744226128904"/>
    <d v="2037-05-31T00:00:00"/>
  </r>
  <r>
    <n v="8753"/>
    <x v="2"/>
    <s v="Systems"/>
    <n v="105.89854918987609"/>
    <d v="2037-06-01T00:00:00"/>
  </r>
  <r>
    <n v="8754"/>
    <x v="3"/>
    <s v="Systems"/>
    <n v="54.951596801817075"/>
    <d v="2037-06-02T00:00:00"/>
  </r>
  <r>
    <n v="8755"/>
    <x v="4"/>
    <s v="Systems"/>
    <n v="96.292729898892631"/>
    <d v="2037-06-03T00:00:00"/>
  </r>
  <r>
    <n v="8756"/>
    <x v="2"/>
    <s v="Systems"/>
    <n v="52.669961915566006"/>
    <d v="2037-06-04T00:00:00"/>
  </r>
  <r>
    <n v="8757"/>
    <x v="3"/>
    <s v="Systems"/>
    <n v="85.174975042816456"/>
    <d v="2037-06-05T00:00:00"/>
  </r>
  <r>
    <n v="8758"/>
    <x v="2"/>
    <s v="Systems"/>
    <n v="190.61738854177699"/>
    <d v="2037-06-06T00:00:00"/>
  </r>
  <r>
    <n v="8759"/>
    <x v="0"/>
    <s v="Systems"/>
    <n v="184.84288354898337"/>
    <d v="2037-06-07T00:00:00"/>
  </r>
  <r>
    <n v="8760"/>
    <x v="2"/>
    <s v="Systems"/>
    <n v="105.89854918987609"/>
    <d v="2037-06-08T00:00:00"/>
  </r>
  <r>
    <n v="8761"/>
    <x v="0"/>
    <s v="Systems"/>
    <n v="46.210720887245841"/>
    <d v="2037-06-09T00:00:00"/>
  </r>
  <r>
    <n v="8762"/>
    <x v="2"/>
    <s v="Systems"/>
    <n v="21.179709837975221"/>
    <d v="2037-06-10T00:00:00"/>
  </r>
  <r>
    <n v="8763"/>
    <x v="0"/>
    <s v="Systems"/>
    <n v="61.614294516327789"/>
    <d v="2037-06-11T00:00:00"/>
  </r>
  <r>
    <n v="8764"/>
    <x v="3"/>
    <s v="Systems"/>
    <n v="82.427395202725606"/>
    <d v="2037-06-12T00:00:00"/>
  </r>
  <r>
    <n v="8765"/>
    <x v="0"/>
    <s v="Systems"/>
    <n v="53.912507701786815"/>
    <d v="2037-06-13T00:00:00"/>
  </r>
  <r>
    <n v="8766"/>
    <x v="3"/>
    <s v="Systems"/>
    <n v="45.792997334847563"/>
    <d v="2037-06-14T00:00:00"/>
  </r>
  <r>
    <n v="8767"/>
    <x v="0"/>
    <s v="Systems"/>
    <n v="51.706308169596689"/>
    <d v="2037-06-15T00:00:00"/>
  </r>
  <r>
    <n v="8768"/>
    <x v="0"/>
    <s v="Systems"/>
    <n v="34.470872113064452"/>
    <d v="2037-06-16T00:00:00"/>
  </r>
  <r>
    <n v="8769"/>
    <x v="0"/>
    <s v="Systems"/>
    <n v="41.58964879852126"/>
    <d v="2037-06-17T00:00:00"/>
  </r>
  <r>
    <n v="8770"/>
    <x v="3"/>
    <s v="Systems"/>
    <n v="36.63439786787805"/>
    <d v="2037-06-18T00:00:00"/>
  </r>
  <r>
    <n v="8771"/>
    <x v="2"/>
    <s v="Systems"/>
    <n v="254.15651805570261"/>
    <d v="2037-06-19T00:00:00"/>
  </r>
  <r>
    <n v="8772"/>
    <x v="3"/>
    <s v="Systems"/>
    <n v="128.22039253757316"/>
    <d v="2037-06-20T00:00:00"/>
  </r>
  <r>
    <n v="8773"/>
    <x v="0"/>
    <s v="Systems"/>
    <n v="40.049291435613064"/>
    <d v="2037-06-21T00:00:00"/>
  </r>
  <r>
    <n v="8774"/>
    <x v="3"/>
    <s v="Systems"/>
    <n v="73.2687957357561"/>
    <d v="2037-06-22T00:00:00"/>
  </r>
  <r>
    <n v="8775"/>
    <x v="0"/>
    <s v="Systems"/>
    <n v="154.03573629081947"/>
    <d v="2037-06-23T00:00:00"/>
  </r>
  <r>
    <n v="8776"/>
    <x v="0"/>
    <s v="Systems"/>
    <n v="123.22858903265558"/>
    <d v="2037-06-24T00:00:00"/>
  </r>
  <r>
    <n v="8777"/>
    <x v="4"/>
    <s v="Systems"/>
    <n v="658.08090446639505"/>
    <d v="2037-06-25T00:00:00"/>
  </r>
  <r>
    <n v="8778"/>
    <x v="0"/>
    <s v="Systems"/>
    <n v="261.86075169439312"/>
    <d v="2037-06-26T00:00:00"/>
  </r>
  <r>
    <n v="8779"/>
    <x v="0"/>
    <s v="Systems"/>
    <n v="200.24645717806533"/>
    <d v="2037-06-27T00:00:00"/>
  </r>
  <r>
    <n v="8780"/>
    <x v="4"/>
    <s v="Systems"/>
    <n v="500"/>
    <d v="2037-06-28T00:00:00"/>
  </r>
  <r>
    <n v="8781"/>
    <x v="4"/>
    <s v="Systems"/>
    <n v="600"/>
    <d v="2037-06-29T00:00:00"/>
  </r>
  <r>
    <n v="8782"/>
    <x v="2"/>
    <s v="Systems"/>
    <n v="364.63819787699538"/>
    <d v="2037-06-30T00:00:00"/>
  </r>
  <r>
    <n v="8783"/>
    <x v="4"/>
    <s v="Systems"/>
    <n v="110"/>
    <d v="2037-07-01T00:00:00"/>
  </r>
  <r>
    <n v="8784"/>
    <x v="4"/>
    <s v="Systems"/>
    <n v="9.6292729898892634E-2"/>
    <d v="2037-07-02T00:00:00"/>
  </r>
  <r>
    <n v="8785"/>
    <x v="2"/>
    <s v="Systems"/>
    <n v="21.179709837975221"/>
    <d v="2037-07-03T00:00:00"/>
  </r>
  <r>
    <n v="8786"/>
    <x v="2"/>
    <s v="Systems"/>
    <n v="4.2359419675950436"/>
    <d v="2037-07-04T00:00:00"/>
  </r>
  <r>
    <n v="8787"/>
    <x v="0"/>
    <s v="Systems"/>
    <n v="277.26432532347508"/>
    <d v="2037-07-05T00:00:00"/>
  </r>
  <r>
    <n v="8788"/>
    <x v="4"/>
    <s v="Systems"/>
    <n v="401.21970791205263"/>
    <d v="2037-07-06T00:00:00"/>
  </r>
  <r>
    <n v="8789"/>
    <x v="0"/>
    <s v="Systems"/>
    <n v="77.017868145409736"/>
    <d v="2037-07-07T00:00:00"/>
  </r>
  <r>
    <n v="8790"/>
    <x v="3"/>
    <s v="Systems"/>
    <n v="274.75798400908536"/>
    <d v="2037-07-08T00:00:00"/>
  </r>
  <r>
    <n v="8791"/>
    <x v="3"/>
    <s v="Systems"/>
    <n v="274.75798400908536"/>
    <d v="2037-07-09T00:00:00"/>
  </r>
  <r>
    <n v="8792"/>
    <x v="2"/>
    <s v="Systems"/>
    <n v="169.43767870380177"/>
    <d v="2037-07-10T00:00:00"/>
  </r>
  <r>
    <n v="8793"/>
    <x v="0"/>
    <s v="Systems"/>
    <n v="46.210720887245841"/>
    <d v="2037-07-11T00:00:00"/>
  </r>
  <r>
    <n v="8794"/>
    <x v="3"/>
    <s v="Systems"/>
    <n v="91.585994669695125"/>
    <d v="2037-07-12T00:00:00"/>
  </r>
  <r>
    <n v="8795"/>
    <x v="4"/>
    <s v="Systems"/>
    <n v="240"/>
    <d v="2037-07-13T00:00:00"/>
  </r>
  <r>
    <n v="8796"/>
    <x v="2"/>
    <s v="Systems"/>
    <n v="158.84782378481412"/>
    <d v="2037-07-14T00:00:00"/>
  </r>
  <r>
    <n v="8797"/>
    <x v="4"/>
    <s v="Systems"/>
    <n v="40"/>
    <d v="2037-07-15T00:00:00"/>
  </r>
  <r>
    <n v="8798"/>
    <x v="4"/>
    <s v="Systems"/>
    <n v="80"/>
    <d v="2037-07-16T00:00:00"/>
  </r>
  <r>
    <n v="8799"/>
    <x v="4"/>
    <s v="Systems"/>
    <n v="120.3659123736158"/>
    <d v="2037-07-17T00:00:00"/>
  </r>
  <r>
    <n v="8800"/>
    <x v="2"/>
    <s v="Systems"/>
    <n v="667.16085989621945"/>
    <d v="2037-07-18T00:00:00"/>
  </r>
  <r>
    <n v="8801"/>
    <x v="0"/>
    <s v="Systems"/>
    <n v="308.07147258163894"/>
    <d v="2037-07-19T00:00:00"/>
  </r>
  <r>
    <n v="8802"/>
    <x v="0"/>
    <s v="Systems"/>
    <n v="123.22858903265558"/>
    <d v="2037-07-20T00:00:00"/>
  </r>
  <r>
    <n v="8803"/>
    <x v="4"/>
    <s v="Systems"/>
    <n v="60"/>
    <d v="2037-07-21T00:00:00"/>
  </r>
  <r>
    <n v="8804"/>
    <x v="0"/>
    <s v="Systems"/>
    <n v="69.316081330868769"/>
    <d v="2037-07-22T00:00:00"/>
  </r>
  <r>
    <n v="8805"/>
    <x v="2"/>
    <s v="Systems"/>
    <n v="476.54347135444243"/>
    <d v="2037-07-23T00:00:00"/>
  </r>
  <r>
    <n v="8806"/>
    <x v="4"/>
    <s v="Systems"/>
    <n v="40"/>
    <d v="2037-07-24T00:00:00"/>
  </r>
  <r>
    <n v="8807"/>
    <x v="3"/>
    <s v="Systems"/>
    <n v="63.001089873336575"/>
    <d v="2037-07-25T00:00:00"/>
  </r>
  <r>
    <n v="8808"/>
    <x v="0"/>
    <s v="Systems"/>
    <n v="123.22858903265558"/>
    <d v="2037-07-26T00:00:00"/>
  </r>
  <r>
    <n v="8809"/>
    <x v="0"/>
    <s v="Systems"/>
    <n v="123.22858903265558"/>
    <d v="2037-07-27T00:00:00"/>
  </r>
  <r>
    <n v="8810"/>
    <x v="2"/>
    <s v="Systems"/>
    <n v="127.0782590278513"/>
    <d v="2037-07-28T00:00:00"/>
  </r>
  <r>
    <n v="8811"/>
    <x v="2"/>
    <s v="Systems"/>
    <n v="476.54347135444243"/>
    <d v="2037-07-29T00:00:00"/>
  </r>
  <r>
    <n v="8812"/>
    <x v="0"/>
    <s v="Systems"/>
    <n v="123.22858903265558"/>
    <d v="2037-07-30T00:00:00"/>
  </r>
  <r>
    <n v="8813"/>
    <x v="3"/>
    <s v="Systems"/>
    <n v="91.585994669695125"/>
    <d v="2037-07-31T00:00:00"/>
  </r>
  <r>
    <n v="8814"/>
    <x v="2"/>
    <s v="Systems"/>
    <n v="370.64492216456637"/>
    <d v="2037-08-01T00:00:00"/>
  </r>
  <r>
    <n v="8815"/>
    <x v="4"/>
    <s v="Systems"/>
    <n v="500"/>
    <d v="2037-08-02T00:00:00"/>
  </r>
  <r>
    <n v="8816"/>
    <x v="4"/>
    <s v="Systems"/>
    <n v="16.452022611659878"/>
    <d v="2037-08-03T00:00:00"/>
  </r>
  <r>
    <n v="8817"/>
    <x v="4"/>
    <s v="Systems"/>
    <n v="98.712135669959252"/>
    <d v="2037-08-04T00:00:00"/>
  </r>
  <r>
    <n v="8818"/>
    <x v="4"/>
    <s v="Systems"/>
    <n v="65.808090446639511"/>
    <d v="2037-08-05T00:00:00"/>
  </r>
  <r>
    <n v="8819"/>
    <x v="1"/>
    <s v="Systems"/>
    <n v="110.22927689594357"/>
    <d v="2037-08-06T00:00:00"/>
  </r>
  <r>
    <n v="8820"/>
    <x v="2"/>
    <s v="Systems"/>
    <n v="74.128984432913256"/>
    <d v="2037-08-07T00:00:00"/>
  </r>
  <r>
    <n v="8821"/>
    <x v="4"/>
    <s v="Systems"/>
    <n v="23.724947042528925"/>
    <d v="2037-08-08T00:00:00"/>
  </r>
  <r>
    <n v="8822"/>
    <x v="4"/>
    <s v="Systems"/>
    <n v="16.452022611659878"/>
    <d v="2037-08-09T00:00:00"/>
  </r>
  <r>
    <n v="8823"/>
    <x v="4"/>
    <s v="Systems"/>
    <n v="118.45456280395112"/>
    <d v="2037-08-10T00:00:00"/>
  </r>
  <r>
    <n v="8824"/>
    <x v="3"/>
    <s v="Systems"/>
    <n v="13.737899200454269"/>
    <d v="2037-08-11T00:00:00"/>
  </r>
  <r>
    <n v="8825"/>
    <x v="2"/>
    <s v="Systems"/>
    <n v="84.718839351900883"/>
    <d v="2037-08-12T00:00:00"/>
  </r>
  <r>
    <n v="8826"/>
    <x v="4"/>
    <s v="Systems"/>
    <n v="18.906434057002969"/>
    <d v="2037-08-13T00:00:00"/>
  </r>
  <r>
    <n v="8827"/>
    <x v="2"/>
    <s v="Systems"/>
    <n v="40.515355319666149"/>
    <d v="2037-08-14T00:00:00"/>
  </r>
  <r>
    <n v="8828"/>
    <x v="4"/>
    <s v="Systems"/>
    <n v="12"/>
    <d v="2037-08-15T00:00:00"/>
  </r>
  <r>
    <n v="8829"/>
    <x v="3"/>
    <s v="Systems"/>
    <n v="27.475798400908538"/>
    <d v="2037-08-16T00:00:00"/>
  </r>
  <r>
    <n v="8830"/>
    <x v="4"/>
    <s v="Systems"/>
    <n v="12"/>
    <d v="2037-08-17T00:00:00"/>
  </r>
  <r>
    <n v="8831"/>
    <x v="2"/>
    <s v="Systems"/>
    <n v="105.89854918987609"/>
    <d v="2037-08-18T00:00:00"/>
  </r>
  <r>
    <n v="8832"/>
    <x v="2"/>
    <s v="Systems"/>
    <n v="10.58985491898761"/>
    <d v="2037-08-19T00:00:00"/>
  </r>
  <r>
    <n v="8833"/>
    <x v="4"/>
    <s v="Systems"/>
    <n v="12"/>
    <d v="2037-08-20T00:00:00"/>
  </r>
  <r>
    <n v="8834"/>
    <x v="2"/>
    <s v="Systems"/>
    <n v="21.179709837975221"/>
    <d v="2037-08-21T00:00:00"/>
  </r>
  <r>
    <n v="8835"/>
    <x v="2"/>
    <s v="Systems"/>
    <n v="8.1030710639332302"/>
    <d v="2037-08-22T00:00:00"/>
  </r>
  <r>
    <n v="8836"/>
    <x v="0"/>
    <s v="Systems"/>
    <n v="12.322858903265558"/>
    <d v="2037-08-23T00:00:00"/>
  </r>
  <r>
    <n v="8837"/>
    <x v="3"/>
    <s v="Systems"/>
    <n v="18.317198933939025"/>
    <d v="2037-08-24T00:00:00"/>
  </r>
  <r>
    <n v="8838"/>
    <x v="3"/>
    <s v="Systems"/>
    <n v="7.3268795735756092"/>
    <d v="2037-08-25T00:00:00"/>
  </r>
  <r>
    <n v="8839"/>
    <x v="4"/>
    <s v="Systems"/>
    <n v="100"/>
    <d v="2037-08-26T00:00:00"/>
  </r>
  <r>
    <n v="8840"/>
    <x v="3"/>
    <s v="Systems"/>
    <n v="13.279969227105791"/>
    <d v="2037-08-27T00:00:00"/>
  </r>
  <r>
    <n v="8841"/>
    <x v="3"/>
    <s v="Systems"/>
    <n v="320.5509813439329"/>
    <d v="2037-08-28T00:00:00"/>
  </r>
  <r>
    <n v="8842"/>
    <x v="1"/>
    <s v="Systems"/>
    <n v="399.5590828924162"/>
    <d v="2037-08-29T00:00:00"/>
  </r>
  <r>
    <n v="8843"/>
    <x v="2"/>
    <s v="Systems"/>
    <n v="56.721497447532613"/>
    <d v="2037-08-30T00:00:00"/>
  </r>
  <r>
    <n v="8844"/>
    <x v="2"/>
    <s v="Systems"/>
    <n v="21.179709837975221"/>
    <d v="2037-08-31T00:00:00"/>
  </r>
  <r>
    <n v="8845"/>
    <x v="0"/>
    <s v="Systems"/>
    <n v="89.936145336810867"/>
    <d v="2037-09-01T00:00:00"/>
  </r>
  <r>
    <n v="8846"/>
    <x v="4"/>
    <s v="Systems"/>
    <n v="9.6292729898892624"/>
    <d v="2037-09-02T00:00:00"/>
  </r>
  <r>
    <n v="8847"/>
    <x v="3"/>
    <s v="Systems"/>
    <n v="91.585994669695125"/>
    <d v="2037-09-03T00:00:00"/>
  </r>
  <r>
    <n v="8848"/>
    <x v="4"/>
    <s v="Systems"/>
    <n v="2.63232361786558"/>
    <d v="2037-09-04T00:00:00"/>
  </r>
  <r>
    <n v="8849"/>
    <x v="0"/>
    <s v="Systems"/>
    <n v="15.384742975344651"/>
    <d v="2037-09-05T00:00:00"/>
  </r>
  <r>
    <n v="8850"/>
    <x v="0"/>
    <s v="Systems"/>
    <n v="15.403573629081947"/>
    <d v="2037-09-06T00:00:00"/>
  </r>
  <r>
    <n v="8851"/>
    <x v="0"/>
    <s v="Systems"/>
    <n v="7.7017868145409736"/>
    <d v="2037-09-07T00:00:00"/>
  </r>
  <r>
    <n v="8852"/>
    <x v="2"/>
    <s v="Systems"/>
    <n v="15.884782378481413"/>
    <d v="2037-09-08T00:00:00"/>
  </r>
  <r>
    <n v="8853"/>
    <x v="0"/>
    <s v="Systems"/>
    <n v="12.848020762401553"/>
    <d v="2037-09-09T00:00:00"/>
  </r>
  <r>
    <n v="8854"/>
    <x v="0"/>
    <s v="Systems"/>
    <n v="12.848020762401553"/>
    <d v="2037-09-10T00:00:00"/>
  </r>
  <r>
    <n v="8855"/>
    <x v="2"/>
    <s v="Systems"/>
    <n v="21.179709837975221"/>
    <d v="2037-09-11T00:00:00"/>
  </r>
  <r>
    <n v="8856"/>
    <x v="4"/>
    <s v="Systems"/>
    <n v="16.294606485253382"/>
    <d v="2037-09-12T00:00:00"/>
  </r>
  <r>
    <n v="8857"/>
    <x v="2"/>
    <s v="Systems"/>
    <n v="21.179709837975221"/>
    <d v="2037-09-13T00:00:00"/>
  </r>
  <r>
    <n v="8858"/>
    <x v="2"/>
    <s v="Systems"/>
    <n v="40.515355319666149"/>
    <d v="2037-09-14T00:00:00"/>
  </r>
  <r>
    <n v="8859"/>
    <x v="2"/>
    <s v="Systems"/>
    <n v="158.84782378481412"/>
    <d v="2037-09-15T00:00:00"/>
  </r>
  <r>
    <n v="8860"/>
    <x v="3"/>
    <s v="Systems"/>
    <n v="54.951596801817075"/>
    <d v="2037-09-16T00:00:00"/>
  </r>
  <r>
    <n v="8861"/>
    <x v="2"/>
    <s v="Systems"/>
    <n v="194.47370553439754"/>
    <d v="2037-09-17T00:00:00"/>
  </r>
  <r>
    <n v="8862"/>
    <x v="4"/>
    <s v="Systems"/>
    <n v="651.78425941013529"/>
    <d v="2037-09-18T00:00:00"/>
  </r>
  <r>
    <n v="8863"/>
    <x v="4"/>
    <s v="Systems"/>
    <n v="488.83819455760147"/>
    <d v="2037-09-19T00:00:00"/>
  </r>
  <r>
    <n v="8864"/>
    <x v="3"/>
    <s v="Systems"/>
    <n v="27.475798400908538"/>
    <d v="2037-09-20T00:00:00"/>
  </r>
  <r>
    <n v="8865"/>
    <x v="3"/>
    <s v="Systems"/>
    <n v="16.485479040545119"/>
    <d v="2037-09-21T00:00:00"/>
  </r>
  <r>
    <n v="8866"/>
    <x v="2"/>
    <s v="Systems"/>
    <n v="52.949274594938046"/>
    <d v="2037-09-22T00:00:00"/>
  </r>
  <r>
    <n v="8867"/>
    <x v="0"/>
    <s v="Systems"/>
    <n v="30.807147258163894"/>
    <d v="2037-09-23T00:00:00"/>
  </r>
  <r>
    <n v="8868"/>
    <x v="0"/>
    <s v="Systems"/>
    <n v="154.03573629081947"/>
    <d v="2037-09-24T00:00:00"/>
  </r>
  <r>
    <n v="8869"/>
    <x v="0"/>
    <s v="Systems"/>
    <n v="154.03573629081947"/>
    <d v="2037-09-25T00:00:00"/>
  </r>
  <r>
    <n v="8870"/>
    <x v="4"/>
    <s v="Systems"/>
    <n v="120.3659123736158"/>
    <d v="2037-09-26T00:00:00"/>
  </r>
  <r>
    <n v="8871"/>
    <x v="2"/>
    <s v="Systems"/>
    <n v="23.29768082177274"/>
    <d v="2037-09-27T00:00:00"/>
  </r>
  <r>
    <n v="8872"/>
    <x v="4"/>
    <s v="Systems"/>
    <n v="48.146364949446316"/>
    <d v="2037-09-28T00:00:00"/>
  </r>
  <r>
    <n v="8873"/>
    <x v="2"/>
    <s v="Systems"/>
    <n v="15.884782378481413"/>
    <d v="2037-09-29T00:00:00"/>
  </r>
  <r>
    <n v="8874"/>
    <x v="0"/>
    <s v="Systems"/>
    <n v="308.07147258163894"/>
    <d v="2037-09-30T00:00:00"/>
  </r>
  <r>
    <n v="8875"/>
    <x v="3"/>
    <s v="Systems"/>
    <n v="183.17198933939025"/>
    <d v="2037-10-01T00:00:00"/>
  </r>
  <r>
    <n v="8876"/>
    <x v="3"/>
    <s v="Systems"/>
    <n v="68.689496002271341"/>
    <d v="2037-10-02T00:00:00"/>
  </r>
  <r>
    <n v="8877"/>
    <x v="3"/>
    <s v="Systems"/>
    <n v="457.92997334847558"/>
    <d v="2037-10-03T00:00:00"/>
  </r>
  <r>
    <n v="8878"/>
    <x v="3"/>
    <s v="Systems"/>
    <n v="68.689496002271341"/>
    <d v="2037-10-04T00:00:00"/>
  </r>
  <r>
    <n v="8879"/>
    <x v="3"/>
    <s v="Systems"/>
    <n v="457.92997334847558"/>
    <d v="2037-10-05T00:00:00"/>
  </r>
  <r>
    <n v="8880"/>
    <x v="3"/>
    <s v="Systems"/>
    <n v="366.3439786787805"/>
    <d v="2037-10-06T00:00:00"/>
  </r>
  <r>
    <n v="8881"/>
    <x v="3"/>
    <s v="Systems"/>
    <n v="183.17198933939025"/>
    <d v="2037-10-07T00:00:00"/>
  </r>
  <r>
    <n v="8882"/>
    <x v="3"/>
    <s v="Systems"/>
    <n v="228.96498667423779"/>
    <d v="2037-10-08T00:00:00"/>
  </r>
  <r>
    <n v="8883"/>
    <x v="2"/>
    <s v="Systems"/>
    <n v="1058.985491898761"/>
    <d v="2037-10-09T00:00:00"/>
  </r>
  <r>
    <n v="8884"/>
    <x v="2"/>
    <s v="Systems"/>
    <n v="9.7236852767198769"/>
    <d v="2037-10-10T00:00:00"/>
  </r>
  <r>
    <n v="8885"/>
    <x v="3"/>
    <s v="Systems"/>
    <n v="11.906179307060365"/>
    <d v="2037-10-11T00:00:00"/>
  </r>
  <r>
    <n v="8886"/>
    <x v="3"/>
    <s v="Systems"/>
    <n v="27.475798400908538"/>
    <d v="2037-10-12T00:00:00"/>
  </r>
  <r>
    <n v="8887"/>
    <x v="3"/>
    <s v="Systems"/>
    <n v="73.2687957357561"/>
    <d v="2037-10-13T00:00:00"/>
  </r>
  <r>
    <n v="8888"/>
    <x v="0"/>
    <s v="Systems"/>
    <n v="23.105360443622921"/>
    <d v="2037-10-14T00:00:00"/>
  </r>
  <r>
    <n v="8889"/>
    <x v="3"/>
    <s v="Systems"/>
    <n v="45.792997334847563"/>
    <d v="2037-10-15T00:00:00"/>
  </r>
  <r>
    <n v="8890"/>
    <x v="0"/>
    <s v="Systems"/>
    <n v="77.017868145409736"/>
    <d v="2037-10-16T00:00:00"/>
  </r>
  <r>
    <n v="8891"/>
    <x v="0"/>
    <s v="Systems"/>
    <n v="117.06715958102281"/>
    <d v="2037-10-17T00:00:00"/>
  </r>
  <r>
    <n v="8892"/>
    <x v="4"/>
    <s v="Systems"/>
    <n v="200"/>
    <d v="2037-10-18T00:00:00"/>
  </r>
  <r>
    <n v="8893"/>
    <x v="0"/>
    <s v="Systems"/>
    <n v="3.2120051906003884"/>
    <d v="2037-10-19T00:00:00"/>
  </r>
  <r>
    <n v="8894"/>
    <x v="3"/>
    <s v="Systems"/>
    <n v="274.75798400908536"/>
    <d v="2037-10-20T00:00:00"/>
  </r>
  <r>
    <n v="8895"/>
    <x v="3"/>
    <s v="Systems"/>
    <n v="274.75798400908536"/>
    <d v="2037-10-21T00:00:00"/>
  </r>
  <r>
    <n v="8896"/>
    <x v="3"/>
    <s v="Systems"/>
    <n v="183.17198933939025"/>
    <d v="2037-10-22T00:00:00"/>
  </r>
  <r>
    <n v="8897"/>
    <x v="4"/>
    <s v="Systems"/>
    <n v="65.178425941013529"/>
    <d v="2037-10-23T00:00:00"/>
  </r>
  <r>
    <n v="8898"/>
    <x v="0"/>
    <s v="Systems"/>
    <n v="47.443006777572393"/>
    <d v="2037-10-24T00:00:00"/>
  </r>
  <r>
    <n v="8899"/>
    <x v="0"/>
    <s v="Systems"/>
    <n v="12.848020762401553"/>
    <d v="2037-10-25T00:00:00"/>
  </r>
  <r>
    <n v="8900"/>
    <x v="3"/>
    <s v="Systems"/>
    <n v="54.951596801817075"/>
    <d v="2037-10-26T00:00:00"/>
  </r>
  <r>
    <n v="8901"/>
    <x v="3"/>
    <s v="Systems"/>
    <n v="109.90319360363415"/>
    <d v="2037-10-27T00:00:00"/>
  </r>
  <r>
    <n v="8902"/>
    <x v="2"/>
    <s v="Systems"/>
    <n v="21.179709837975221"/>
    <d v="2037-10-28T00:00:00"/>
  </r>
  <r>
    <n v="8903"/>
    <x v="0"/>
    <s v="Systems"/>
    <n v="6.4240103812007767"/>
    <d v="2037-10-29T00:00:00"/>
  </r>
  <r>
    <n v="8904"/>
    <x v="4"/>
    <s v="Systems"/>
    <n v="6.5808090446639511"/>
    <d v="2037-10-30T00:00:00"/>
  </r>
  <r>
    <n v="8905"/>
    <x v="3"/>
    <s v="Systems"/>
    <n v="12.822039253757318"/>
    <d v="2037-10-31T00:00:00"/>
  </r>
  <r>
    <n v="8906"/>
    <x v="4"/>
    <s v="Apps"/>
    <n v="100"/>
    <d v="2037-11-01T00:00:00"/>
  </r>
  <r>
    <n v="8907"/>
    <x v="0"/>
    <s v="Apps"/>
    <n v="770.17868145409739"/>
    <d v="2037-11-02T00:00:00"/>
  </r>
  <r>
    <n v="8908"/>
    <x v="0"/>
    <s v="Apps"/>
    <n v="231.05360443622922"/>
    <d v="2037-11-03T00:00:00"/>
  </r>
  <r>
    <n v="8909"/>
    <x v="1"/>
    <s v="Apps"/>
    <n v="66.137566137566139"/>
    <d v="2037-11-04T00:00:00"/>
  </r>
  <r>
    <n v="8910"/>
    <x v="2"/>
    <s v="Apps"/>
    <n v="529.49274594938049"/>
    <d v="2037-11-05T00:00:00"/>
  </r>
  <r>
    <n v="8911"/>
    <x v="2"/>
    <s v="Apps"/>
    <n v="211.79709837975219"/>
    <d v="2037-11-06T00:00:00"/>
  </r>
  <r>
    <n v="8912"/>
    <x v="1"/>
    <s v="Apps"/>
    <n v="11.022927689594356"/>
    <d v="2037-11-07T00:00:00"/>
  </r>
  <r>
    <n v="8913"/>
    <x v="1"/>
    <s v="Apps"/>
    <n v="33.06878306878307"/>
    <d v="2037-11-08T00:00:00"/>
  </r>
  <r>
    <n v="8914"/>
    <x v="1"/>
    <s v="Apps"/>
    <n v="11.022927689594356"/>
    <d v="2037-11-09T00:00:00"/>
  </r>
  <r>
    <n v="8915"/>
    <x v="1"/>
    <s v="Apps"/>
    <n v="11.022927689594356"/>
    <d v="2037-11-10T00:00:00"/>
  </r>
  <r>
    <n v="8916"/>
    <x v="1"/>
    <s v="Apps"/>
    <n v="11.022927689594356"/>
    <d v="2037-11-11T00:00:00"/>
  </r>
  <r>
    <n v="8917"/>
    <x v="1"/>
    <s v="Apps"/>
    <n v="11.022927689594356"/>
    <d v="2037-11-12T00:00:00"/>
  </r>
  <r>
    <n v="8918"/>
    <x v="1"/>
    <s v="Apps"/>
    <n v="11.022927689594356"/>
    <d v="2037-11-13T00:00:00"/>
  </r>
  <r>
    <n v="8919"/>
    <x v="1"/>
    <s v="Apps"/>
    <n v="11.022927689594356"/>
    <d v="2037-11-14T00:00:00"/>
  </r>
  <r>
    <n v="8920"/>
    <x v="1"/>
    <s v="Apps"/>
    <n v="11.022927689594356"/>
    <d v="2037-11-15T00:00:00"/>
  </r>
  <r>
    <n v="8921"/>
    <x v="1"/>
    <s v="Apps"/>
    <n v="11.022927689594356"/>
    <d v="2037-11-16T00:00:00"/>
  </r>
  <r>
    <n v="8922"/>
    <x v="1"/>
    <s v="Apps"/>
    <n v="11.022927689594356"/>
    <d v="2037-11-17T00:00:00"/>
  </r>
  <r>
    <n v="8923"/>
    <x v="1"/>
    <s v="Apps"/>
    <n v="55.114638447971785"/>
    <d v="2037-11-18T00:00:00"/>
  </r>
  <r>
    <n v="8924"/>
    <x v="1"/>
    <s v="Apps"/>
    <n v="11.022927689594356"/>
    <d v="2037-11-19T00:00:00"/>
  </r>
  <r>
    <n v="8925"/>
    <x v="1"/>
    <s v="Apps"/>
    <n v="11.022927689594356"/>
    <d v="2037-11-20T00:00:00"/>
  </r>
  <r>
    <n v="8926"/>
    <x v="1"/>
    <s v="Apps"/>
    <n v="11.022927689594356"/>
    <d v="2037-11-21T00:00:00"/>
  </r>
  <r>
    <n v="8927"/>
    <x v="0"/>
    <s v="Apps"/>
    <n v="77.017868145409736"/>
    <d v="2037-11-22T00:00:00"/>
  </r>
  <r>
    <n v="8928"/>
    <x v="2"/>
    <s v="Apps"/>
    <n v="52.949274594938046"/>
    <d v="2037-11-23T00:00:00"/>
  </r>
  <r>
    <n v="8929"/>
    <x v="1"/>
    <s v="Apps"/>
    <n v="110.22927689594357"/>
    <d v="2037-11-24T00:00:00"/>
  </r>
  <r>
    <n v="8930"/>
    <x v="1"/>
    <s v="Apps"/>
    <n v="44.091710758377424"/>
    <d v="2037-11-25T00:00:00"/>
  </r>
  <r>
    <n v="8931"/>
    <x v="2"/>
    <s v="Apps"/>
    <n v="405.15355319666151"/>
    <d v="2037-11-26T00:00:00"/>
  </r>
  <r>
    <n v="8932"/>
    <x v="1"/>
    <s v="Apps"/>
    <n v="22.045855379188712"/>
    <d v="2037-11-27T00:00:00"/>
  </r>
  <r>
    <n v="8933"/>
    <x v="2"/>
    <s v="Apps"/>
    <n v="52.949274594938046"/>
    <d v="2037-11-28T00:00:00"/>
  </r>
  <r>
    <n v="8934"/>
    <x v="2"/>
    <s v="Apps"/>
    <n v="211.79709837975219"/>
    <d v="2037-11-29T00:00:00"/>
  </r>
  <r>
    <n v="8935"/>
    <x v="1"/>
    <s v="Apps"/>
    <n v="110.22927689594357"/>
    <d v="2037-11-30T00:00:00"/>
  </r>
  <r>
    <n v="8936"/>
    <x v="2"/>
    <s v="Apps"/>
    <n v="1058.985491898761"/>
    <d v="2037-12-01T00:00:00"/>
  </r>
  <r>
    <n v="8937"/>
    <x v="1"/>
    <s v="Apps"/>
    <n v="110.22927689594357"/>
    <d v="2037-12-02T00:00:00"/>
  </r>
  <r>
    <n v="8938"/>
    <x v="0"/>
    <s v="Apps"/>
    <n v="385.08934072704869"/>
    <d v="2037-12-03T00:00:00"/>
  </r>
  <r>
    <n v="8939"/>
    <x v="1"/>
    <s v="Apps"/>
    <n v="33.06878306878307"/>
    <d v="2037-12-04T00:00:00"/>
  </r>
  <r>
    <n v="8940"/>
    <x v="4"/>
    <s v="Apps"/>
    <n v="100"/>
    <d v="2037-12-05T00:00:00"/>
  </r>
  <r>
    <n v="8941"/>
    <x v="4"/>
    <s v="Apps"/>
    <n v="100"/>
    <d v="2037-12-06T00:00:00"/>
  </r>
  <r>
    <n v="8942"/>
    <x v="1"/>
    <s v="Apps"/>
    <n v="55.114638447971785"/>
    <d v="2037-12-07T00:00:00"/>
  </r>
  <r>
    <n v="8943"/>
    <x v="1"/>
    <s v="Apps"/>
    <n v="55.114638447971785"/>
    <d v="2037-12-08T00:00:00"/>
  </r>
  <r>
    <n v="8944"/>
    <x v="1"/>
    <s v="Apps"/>
    <n v="55.114638447971785"/>
    <d v="2037-12-09T00:00:00"/>
  </r>
  <r>
    <n v="8945"/>
    <x v="1"/>
    <s v="Apps"/>
    <n v="55.114638447971785"/>
    <d v="2037-12-10T00:00:00"/>
  </r>
  <r>
    <n v="8946"/>
    <x v="1"/>
    <s v="Apps"/>
    <n v="55.114638447971785"/>
    <d v="2037-12-11T00:00:00"/>
  </r>
  <r>
    <n v="8947"/>
    <x v="1"/>
    <s v="Apps"/>
    <n v="55.114638447971785"/>
    <d v="2037-12-12T00:00:00"/>
  </r>
  <r>
    <n v="8948"/>
    <x v="1"/>
    <s v="Apps"/>
    <n v="110.22927689594357"/>
    <d v="2037-12-13T00:00:00"/>
  </r>
  <r>
    <n v="8949"/>
    <x v="1"/>
    <s v="Apps"/>
    <n v="55.114638447971785"/>
    <d v="2037-12-14T00:00:00"/>
  </r>
  <r>
    <n v="8950"/>
    <x v="1"/>
    <s v="Apps"/>
    <n v="40"/>
    <d v="2037-12-15T00:00:00"/>
  </r>
  <r>
    <n v="8951"/>
    <x v="1"/>
    <s v="Apps"/>
    <n v="100"/>
    <d v="2037-12-16T00:00:00"/>
  </r>
  <r>
    <n v="8952"/>
    <x v="1"/>
    <s v="Apps"/>
    <n v="110.22927689594357"/>
    <d v="2037-12-17T00:00:00"/>
  </r>
  <r>
    <n v="8953"/>
    <x v="1"/>
    <s v="Apps"/>
    <n v="110.22927689594357"/>
    <d v="2037-12-18T00:00:00"/>
  </r>
  <r>
    <n v="8954"/>
    <x v="1"/>
    <s v="Apps"/>
    <n v="110.22927689594357"/>
    <d v="2037-12-19T00:00:00"/>
  </r>
  <r>
    <n v="8955"/>
    <x v="1"/>
    <s v="Apps"/>
    <n v="55.114638447971785"/>
    <d v="2037-12-20T00:00:00"/>
  </r>
  <r>
    <n v="8956"/>
    <x v="1"/>
    <s v="Apps"/>
    <n v="66.137566137566139"/>
    <d v="2037-12-21T00:00:00"/>
  </r>
  <r>
    <n v="8957"/>
    <x v="1"/>
    <s v="Apps"/>
    <n v="55.114638447971785"/>
    <d v="2037-12-22T00:00:00"/>
  </r>
  <r>
    <n v="8958"/>
    <x v="1"/>
    <s v="Apps"/>
    <n v="55.114638447971785"/>
    <d v="2037-12-23T00:00:00"/>
  </r>
  <r>
    <n v="8959"/>
    <x v="1"/>
    <s v="Apps"/>
    <n v="66.137566137566139"/>
    <d v="2037-12-24T00:00:00"/>
  </r>
  <r>
    <n v="8960"/>
    <x v="1"/>
    <s v="Apps"/>
    <n v="110.22927689594357"/>
    <d v="2037-12-25T00:00:00"/>
  </r>
  <r>
    <n v="8961"/>
    <x v="1"/>
    <s v="Apps"/>
    <n v="55.114638447971785"/>
    <d v="2037-12-26T00:00:00"/>
  </r>
  <r>
    <n v="8962"/>
    <x v="1"/>
    <s v="Apps"/>
    <n v="66.137566137566139"/>
    <d v="2037-12-27T00:00:00"/>
  </r>
  <r>
    <n v="8963"/>
    <x v="1"/>
    <s v="Apps"/>
    <n v="55.114638447971785"/>
    <d v="2037-12-28T00:00:00"/>
  </r>
  <r>
    <n v="8964"/>
    <x v="1"/>
    <s v="Apps"/>
    <n v="55.114638447971785"/>
    <d v="2037-12-29T00:00:00"/>
  </r>
  <r>
    <n v="8965"/>
    <x v="1"/>
    <s v="Apps"/>
    <n v="55.114638447971785"/>
    <d v="2037-12-30T00:00:00"/>
  </r>
  <r>
    <n v="8966"/>
    <x v="1"/>
    <s v="Apps"/>
    <n v="66.137566137566139"/>
    <d v="2037-12-31T00:00:00"/>
  </r>
  <r>
    <n v="8967"/>
    <x v="1"/>
    <s v="Apps"/>
    <n v="66.137566137566139"/>
    <d v="2038-01-01T00:00:00"/>
  </r>
  <r>
    <n v="8968"/>
    <x v="1"/>
    <s v="Apps"/>
    <n v="66.137566137566139"/>
    <d v="2038-01-02T00:00:00"/>
  </r>
  <r>
    <n v="8969"/>
    <x v="4"/>
    <s v="Apps"/>
    <n v="10"/>
    <d v="2038-01-03T00:00:00"/>
  </r>
  <r>
    <n v="8970"/>
    <x v="2"/>
    <s v="Apps"/>
    <n v="64.824568511465841"/>
    <d v="2038-01-04T00:00:00"/>
  </r>
  <r>
    <n v="8971"/>
    <x v="1"/>
    <s v="Apps"/>
    <n v="17.636684303350968"/>
    <d v="2038-01-05T00:00:00"/>
  </r>
  <r>
    <n v="8972"/>
    <x v="1"/>
    <s v="Apps"/>
    <n v="30"/>
    <d v="2038-01-06T00:00:00"/>
  </r>
  <r>
    <n v="8973"/>
    <x v="1"/>
    <s v="Apps"/>
    <n v="66.137566137566139"/>
    <d v="2038-01-07T00:00:00"/>
  </r>
  <r>
    <n v="8974"/>
    <x v="4"/>
    <s v="Apps"/>
    <n v="75"/>
    <d v="2038-01-08T00:00:00"/>
  </r>
  <r>
    <n v="8975"/>
    <x v="1"/>
    <s v="Apps"/>
    <n v="4.409171075837742"/>
    <d v="2038-01-09T00:00:00"/>
  </r>
  <r>
    <n v="8976"/>
    <x v="1"/>
    <s v="Apps"/>
    <n v="55.114638447971785"/>
    <d v="2038-01-10T00:00:00"/>
  </r>
  <r>
    <n v="8977"/>
    <x v="1"/>
    <s v="Apps"/>
    <n v="11.022927689594356"/>
    <d v="2038-01-11T00:00:00"/>
  </r>
  <r>
    <n v="8978"/>
    <x v="4"/>
    <s v="Apps"/>
    <n v="100"/>
    <d v="2038-01-12T00:00:00"/>
  </r>
  <r>
    <n v="8979"/>
    <x v="4"/>
    <s v="Apps"/>
    <n v="100"/>
    <d v="2038-01-13T00:00:00"/>
  </r>
  <r>
    <n v="8980"/>
    <x v="1"/>
    <s v="Apps"/>
    <n v="99.206349206349202"/>
    <d v="2038-01-14T00:00:00"/>
  </r>
  <r>
    <n v="8981"/>
    <x v="1"/>
    <s v="Apps"/>
    <n v="77.160493827160494"/>
    <d v="2038-01-15T00:00:00"/>
  </r>
  <r>
    <n v="8982"/>
    <x v="1"/>
    <s v="Apps"/>
    <n v="88.183421516754848"/>
    <d v="2038-01-16T00:00:00"/>
  </r>
  <r>
    <n v="8983"/>
    <x v="1"/>
    <s v="Apps"/>
    <n v="132.27513227513228"/>
    <d v="2038-01-17T00:00:00"/>
  </r>
  <r>
    <n v="8984"/>
    <x v="1"/>
    <s v="Apps"/>
    <n v="77.160493827160494"/>
    <d v="2038-01-18T00:00:00"/>
  </r>
  <r>
    <n v="8985"/>
    <x v="1"/>
    <s v="Apps"/>
    <n v="99.206349206349202"/>
    <d v="2038-01-19T00:00:00"/>
  </r>
  <r>
    <n v="8986"/>
    <x v="1"/>
    <s v="Apps"/>
    <n v="77.160493827160494"/>
    <d v="2038-01-20T00:00:00"/>
  </r>
  <r>
    <n v="8987"/>
    <x v="1"/>
    <s v="Apps"/>
    <n v="77.160493827160494"/>
    <d v="2038-01-21T00:00:00"/>
  </r>
  <r>
    <n v="8988"/>
    <x v="1"/>
    <s v="Apps"/>
    <n v="66.137566137566139"/>
    <d v="2038-01-22T00:00:00"/>
  </r>
  <r>
    <n v="8989"/>
    <x v="1"/>
    <s v="Apps"/>
    <n v="77.160493827160494"/>
    <d v="2038-01-23T00:00:00"/>
  </r>
  <r>
    <n v="8990"/>
    <x v="1"/>
    <s v="Apps"/>
    <n v="44.091710758377424"/>
    <d v="2038-01-24T00:00:00"/>
  </r>
  <r>
    <n v="8991"/>
    <x v="1"/>
    <s v="Apps"/>
    <n v="88.183421516754848"/>
    <d v="2038-01-25T00:00:00"/>
  </r>
  <r>
    <n v="8992"/>
    <x v="1"/>
    <s v="Apps"/>
    <n v="88.183421516754848"/>
    <d v="2038-01-26T00:00:00"/>
  </r>
  <r>
    <n v="8993"/>
    <x v="1"/>
    <s v="Apps"/>
    <n v="88.183421516754848"/>
    <d v="2038-01-27T00:00:00"/>
  </r>
  <r>
    <n v="8994"/>
    <x v="1"/>
    <s v="Apps"/>
    <n v="77.160493827160494"/>
    <d v="2038-01-28T00:00:00"/>
  </r>
  <r>
    <n v="8995"/>
    <x v="0"/>
    <s v="Apps"/>
    <n v="30.064368584019633"/>
    <d v="2038-01-29T00:00:00"/>
  </r>
  <r>
    <n v="8996"/>
    <x v="1"/>
    <s v="Apps"/>
    <n v="44.091710758377424"/>
    <d v="2038-01-30T00:00:00"/>
  </r>
  <r>
    <n v="8997"/>
    <x v="1"/>
    <s v="Apps"/>
    <n v="22.045855379188712"/>
    <d v="2038-01-31T00:00:00"/>
  </r>
  <r>
    <n v="8998"/>
    <x v="4"/>
    <s v="Apps"/>
    <n v="30.013345890568292"/>
    <d v="2038-02-01T00:00:00"/>
  </r>
  <r>
    <n v="8999"/>
    <x v="2"/>
    <s v="Apps"/>
    <n v="137.66811394683893"/>
    <d v="2038-02-02T00:00:00"/>
  </r>
  <r>
    <n v="9000"/>
    <x v="0"/>
    <s v="Apps"/>
    <n v="38.54406228720466"/>
    <d v="2038-02-03T00:00:00"/>
  </r>
  <r>
    <n v="9001"/>
    <x v="1"/>
    <s v="Apps"/>
    <n v="22.045855379188712"/>
    <d v="2038-02-04T00:00:00"/>
  </r>
  <r>
    <n v="9002"/>
    <x v="1"/>
    <s v="Apps"/>
    <n v="33.06878306878307"/>
    <d v="2038-02-05T00:00:00"/>
  </r>
  <r>
    <n v="9003"/>
    <x v="0"/>
    <s v="Apps"/>
    <n v="77.017868145409736"/>
    <d v="2038-02-06T00:00:00"/>
  </r>
  <r>
    <n v="9004"/>
    <x v="4"/>
    <s v="Apps"/>
    <n v="18.456106563954421"/>
    <d v="2038-02-07T00:00:00"/>
  </r>
  <r>
    <n v="9005"/>
    <x v="0"/>
    <s v="Apps"/>
    <n v="57.763401109057305"/>
    <d v="2038-02-08T00:00:00"/>
  </r>
  <r>
    <n v="9006"/>
    <x v="2"/>
    <s v="Apps"/>
    <n v="264.74637297469025"/>
    <d v="2038-02-09T00:00:00"/>
  </r>
  <r>
    <n v="9007"/>
    <x v="2"/>
    <s v="Apps"/>
    <n v="105.89854918987609"/>
    <d v="2038-02-10T00:00:00"/>
  </r>
  <r>
    <n v="9008"/>
    <x v="4"/>
    <s v="Apps"/>
    <n v="91.9"/>
    <d v="2038-02-11T00:00:00"/>
  </r>
  <r>
    <n v="9009"/>
    <x v="0"/>
    <s v="Apps"/>
    <n v="61.614294516327789"/>
    <d v="2038-02-12T00:00:00"/>
  </r>
  <r>
    <n v="9010"/>
    <x v="1"/>
    <s v="Apps"/>
    <n v="110.22927689594357"/>
    <d v="2038-02-13T00:00:00"/>
  </r>
  <r>
    <n v="9011"/>
    <x v="0"/>
    <s v="Apps"/>
    <n v="12.848020762401553"/>
    <d v="2038-02-14T00:00:00"/>
  </r>
  <r>
    <n v="9012"/>
    <x v="4"/>
    <s v="Apps"/>
    <n v="107.96159323746957"/>
    <d v="2038-02-15T00:00:00"/>
  </r>
  <r>
    <n v="9013"/>
    <x v="4"/>
    <s v="Apps"/>
    <n v="321.58772453714334"/>
    <d v="2038-02-16T00:00:00"/>
  </r>
  <r>
    <n v="9014"/>
    <x v="4"/>
    <s v="Apps"/>
    <n v="114.85275876326548"/>
    <d v="2038-02-17T00:00:00"/>
  </r>
  <r>
    <n v="9015"/>
    <x v="2"/>
    <s v="Apps"/>
    <n v="105.89854918987609"/>
    <d v="2038-02-18T00:00:00"/>
  </r>
  <r>
    <n v="9016"/>
    <x v="0"/>
    <s v="Apps"/>
    <n v="38.508934072704868"/>
    <d v="2038-02-19T00:00:00"/>
  </r>
  <r>
    <n v="9017"/>
    <x v="4"/>
    <s v="Apps"/>
    <n v="20"/>
    <d v="2038-02-20T00:00:00"/>
  </r>
  <r>
    <n v="9018"/>
    <x v="0"/>
    <s v="Apps"/>
    <n v="12.848020762401553"/>
    <d v="2038-02-21T00:00:00"/>
  </r>
  <r>
    <n v="9019"/>
    <x v="4"/>
    <s v="Apps"/>
    <n v="150"/>
    <d v="2038-02-22T00:00:00"/>
  </r>
  <r>
    <n v="9020"/>
    <x v="0"/>
    <s v="Apps"/>
    <n v="51.392083049606214"/>
    <d v="2038-02-23T00:00:00"/>
  </r>
  <r>
    <n v="9021"/>
    <x v="2"/>
    <s v="Apps"/>
    <n v="211.79709837975219"/>
    <d v="2038-02-24T00:00:00"/>
  </r>
  <r>
    <n v="9022"/>
    <x v="4"/>
    <s v="Apps"/>
    <n v="200"/>
    <d v="2038-02-25T00:00:00"/>
  </r>
  <r>
    <n v="9023"/>
    <x v="4"/>
    <s v="Apps"/>
    <n v="100"/>
    <d v="2038-02-26T00:00:00"/>
  </r>
  <r>
    <n v="9024"/>
    <x v="4"/>
    <s v="Apps"/>
    <n v="11"/>
    <d v="2038-02-27T00:00:00"/>
  </r>
  <r>
    <n v="9025"/>
    <x v="4"/>
    <s v="Apps"/>
    <n v="18.376441402122481"/>
    <d v="2038-02-28T00:00:00"/>
  </r>
  <r>
    <n v="9026"/>
    <x v="2"/>
    <s v="Apps"/>
    <n v="105.89854918987609"/>
    <d v="2038-03-01T00:00:00"/>
  </r>
  <r>
    <n v="9027"/>
    <x v="4"/>
    <s v="Apps"/>
    <n v="5.8660583346912167"/>
    <d v="2038-03-02T00:00:00"/>
  </r>
  <r>
    <n v="9028"/>
    <x v="2"/>
    <s v="Apps"/>
    <n v="52.949274594938046"/>
    <d v="2038-03-03T00:00:00"/>
  </r>
  <r>
    <n v="9029"/>
    <x v="4"/>
    <s v="Apps"/>
    <n v="5.8660583346912167"/>
    <d v="2038-03-04T00:00:00"/>
  </r>
  <r>
    <n v="9030"/>
    <x v="1"/>
    <s v="Apps"/>
    <n v="44.091710758377424"/>
    <d v="2038-03-05T00:00:00"/>
  </r>
  <r>
    <n v="9031"/>
    <x v="2"/>
    <s v="Apps"/>
    <n v="121.54606595899845"/>
    <d v="2038-03-06T00:00:00"/>
  </r>
  <r>
    <n v="9032"/>
    <x v="2"/>
    <s v="Apps"/>
    <n v="20.257677659833075"/>
    <d v="2038-03-07T00:00:00"/>
  </r>
  <r>
    <n v="9033"/>
    <x v="2"/>
    <s v="Apps"/>
    <n v="162.0614212786646"/>
    <d v="2038-03-08T00:00:00"/>
  </r>
  <r>
    <n v="9034"/>
    <x v="4"/>
    <s v="Apps"/>
    <n v="65.178425941013529"/>
    <d v="2038-03-09T00:00:00"/>
  </r>
  <r>
    <n v="9035"/>
    <x v="0"/>
    <s v="Apps"/>
    <n v="154.03573629081947"/>
    <d v="2038-03-10T00:00:00"/>
  </r>
  <r>
    <n v="9036"/>
    <x v="1"/>
    <s v="Apps"/>
    <n v="77.160493827160494"/>
    <d v="2038-03-11T00:00:00"/>
  </r>
  <r>
    <n v="9037"/>
    <x v="2"/>
    <s v="Apps"/>
    <n v="121.54606595899845"/>
    <d v="2038-03-12T00:00:00"/>
  </r>
  <r>
    <n v="9038"/>
    <x v="2"/>
    <s v="Apps"/>
    <n v="121.54606595899845"/>
    <d v="2038-03-13T00:00:00"/>
  </r>
  <r>
    <n v="9039"/>
    <x v="1"/>
    <s v="Apps"/>
    <n v="275.57319223985888"/>
    <d v="2038-03-14T00:00:00"/>
  </r>
  <r>
    <n v="9040"/>
    <x v="4"/>
    <s v="Apps"/>
    <n v="5.8660583346912167"/>
    <d v="2038-03-15T00:00:00"/>
  </r>
  <r>
    <n v="9041"/>
    <x v="2"/>
    <s v="Apps"/>
    <n v="14.220889717202821"/>
    <d v="2038-03-16T00:00:00"/>
  </r>
  <r>
    <n v="9042"/>
    <x v="4"/>
    <s v="Apps"/>
    <n v="12"/>
    <d v="2038-03-17T00:00:00"/>
  </r>
  <r>
    <n v="9043"/>
    <x v="1"/>
    <s v="Apps"/>
    <n v="110.22927689594357"/>
    <d v="2038-03-18T00:00:00"/>
  </r>
  <r>
    <n v="9044"/>
    <x v="0"/>
    <s v="Apps"/>
    <n v="123.22858903265558"/>
    <d v="2038-03-19T00:00:00"/>
  </r>
  <r>
    <n v="9045"/>
    <x v="1"/>
    <s v="Apps"/>
    <n v="11.022927689594356"/>
    <d v="2038-03-20T00:00:00"/>
  </r>
  <r>
    <n v="9046"/>
    <x v="4"/>
    <s v="Apps"/>
    <n v="70"/>
    <d v="2038-03-21T00:00:00"/>
  </r>
  <r>
    <n v="9047"/>
    <x v="4"/>
    <s v="Apps"/>
    <n v="20"/>
    <d v="2038-03-22T00:00:00"/>
  </r>
  <r>
    <n v="9048"/>
    <x v="4"/>
    <s v="Apps"/>
    <n v="50"/>
    <d v="2038-03-23T00:00:00"/>
  </r>
  <r>
    <n v="9049"/>
    <x v="4"/>
    <s v="Apps"/>
    <n v="45.95"/>
    <d v="2038-03-24T00:00:00"/>
  </r>
  <r>
    <n v="9050"/>
    <x v="4"/>
    <s v="Apps"/>
    <n v="50"/>
    <d v="2038-03-25T00:00:00"/>
  </r>
  <r>
    <n v="9051"/>
    <x v="2"/>
    <s v="Apps"/>
    <n v="338.87535740760353"/>
    <d v="2038-03-26T00:00:00"/>
  </r>
  <r>
    <n v="9052"/>
    <x v="2"/>
    <s v="Apps"/>
    <n v="232.97680821772741"/>
    <d v="2038-03-27T00:00:00"/>
  </r>
  <r>
    <n v="9053"/>
    <x v="2"/>
    <s v="Apps"/>
    <n v="423.59419675950437"/>
    <d v="2038-03-28T00:00:00"/>
  </r>
  <r>
    <n v="9054"/>
    <x v="0"/>
    <s v="Apps"/>
    <n v="50.061614294516332"/>
    <d v="2038-03-29T00:00:00"/>
  </r>
  <r>
    <n v="9055"/>
    <x v="2"/>
    <s v="Apps"/>
    <n v="158.84782378481412"/>
    <d v="2038-03-30T00:00:00"/>
  </r>
  <r>
    <n v="9056"/>
    <x v="2"/>
    <s v="Apps"/>
    <n v="211.79709837975219"/>
    <d v="2038-03-31T00:00:00"/>
  </r>
  <r>
    <n v="9057"/>
    <x v="4"/>
    <s v="Apps"/>
    <n v="75"/>
    <d v="2038-04-01T00:00:00"/>
  </r>
  <r>
    <n v="9058"/>
    <x v="1"/>
    <s v="Apps"/>
    <n v="330.68783068783068"/>
    <d v="2038-04-02T00:00:00"/>
  </r>
  <r>
    <n v="9059"/>
    <x v="1"/>
    <s v="Apps"/>
    <n v="220.45855379188714"/>
    <d v="2038-04-03T00:00:00"/>
  </r>
  <r>
    <n v="9060"/>
    <x v="1"/>
    <s v="Apps"/>
    <n v="220.45855379188714"/>
    <d v="2038-04-04T00:00:00"/>
  </r>
  <r>
    <n v="9061"/>
    <x v="1"/>
    <s v="Apps"/>
    <n v="110.22927689594357"/>
    <d v="2038-04-05T00:00:00"/>
  </r>
  <r>
    <n v="9062"/>
    <x v="1"/>
    <s v="Apps"/>
    <n v="110.22927689594357"/>
    <d v="2038-04-06T00:00:00"/>
  </r>
  <r>
    <n v="9063"/>
    <x v="1"/>
    <s v="Apps"/>
    <n v="110.22927689594357"/>
    <d v="2038-04-07T00:00:00"/>
  </r>
  <r>
    <n v="9064"/>
    <x v="1"/>
    <s v="Apps"/>
    <n v="132.27513227513228"/>
    <d v="2038-04-08T00:00:00"/>
  </r>
  <r>
    <n v="9065"/>
    <x v="1"/>
    <s v="Apps"/>
    <n v="110.22927689594357"/>
    <d v="2038-04-09T00:00:00"/>
  </r>
  <r>
    <n v="9066"/>
    <x v="1"/>
    <s v="Apps"/>
    <n v="110.22927689594357"/>
    <d v="2038-04-10T00:00:00"/>
  </r>
  <r>
    <n v="9067"/>
    <x v="1"/>
    <s v="Apps"/>
    <n v="110.22927689594357"/>
    <d v="2038-04-11T00:00:00"/>
  </r>
  <r>
    <n v="9068"/>
    <x v="1"/>
    <s v="Apps"/>
    <n v="110.22927689594357"/>
    <d v="2038-04-12T00:00:00"/>
  </r>
  <r>
    <n v="9069"/>
    <x v="1"/>
    <s v="Apps"/>
    <n v="110.22927689594357"/>
    <d v="2038-04-13T00:00:00"/>
  </r>
  <r>
    <n v="9070"/>
    <x v="1"/>
    <s v="Apps"/>
    <n v="110.22927689594357"/>
    <d v="2038-04-14T00:00:00"/>
  </r>
  <r>
    <n v="9071"/>
    <x v="1"/>
    <s v="Apps"/>
    <n v="11.022927689594356"/>
    <d v="2038-04-15T00:00:00"/>
  </r>
  <r>
    <n v="9072"/>
    <x v="4"/>
    <s v="Apps"/>
    <n v="20.060985395602632"/>
    <d v="2038-04-16T00:00:00"/>
  </r>
  <r>
    <n v="9073"/>
    <x v="1"/>
    <s v="Apps"/>
    <n v="110.22927689594357"/>
    <d v="2038-04-17T00:00:00"/>
  </r>
  <r>
    <n v="9074"/>
    <x v="1"/>
    <s v="Tech"/>
    <n v="3.0864197530864197"/>
    <d v="2038-04-18T00:00:00"/>
  </r>
  <r>
    <n v="9075"/>
    <x v="1"/>
    <s v="Tech"/>
    <n v="13.227513227513228"/>
    <d v="2038-04-19T00:00:00"/>
  </r>
  <r>
    <n v="9076"/>
    <x v="1"/>
    <s v="Tech"/>
    <n v="13.227513227513228"/>
    <d v="2038-04-20T00:00:00"/>
  </r>
  <r>
    <n v="9077"/>
    <x v="0"/>
    <s v="Tech"/>
    <n v="19.27203114360233"/>
    <d v="2038-04-21T00:00:00"/>
  </r>
  <r>
    <n v="9078"/>
    <x v="1"/>
    <s v="Tech"/>
    <n v="44.091710758377424"/>
    <d v="2038-04-22T00:00:00"/>
  </r>
  <r>
    <n v="9079"/>
    <x v="4"/>
    <s v="Tech"/>
    <n v="80.243941582410528"/>
    <d v="2038-04-23T00:00:00"/>
  </r>
  <r>
    <n v="9080"/>
    <x v="4"/>
    <s v="Tech"/>
    <n v="100"/>
    <d v="2038-04-24T00:00:00"/>
  </r>
  <r>
    <n v="9081"/>
    <x v="0"/>
    <s v="Tech"/>
    <n v="55.153395380903135"/>
    <d v="2038-04-25T00:00:00"/>
  </r>
  <r>
    <n v="9082"/>
    <x v="4"/>
    <s v="Tech"/>
    <n v="150"/>
    <d v="2038-04-26T00:00:00"/>
  </r>
  <r>
    <n v="9083"/>
    <x v="1"/>
    <s v="Tech"/>
    <n v="440.91710758377428"/>
    <d v="2038-04-27T00:00:00"/>
  </r>
  <r>
    <n v="9084"/>
    <x v="1"/>
    <s v="Tech"/>
    <n v="88.183421516754848"/>
    <d v="2038-04-28T00:00:00"/>
  </r>
  <r>
    <n v="9085"/>
    <x v="1"/>
    <s v="Tech"/>
    <n v="11.022927689594356"/>
    <d v="2038-04-29T00:00:00"/>
  </r>
  <r>
    <n v="9086"/>
    <x v="1"/>
    <s v="Tech"/>
    <n v="176.3668430335097"/>
    <d v="2038-04-30T00:00:00"/>
  </r>
  <r>
    <n v="9087"/>
    <x v="1"/>
    <s v="Tech"/>
    <n v="154.32098765432099"/>
    <d v="2038-05-01T00:00:00"/>
  </r>
  <r>
    <n v="9088"/>
    <x v="1"/>
    <s v="Tech"/>
    <n v="264.55026455026456"/>
    <d v="2038-05-02T00:00:00"/>
  </r>
  <r>
    <n v="9089"/>
    <x v="1"/>
    <s v="Tech"/>
    <n v="18.959435626102291"/>
    <d v="2038-05-03T00:00:00"/>
  </r>
  <r>
    <n v="9090"/>
    <x v="1"/>
    <s v="Tech"/>
    <n v="0.44091710758377428"/>
    <d v="2038-05-04T00:00:00"/>
  </r>
  <r>
    <n v="9091"/>
    <x v="2"/>
    <s v="Tech"/>
    <n v="37.173162628636248"/>
    <d v="2038-05-05T00:00:00"/>
  </r>
  <r>
    <n v="9092"/>
    <x v="0"/>
    <s v="Tech"/>
    <n v="96.935367114787994"/>
    <d v="2038-05-06T00:00:00"/>
  </r>
  <r>
    <n v="9093"/>
    <x v="0"/>
    <s v="Tech"/>
    <n v="185.45329196828681"/>
    <d v="2038-05-07T00:00:00"/>
  </r>
  <r>
    <n v="9094"/>
    <x v="0"/>
    <s v="Tech"/>
    <n v="92.037228541882101"/>
    <d v="2038-05-08T00:00:00"/>
  </r>
  <r>
    <n v="9095"/>
    <x v="0"/>
    <s v="Tech"/>
    <n v="354.28219346888477"/>
    <d v="2038-05-09T00:00:00"/>
  </r>
  <r>
    <n v="9096"/>
    <x v="4"/>
    <s v="Tech"/>
    <n v="460.65663312647655"/>
    <d v="2038-05-10T00:00:00"/>
  </r>
  <r>
    <n v="9097"/>
    <x v="2"/>
    <s v="Tech"/>
    <n v="296.51593773165303"/>
    <d v="2038-05-11T00:00:00"/>
  </r>
  <r>
    <n v="9098"/>
    <x v="2"/>
    <s v="Tech"/>
    <n v="211.79709837975219"/>
    <d v="2038-05-12T00:00:00"/>
  </r>
  <r>
    <n v="9099"/>
    <x v="0"/>
    <s v="Tech"/>
    <n v="77.017868145409736"/>
    <d v="2038-05-13T00:00:00"/>
  </r>
  <r>
    <n v="9100"/>
    <x v="4"/>
    <s v="Tech"/>
    <n v="250"/>
    <d v="2038-05-14T00:00:00"/>
  </r>
  <r>
    <n v="9101"/>
    <x v="0"/>
    <s v="Tech"/>
    <n v="68.941744226128904"/>
    <d v="2038-05-15T00:00:00"/>
  </r>
  <r>
    <n v="9102"/>
    <x v="4"/>
    <s v="Tech"/>
    <n v="70.946390744663532"/>
    <d v="2038-05-16T00:00:00"/>
  </r>
  <r>
    <n v="9103"/>
    <x v="4"/>
    <s v="Tech"/>
    <n v="13.035685188202706"/>
    <d v="2038-05-17T00:00:00"/>
  </r>
  <r>
    <n v="9104"/>
    <x v="0"/>
    <s v="Tech"/>
    <n v="35.301607287397374"/>
    <d v="2038-05-18T00:00:00"/>
  </r>
  <r>
    <n v="9105"/>
    <x v="2"/>
    <s v="Tech"/>
    <n v="81.030710639332298"/>
    <d v="2038-05-19T00:00:00"/>
  </r>
  <r>
    <n v="9106"/>
    <x v="1"/>
    <s v="Tech"/>
    <n v="71.649029982363317"/>
    <d v="2038-05-20T00:00:00"/>
  </r>
  <r>
    <n v="9107"/>
    <x v="2"/>
    <s v="Tech"/>
    <n v="68.579207519649955"/>
    <d v="2038-05-21T00:00:00"/>
  </r>
  <r>
    <n v="9108"/>
    <x v="4"/>
    <s v="Tech"/>
    <n v="162.94606485253382"/>
    <d v="2038-05-22T00:00:00"/>
  </r>
  <r>
    <n v="9109"/>
    <x v="0"/>
    <s v="Tech"/>
    <n v="92.421441774491683"/>
    <d v="2038-05-23T00:00:00"/>
  </r>
  <r>
    <n v="9110"/>
    <x v="1"/>
    <s v="Tech"/>
    <n v="66.137566137566139"/>
    <d v="2038-05-24T00:00:00"/>
  </r>
  <r>
    <n v="9111"/>
    <x v="0"/>
    <s v="Tech"/>
    <n v="23.105360443622921"/>
    <d v="2038-05-25T00:00:00"/>
  </r>
  <r>
    <n v="9112"/>
    <x v="0"/>
    <s v="Tech"/>
    <n v="308.07147258163894"/>
    <d v="2038-05-26T00:00:00"/>
  </r>
  <r>
    <n v="9113"/>
    <x v="4"/>
    <s v="Tech"/>
    <n v="40"/>
    <d v="2038-05-27T00:00:00"/>
  </r>
  <r>
    <n v="9114"/>
    <x v="1"/>
    <s v="Tech"/>
    <n v="771.60493827160496"/>
    <d v="2038-05-28T00:00:00"/>
  </r>
  <r>
    <n v="9115"/>
    <x v="1"/>
    <s v="Tech"/>
    <n v="30.8641975308642"/>
    <d v="2038-05-29T00:00:00"/>
  </r>
  <r>
    <n v="9116"/>
    <x v="4"/>
    <s v="Tech"/>
    <n v="76.403780348704586"/>
    <d v="2038-05-30T00:00:00"/>
  </r>
  <r>
    <n v="9117"/>
    <x v="3"/>
    <s v="Tech"/>
    <n v="91.585994669695125"/>
    <d v="2038-05-31T00:00:00"/>
  </r>
  <r>
    <n v="9118"/>
    <x v="3"/>
    <s v="Tech"/>
    <n v="91.585994669695125"/>
    <d v="2038-06-01T00:00:00"/>
  </r>
  <r>
    <n v="9119"/>
    <x v="3"/>
    <s v="Tech"/>
    <n v="91.585994669695125"/>
    <d v="2038-06-02T00:00:00"/>
  </r>
  <r>
    <n v="9120"/>
    <x v="0"/>
    <s v="Tech"/>
    <n v="103.41261633919338"/>
    <d v="2038-06-03T00:00:00"/>
  </r>
  <r>
    <n v="9121"/>
    <x v="1"/>
    <s v="Tech"/>
    <n v="391.73686067019401"/>
    <d v="2038-06-04T00:00:00"/>
  </r>
  <r>
    <n v="9122"/>
    <x v="0"/>
    <s v="Tech"/>
    <n v="72.396796056685147"/>
    <d v="2038-06-05T00:00:00"/>
  </r>
  <r>
    <n v="9123"/>
    <x v="0"/>
    <s v="Tech"/>
    <n v="35.428219346888483"/>
    <d v="2038-06-06T00:00:00"/>
  </r>
  <r>
    <n v="9124"/>
    <x v="4"/>
    <s v="Tech"/>
    <n v="150"/>
    <d v="2038-06-07T00:00:00"/>
  </r>
  <r>
    <n v="9125"/>
    <x v="2"/>
    <s v="Tech"/>
    <n v="40.515355319666149"/>
    <d v="2038-06-08T00:00:00"/>
  </r>
  <r>
    <n v="9126"/>
    <x v="3"/>
    <s v="Tech"/>
    <n v="366.3439786787805"/>
    <d v="2038-06-09T00:00:00"/>
  </r>
  <r>
    <n v="9127"/>
    <x v="0"/>
    <s v="Tech"/>
    <n v="3.1213752521424074"/>
    <d v="2038-06-10T00:00:00"/>
  </r>
  <r>
    <n v="9128"/>
    <x v="4"/>
    <s v="Tech"/>
    <n v="100"/>
    <d v="2038-06-11T00:00:00"/>
  </r>
  <r>
    <n v="9129"/>
    <x v="2"/>
    <s v="Tech"/>
    <n v="296.51593773165303"/>
    <d v="2038-06-12T00:00:00"/>
  </r>
  <r>
    <n v="9130"/>
    <x v="0"/>
    <s v="Tech"/>
    <n v="462.10720887245844"/>
    <d v="2038-06-13T00:00:00"/>
  </r>
  <r>
    <n v="9131"/>
    <x v="0"/>
    <s v="Tech"/>
    <n v="21.565003080714728"/>
    <d v="2038-06-14T00:00:00"/>
  </r>
  <r>
    <n v="9132"/>
    <x v="0"/>
    <s v="Tech"/>
    <n v="46.210720887245841"/>
    <d v="2038-06-15T00:00:00"/>
  </r>
  <r>
    <n v="9133"/>
    <x v="2"/>
    <s v="Tech"/>
    <n v="380"/>
    <d v="2038-06-16T00:00:00"/>
  </r>
  <r>
    <n v="9134"/>
    <x v="1"/>
    <s v="Tech"/>
    <n v="44.091710758377424"/>
    <d v="2038-06-17T00:00:00"/>
  </r>
  <r>
    <n v="9135"/>
    <x v="1"/>
    <s v="Tech"/>
    <n v="44.091710758377424"/>
    <d v="2038-06-18T00:00:00"/>
  </r>
  <r>
    <n v="9136"/>
    <x v="0"/>
    <s v="Tech"/>
    <n v="2310.5360443622922"/>
    <d v="2038-06-19T00:00:00"/>
  </r>
  <r>
    <n v="9137"/>
    <x v="3"/>
    <s v="Tech"/>
    <n v="73.2687957357561"/>
    <d v="2038-06-20T00:00:00"/>
  </r>
  <r>
    <n v="9138"/>
    <x v="4"/>
    <s v="Tech"/>
    <n v="205.47617953783251"/>
    <d v="2038-06-21T00:00:00"/>
  </r>
  <r>
    <n v="9139"/>
    <x v="1"/>
    <s v="Tech"/>
    <n v="440.91710758377428"/>
    <d v="2038-06-22T00:00:00"/>
  </r>
  <r>
    <n v="9140"/>
    <x v="0"/>
    <s v="Tech"/>
    <n v="34.470872113064452"/>
    <d v="2038-06-23T00:00:00"/>
  </r>
  <r>
    <n v="9141"/>
    <x v="0"/>
    <s v="Tech"/>
    <n v="184.84288354898337"/>
    <d v="2038-06-24T00:00:00"/>
  </r>
  <r>
    <n v="9142"/>
    <x v="1"/>
    <s v="Tech"/>
    <n v="220.45855379188714"/>
    <d v="2038-06-25T00:00:00"/>
  </r>
  <r>
    <n v="9143"/>
    <x v="0"/>
    <s v="Tech"/>
    <n v="170.63081695966906"/>
    <d v="2038-06-26T00:00:00"/>
  </r>
  <r>
    <n v="9144"/>
    <x v="0"/>
    <s v="Tech"/>
    <n v="77.017868145409736"/>
    <d v="2038-06-27T00:00:00"/>
  </r>
  <r>
    <n v="9145"/>
    <x v="0"/>
    <s v="Tech"/>
    <n v="924.21441774491689"/>
    <d v="2038-06-28T00:00:00"/>
  </r>
  <r>
    <n v="9146"/>
    <x v="0"/>
    <s v="Tech"/>
    <n v="65.494657014822465"/>
    <d v="2038-06-29T00:00:00"/>
  </r>
  <r>
    <n v="9147"/>
    <x v="0"/>
    <s v="Tech"/>
    <n v="77.017868145409736"/>
    <d v="2038-06-30T00:00:00"/>
  </r>
  <r>
    <n v="9148"/>
    <x v="1"/>
    <s v="Tech"/>
    <n v="396.82539682539681"/>
    <d v="2038-07-01T00:00:00"/>
  </r>
  <r>
    <n v="9149"/>
    <x v="3"/>
    <s v="Tech"/>
    <n v="36.63439786787805"/>
    <d v="2038-07-02T00:00:00"/>
  </r>
  <r>
    <n v="9150"/>
    <x v="1"/>
    <s v="Tech"/>
    <n v="391.73677248677251"/>
    <d v="2038-07-03T00:00:00"/>
  </r>
  <r>
    <n v="9151"/>
    <x v="0"/>
    <s v="Tech"/>
    <n v="23.105360443622921"/>
    <d v="2038-07-04T00:00:00"/>
  </r>
  <r>
    <n v="9152"/>
    <x v="0"/>
    <s v="Tech"/>
    <n v="107.82501540357363"/>
    <d v="2038-07-05T00:00:00"/>
  </r>
  <r>
    <n v="9153"/>
    <x v="0"/>
    <s v="Tech"/>
    <n v="83.512134955610094"/>
    <d v="2038-07-06T00:00:00"/>
  </r>
  <r>
    <n v="9154"/>
    <x v="0"/>
    <s v="Tech"/>
    <n v="51.706308169596689"/>
    <d v="2038-07-07T00:00:00"/>
  </r>
  <r>
    <n v="9155"/>
    <x v="4"/>
    <s v="Tech"/>
    <n v="98.712135669959252"/>
    <d v="2038-07-08T00:00:00"/>
  </r>
  <r>
    <n v="9156"/>
    <x v="4"/>
    <s v="Tech"/>
    <n v="175"/>
    <d v="2038-07-09T00:00:00"/>
  </r>
  <r>
    <n v="9157"/>
    <x v="4"/>
    <s v="Tech"/>
    <n v="98.712135669959252"/>
    <d v="2038-07-10T00:00:00"/>
  </r>
  <r>
    <n v="9158"/>
    <x v="2"/>
    <s v="Tech"/>
    <n v="42.359419675950441"/>
    <d v="2038-07-11T00:00:00"/>
  </r>
  <r>
    <n v="9159"/>
    <x v="0"/>
    <s v="Tech"/>
    <n v="29.30024129610479"/>
    <d v="2038-07-12T00:00:00"/>
  </r>
  <r>
    <n v="9160"/>
    <x v="0"/>
    <s v="Tech"/>
    <n v="38.508934072704868"/>
    <d v="2038-07-13T00:00:00"/>
  </r>
  <r>
    <n v="9161"/>
    <x v="1"/>
    <s v="Tech"/>
    <n v="3086.4197530864199"/>
    <d v="2038-07-14T00:00:00"/>
  </r>
  <r>
    <n v="9162"/>
    <x v="2"/>
    <s v="Tech"/>
    <n v="158.84782378481412"/>
    <d v="2038-07-15T00:00:00"/>
  </r>
  <r>
    <n v="9163"/>
    <x v="4"/>
    <s v="Tech"/>
    <n v="152.79778393351802"/>
    <d v="2038-07-16T00:00:00"/>
  </r>
  <r>
    <n v="9164"/>
    <x v="0"/>
    <s v="Tech"/>
    <n v="61.614294516327789"/>
    <d v="2038-07-17T00:00:00"/>
  </r>
  <r>
    <n v="9165"/>
    <x v="1"/>
    <s v="Tech"/>
    <n v="66.137566137566139"/>
    <d v="2038-07-18T00:00:00"/>
  </r>
  <r>
    <n v="9166"/>
    <x v="0"/>
    <s v="Tech"/>
    <n v="92.421441774491683"/>
    <d v="2038-07-19T00:00:00"/>
  </r>
  <r>
    <n v="9167"/>
    <x v="0"/>
    <s v="Tech"/>
    <n v="46.210720887245841"/>
    <d v="2038-07-20T00:00:00"/>
  </r>
  <r>
    <n v="9168"/>
    <x v="0"/>
    <s v="Tech"/>
    <n v="172.35436056532231"/>
    <d v="2038-07-21T00:00:00"/>
  </r>
  <r>
    <n v="9169"/>
    <x v="0"/>
    <s v="Tech"/>
    <n v="77.017868145409736"/>
    <d v="2038-07-22T00:00:00"/>
  </r>
  <r>
    <n v="9170"/>
    <x v="0"/>
    <s v="Tech"/>
    <n v="137.88348845225781"/>
    <d v="2038-07-23T00:00:00"/>
  </r>
  <r>
    <n v="9171"/>
    <x v="0"/>
    <s v="Tech"/>
    <n v="137.88348845225781"/>
    <d v="2038-07-24T00:00:00"/>
  </r>
  <r>
    <n v="9172"/>
    <x v="1"/>
    <s v="Tech"/>
    <n v="55.114638447971785"/>
    <d v="2038-07-25T00:00:00"/>
  </r>
  <r>
    <n v="9173"/>
    <x v="4"/>
    <s v="Tech"/>
    <n v="185.25"/>
    <d v="2038-07-26T00:00:00"/>
  </r>
  <r>
    <n v="9174"/>
    <x v="3"/>
    <s v="Tech"/>
    <n v="91.585994669695125"/>
    <d v="2038-07-27T00:00:00"/>
  </r>
  <r>
    <n v="9175"/>
    <x v="0"/>
    <s v="Tech"/>
    <n v="38.508934072704868"/>
    <d v="2038-07-28T00:00:00"/>
  </r>
  <r>
    <n v="9176"/>
    <x v="4"/>
    <s v="Tech"/>
    <n v="123.5"/>
    <d v="2038-07-29T00:00:00"/>
  </r>
  <r>
    <n v="9177"/>
    <x v="4"/>
    <s v="Tech"/>
    <n v="61.75"/>
    <d v="2038-07-30T00:00:00"/>
  </r>
  <r>
    <n v="9178"/>
    <x v="4"/>
    <s v="Tech"/>
    <n v="61.75"/>
    <d v="2038-07-31T00:00:00"/>
  </r>
  <r>
    <n v="9179"/>
    <x v="4"/>
    <s v="Tech"/>
    <n v="30.875"/>
    <d v="2038-08-01T00:00:00"/>
  </r>
  <r>
    <n v="9180"/>
    <x v="4"/>
    <s v="Tech"/>
    <n v="98.712135669959252"/>
    <d v="2038-08-02T00:00:00"/>
  </r>
  <r>
    <n v="9181"/>
    <x v="0"/>
    <s v="Tech"/>
    <n v="77.017868145409736"/>
    <d v="2038-08-03T00:00:00"/>
  </r>
  <r>
    <n v="9182"/>
    <x v="0"/>
    <s v="Tech"/>
    <n v="30.807147258163894"/>
    <d v="2038-08-04T00:00:00"/>
  </r>
  <r>
    <n v="9183"/>
    <x v="4"/>
    <s v="Tech"/>
    <n v="100"/>
    <d v="2038-08-05T00:00:00"/>
  </r>
  <r>
    <n v="9184"/>
    <x v="0"/>
    <s v="Tech"/>
    <n v="38.508934072704868"/>
    <d v="2038-08-06T00:00:00"/>
  </r>
  <r>
    <n v="9185"/>
    <x v="0"/>
    <s v="Tech"/>
    <n v="38.54406228720466"/>
    <d v="2038-08-07T00:00:00"/>
  </r>
  <r>
    <n v="9186"/>
    <x v="1"/>
    <s v="Tech"/>
    <n v="99.206349206349202"/>
    <d v="2038-08-08T00:00:00"/>
  </r>
  <r>
    <n v="9187"/>
    <x v="1"/>
    <s v="Tech"/>
    <n v="19097.171957671959"/>
    <d v="2038-08-09T00:00:00"/>
  </r>
  <r>
    <n v="9188"/>
    <x v="1"/>
    <s v="Tech"/>
    <n v="220.45855379188714"/>
    <d v="2038-08-10T00:00:00"/>
  </r>
  <r>
    <n v="9189"/>
    <x v="1"/>
    <s v="Tech"/>
    <n v="55.114638447971785"/>
    <d v="2038-08-11T00:00:00"/>
  </r>
  <r>
    <n v="9190"/>
    <x v="1"/>
    <s v="Tech"/>
    <n v="110.22927689594357"/>
    <d v="2038-08-12T00:00:00"/>
  </r>
  <r>
    <n v="9191"/>
    <x v="0"/>
    <s v="Tech"/>
    <n v="30.807147258163894"/>
    <d v="2038-08-13T00:00:00"/>
  </r>
  <r>
    <n v="9192"/>
    <x v="1"/>
    <s v="Tech"/>
    <n v="93.694885361552039"/>
    <d v="2038-08-14T00:00:00"/>
  </r>
  <r>
    <n v="9193"/>
    <x v="2"/>
    <s v="Tech"/>
    <n v="158.84782378481412"/>
    <d v="2038-08-15T00:00:00"/>
  </r>
  <r>
    <n v="9194"/>
    <x v="2"/>
    <s v="Tech"/>
    <n v="158.84782378481412"/>
    <d v="2038-08-16T00:00:00"/>
  </r>
  <r>
    <n v="9195"/>
    <x v="2"/>
    <s v="Tech"/>
    <n v="63.539129513925651"/>
    <d v="2038-08-17T00:00:00"/>
  </r>
  <r>
    <n v="9196"/>
    <x v="2"/>
    <s v="Tech"/>
    <n v="317.69564756962825"/>
    <d v="2038-08-18T00:00:00"/>
  </r>
  <r>
    <n v="9197"/>
    <x v="0"/>
    <s v="Tech"/>
    <n v="103.41261633919338"/>
    <d v="2038-08-19T00:00:00"/>
  </r>
  <r>
    <n v="9198"/>
    <x v="3"/>
    <s v="Tech"/>
    <n v="137.37899200454268"/>
    <d v="2038-08-20T00:00:00"/>
  </r>
  <r>
    <n v="9199"/>
    <x v="1"/>
    <s v="Tech"/>
    <n v="661.37566137566137"/>
    <d v="2038-08-21T00:00:00"/>
  </r>
  <r>
    <n v="9200"/>
    <x v="2"/>
    <s v="Tech"/>
    <n v="31.769564756962826"/>
    <d v="2038-08-22T00:00:00"/>
  </r>
  <r>
    <n v="9201"/>
    <x v="0"/>
    <s v="Tech"/>
    <n v="77.017868145409736"/>
    <d v="2038-08-23T00:00:00"/>
  </r>
  <r>
    <n v="9202"/>
    <x v="0"/>
    <s v="Tech"/>
    <n v="77.017868145409736"/>
    <d v="2038-08-24T00:00:00"/>
  </r>
  <r>
    <n v="9203"/>
    <x v="0"/>
    <s v="Tech"/>
    <n v="12.848020762401553"/>
    <d v="2038-08-25T00:00:00"/>
  </r>
  <r>
    <n v="9204"/>
    <x v="1"/>
    <s v="Tech"/>
    <n v="440.91710758377428"/>
    <d v="2038-08-26T00:00:00"/>
  </r>
  <r>
    <n v="9205"/>
    <x v="1"/>
    <s v="Tech"/>
    <n v="99.206349206349202"/>
    <d v="2038-08-27T00:00:00"/>
  </r>
  <r>
    <n v="9206"/>
    <x v="1"/>
    <s v="Tech"/>
    <n v="60"/>
    <d v="2038-08-28T00:00:00"/>
  </r>
  <r>
    <n v="9207"/>
    <x v="2"/>
    <s v="Tech"/>
    <n v="158.84782378481412"/>
    <d v="2038-08-29T00:00:00"/>
  </r>
  <r>
    <n v="9208"/>
    <x v="4"/>
    <s v="Tech"/>
    <n v="200"/>
    <d v="2038-08-30T00:00:00"/>
  </r>
  <r>
    <n v="9209"/>
    <x v="1"/>
    <s v="Tech"/>
    <n v="220.45855379188714"/>
    <d v="2038-08-31T00:00:00"/>
  </r>
  <r>
    <n v="9210"/>
    <x v="1"/>
    <s v="Tech"/>
    <n v="110.22927689594357"/>
    <d v="2038-09-01T00:00:00"/>
  </r>
  <r>
    <n v="9211"/>
    <x v="1"/>
    <s v="Tech"/>
    <n v="110.22927689594357"/>
    <d v="2038-09-02T00:00:00"/>
  </r>
  <r>
    <n v="9212"/>
    <x v="4"/>
    <s v="Tech"/>
    <n v="109.14127423822715"/>
    <d v="2038-09-03T00:00:00"/>
  </r>
  <r>
    <n v="9213"/>
    <x v="0"/>
    <s v="Tech"/>
    <n v="30.807147258163894"/>
    <d v="2038-09-04T00:00:00"/>
  </r>
  <r>
    <n v="9214"/>
    <x v="0"/>
    <s v="Tech"/>
    <n v="5.3912507701786815E-3"/>
    <d v="2038-09-05T00:00:00"/>
  </r>
  <r>
    <n v="9215"/>
    <x v="0"/>
    <s v="Tech"/>
    <n v="46.210720887245841"/>
    <d v="2038-09-06T00:00:00"/>
  </r>
  <r>
    <n v="9216"/>
    <x v="1"/>
    <s v="Tech"/>
    <n v="1102.2927689594355"/>
    <d v="2038-09-07T00:00:00"/>
  </r>
  <r>
    <n v="9217"/>
    <x v="0"/>
    <s v="Tech"/>
    <n v="77.017868145409736"/>
    <d v="2038-09-08T00:00:00"/>
  </r>
  <r>
    <n v="9218"/>
    <x v="4"/>
    <s v="Tech"/>
    <n v="81.473032426266911"/>
    <d v="2038-09-09T00:00:00"/>
  </r>
  <r>
    <n v="9219"/>
    <x v="1"/>
    <s v="Tech"/>
    <n v="132.27513227513228"/>
    <d v="2038-09-10T00:00:00"/>
  </r>
  <r>
    <n v="9220"/>
    <x v="1"/>
    <s v="Tech"/>
    <n v="22.045855379188712"/>
    <d v="2038-09-11T00:00:00"/>
  </r>
  <r>
    <n v="9221"/>
    <x v="1"/>
    <s v="Tech"/>
    <n v="1102.2927689594355"/>
    <d v="2038-09-12T00:00:00"/>
  </r>
  <r>
    <n v="9222"/>
    <x v="2"/>
    <s v="Tech"/>
    <n v="31.769564756962826"/>
    <d v="2038-09-13T00:00:00"/>
  </r>
  <r>
    <n v="9223"/>
    <x v="4"/>
    <s v="Tech"/>
    <n v="56.053446309271635"/>
    <d v="2038-09-14T00:00:00"/>
  </r>
  <r>
    <n v="9224"/>
    <x v="0"/>
    <s v="Tech"/>
    <n v="26.011588914727685"/>
    <d v="2038-09-15T00:00:00"/>
  </r>
  <r>
    <n v="9225"/>
    <x v="2"/>
    <s v="Tech"/>
    <n v="31.769564756962826"/>
    <d v="2038-09-16T00:00:00"/>
  </r>
  <r>
    <n v="9226"/>
    <x v="1"/>
    <s v="Tech"/>
    <n v="36.0810405643739"/>
    <d v="2038-09-17T00:00:00"/>
  </r>
  <r>
    <n v="9227"/>
    <x v="1"/>
    <s v="Tech"/>
    <n v="4.2107583774250443"/>
    <d v="2038-09-18T00:00:00"/>
  </r>
  <r>
    <n v="9228"/>
    <x v="1"/>
    <s v="Tech"/>
    <n v="40"/>
    <d v="2038-09-19T00:00:00"/>
  </r>
  <r>
    <n v="9229"/>
    <x v="4"/>
    <s v="Tech"/>
    <n v="1.407528108196187"/>
    <d v="2038-09-20T00:00:00"/>
  </r>
  <r>
    <n v="9230"/>
    <x v="1"/>
    <s v="Tech"/>
    <n v="15.296560846560848"/>
    <d v="2038-09-21T00:00:00"/>
  </r>
  <r>
    <n v="9231"/>
    <x v="1"/>
    <s v="Tech"/>
    <n v="23.770194003527337"/>
    <d v="2038-09-22T00:00:00"/>
  </r>
  <r>
    <n v="9232"/>
    <x v="1"/>
    <s v="Tech"/>
    <n v="88.183421516754848"/>
    <d v="2038-09-23T00:00:00"/>
  </r>
  <r>
    <n v="9233"/>
    <x v="4"/>
    <s v="Tech"/>
    <n v="5"/>
    <d v="2038-09-24T00:00:00"/>
  </r>
  <r>
    <n v="9234"/>
    <x v="0"/>
    <s v="Tech"/>
    <n v="15.403573629081947"/>
    <d v="2038-09-25T00:00:00"/>
  </r>
  <r>
    <n v="9235"/>
    <x v="4"/>
    <s v="Tech"/>
    <n v="75"/>
    <d v="2038-09-26T00:00:00"/>
  </r>
  <r>
    <n v="9236"/>
    <x v="1"/>
    <s v="Tech"/>
    <n v="20"/>
    <d v="2038-09-27T00:00:00"/>
  </r>
  <r>
    <n v="9237"/>
    <x v="1"/>
    <s v="Tech"/>
    <n v="18.04052028218695"/>
    <d v="2038-09-28T00:00:00"/>
  </r>
  <r>
    <n v="9238"/>
    <x v="1"/>
    <s v="Tech"/>
    <n v="33.06878306878307"/>
    <d v="2038-09-29T00:00:00"/>
  </r>
  <r>
    <n v="9239"/>
    <x v="0"/>
    <s v="Tech"/>
    <n v="11.326172703095088"/>
    <d v="2038-09-30T00:00:00"/>
  </r>
  <r>
    <n v="9240"/>
    <x v="0"/>
    <s v="Tech"/>
    <n v="31.023784901758013"/>
    <d v="2038-10-01T00:00:00"/>
  </r>
  <r>
    <n v="9241"/>
    <x v="4"/>
    <s v="Tech"/>
    <n v="30"/>
    <d v="2038-10-02T00:00:00"/>
  </r>
  <r>
    <n v="9242"/>
    <x v="1"/>
    <s v="Tech"/>
    <n v="35.273368606701936"/>
    <d v="2038-10-03T00:00:00"/>
  </r>
  <r>
    <n v="9243"/>
    <x v="0"/>
    <s v="Tech"/>
    <n v="17.537548340678121"/>
    <d v="2038-10-04T00:00:00"/>
  </r>
  <r>
    <n v="9244"/>
    <x v="0"/>
    <s v="Tech"/>
    <n v="36.194415718717686"/>
    <d v="2038-10-05T00:00:00"/>
  </r>
  <r>
    <n v="9245"/>
    <x v="0"/>
    <s v="Tech"/>
    <n v="51.706308169596689"/>
    <d v="2038-10-06T00:00:00"/>
  </r>
  <r>
    <n v="9246"/>
    <x v="0"/>
    <s v="Tech"/>
    <n v="48.431575318855558"/>
    <d v="2038-10-07T00:00:00"/>
  </r>
  <r>
    <n v="9247"/>
    <x v="0"/>
    <s v="Tech"/>
    <n v="30.807147258163894"/>
    <d v="2038-10-08T00:00:00"/>
  </r>
  <r>
    <n v="9248"/>
    <x v="0"/>
    <s v="Tech"/>
    <n v="92.421441774491683"/>
    <d v="2038-10-09T00:00:00"/>
  </r>
  <r>
    <n v="9249"/>
    <x v="0"/>
    <s v="Tech"/>
    <n v="24.129610479145121"/>
    <d v="2038-10-10T00:00:00"/>
  </r>
  <r>
    <n v="9250"/>
    <x v="4"/>
    <s v="Tech"/>
    <n v="45.5"/>
    <d v="2038-10-11T00:00:00"/>
  </r>
  <r>
    <n v="9251"/>
    <x v="4"/>
    <s v="Tech"/>
    <n v="32.904045223319756"/>
    <d v="2038-10-12T00:00:00"/>
  </r>
  <r>
    <n v="9252"/>
    <x v="1"/>
    <s v="Tech"/>
    <n v="108.24312169312169"/>
    <d v="2038-10-13T00:00:00"/>
  </r>
  <r>
    <n v="9253"/>
    <x v="1"/>
    <s v="Tech"/>
    <n v="66.137566137566139"/>
    <d v="2038-10-14T00:00:00"/>
  </r>
  <r>
    <n v="9254"/>
    <x v="1"/>
    <s v="Tech"/>
    <n v="39.682539682539684"/>
    <d v="2038-10-15T00:00:00"/>
  </r>
  <r>
    <n v="9255"/>
    <x v="2"/>
    <s v="Tech"/>
    <n v="84.718839351900883"/>
    <d v="2038-10-16T00:00:00"/>
  </r>
  <r>
    <n v="9256"/>
    <x v="4"/>
    <s v="Tech"/>
    <n v="45.5"/>
    <d v="2038-10-17T00:00:00"/>
  </r>
  <r>
    <n v="9257"/>
    <x v="4"/>
    <s v="Tech"/>
    <n v="18.376441402122481"/>
    <d v="2038-10-18T00:00:00"/>
  </r>
  <r>
    <n v="9258"/>
    <x v="1"/>
    <s v="Tech"/>
    <n v="5.0705467372134034"/>
    <d v="2038-10-19T00:00:00"/>
  </r>
  <r>
    <n v="9259"/>
    <x v="1"/>
    <s v="Tech"/>
    <n v="8.8183421516754841"/>
    <d v="2038-10-20T00:00:00"/>
  </r>
  <r>
    <n v="9260"/>
    <x v="2"/>
    <s v="Tech"/>
    <n v="21.179709837975221"/>
    <d v="2038-10-21T00:00:00"/>
  </r>
  <r>
    <n v="9261"/>
    <x v="0"/>
    <s v="Tech"/>
    <n v="12.75422268183385"/>
    <d v="2038-10-22T00:00:00"/>
  </r>
  <r>
    <n v="9262"/>
    <x v="1"/>
    <s v="Tech"/>
    <n v="5.0705467372134034"/>
    <d v="2038-10-23T00:00:00"/>
  </r>
  <r>
    <n v="9263"/>
    <x v="4"/>
    <s v="Tech"/>
    <n v="45.5"/>
    <d v="2038-10-24T00:00:00"/>
  </r>
  <r>
    <n v="9264"/>
    <x v="0"/>
    <s v="Tech"/>
    <n v="18.484288354898336"/>
    <d v="2038-10-25T00:00:00"/>
  </r>
  <r>
    <n v="9265"/>
    <x v="4"/>
    <s v="Tech"/>
    <n v="70"/>
    <d v="2038-10-26T00:00:00"/>
  </r>
  <r>
    <n v="9266"/>
    <x v="1"/>
    <s v="Tech"/>
    <n v="6.6137566137566139"/>
    <d v="2038-10-27T00:00:00"/>
  </r>
  <r>
    <n v="9267"/>
    <x v="1"/>
    <s v="Tech"/>
    <n v="18.04052028218695"/>
    <d v="2038-10-28T00:00:00"/>
  </r>
  <r>
    <n v="9268"/>
    <x v="1"/>
    <s v="Tech"/>
    <n v="108.24312169312169"/>
    <d v="2038-10-29T00:00:00"/>
  </r>
  <r>
    <n v="9269"/>
    <x v="1"/>
    <s v="Tech"/>
    <n v="44.091710758377424"/>
    <d v="2038-10-30T00:00:00"/>
  </r>
  <r>
    <n v="9270"/>
    <x v="1"/>
    <s v="Tech"/>
    <n v="1.8033509700176367"/>
    <d v="2038-10-31T00:00:00"/>
  </r>
  <r>
    <n v="9271"/>
    <x v="0"/>
    <s v="Tech"/>
    <n v="1.723543605653223"/>
    <d v="2038-11-01T00:00:00"/>
  </r>
  <r>
    <n v="9272"/>
    <x v="0"/>
    <s v="Tech"/>
    <n v="1.723543605653223"/>
    <d v="2038-11-02T00:00:00"/>
  </r>
  <r>
    <n v="9273"/>
    <x v="0"/>
    <s v="Tech"/>
    <n v="1.723543605653223"/>
    <d v="2038-11-03T00:00:00"/>
  </r>
  <r>
    <n v="9274"/>
    <x v="1"/>
    <s v="Tech"/>
    <n v="44.091710758377424"/>
    <d v="2038-11-04T00:00:00"/>
  </r>
  <r>
    <n v="9275"/>
    <x v="1"/>
    <s v="Tech"/>
    <n v="11.022927689594356"/>
    <d v="2038-11-05T00:00:00"/>
  </r>
  <r>
    <n v="9276"/>
    <x v="1"/>
    <s v="Tech"/>
    <n v="2.8659611992945329"/>
    <d v="2038-11-06T00:00:00"/>
  </r>
  <r>
    <n v="9277"/>
    <x v="1"/>
    <s v="Tech"/>
    <n v="10.582010582010582"/>
    <d v="2038-11-07T00:00:00"/>
  </r>
  <r>
    <n v="9278"/>
    <x v="1"/>
    <s v="Tech"/>
    <n v="0.77160493827160492"/>
    <d v="2038-11-08T00:00:00"/>
  </r>
  <r>
    <n v="9279"/>
    <x v="1"/>
    <s v="Tech"/>
    <n v="0.63932980599647271"/>
    <d v="2038-11-09T00:00:00"/>
  </r>
  <r>
    <n v="9280"/>
    <x v="1"/>
    <s v="Tech"/>
    <n v="5.9791446208112875"/>
    <d v="2038-11-10T00:00:00"/>
  </r>
  <r>
    <n v="9281"/>
    <x v="4"/>
    <s v="Tech"/>
    <n v="5.85"/>
    <d v="2038-11-11T00:00:00"/>
  </r>
  <r>
    <n v="9282"/>
    <x v="1"/>
    <s v="Tech"/>
    <n v="5.979122574955908"/>
    <d v="2038-11-12T00:00:00"/>
  </r>
  <r>
    <n v="9283"/>
    <x v="0"/>
    <s v="Tech"/>
    <n v="5.8600482592209584"/>
    <d v="2038-11-13T00:00:00"/>
  </r>
  <r>
    <n v="9284"/>
    <x v="0"/>
    <s v="Tech"/>
    <n v="6.4460530851430544"/>
    <d v="2038-11-14T00:00:00"/>
  </r>
  <r>
    <n v="9285"/>
    <x v="1"/>
    <s v="Tech"/>
    <n v="83.707716049382711"/>
    <d v="2038-11-15T00:00:00"/>
  </r>
  <r>
    <n v="9286"/>
    <x v="0"/>
    <s v="Tech"/>
    <n v="1.6184074457083764"/>
    <d v="2038-11-16T00:00:00"/>
  </r>
  <r>
    <n v="9287"/>
    <x v="4"/>
    <s v="Tech"/>
    <n v="1955.3527782304059"/>
    <d v="2038-11-17T00:00:00"/>
  </r>
  <r>
    <n v="9288"/>
    <x v="1"/>
    <s v="Tech"/>
    <n v="171.95767195767195"/>
    <d v="2038-11-18T00:00:00"/>
  </r>
  <r>
    <n v="9289"/>
    <x v="1"/>
    <s v="Tech"/>
    <n v="132.27513227513228"/>
    <d v="2038-11-19T00:00:00"/>
  </r>
  <r>
    <n v="9290"/>
    <x v="0"/>
    <s v="Tech"/>
    <n v="34.470872113064452"/>
    <d v="2038-11-20T00:00:00"/>
  </r>
  <r>
    <n v="9291"/>
    <x v="0"/>
    <s v="Tech"/>
    <n v="77.017868145409736"/>
    <d v="2038-11-21T00:00:00"/>
  </r>
  <r>
    <n v="9292"/>
    <x v="0"/>
    <s v="Tech"/>
    <n v="61.614294516327789"/>
    <d v="2038-11-22T00:00:00"/>
  </r>
  <r>
    <n v="9293"/>
    <x v="4"/>
    <s v="Tech"/>
    <n v="1.0336748288693896"/>
    <d v="2038-11-23T00:00:00"/>
  </r>
  <r>
    <n v="9294"/>
    <x v="4"/>
    <s v="Tech"/>
    <n v="500"/>
    <d v="2038-11-24T00:00:00"/>
  </r>
  <r>
    <n v="9295"/>
    <x v="4"/>
    <s v="Tech"/>
    <n v="500"/>
    <d v="2038-11-25T00:00:00"/>
  </r>
  <r>
    <n v="9296"/>
    <x v="4"/>
    <s v="Tech"/>
    <n v="300"/>
    <d v="2038-11-26T00:00:00"/>
  </r>
  <r>
    <n v="9297"/>
    <x v="4"/>
    <s v="Tech"/>
    <n v="300"/>
    <d v="2038-11-27T00:00:00"/>
  </r>
  <r>
    <n v="9298"/>
    <x v="4"/>
    <s v="Tech"/>
    <n v="1056.6453806220425"/>
    <d v="2038-11-28T00:00:00"/>
  </r>
  <r>
    <n v="9299"/>
    <x v="0"/>
    <s v="Tech"/>
    <n v="241.29610479145123"/>
    <d v="2038-11-29T00:00:00"/>
  </r>
  <r>
    <n v="9300"/>
    <x v="0"/>
    <s v="Tech"/>
    <n v="138.63216266173754"/>
    <d v="2038-11-30T00:00:00"/>
  </r>
  <r>
    <n v="9301"/>
    <x v="1"/>
    <s v="Tech"/>
    <n v="144.3241622574956"/>
    <d v="2038-12-01T00:00:00"/>
  </r>
  <r>
    <n v="9302"/>
    <x v="1"/>
    <s v="Tech"/>
    <n v="22.045855379188712"/>
    <d v="2038-12-02T00:00:00"/>
  </r>
  <r>
    <n v="9303"/>
    <x v="2"/>
    <s v="Tech"/>
    <n v="84.718839351900883"/>
    <d v="2038-12-03T00:00:00"/>
  </r>
  <r>
    <n v="9304"/>
    <x v="0"/>
    <s v="Tech"/>
    <n v="27.604229568434985"/>
    <d v="2038-12-04T00:00:00"/>
  </r>
  <r>
    <n v="9305"/>
    <x v="0"/>
    <s v="Tech"/>
    <n v="15.403573629081947"/>
    <d v="2038-12-05T00:00:00"/>
  </r>
  <r>
    <n v="9306"/>
    <x v="1"/>
    <s v="Tech"/>
    <n v="44.091710758377424"/>
    <d v="2038-12-06T00:00:00"/>
  </r>
  <r>
    <n v="9307"/>
    <x v="0"/>
    <s v="Tech"/>
    <n v="25.696041524803107"/>
    <d v="2038-12-07T00:00:00"/>
  </r>
  <r>
    <n v="9308"/>
    <x v="0"/>
    <s v="Tech"/>
    <n v="46.210720887245841"/>
    <d v="2038-12-08T00:00:00"/>
  </r>
  <r>
    <n v="9309"/>
    <x v="0"/>
    <s v="Tech"/>
    <n v="16.06002595300194"/>
    <d v="2038-12-09T00:00:00"/>
  </r>
  <r>
    <n v="9310"/>
    <x v="1"/>
    <s v="Tech"/>
    <n v="11.022927689594356"/>
    <d v="2038-12-10T00:00:00"/>
  </r>
  <r>
    <n v="9311"/>
    <x v="1"/>
    <s v="Tech"/>
    <n v="70.546737213403873"/>
    <d v="2038-12-11T00:00:00"/>
  </r>
  <r>
    <n v="9312"/>
    <x v="0"/>
    <s v="Tech"/>
    <n v="77.017868145409736"/>
    <d v="2038-12-12T00:00:00"/>
  </r>
  <r>
    <n v="9313"/>
    <x v="0"/>
    <s v="Tech"/>
    <n v="10.782501540357364"/>
    <d v="2038-12-13T00:00:00"/>
  </r>
  <r>
    <n v="9314"/>
    <x v="2"/>
    <s v="Tech"/>
    <n v="42.359419675950441"/>
    <d v="2038-12-14T00:00:00"/>
  </r>
  <r>
    <n v="9315"/>
    <x v="0"/>
    <s v="Tech"/>
    <n v="19.697391851785234"/>
    <d v="2038-12-15T00:00:00"/>
  </r>
  <r>
    <n v="9316"/>
    <x v="2"/>
    <s v="Tech"/>
    <n v="116.4884041088637"/>
    <d v="2038-12-16T00:00:00"/>
  </r>
  <r>
    <n v="9317"/>
    <x v="1"/>
    <s v="Tech"/>
    <n v="110.22927689594357"/>
    <d v="2038-12-17T00:00:00"/>
  </r>
  <r>
    <n v="9318"/>
    <x v="4"/>
    <s v="Tech"/>
    <n v="100"/>
    <d v="2038-12-18T00:00:00"/>
  </r>
  <r>
    <n v="9319"/>
    <x v="4"/>
    <s v="Tech"/>
    <n v="100"/>
    <d v="2038-12-19T00:00:00"/>
  </r>
  <r>
    <n v="9320"/>
    <x v="0"/>
    <s v="Tech"/>
    <n v="3.8508934072704868"/>
    <d v="2038-12-20T00:00:00"/>
  </r>
  <r>
    <n v="9321"/>
    <x v="0"/>
    <s v="Tech"/>
    <n v="7.7017868145409736"/>
    <d v="2038-12-21T00:00:00"/>
  </r>
  <r>
    <n v="9322"/>
    <x v="0"/>
    <s v="Tech"/>
    <n v="3.0807147258163896"/>
    <d v="2038-12-22T00:00:00"/>
  </r>
  <r>
    <n v="9323"/>
    <x v="0"/>
    <s v="Tech"/>
    <n v="3.0807147258163896"/>
    <d v="2038-12-23T00:00:00"/>
  </r>
  <r>
    <n v="9324"/>
    <x v="3"/>
    <s v="Tech"/>
    <n v="2381.2358614120731"/>
    <d v="2038-12-24T00:00:00"/>
  </r>
  <r>
    <n v="9325"/>
    <x v="4"/>
    <s v="Tech"/>
    <n v="977.67638911520294"/>
    <d v="2038-12-25T00:00:00"/>
  </r>
  <r>
    <n v="9326"/>
    <x v="4"/>
    <s v="Tech"/>
    <n v="977.67638911520294"/>
    <d v="2038-12-26T00:00:00"/>
  </r>
  <r>
    <n v="9327"/>
    <x v="4"/>
    <s v="Tech"/>
    <n v="977.67638911520294"/>
    <d v="2038-12-27T00:00:00"/>
  </r>
  <r>
    <n v="9328"/>
    <x v="4"/>
    <s v="Tech"/>
    <n v="977.67638911520294"/>
    <d v="2038-12-28T00:00:00"/>
  </r>
  <r>
    <n v="9329"/>
    <x v="4"/>
    <s v="Tech"/>
    <n v="586.60583346912176"/>
    <d v="2038-12-29T00:00:00"/>
  </r>
  <r>
    <n v="9330"/>
    <x v="4"/>
    <s v="Tech"/>
    <n v="977.67638911520294"/>
    <d v="2038-12-30T00:00:00"/>
  </r>
  <r>
    <n v="9331"/>
    <x v="4"/>
    <s v="Tech"/>
    <n v="586.60583346912176"/>
    <d v="2038-12-31T00:00:00"/>
  </r>
  <r>
    <n v="9332"/>
    <x v="0"/>
    <s v="Tech"/>
    <n v="831.79297597042523"/>
    <d v="2039-01-01T00:00:00"/>
  </r>
  <r>
    <n v="9333"/>
    <x v="4"/>
    <s v="Tech"/>
    <n v="658.08090446639505"/>
    <d v="2039-01-02T00:00:00"/>
  </r>
  <r>
    <n v="9334"/>
    <x v="1"/>
    <s v="Tech"/>
    <n v="661.37566137566137"/>
    <d v="2039-01-03T00:00:00"/>
  </r>
  <r>
    <n v="9335"/>
    <x v="2"/>
    <s v="OFM"/>
    <n v="21.179709837975221"/>
    <d v="2039-01-04T00:00:00"/>
  </r>
  <r>
    <n v="9336"/>
    <x v="2"/>
    <s v="OFM"/>
    <n v="31.769564756962826"/>
    <d v="2039-01-05T00:00:00"/>
  </r>
  <r>
    <n v="9337"/>
    <x v="1"/>
    <s v="OFM"/>
    <n v="110.22927689594357"/>
    <d v="2039-01-06T00:00:00"/>
  </r>
  <r>
    <n v="9338"/>
    <x v="0"/>
    <s v="OFM"/>
    <n v="107.82501540357363"/>
    <d v="2039-01-07T00:00:00"/>
  </r>
  <r>
    <n v="9339"/>
    <x v="3"/>
    <s v="OFM"/>
    <n v="18.317198933939025"/>
    <d v="2039-01-08T00:00:00"/>
  </r>
  <r>
    <n v="9340"/>
    <x v="1"/>
    <s v="OFM"/>
    <n v="47.420767195767198"/>
    <d v="2039-01-09T00:00:00"/>
  </r>
  <r>
    <n v="9341"/>
    <x v="2"/>
    <s v="OFM"/>
    <n v="105.89854918987609"/>
    <d v="2039-01-10T00:00:00"/>
  </r>
  <r>
    <n v="9342"/>
    <x v="1"/>
    <s v="OFM"/>
    <n v="22.045855379188712"/>
    <d v="2039-01-11T00:00:00"/>
  </r>
  <r>
    <n v="9343"/>
    <x v="2"/>
    <s v="OFM"/>
    <n v="211.79709837975219"/>
    <d v="2039-01-12T00:00:00"/>
  </r>
  <r>
    <n v="9344"/>
    <x v="3"/>
    <s v="OFM"/>
    <n v="18.317198933939025"/>
    <d v="2039-01-13T00:00:00"/>
  </r>
  <r>
    <n v="9345"/>
    <x v="3"/>
    <s v="OFM"/>
    <n v="18.317198933939025"/>
    <d v="2039-01-14T00:00:00"/>
  </r>
  <r>
    <n v="9346"/>
    <x v="3"/>
    <s v="OFM"/>
    <n v="24.72821856081768"/>
    <d v="2039-01-15T00:00:00"/>
  </r>
  <r>
    <n v="9347"/>
    <x v="0"/>
    <s v="OFM"/>
    <n v="34.470872113064452"/>
    <d v="2039-01-16T00:00:00"/>
  </r>
  <r>
    <n v="9348"/>
    <x v="0"/>
    <s v="OFM"/>
    <n v="54.664473937789886"/>
    <d v="2039-01-17T00:00:00"/>
  </r>
  <r>
    <n v="9349"/>
    <x v="3"/>
    <s v="OFM"/>
    <n v="45.792997334847563"/>
    <d v="2039-01-18T00:00:00"/>
  </r>
  <r>
    <n v="9350"/>
    <x v="1"/>
    <s v="OFM"/>
    <n v="55.114638447971785"/>
    <d v="2039-01-19T00:00:00"/>
  </r>
  <r>
    <n v="9351"/>
    <x v="3"/>
    <s v="OFM"/>
    <n v="91.585994669695125"/>
    <d v="2039-01-20T00:00:00"/>
  </r>
  <r>
    <n v="9352"/>
    <x v="0"/>
    <s v="OFM"/>
    <n v="80.171649557385678"/>
    <d v="2039-01-21T00:00:00"/>
  </r>
  <r>
    <n v="9353"/>
    <x v="0"/>
    <s v="OFM"/>
    <n v="231.05360443622922"/>
    <d v="2039-01-22T00:00:00"/>
  </r>
  <r>
    <n v="9354"/>
    <x v="0"/>
    <s v="OFM"/>
    <n v="123.22858903265558"/>
    <d v="2039-01-23T00:00:00"/>
  </r>
  <r>
    <n v="9355"/>
    <x v="3"/>
    <s v="OFM"/>
    <n v="12.822039253757318"/>
    <d v="2039-01-24T00:00:00"/>
  </r>
  <r>
    <n v="9356"/>
    <x v="3"/>
    <s v="OFM"/>
    <n v="10.990319360363413"/>
    <d v="2039-01-25T00:00:00"/>
  </r>
  <r>
    <n v="9357"/>
    <x v="3"/>
    <s v="OFM"/>
    <n v="5.4951596801817066"/>
    <d v="2039-01-26T00:00:00"/>
  </r>
  <r>
    <n v="9358"/>
    <x v="3"/>
    <s v="OFM"/>
    <n v="24.72821856081768"/>
    <d v="2039-01-27T00:00:00"/>
  </r>
  <r>
    <n v="9359"/>
    <x v="0"/>
    <s v="OFM"/>
    <n v="46.210720887245841"/>
    <d v="2039-01-28T00:00:00"/>
  </r>
  <r>
    <n v="9360"/>
    <x v="2"/>
    <s v="Apps"/>
    <n v="81.030710639332298"/>
    <d v="2039-01-29T00:00:00"/>
  </r>
  <r>
    <n v="9361"/>
    <x v="4"/>
    <s v="Apps"/>
    <n v="401.21970791205263"/>
    <d v="2039-01-30T00:00:00"/>
  </r>
  <r>
    <n v="9362"/>
    <x v="0"/>
    <s v="Apps"/>
    <n v="53.912507701786815"/>
    <d v="2039-01-31T00:00:00"/>
  </r>
  <r>
    <n v="9363"/>
    <x v="2"/>
    <s v="Apps"/>
    <n v="52.949274594938046"/>
    <d v="2039-02-01T00:00:00"/>
  </r>
  <r>
    <n v="9364"/>
    <x v="4"/>
    <s v="Apps"/>
    <n v="65.808090446639511"/>
    <d v="2039-02-02T00:00:00"/>
  </r>
  <r>
    <n v="9365"/>
    <x v="0"/>
    <s v="Apps"/>
    <n v="28.343674594967251"/>
    <d v="2039-02-03T00:00:00"/>
  </r>
  <r>
    <n v="9366"/>
    <x v="0"/>
    <s v="Apps"/>
    <n v="30.807147258163894"/>
    <d v="2039-02-04T00:00:00"/>
  </r>
  <r>
    <n v="9367"/>
    <x v="4"/>
    <s v="Apps"/>
    <n v="44.091710758377424"/>
    <d v="2039-02-05T00:00:00"/>
  </r>
  <r>
    <n v="9368"/>
    <x v="0"/>
    <s v="Apps"/>
    <n v="12.848020762401553"/>
    <d v="2039-02-06T00:00:00"/>
  </r>
  <r>
    <n v="9369"/>
    <x v="2"/>
    <s v="Apps"/>
    <n v="40.515355319666149"/>
    <d v="2039-02-07T00:00:00"/>
  </r>
  <r>
    <n v="9370"/>
    <x v="4"/>
    <s v="Apps"/>
    <n v="200"/>
    <d v="2039-02-08T00:00:00"/>
  </r>
  <r>
    <n v="9371"/>
    <x v="4"/>
    <s v="Apps"/>
    <n v="150"/>
    <d v="2039-02-09T00:00:00"/>
  </r>
  <r>
    <n v="9372"/>
    <x v="2"/>
    <s v="Apps"/>
    <n v="52.949274594938046"/>
    <d v="2039-02-10T00:00:00"/>
  </r>
  <r>
    <n v="9373"/>
    <x v="0"/>
    <s v="Apps"/>
    <n v="77.017868145409736"/>
    <d v="2039-02-11T00:00:00"/>
  </r>
  <r>
    <n v="9374"/>
    <x v="0"/>
    <s v="Apps"/>
    <n v="46.210720887245841"/>
    <d v="2039-02-12T00:00:00"/>
  </r>
  <r>
    <n v="9375"/>
    <x v="2"/>
    <s v="Apps"/>
    <n v="105.89854918987609"/>
    <d v="2039-02-13T00:00:00"/>
  </r>
  <r>
    <n v="9376"/>
    <x v="2"/>
    <s v="Apps"/>
    <n v="243.09213191799691"/>
    <d v="2039-02-14T00:00:00"/>
  </r>
  <r>
    <n v="9377"/>
    <x v="1"/>
    <s v="Apps"/>
    <n v="51.544312169312171"/>
    <d v="2039-02-15T00:00:00"/>
  </r>
  <r>
    <n v="9378"/>
    <x v="0"/>
    <s v="Apps"/>
    <n v="100.12322858903266"/>
    <d v="2039-02-16T00:00:00"/>
  </r>
  <r>
    <n v="9379"/>
    <x v="2"/>
    <s v="Apps"/>
    <n v="52.949274594938046"/>
    <d v="2039-02-17T00:00:00"/>
  </r>
  <r>
    <n v="9380"/>
    <x v="1"/>
    <s v="OFM"/>
    <n v="44.091710758377424"/>
    <d v="2039-02-18T00:00:00"/>
  </r>
  <r>
    <n v="9381"/>
    <x v="1"/>
    <s v="OFM"/>
    <n v="176.3668430335097"/>
    <d v="2039-02-19T00:00:00"/>
  </r>
  <r>
    <n v="9382"/>
    <x v="4"/>
    <s v="OFM"/>
    <n v="115.16415828161914"/>
    <d v="2039-02-20T00:00:00"/>
  </r>
  <r>
    <n v="9383"/>
    <x v="4"/>
    <s v="OFM"/>
    <n v="658.08090446639505"/>
    <d v="2039-02-21T00:00:00"/>
  </r>
  <r>
    <n v="9384"/>
    <x v="4"/>
    <s v="OFM"/>
    <n v="30"/>
    <d v="2039-02-22T00:00:00"/>
  </r>
  <r>
    <n v="9385"/>
    <x v="3"/>
    <s v="OFM"/>
    <n v="183.17198933939025"/>
    <d v="2039-02-23T00:00:00"/>
  </r>
  <r>
    <n v="9386"/>
    <x v="3"/>
    <s v="OFM"/>
    <n v="457.92997334847558"/>
    <d v="2039-02-24T00:00:00"/>
  </r>
  <r>
    <n v="9387"/>
    <x v="3"/>
    <s v="OFM"/>
    <n v="384.66117761271948"/>
    <d v="2039-02-25T00:00:00"/>
  </r>
  <r>
    <n v="9388"/>
    <x v="3"/>
    <s v="OFM"/>
    <n v="457.92997334847558"/>
    <d v="2039-02-26T00:00:00"/>
  </r>
  <r>
    <n v="9389"/>
    <x v="3"/>
    <s v="OFM"/>
    <n v="457.92997334847558"/>
    <d v="2039-02-27T00:00:00"/>
  </r>
  <r>
    <n v="9390"/>
    <x v="3"/>
    <s v="OFM"/>
    <n v="457.92997334847558"/>
    <d v="2039-02-28T00:00:00"/>
  </r>
  <r>
    <n v="9391"/>
    <x v="3"/>
    <s v="OFM"/>
    <n v="457.92997334847558"/>
    <d v="2039-03-01T00:00:00"/>
  </r>
  <r>
    <n v="9392"/>
    <x v="3"/>
    <s v="OFM"/>
    <n v="457.92997334847558"/>
    <d v="2039-03-02T00:00:00"/>
  </r>
  <r>
    <n v="9393"/>
    <x v="1"/>
    <s v="OFM"/>
    <n v="22.045855379188712"/>
    <d v="2039-03-03T00:00:00"/>
  </r>
  <r>
    <n v="9394"/>
    <x v="1"/>
    <s v="OFM"/>
    <n v="23.699294532627867"/>
    <d v="2039-03-04T00:00:00"/>
  </r>
  <r>
    <n v="9395"/>
    <x v="3"/>
    <s v="OFM"/>
    <n v="32.05509813439329"/>
    <d v="2039-03-05T00:00:00"/>
  </r>
  <r>
    <n v="9396"/>
    <x v="3"/>
    <s v="OFM"/>
    <n v="91.585994669695125"/>
    <d v="2039-03-06T00:00:00"/>
  </r>
  <r>
    <n v="9397"/>
    <x v="2"/>
    <s v="OFM"/>
    <n v="158.84782378481412"/>
    <d v="2039-03-07T00:00:00"/>
  </r>
  <r>
    <n v="9398"/>
    <x v="3"/>
    <s v="OFM"/>
    <n v="45.792997334847563"/>
    <d v="2039-03-08T00:00:00"/>
  </r>
  <r>
    <n v="9399"/>
    <x v="3"/>
    <s v="OFM"/>
    <n v="73.2687957357561"/>
    <d v="2039-03-09T00:00:00"/>
  </r>
  <r>
    <n v="9400"/>
    <x v="0"/>
    <s v="OFM"/>
    <n v="6.4240103812007767"/>
    <d v="2039-03-10T00:00:00"/>
  </r>
  <r>
    <n v="9401"/>
    <x v="0"/>
    <s v="OFM"/>
    <n v="12.322858903265558"/>
    <d v="2039-03-11T00:00:00"/>
  </r>
  <r>
    <n v="9402"/>
    <x v="1"/>
    <s v="OFM"/>
    <n v="77.160493827160494"/>
    <d v="2039-03-12T00:00:00"/>
  </r>
  <r>
    <n v="9403"/>
    <x v="4"/>
    <s v="OFM"/>
    <n v="100"/>
    <d v="2039-03-13T00:00:00"/>
  </r>
  <r>
    <n v="9404"/>
    <x v="2"/>
    <s v="OFM"/>
    <n v="52.949274594938046"/>
    <d v="2039-03-14T00:00:00"/>
  </r>
  <r>
    <n v="9405"/>
    <x v="2"/>
    <s v="OFM"/>
    <n v="32.412284255732921"/>
    <d v="2039-03-15T00:00:00"/>
  </r>
  <r>
    <n v="9406"/>
    <x v="2"/>
    <s v="OFM"/>
    <n v="211.79709837975219"/>
    <d v="2039-03-16T00:00:00"/>
  </r>
  <r>
    <n v="9407"/>
    <x v="4"/>
    <s v="OFM"/>
    <n v="3.2904045223319758E-2"/>
    <d v="2039-03-17T00:00:00"/>
  </r>
  <r>
    <n v="9408"/>
    <x v="4"/>
    <s v="OFM"/>
    <n v="69.289520834290443"/>
    <d v="2039-03-18T00:00:00"/>
  </r>
  <r>
    <n v="9409"/>
    <x v="4"/>
    <s v="OFM"/>
    <n v="200"/>
    <d v="2039-03-19T00:00:00"/>
  </r>
  <r>
    <n v="9410"/>
    <x v="0"/>
    <s v="OFM"/>
    <n v="6.4240103812007767"/>
    <d v="2039-03-20T00:00:00"/>
  </r>
  <r>
    <n v="9411"/>
    <x v="0"/>
    <s v="OFM"/>
    <n v="86.177180282661155"/>
    <d v="2039-03-21T00:00:00"/>
  </r>
  <r>
    <n v="9412"/>
    <x v="0"/>
    <s v="OFM"/>
    <n v="77.017868145409736"/>
    <d v="2039-03-22T00:00:00"/>
  </r>
  <r>
    <n v="9413"/>
    <x v="2"/>
    <s v="OFM"/>
    <n v="52.949274594938046"/>
    <d v="2039-03-23T00:00:00"/>
  </r>
  <r>
    <n v="9414"/>
    <x v="2"/>
    <s v="OFM"/>
    <n v="79.423911892407062"/>
    <d v="2039-03-24T00:00:00"/>
  </r>
  <r>
    <n v="9415"/>
    <x v="2"/>
    <s v="OFM"/>
    <n v="317.69564756962825"/>
    <d v="2039-03-25T00:00:00"/>
  </r>
  <r>
    <n v="9416"/>
    <x v="4"/>
    <s v="OFM"/>
    <n v="50"/>
    <d v="2039-03-26T00:00:00"/>
  </r>
  <r>
    <n v="9417"/>
    <x v="4"/>
    <s v="OFM"/>
    <n v="40"/>
    <d v="2039-03-27T00:00:00"/>
  </r>
  <r>
    <n v="9418"/>
    <x v="1"/>
    <s v="OFM"/>
    <n v="2.4250440917107583"/>
    <d v="2039-03-28T00:00:00"/>
  </r>
  <r>
    <n v="9419"/>
    <x v="2"/>
    <s v="Apps"/>
    <n v="37.064492216456628"/>
    <d v="2039-03-29T00:00:00"/>
  </r>
  <r>
    <n v="9420"/>
    <x v="1"/>
    <s v="Apps"/>
    <n v="79.365079365079367"/>
    <d v="2039-03-30T00:00:00"/>
  </r>
  <r>
    <n v="9421"/>
    <x v="4"/>
    <s v="Apps"/>
    <n v="95.329802599903701"/>
    <d v="2039-03-31T00:00:00"/>
  </r>
  <r>
    <n v="9422"/>
    <x v="2"/>
    <s v="Apps"/>
    <n v="20.257677659833075"/>
    <d v="2039-04-01T00:00:00"/>
  </r>
  <r>
    <n v="9423"/>
    <x v="4"/>
    <s v="Apps"/>
    <n v="43.331728454501686"/>
    <d v="2039-04-02T00:00:00"/>
  </r>
  <r>
    <n v="9424"/>
    <x v="4"/>
    <s v="Apps"/>
    <n v="158.88300433317283"/>
    <d v="2039-04-03T00:00:00"/>
  </r>
  <r>
    <n v="9425"/>
    <x v="4"/>
    <s v="Apps"/>
    <n v="57.426379381632742"/>
    <d v="2039-04-04T00:00:00"/>
  </r>
  <r>
    <n v="9426"/>
    <x v="4"/>
    <s v="Apps"/>
    <n v="50"/>
    <d v="2039-04-05T00:00:00"/>
  </r>
  <r>
    <n v="9427"/>
    <x v="1"/>
    <s v="Other"/>
    <n v="4.409171075837742"/>
    <d v="2039-04-06T00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J2:K8" firstHeaderRow="1" firstDataRow="1" firstDataCol="1"/>
  <pivotFields count="5">
    <pivotField showAll="0"/>
    <pivotField axis="axisRow" showAll="0">
      <items count="6">
        <item x="2"/>
        <item x="4"/>
        <item x="0"/>
        <item x="1"/>
        <item x="3"/>
        <item t="default"/>
      </items>
    </pivotField>
    <pivotField showAll="0"/>
    <pivotField dataField="1" numFmtId="165" showAll="0"/>
    <pivotField numFmtId="15"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Grand_Total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6"/>
  <sheetViews>
    <sheetView workbookViewId="0">
      <selection activeCell="F18" sqref="F18"/>
    </sheetView>
  </sheetViews>
  <sheetFormatPr defaultRowHeight="15" x14ac:dyDescent="0.25"/>
  <sheetData>
    <row r="1" spans="1:7" x14ac:dyDescent="0.25">
      <c r="A1" t="s">
        <v>0</v>
      </c>
    </row>
    <row r="2" spans="1:7" x14ac:dyDescent="0.25">
      <c r="A2" t="s">
        <v>1</v>
      </c>
    </row>
    <row r="3" spans="1:7" x14ac:dyDescent="0.25">
      <c r="A3" t="s">
        <v>2</v>
      </c>
    </row>
    <row r="4" spans="1:7" x14ac:dyDescent="0.25">
      <c r="A4" t="s">
        <v>3</v>
      </c>
    </row>
    <row r="5" spans="1:7" x14ac:dyDescent="0.25">
      <c r="A5" t="s">
        <v>4</v>
      </c>
      <c r="G5" t="s">
        <v>61</v>
      </c>
    </row>
    <row r="6" spans="1:7" x14ac:dyDescent="0.25">
      <c r="A6" t="s">
        <v>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G3"/>
  <sheetViews>
    <sheetView tabSelected="1" workbookViewId="0">
      <selection activeCell="G3" sqref="G3"/>
    </sheetView>
  </sheetViews>
  <sheetFormatPr defaultRowHeight="15" x14ac:dyDescent="0.25"/>
  <sheetData>
    <row r="3" spans="7:7" x14ac:dyDescent="0.25">
      <c r="G3">
        <v>22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9428"/>
  <sheetViews>
    <sheetView workbookViewId="0">
      <selection activeCell="J3" sqref="J3"/>
    </sheetView>
  </sheetViews>
  <sheetFormatPr defaultRowHeight="15" x14ac:dyDescent="0.25"/>
  <cols>
    <col min="10" max="10" width="13.140625" bestFit="1" customWidth="1"/>
    <col min="11" max="11" width="18.7109375" bestFit="1" customWidth="1"/>
  </cols>
  <sheetData>
    <row r="1" spans="1:11" ht="28.5" x14ac:dyDescent="0.25">
      <c r="A1" s="5" t="s">
        <v>43</v>
      </c>
      <c r="B1" s="5" t="s">
        <v>44</v>
      </c>
      <c r="C1" s="6" t="s">
        <v>45</v>
      </c>
      <c r="D1" s="7" t="s">
        <v>46</v>
      </c>
      <c r="E1" s="8" t="s">
        <v>47</v>
      </c>
    </row>
    <row r="2" spans="1:11" x14ac:dyDescent="0.25">
      <c r="A2" s="2">
        <f>IF(B2="","",SUBTOTAL(3,$B$2:B2))</f>
        <v>1</v>
      </c>
      <c r="B2" s="9" t="s">
        <v>48</v>
      </c>
      <c r="C2" s="10" t="s">
        <v>49</v>
      </c>
      <c r="D2" s="11">
        <v>24.49645717806531</v>
      </c>
      <c r="E2" s="12">
        <v>41440</v>
      </c>
      <c r="J2" s="13" t="s">
        <v>58</v>
      </c>
      <c r="K2" t="s">
        <v>60</v>
      </c>
    </row>
    <row r="3" spans="1:11" x14ac:dyDescent="0.25">
      <c r="A3" s="2">
        <f>IF(B3="","",SUBTOTAL(3,$B$2:B3))</f>
        <v>2</v>
      </c>
      <c r="B3" s="9" t="s">
        <v>50</v>
      </c>
      <c r="C3" s="10" t="s">
        <v>49</v>
      </c>
      <c r="D3" s="11">
        <v>551.14638447971777</v>
      </c>
      <c r="E3" s="12">
        <f>E2+1</f>
        <v>41441</v>
      </c>
      <c r="J3" s="14" t="s">
        <v>51</v>
      </c>
      <c r="K3" s="15">
        <v>239936.27851448592</v>
      </c>
    </row>
    <row r="4" spans="1:11" x14ac:dyDescent="0.25">
      <c r="A4" s="2">
        <f>IF(B4="","",SUBTOTAL(3,$B$2:B4))</f>
        <v>3</v>
      </c>
      <c r="B4" s="9" t="s">
        <v>51</v>
      </c>
      <c r="C4" s="10" t="s">
        <v>49</v>
      </c>
      <c r="D4" s="11">
        <v>158.84782378481412</v>
      </c>
      <c r="E4" s="12">
        <f t="shared" ref="E4:E67" si="0">E3+1</f>
        <v>41442</v>
      </c>
      <c r="J4" s="14" t="s">
        <v>55</v>
      </c>
      <c r="K4" s="15">
        <v>228952.18350079036</v>
      </c>
    </row>
    <row r="5" spans="1:11" x14ac:dyDescent="0.25">
      <c r="A5" s="2">
        <f>IF(B5="","",SUBTOTAL(3,$B$2:B5))</f>
        <v>4</v>
      </c>
      <c r="B5" s="9" t="s">
        <v>48</v>
      </c>
      <c r="C5" s="10" t="s">
        <v>49</v>
      </c>
      <c r="D5" s="11">
        <v>9.0264941466420208</v>
      </c>
      <c r="E5" s="12">
        <f t="shared" si="0"/>
        <v>41443</v>
      </c>
      <c r="J5" s="14" t="s">
        <v>48</v>
      </c>
      <c r="K5" s="15">
        <v>442177.55202522711</v>
      </c>
    </row>
    <row r="6" spans="1:11" x14ac:dyDescent="0.25">
      <c r="A6" s="2">
        <f>IF(B6="","",SUBTOTAL(3,$B$2:B6))</f>
        <v>5</v>
      </c>
      <c r="B6" s="9" t="s">
        <v>50</v>
      </c>
      <c r="C6" s="10" t="s">
        <v>49</v>
      </c>
      <c r="D6" s="11">
        <v>832.4406415343916</v>
      </c>
      <c r="E6" s="12">
        <f t="shared" si="0"/>
        <v>41444</v>
      </c>
      <c r="J6" s="14" t="s">
        <v>50</v>
      </c>
      <c r="K6" s="15">
        <v>389921.48567922466</v>
      </c>
    </row>
    <row r="7" spans="1:11" x14ac:dyDescent="0.25">
      <c r="A7" s="2">
        <f>IF(B7="","",SUBTOTAL(3,$B$2:B7))</f>
        <v>6</v>
      </c>
      <c r="B7" s="9" t="s">
        <v>48</v>
      </c>
      <c r="C7" s="10" t="s">
        <v>49</v>
      </c>
      <c r="D7" s="11">
        <v>35</v>
      </c>
      <c r="E7" s="12">
        <f t="shared" si="0"/>
        <v>41445</v>
      </c>
      <c r="J7" s="14" t="s">
        <v>53</v>
      </c>
      <c r="K7" s="15">
        <v>88715.125873043798</v>
      </c>
    </row>
    <row r="8" spans="1:11" x14ac:dyDescent="0.25">
      <c r="A8" s="2">
        <f>IF(B8="","",SUBTOTAL(3,$B$2:B8))</f>
        <v>7</v>
      </c>
      <c r="B8" s="9" t="s">
        <v>50</v>
      </c>
      <c r="C8" s="10" t="s">
        <v>49</v>
      </c>
      <c r="D8" s="11">
        <v>66.137566137566139</v>
      </c>
      <c r="E8" s="12">
        <f t="shared" si="0"/>
        <v>41446</v>
      </c>
      <c r="J8" s="14" t="s">
        <v>59</v>
      </c>
      <c r="K8" s="15">
        <v>1389702.6255927719</v>
      </c>
    </row>
    <row r="9" spans="1:11" x14ac:dyDescent="0.25">
      <c r="A9" s="2">
        <f>IF(B9="","",SUBTOTAL(3,$B$2:B9))</f>
        <v>8</v>
      </c>
      <c r="B9" s="9" t="s">
        <v>50</v>
      </c>
      <c r="C9" s="10" t="s">
        <v>49</v>
      </c>
      <c r="D9" s="11">
        <v>19.841269841269842</v>
      </c>
      <c r="E9" s="12">
        <f t="shared" si="0"/>
        <v>41447</v>
      </c>
    </row>
    <row r="10" spans="1:11" x14ac:dyDescent="0.25">
      <c r="A10" s="2">
        <f>IF(B10="","",SUBTOTAL(3,$B$2:B10))</f>
        <v>9</v>
      </c>
      <c r="B10" s="9" t="s">
        <v>50</v>
      </c>
      <c r="C10" s="10" t="s">
        <v>52</v>
      </c>
      <c r="D10" s="11">
        <v>44.091710758377424</v>
      </c>
      <c r="E10" s="12">
        <f t="shared" si="0"/>
        <v>41448</v>
      </c>
    </row>
    <row r="11" spans="1:11" x14ac:dyDescent="0.25">
      <c r="A11" s="2">
        <f>IF(B11="","",SUBTOTAL(3,$B$2:B11))</f>
        <v>10</v>
      </c>
      <c r="B11" s="9" t="s">
        <v>48</v>
      </c>
      <c r="C11" s="10" t="s">
        <v>49</v>
      </c>
      <c r="D11" s="11">
        <v>20.682523267838675</v>
      </c>
      <c r="E11" s="12">
        <f t="shared" si="0"/>
        <v>41449</v>
      </c>
    </row>
    <row r="12" spans="1:11" x14ac:dyDescent="0.25">
      <c r="A12" s="2">
        <f>IF(B12="","",SUBTOTAL(3,$B$2:B12))</f>
        <v>11</v>
      </c>
      <c r="B12" s="9" t="s">
        <v>53</v>
      </c>
      <c r="C12" s="10" t="s">
        <v>54</v>
      </c>
      <c r="D12" s="11">
        <v>137.37899200454268</v>
      </c>
      <c r="E12" s="12">
        <f t="shared" si="0"/>
        <v>41450</v>
      </c>
    </row>
    <row r="13" spans="1:11" x14ac:dyDescent="0.25">
      <c r="A13" s="2">
        <f>IF(B13="","",SUBTOTAL(3,$B$2:B13))</f>
        <v>12</v>
      </c>
      <c r="B13" s="9" t="s">
        <v>53</v>
      </c>
      <c r="C13" s="10" t="s">
        <v>54</v>
      </c>
      <c r="D13" s="11">
        <v>91.585994669695125</v>
      </c>
      <c r="E13" s="12">
        <f t="shared" si="0"/>
        <v>41451</v>
      </c>
    </row>
    <row r="14" spans="1:11" x14ac:dyDescent="0.25">
      <c r="A14" s="2">
        <f>IF(B14="","",SUBTOTAL(3,$B$2:B14))</f>
        <v>13</v>
      </c>
      <c r="B14" s="9" t="s">
        <v>48</v>
      </c>
      <c r="C14" s="10" t="s">
        <v>52</v>
      </c>
      <c r="D14" s="11">
        <v>7.7017868145409736</v>
      </c>
      <c r="E14" s="12">
        <f t="shared" si="0"/>
        <v>41452</v>
      </c>
    </row>
    <row r="15" spans="1:11" x14ac:dyDescent="0.25">
      <c r="A15" s="2">
        <f>IF(B15="","",SUBTOTAL(3,$B$2:B15))</f>
        <v>14</v>
      </c>
      <c r="B15" s="9" t="s">
        <v>53</v>
      </c>
      <c r="C15" s="10" t="s">
        <v>54</v>
      </c>
      <c r="D15" s="11">
        <v>91.585994669695125</v>
      </c>
      <c r="E15" s="12">
        <f t="shared" si="0"/>
        <v>41453</v>
      </c>
    </row>
    <row r="16" spans="1:11" x14ac:dyDescent="0.25">
      <c r="A16" s="2">
        <f>IF(B16="","",SUBTOTAL(3,$B$2:B16))</f>
        <v>15</v>
      </c>
      <c r="B16" s="9" t="s">
        <v>53</v>
      </c>
      <c r="C16" s="10" t="s">
        <v>54</v>
      </c>
      <c r="D16" s="11">
        <v>73.2687957357561</v>
      </c>
      <c r="E16" s="12">
        <f t="shared" si="0"/>
        <v>41454</v>
      </c>
    </row>
    <row r="17" spans="1:5" x14ac:dyDescent="0.25">
      <c r="A17" s="2">
        <f>IF(B17="","",SUBTOTAL(3,$B$2:B17))</f>
        <v>16</v>
      </c>
      <c r="B17" s="9" t="s">
        <v>48</v>
      </c>
      <c r="C17" s="10" t="s">
        <v>54</v>
      </c>
      <c r="D17" s="11">
        <v>34.470872113064452</v>
      </c>
      <c r="E17" s="12">
        <f t="shared" si="0"/>
        <v>41455</v>
      </c>
    </row>
    <row r="18" spans="1:5" x14ac:dyDescent="0.25">
      <c r="A18" s="2">
        <f>IF(B18="","",SUBTOTAL(3,$B$2:B18))</f>
        <v>17</v>
      </c>
      <c r="B18" s="9" t="s">
        <v>53</v>
      </c>
      <c r="C18" s="10" t="s">
        <v>49</v>
      </c>
      <c r="D18" s="11">
        <v>24.72821856081768</v>
      </c>
      <c r="E18" s="12">
        <f t="shared" si="0"/>
        <v>41456</v>
      </c>
    </row>
    <row r="19" spans="1:5" x14ac:dyDescent="0.25">
      <c r="A19" s="2">
        <f>IF(B19="","",SUBTOTAL(3,$B$2:B19))</f>
        <v>18</v>
      </c>
      <c r="B19" s="9" t="s">
        <v>53</v>
      </c>
      <c r="C19" s="10" t="s">
        <v>49</v>
      </c>
      <c r="D19" s="11">
        <v>20.148918827332928</v>
      </c>
      <c r="E19" s="12">
        <f t="shared" si="0"/>
        <v>41457</v>
      </c>
    </row>
    <row r="20" spans="1:5" x14ac:dyDescent="0.25">
      <c r="A20" s="2">
        <f>IF(B20="","",SUBTOTAL(3,$B$2:B20))</f>
        <v>19</v>
      </c>
      <c r="B20" s="9" t="s">
        <v>53</v>
      </c>
      <c r="C20" s="10" t="s">
        <v>49</v>
      </c>
      <c r="D20" s="11">
        <v>357.05596820134269</v>
      </c>
      <c r="E20" s="12">
        <f t="shared" si="0"/>
        <v>41458</v>
      </c>
    </row>
    <row r="21" spans="1:5" x14ac:dyDescent="0.25">
      <c r="A21" s="2">
        <f>IF(B21="","",SUBTOTAL(3,$B$2:B21))</f>
        <v>20</v>
      </c>
      <c r="B21" s="9" t="s">
        <v>53</v>
      </c>
      <c r="C21" s="10" t="s">
        <v>49</v>
      </c>
      <c r="D21" s="11">
        <v>256.44078507514632</v>
      </c>
      <c r="E21" s="12">
        <f t="shared" si="0"/>
        <v>41459</v>
      </c>
    </row>
    <row r="22" spans="1:5" x14ac:dyDescent="0.25">
      <c r="A22" s="2">
        <f>IF(B22="","",SUBTOTAL(3,$B$2:B22))</f>
        <v>21</v>
      </c>
      <c r="B22" s="9" t="s">
        <v>48</v>
      </c>
      <c r="C22" s="10" t="s">
        <v>52</v>
      </c>
      <c r="D22" s="11">
        <v>154.03573629081947</v>
      </c>
      <c r="E22" s="12">
        <f t="shared" si="0"/>
        <v>41460</v>
      </c>
    </row>
    <row r="23" spans="1:5" x14ac:dyDescent="0.25">
      <c r="A23" s="2">
        <f>IF(B23="","",SUBTOTAL(3,$B$2:B23))</f>
        <v>22</v>
      </c>
      <c r="B23" s="9" t="s">
        <v>48</v>
      </c>
      <c r="C23" s="10" t="s">
        <v>52</v>
      </c>
      <c r="D23" s="11">
        <v>92.421441774491683</v>
      </c>
      <c r="E23" s="12">
        <f t="shared" si="0"/>
        <v>41461</v>
      </c>
    </row>
    <row r="24" spans="1:5" x14ac:dyDescent="0.25">
      <c r="A24" s="2">
        <f>IF(B24="","",SUBTOTAL(3,$B$2:B24))</f>
        <v>23</v>
      </c>
      <c r="B24" s="9" t="s">
        <v>55</v>
      </c>
      <c r="C24" s="10" t="s">
        <v>52</v>
      </c>
      <c r="D24" s="11">
        <v>29.330291673456088</v>
      </c>
      <c r="E24" s="12">
        <f t="shared" si="0"/>
        <v>41462</v>
      </c>
    </row>
    <row r="25" spans="1:5" x14ac:dyDescent="0.25">
      <c r="A25" s="2">
        <f>IF(B25="","",SUBTOTAL(3,$B$2:B25))</f>
        <v>24</v>
      </c>
      <c r="B25" s="9" t="s">
        <v>50</v>
      </c>
      <c r="C25" s="10" t="s">
        <v>54</v>
      </c>
      <c r="D25" s="11">
        <v>110.22927689594357</v>
      </c>
      <c r="E25" s="12">
        <f t="shared" si="0"/>
        <v>41463</v>
      </c>
    </row>
    <row r="26" spans="1:5" x14ac:dyDescent="0.25">
      <c r="A26" s="2">
        <f>IF(B26="","",SUBTOTAL(3,$B$2:B26))</f>
        <v>25</v>
      </c>
      <c r="B26" s="9" t="s">
        <v>50</v>
      </c>
      <c r="C26" s="10" t="s">
        <v>49</v>
      </c>
      <c r="D26" s="11">
        <v>97.001763668430343</v>
      </c>
      <c r="E26" s="12">
        <f t="shared" si="0"/>
        <v>41464</v>
      </c>
    </row>
    <row r="27" spans="1:5" x14ac:dyDescent="0.25">
      <c r="A27" s="2">
        <f>IF(B27="","",SUBTOTAL(3,$B$2:B27))</f>
        <v>26</v>
      </c>
      <c r="B27" s="9" t="s">
        <v>50</v>
      </c>
      <c r="C27" s="10" t="s">
        <v>49</v>
      </c>
      <c r="D27" s="11">
        <v>330.68783068783068</v>
      </c>
      <c r="E27" s="12">
        <f t="shared" si="0"/>
        <v>41465</v>
      </c>
    </row>
    <row r="28" spans="1:5" x14ac:dyDescent="0.25">
      <c r="A28" s="2">
        <f>IF(B28="","",SUBTOTAL(3,$B$2:B28))</f>
        <v>27</v>
      </c>
      <c r="B28" s="9" t="s">
        <v>51</v>
      </c>
      <c r="C28" s="10" t="s">
        <v>54</v>
      </c>
      <c r="D28" s="11">
        <v>69.893042465318231</v>
      </c>
      <c r="E28" s="12">
        <f t="shared" si="0"/>
        <v>41466</v>
      </c>
    </row>
    <row r="29" spans="1:5" x14ac:dyDescent="0.25">
      <c r="A29" s="2">
        <f>IF(B29="","",SUBTOTAL(3,$B$2:B29))</f>
        <v>28</v>
      </c>
      <c r="B29" s="9" t="s">
        <v>51</v>
      </c>
      <c r="C29" s="10" t="s">
        <v>54</v>
      </c>
      <c r="D29" s="11">
        <v>69.893042465318231</v>
      </c>
      <c r="E29" s="12">
        <f t="shared" si="0"/>
        <v>41467</v>
      </c>
    </row>
    <row r="30" spans="1:5" x14ac:dyDescent="0.25">
      <c r="A30" s="2">
        <f>IF(B30="","",SUBTOTAL(3,$B$2:B30))</f>
        <v>29</v>
      </c>
      <c r="B30" s="9" t="s">
        <v>51</v>
      </c>
      <c r="C30" s="10" t="s">
        <v>54</v>
      </c>
      <c r="D30" s="11">
        <v>69.893042465318231</v>
      </c>
      <c r="E30" s="12">
        <f t="shared" si="0"/>
        <v>41468</v>
      </c>
    </row>
    <row r="31" spans="1:5" x14ac:dyDescent="0.25">
      <c r="A31" s="2">
        <f>IF(B31="","",SUBTOTAL(3,$B$2:B31))</f>
        <v>30</v>
      </c>
      <c r="B31" s="9" t="s">
        <v>50</v>
      </c>
      <c r="C31" s="10" t="s">
        <v>54</v>
      </c>
      <c r="D31" s="11">
        <v>110.22927689594357</v>
      </c>
      <c r="E31" s="12">
        <f t="shared" si="0"/>
        <v>41469</v>
      </c>
    </row>
    <row r="32" spans="1:5" x14ac:dyDescent="0.25">
      <c r="A32" s="2">
        <f>IF(B32="","",SUBTOTAL(3,$B$2:B32))</f>
        <v>31</v>
      </c>
      <c r="B32" s="9" t="s">
        <v>51</v>
      </c>
      <c r="C32" s="10" t="s">
        <v>49</v>
      </c>
      <c r="D32" s="11">
        <v>105.89854918987609</v>
      </c>
      <c r="E32" s="12">
        <f t="shared" si="0"/>
        <v>41470</v>
      </c>
    </row>
    <row r="33" spans="1:5" x14ac:dyDescent="0.25">
      <c r="A33" s="2">
        <f>IF(B33="","",SUBTOTAL(3,$B$2:B33))</f>
        <v>32</v>
      </c>
      <c r="B33" s="9" t="s">
        <v>48</v>
      </c>
      <c r="C33" s="10" t="s">
        <v>49</v>
      </c>
      <c r="D33" s="11">
        <v>12.848020762401553</v>
      </c>
      <c r="E33" s="12">
        <f t="shared" si="0"/>
        <v>41471</v>
      </c>
    </row>
    <row r="34" spans="1:5" x14ac:dyDescent="0.25">
      <c r="A34" s="2">
        <f>IF(B34="","",SUBTOTAL(3,$B$2:B34))</f>
        <v>33</v>
      </c>
      <c r="B34" s="9" t="s">
        <v>50</v>
      </c>
      <c r="C34" s="10" t="s">
        <v>54</v>
      </c>
      <c r="D34" s="11">
        <v>55.114638447971785</v>
      </c>
      <c r="E34" s="12">
        <f t="shared" si="0"/>
        <v>41472</v>
      </c>
    </row>
    <row r="35" spans="1:5" x14ac:dyDescent="0.25">
      <c r="A35" s="2">
        <f>IF(B35="","",SUBTOTAL(3,$B$2:B35))</f>
        <v>34</v>
      </c>
      <c r="B35" s="9" t="s">
        <v>50</v>
      </c>
      <c r="C35" s="10" t="s">
        <v>49</v>
      </c>
      <c r="D35" s="11">
        <v>237.5</v>
      </c>
      <c r="E35" s="12">
        <f t="shared" si="0"/>
        <v>41473</v>
      </c>
    </row>
    <row r="36" spans="1:5" x14ac:dyDescent="0.25">
      <c r="A36" s="2">
        <f>IF(B36="","",SUBTOTAL(3,$B$2:B36))</f>
        <v>35</v>
      </c>
      <c r="B36" s="9" t="s">
        <v>50</v>
      </c>
      <c r="C36" s="10" t="s">
        <v>54</v>
      </c>
      <c r="D36" s="11">
        <v>251.53730158730158</v>
      </c>
      <c r="E36" s="12">
        <f t="shared" si="0"/>
        <v>41474</v>
      </c>
    </row>
    <row r="37" spans="1:5" x14ac:dyDescent="0.25">
      <c r="A37" s="2">
        <f>IF(B37="","",SUBTOTAL(3,$B$2:B37))</f>
        <v>36</v>
      </c>
      <c r="B37" s="9" t="s">
        <v>50</v>
      </c>
      <c r="C37" s="10" t="s">
        <v>54</v>
      </c>
      <c r="D37" s="11">
        <v>35.273368606701936</v>
      </c>
      <c r="E37" s="12">
        <f t="shared" si="0"/>
        <v>41475</v>
      </c>
    </row>
    <row r="38" spans="1:5" x14ac:dyDescent="0.25">
      <c r="A38" s="2">
        <f>IF(B38="","",SUBTOTAL(3,$B$2:B38))</f>
        <v>37</v>
      </c>
      <c r="B38" s="9" t="s">
        <v>55</v>
      </c>
      <c r="C38" s="10" t="s">
        <v>52</v>
      </c>
      <c r="D38" s="11">
        <v>100</v>
      </c>
      <c r="E38" s="12">
        <f t="shared" si="0"/>
        <v>41476</v>
      </c>
    </row>
    <row r="39" spans="1:5" x14ac:dyDescent="0.25">
      <c r="A39" s="2">
        <f>IF(B39="","",SUBTOTAL(3,$B$2:B39))</f>
        <v>38</v>
      </c>
      <c r="B39" s="9" t="s">
        <v>50</v>
      </c>
      <c r="C39" s="10" t="s">
        <v>54</v>
      </c>
      <c r="D39" s="11">
        <v>96.5</v>
      </c>
      <c r="E39" s="12">
        <f t="shared" si="0"/>
        <v>41477</v>
      </c>
    </row>
    <row r="40" spans="1:5" x14ac:dyDescent="0.25">
      <c r="A40" s="2">
        <f>IF(B40="","",SUBTOTAL(3,$B$2:B40))</f>
        <v>39</v>
      </c>
      <c r="B40" s="9" t="s">
        <v>51</v>
      </c>
      <c r="C40" s="10" t="s">
        <v>49</v>
      </c>
      <c r="D40" s="11">
        <v>211.79709837975219</v>
      </c>
      <c r="E40" s="12">
        <f t="shared" si="0"/>
        <v>41478</v>
      </c>
    </row>
    <row r="41" spans="1:5" x14ac:dyDescent="0.25">
      <c r="A41" s="2">
        <f>IF(B41="","",SUBTOTAL(3,$B$2:B41))</f>
        <v>40</v>
      </c>
      <c r="B41" s="9" t="s">
        <v>50</v>
      </c>
      <c r="C41" s="10" t="s">
        <v>49</v>
      </c>
      <c r="D41" s="11">
        <v>2.8880070546737215</v>
      </c>
      <c r="E41" s="12">
        <f t="shared" si="0"/>
        <v>41479</v>
      </c>
    </row>
    <row r="42" spans="1:5" x14ac:dyDescent="0.25">
      <c r="A42" s="2">
        <f>IF(B42="","",SUBTOTAL(3,$B$2:B42))</f>
        <v>41</v>
      </c>
      <c r="B42" s="9" t="s">
        <v>50</v>
      </c>
      <c r="C42" s="10" t="s">
        <v>49</v>
      </c>
      <c r="D42" s="11">
        <v>110.22927689594357</v>
      </c>
      <c r="E42" s="12">
        <f t="shared" si="0"/>
        <v>41480</v>
      </c>
    </row>
    <row r="43" spans="1:5" x14ac:dyDescent="0.25">
      <c r="A43" s="2">
        <f>IF(B43="","",SUBTOTAL(3,$B$2:B43))</f>
        <v>42</v>
      </c>
      <c r="B43" s="9" t="s">
        <v>50</v>
      </c>
      <c r="C43" s="10" t="s">
        <v>54</v>
      </c>
      <c r="D43" s="11">
        <v>11.958289241622575</v>
      </c>
      <c r="E43" s="12">
        <f t="shared" si="0"/>
        <v>41481</v>
      </c>
    </row>
    <row r="44" spans="1:5" x14ac:dyDescent="0.25">
      <c r="A44" s="2">
        <f>IF(B44="","",SUBTOTAL(3,$B$2:B44))</f>
        <v>43</v>
      </c>
      <c r="B44" s="9" t="s">
        <v>50</v>
      </c>
      <c r="C44" s="10" t="s">
        <v>49</v>
      </c>
      <c r="D44" s="11">
        <v>396.82539682539681</v>
      </c>
      <c r="E44" s="12">
        <f t="shared" si="0"/>
        <v>41482</v>
      </c>
    </row>
    <row r="45" spans="1:5" x14ac:dyDescent="0.25">
      <c r="A45" s="2">
        <f>IF(B45="","",SUBTOTAL(3,$B$2:B45))</f>
        <v>44</v>
      </c>
      <c r="B45" s="9" t="s">
        <v>55</v>
      </c>
      <c r="C45" s="10" t="s">
        <v>52</v>
      </c>
      <c r="D45" s="11">
        <v>19.084243115528761</v>
      </c>
      <c r="E45" s="12">
        <f t="shared" si="0"/>
        <v>41483</v>
      </c>
    </row>
    <row r="46" spans="1:5" x14ac:dyDescent="0.25">
      <c r="A46" s="2">
        <f>IF(B46="","",SUBTOTAL(3,$B$2:B46))</f>
        <v>45</v>
      </c>
      <c r="B46" s="9" t="s">
        <v>50</v>
      </c>
      <c r="C46" s="10" t="s">
        <v>49</v>
      </c>
      <c r="D46" s="11">
        <v>36.067019400352734</v>
      </c>
      <c r="E46" s="12">
        <f t="shared" si="0"/>
        <v>41484</v>
      </c>
    </row>
    <row r="47" spans="1:5" x14ac:dyDescent="0.25">
      <c r="A47" s="2">
        <f>IF(B47="","",SUBTOTAL(3,$B$2:B47))</f>
        <v>46</v>
      </c>
      <c r="B47" s="9" t="s">
        <v>55</v>
      </c>
      <c r="C47" s="10" t="s">
        <v>49</v>
      </c>
      <c r="D47" s="11">
        <v>114</v>
      </c>
      <c r="E47" s="12">
        <f t="shared" si="0"/>
        <v>41485</v>
      </c>
    </row>
    <row r="48" spans="1:5" x14ac:dyDescent="0.25">
      <c r="A48" s="2">
        <f>IF(B48="","",SUBTOTAL(3,$B$2:B48))</f>
        <v>47</v>
      </c>
      <c r="B48" s="9" t="s">
        <v>50</v>
      </c>
      <c r="C48" s="10" t="s">
        <v>49</v>
      </c>
      <c r="D48" s="11">
        <v>19.841269841269842</v>
      </c>
      <c r="E48" s="12">
        <f t="shared" si="0"/>
        <v>41486</v>
      </c>
    </row>
    <row r="49" spans="1:5" x14ac:dyDescent="0.25">
      <c r="A49" s="2">
        <f>IF(B49="","",SUBTOTAL(3,$B$2:B49))</f>
        <v>48</v>
      </c>
      <c r="B49" s="9" t="s">
        <v>50</v>
      </c>
      <c r="C49" s="10" t="s">
        <v>56</v>
      </c>
      <c r="D49" s="11">
        <v>551.14638447971777</v>
      </c>
      <c r="E49" s="12">
        <f t="shared" si="0"/>
        <v>41487</v>
      </c>
    </row>
    <row r="50" spans="1:5" x14ac:dyDescent="0.25">
      <c r="A50" s="2">
        <f>IF(B50="","",SUBTOTAL(3,$B$2:B50))</f>
        <v>49</v>
      </c>
      <c r="B50" s="9" t="s">
        <v>51</v>
      </c>
      <c r="C50" s="10" t="s">
        <v>49</v>
      </c>
      <c r="D50" s="11">
        <v>211.79709837975219</v>
      </c>
      <c r="E50" s="12">
        <f t="shared" si="0"/>
        <v>41488</v>
      </c>
    </row>
    <row r="51" spans="1:5" x14ac:dyDescent="0.25">
      <c r="A51" s="2">
        <f>IF(B51="","",SUBTOTAL(3,$B$2:B51))</f>
        <v>50</v>
      </c>
      <c r="B51" s="9" t="s">
        <v>51</v>
      </c>
      <c r="C51" s="10" t="s">
        <v>52</v>
      </c>
      <c r="D51" s="11">
        <v>52.949274594938046</v>
      </c>
      <c r="E51" s="12">
        <f t="shared" si="0"/>
        <v>41489</v>
      </c>
    </row>
    <row r="52" spans="1:5" x14ac:dyDescent="0.25">
      <c r="A52" s="2">
        <f>IF(B52="","",SUBTOTAL(3,$B$2:B52))</f>
        <v>51</v>
      </c>
      <c r="B52" s="9" t="s">
        <v>53</v>
      </c>
      <c r="C52" s="10" t="s">
        <v>49</v>
      </c>
      <c r="D52" s="11">
        <v>57.864031432313382</v>
      </c>
      <c r="E52" s="12">
        <f t="shared" si="0"/>
        <v>41490</v>
      </c>
    </row>
    <row r="53" spans="1:5" x14ac:dyDescent="0.25">
      <c r="A53" s="2">
        <f>IF(B53="","",SUBTOTAL(3,$B$2:B53))</f>
        <v>52</v>
      </c>
      <c r="B53" s="9" t="s">
        <v>53</v>
      </c>
      <c r="C53" s="10" t="s">
        <v>49</v>
      </c>
      <c r="D53" s="11">
        <v>59.530896535301828</v>
      </c>
      <c r="E53" s="12">
        <f t="shared" si="0"/>
        <v>41491</v>
      </c>
    </row>
    <row r="54" spans="1:5" x14ac:dyDescent="0.25">
      <c r="A54" s="2">
        <f>IF(B54="","",SUBTOTAL(3,$B$2:B54))</f>
        <v>53</v>
      </c>
      <c r="B54" s="9" t="s">
        <v>53</v>
      </c>
      <c r="C54" s="10" t="s">
        <v>49</v>
      </c>
      <c r="D54" s="11">
        <v>45.792997334847563</v>
      </c>
      <c r="E54" s="12">
        <f t="shared" si="0"/>
        <v>41492</v>
      </c>
    </row>
    <row r="55" spans="1:5" x14ac:dyDescent="0.25">
      <c r="A55" s="2">
        <f>IF(B55="","",SUBTOTAL(3,$B$2:B55))</f>
        <v>54</v>
      </c>
      <c r="B55" s="9" t="s">
        <v>53</v>
      </c>
      <c r="C55" s="10" t="s">
        <v>49</v>
      </c>
      <c r="D55" s="11">
        <v>64.110196268786581</v>
      </c>
      <c r="E55" s="12">
        <f t="shared" si="0"/>
        <v>41493</v>
      </c>
    </row>
    <row r="56" spans="1:5" x14ac:dyDescent="0.25">
      <c r="A56" s="2">
        <f>IF(B56="","",SUBTOTAL(3,$B$2:B56))</f>
        <v>55</v>
      </c>
      <c r="B56" s="9" t="s">
        <v>53</v>
      </c>
      <c r="C56" s="10" t="s">
        <v>49</v>
      </c>
      <c r="D56" s="11">
        <v>91.585994669695125</v>
      </c>
      <c r="E56" s="12">
        <f t="shared" si="0"/>
        <v>41494</v>
      </c>
    </row>
    <row r="57" spans="1:5" x14ac:dyDescent="0.25">
      <c r="A57" s="2">
        <f>IF(B57="","",SUBTOTAL(3,$B$2:B57))</f>
        <v>56</v>
      </c>
      <c r="B57" s="9" t="s">
        <v>50</v>
      </c>
      <c r="C57" s="10" t="s">
        <v>54</v>
      </c>
      <c r="D57" s="11">
        <v>88.183421516754848</v>
      </c>
      <c r="E57" s="12">
        <f t="shared" si="0"/>
        <v>41495</v>
      </c>
    </row>
    <row r="58" spans="1:5" x14ac:dyDescent="0.25">
      <c r="A58" s="2">
        <f>IF(B58="","",SUBTOTAL(3,$B$2:B58))</f>
        <v>57</v>
      </c>
      <c r="B58" s="9" t="s">
        <v>50</v>
      </c>
      <c r="C58" s="10" t="s">
        <v>54</v>
      </c>
      <c r="D58" s="11">
        <v>158.73015873015873</v>
      </c>
      <c r="E58" s="12">
        <f t="shared" si="0"/>
        <v>41496</v>
      </c>
    </row>
    <row r="59" spans="1:5" x14ac:dyDescent="0.25">
      <c r="A59" s="2">
        <f>IF(B59="","",SUBTOTAL(3,$B$2:B59))</f>
        <v>58</v>
      </c>
      <c r="B59" s="9" t="s">
        <v>55</v>
      </c>
      <c r="C59" s="10" t="s">
        <v>52</v>
      </c>
      <c r="D59" s="11">
        <v>6.2115817521936876</v>
      </c>
      <c r="E59" s="12">
        <f t="shared" si="0"/>
        <v>41497</v>
      </c>
    </row>
    <row r="60" spans="1:5" x14ac:dyDescent="0.25">
      <c r="A60" s="2">
        <f>IF(B60="","",SUBTOTAL(3,$B$2:B60))</f>
        <v>59</v>
      </c>
      <c r="B60" s="9" t="s">
        <v>50</v>
      </c>
      <c r="C60" s="10" t="s">
        <v>49</v>
      </c>
      <c r="D60" s="11">
        <v>19.841269841269842</v>
      </c>
      <c r="E60" s="12">
        <f t="shared" si="0"/>
        <v>41498</v>
      </c>
    </row>
    <row r="61" spans="1:5" x14ac:dyDescent="0.25">
      <c r="A61" s="2">
        <f>IF(B61="","",SUBTOTAL(3,$B$2:B61))</f>
        <v>60</v>
      </c>
      <c r="B61" s="9" t="s">
        <v>50</v>
      </c>
      <c r="C61" s="10" t="s">
        <v>49</v>
      </c>
      <c r="D61" s="11">
        <v>50</v>
      </c>
      <c r="E61" s="12">
        <f t="shared" si="0"/>
        <v>41499</v>
      </c>
    </row>
    <row r="62" spans="1:5" x14ac:dyDescent="0.25">
      <c r="A62" s="2">
        <f>IF(B62="","",SUBTOTAL(3,$B$2:B62))</f>
        <v>61</v>
      </c>
      <c r="B62" s="9" t="s">
        <v>50</v>
      </c>
      <c r="C62" s="10" t="s">
        <v>52</v>
      </c>
      <c r="D62" s="11">
        <v>50</v>
      </c>
      <c r="E62" s="12">
        <f t="shared" si="0"/>
        <v>41500</v>
      </c>
    </row>
    <row r="63" spans="1:5" x14ac:dyDescent="0.25">
      <c r="A63" s="2">
        <f>IF(B63="","",SUBTOTAL(3,$B$2:B63))</f>
        <v>62</v>
      </c>
      <c r="B63" s="9" t="s">
        <v>50</v>
      </c>
      <c r="C63" s="10" t="s">
        <v>49</v>
      </c>
      <c r="D63" s="11">
        <v>66.137566137566139</v>
      </c>
      <c r="E63" s="12">
        <f t="shared" si="0"/>
        <v>41501</v>
      </c>
    </row>
    <row r="64" spans="1:5" x14ac:dyDescent="0.25">
      <c r="A64" s="2">
        <f>IF(B64="","",SUBTOTAL(3,$B$2:B64))</f>
        <v>63</v>
      </c>
      <c r="B64" s="9" t="s">
        <v>48</v>
      </c>
      <c r="C64" s="10" t="s">
        <v>52</v>
      </c>
      <c r="D64" s="11">
        <v>12.322858903265558</v>
      </c>
      <c r="E64" s="12">
        <f t="shared" si="0"/>
        <v>41502</v>
      </c>
    </row>
    <row r="65" spans="1:5" x14ac:dyDescent="0.25">
      <c r="A65" s="2">
        <f>IF(B65="","",SUBTOTAL(3,$B$2:B65))</f>
        <v>64</v>
      </c>
      <c r="B65" s="9" t="s">
        <v>55</v>
      </c>
      <c r="C65" s="10" t="s">
        <v>49</v>
      </c>
      <c r="D65" s="11">
        <v>19</v>
      </c>
      <c r="E65" s="12">
        <f t="shared" si="0"/>
        <v>41503</v>
      </c>
    </row>
    <row r="66" spans="1:5" x14ac:dyDescent="0.25">
      <c r="A66" s="2">
        <f>IF(B66="","",SUBTOTAL(3,$B$2:B66))</f>
        <v>65</v>
      </c>
      <c r="B66" s="9" t="s">
        <v>50</v>
      </c>
      <c r="C66" s="10" t="s">
        <v>49</v>
      </c>
      <c r="D66" s="11">
        <v>661.37566137566137</v>
      </c>
      <c r="E66" s="12">
        <f t="shared" si="0"/>
        <v>41504</v>
      </c>
    </row>
    <row r="67" spans="1:5" x14ac:dyDescent="0.25">
      <c r="A67" s="2">
        <f>IF(B67="","",SUBTOTAL(3,$B$2:B67))</f>
        <v>66</v>
      </c>
      <c r="B67" s="9" t="s">
        <v>50</v>
      </c>
      <c r="C67" s="10" t="s">
        <v>54</v>
      </c>
      <c r="D67" s="11">
        <v>196.95011904761904</v>
      </c>
      <c r="E67" s="12">
        <f t="shared" si="0"/>
        <v>41505</v>
      </c>
    </row>
    <row r="68" spans="1:5" x14ac:dyDescent="0.25">
      <c r="A68" s="2">
        <f>IF(B68="","",SUBTOTAL(3,$B$2:B68))</f>
        <v>67</v>
      </c>
      <c r="B68" s="9" t="s">
        <v>50</v>
      </c>
      <c r="C68" s="10" t="s">
        <v>49</v>
      </c>
      <c r="D68" s="11">
        <v>617.28395061728395</v>
      </c>
      <c r="E68" s="12">
        <f t="shared" ref="E68:E131" si="1">E67+1</f>
        <v>41506</v>
      </c>
    </row>
    <row r="69" spans="1:5" x14ac:dyDescent="0.25">
      <c r="A69" s="2">
        <f>IF(B69="","",SUBTOTAL(3,$B$2:B69))</f>
        <v>68</v>
      </c>
      <c r="B69" s="9" t="s">
        <v>50</v>
      </c>
      <c r="C69" s="10" t="s">
        <v>49</v>
      </c>
      <c r="D69" s="11">
        <v>200.0570987654321</v>
      </c>
      <c r="E69" s="12">
        <f t="shared" si="1"/>
        <v>41507</v>
      </c>
    </row>
    <row r="70" spans="1:5" x14ac:dyDescent="0.25">
      <c r="A70" s="2">
        <f>IF(B70="","",SUBTOTAL(3,$B$2:B70))</f>
        <v>69</v>
      </c>
      <c r="B70" s="9" t="s">
        <v>50</v>
      </c>
      <c r="C70" s="10" t="s">
        <v>49</v>
      </c>
      <c r="D70" s="11">
        <v>165.34391534391534</v>
      </c>
      <c r="E70" s="12">
        <f t="shared" si="1"/>
        <v>41508</v>
      </c>
    </row>
    <row r="71" spans="1:5" x14ac:dyDescent="0.25">
      <c r="A71" s="2">
        <f>IF(B71="","",SUBTOTAL(3,$B$2:B71))</f>
        <v>70</v>
      </c>
      <c r="B71" s="9" t="s">
        <v>50</v>
      </c>
      <c r="C71" s="10" t="s">
        <v>52</v>
      </c>
      <c r="D71" s="11">
        <v>165.34391534391534</v>
      </c>
      <c r="E71" s="12">
        <f t="shared" si="1"/>
        <v>41509</v>
      </c>
    </row>
    <row r="72" spans="1:5" x14ac:dyDescent="0.25">
      <c r="A72" s="2">
        <f>IF(B72="","",SUBTOTAL(3,$B$2:B72))</f>
        <v>71</v>
      </c>
      <c r="B72" s="9" t="s">
        <v>50</v>
      </c>
      <c r="C72" s="10" t="s">
        <v>49</v>
      </c>
      <c r="D72" s="11">
        <v>10.822310405643739</v>
      </c>
      <c r="E72" s="12">
        <f t="shared" si="1"/>
        <v>41510</v>
      </c>
    </row>
    <row r="73" spans="1:5" x14ac:dyDescent="0.25">
      <c r="A73" s="2">
        <f>IF(B73="","",SUBTOTAL(3,$B$2:B73))</f>
        <v>72</v>
      </c>
      <c r="B73" s="9" t="s">
        <v>50</v>
      </c>
      <c r="C73" s="10" t="s">
        <v>54</v>
      </c>
      <c r="D73" s="11">
        <v>70.546737213403873</v>
      </c>
      <c r="E73" s="12">
        <f t="shared" si="1"/>
        <v>41511</v>
      </c>
    </row>
    <row r="74" spans="1:5" x14ac:dyDescent="0.25">
      <c r="A74" s="2">
        <f>IF(B74="","",SUBTOTAL(3,$B$2:B74))</f>
        <v>73</v>
      </c>
      <c r="B74" s="9" t="s">
        <v>50</v>
      </c>
      <c r="C74" s="10" t="s">
        <v>54</v>
      </c>
      <c r="D74" s="11">
        <v>66.137566137566139</v>
      </c>
      <c r="E74" s="12">
        <f t="shared" si="1"/>
        <v>41512</v>
      </c>
    </row>
    <row r="75" spans="1:5" x14ac:dyDescent="0.25">
      <c r="A75" s="2">
        <f>IF(B75="","",SUBTOTAL(3,$B$2:B75))</f>
        <v>74</v>
      </c>
      <c r="B75" s="9" t="s">
        <v>50</v>
      </c>
      <c r="C75" s="10" t="s">
        <v>49</v>
      </c>
      <c r="D75" s="11">
        <v>72.162257495590836</v>
      </c>
      <c r="E75" s="12">
        <f t="shared" si="1"/>
        <v>41513</v>
      </c>
    </row>
    <row r="76" spans="1:5" x14ac:dyDescent="0.25">
      <c r="A76" s="2">
        <f>IF(B76="","",SUBTOTAL(3,$B$2:B76))</f>
        <v>75</v>
      </c>
      <c r="B76" s="9" t="s">
        <v>48</v>
      </c>
      <c r="C76" s="10" t="s">
        <v>49</v>
      </c>
      <c r="D76" s="11">
        <v>275.76697690451562</v>
      </c>
      <c r="E76" s="12">
        <f t="shared" si="1"/>
        <v>41514</v>
      </c>
    </row>
    <row r="77" spans="1:5" x14ac:dyDescent="0.25">
      <c r="A77" s="2">
        <f>IF(B77="","",SUBTOTAL(3,$B$2:B77))</f>
        <v>76</v>
      </c>
      <c r="B77" s="9" t="s">
        <v>48</v>
      </c>
      <c r="C77" s="10" t="s">
        <v>56</v>
      </c>
      <c r="D77" s="11">
        <v>172.35436056532231</v>
      </c>
      <c r="E77" s="12">
        <f t="shared" si="1"/>
        <v>41515</v>
      </c>
    </row>
    <row r="78" spans="1:5" x14ac:dyDescent="0.25">
      <c r="A78" s="2">
        <f>IF(B78="","",SUBTOTAL(3,$B$2:B78))</f>
        <v>77</v>
      </c>
      <c r="B78" s="9" t="s">
        <v>48</v>
      </c>
      <c r="C78" s="10" t="s">
        <v>54</v>
      </c>
      <c r="D78" s="11">
        <v>41.365046535677351</v>
      </c>
      <c r="E78" s="12">
        <f t="shared" si="1"/>
        <v>41516</v>
      </c>
    </row>
    <row r="79" spans="1:5" x14ac:dyDescent="0.25">
      <c r="A79" s="2">
        <f>IF(B79="","",SUBTOTAL(3,$B$2:B79))</f>
        <v>78</v>
      </c>
      <c r="B79" s="9" t="s">
        <v>53</v>
      </c>
      <c r="C79" s="10" t="s">
        <v>49</v>
      </c>
      <c r="D79" s="11">
        <v>91.585994669695125</v>
      </c>
      <c r="E79" s="12">
        <f t="shared" si="1"/>
        <v>41517</v>
      </c>
    </row>
    <row r="80" spans="1:5" x14ac:dyDescent="0.25">
      <c r="A80" s="2">
        <f>IF(B80="","",SUBTOTAL(3,$B$2:B80))</f>
        <v>79</v>
      </c>
      <c r="B80" s="9" t="s">
        <v>53</v>
      </c>
      <c r="C80" s="10" t="s">
        <v>49</v>
      </c>
      <c r="D80" s="11">
        <v>31.139238187696343</v>
      </c>
      <c r="E80" s="12">
        <f t="shared" si="1"/>
        <v>41518</v>
      </c>
    </row>
    <row r="81" spans="1:5" x14ac:dyDescent="0.25">
      <c r="A81" s="2">
        <f>IF(B81="","",SUBTOTAL(3,$B$2:B81))</f>
        <v>80</v>
      </c>
      <c r="B81" s="9" t="s">
        <v>53</v>
      </c>
      <c r="C81" s="10" t="s">
        <v>49</v>
      </c>
      <c r="D81" s="11">
        <v>36.63439786787805</v>
      </c>
      <c r="E81" s="12">
        <f t="shared" si="1"/>
        <v>41519</v>
      </c>
    </row>
    <row r="82" spans="1:5" x14ac:dyDescent="0.25">
      <c r="A82" s="2">
        <f>IF(B82="","",SUBTOTAL(3,$B$2:B82))</f>
        <v>81</v>
      </c>
      <c r="B82" s="9" t="s">
        <v>53</v>
      </c>
      <c r="C82" s="10" t="s">
        <v>54</v>
      </c>
      <c r="D82" s="11">
        <v>13.737899200454269</v>
      </c>
      <c r="E82" s="12">
        <f t="shared" si="1"/>
        <v>41520</v>
      </c>
    </row>
    <row r="83" spans="1:5" x14ac:dyDescent="0.25">
      <c r="A83" s="2">
        <f>IF(B83="","",SUBTOTAL(3,$B$2:B83))</f>
        <v>82</v>
      </c>
      <c r="B83" s="9" t="s">
        <v>53</v>
      </c>
      <c r="C83" s="10" t="s">
        <v>49</v>
      </c>
      <c r="D83" s="11">
        <v>64.110196268786581</v>
      </c>
      <c r="E83" s="12">
        <f t="shared" si="1"/>
        <v>41521</v>
      </c>
    </row>
    <row r="84" spans="1:5" x14ac:dyDescent="0.25">
      <c r="A84" s="2">
        <f>IF(B84="","",SUBTOTAL(3,$B$2:B84))</f>
        <v>83</v>
      </c>
      <c r="B84" s="9" t="s">
        <v>48</v>
      </c>
      <c r="C84" s="10" t="s">
        <v>49</v>
      </c>
      <c r="D84" s="11">
        <v>3.8508934072704868</v>
      </c>
      <c r="E84" s="12">
        <f t="shared" si="1"/>
        <v>41522</v>
      </c>
    </row>
    <row r="85" spans="1:5" x14ac:dyDescent="0.25">
      <c r="A85" s="2">
        <f>IF(B85="","",SUBTOTAL(3,$B$2:B85))</f>
        <v>84</v>
      </c>
      <c r="B85" s="9" t="s">
        <v>48</v>
      </c>
      <c r="C85" s="10" t="s">
        <v>49</v>
      </c>
      <c r="D85" s="11">
        <v>123.22858903265558</v>
      </c>
      <c r="E85" s="12">
        <f t="shared" si="1"/>
        <v>41523</v>
      </c>
    </row>
    <row r="86" spans="1:5" x14ac:dyDescent="0.25">
      <c r="A86" s="2">
        <f>IF(B86="","",SUBTOTAL(3,$B$2:B86))</f>
        <v>85</v>
      </c>
      <c r="B86" s="9" t="s">
        <v>53</v>
      </c>
      <c r="C86" s="10" t="s">
        <v>49</v>
      </c>
      <c r="D86" s="11">
        <v>33.886818027787193</v>
      </c>
      <c r="E86" s="12">
        <f t="shared" si="1"/>
        <v>41524</v>
      </c>
    </row>
    <row r="87" spans="1:5" x14ac:dyDescent="0.25">
      <c r="A87" s="2">
        <f>IF(B87="","",SUBTOTAL(3,$B$2:B87))</f>
        <v>86</v>
      </c>
      <c r="B87" s="9" t="s">
        <v>53</v>
      </c>
      <c r="C87" s="10" t="s">
        <v>49</v>
      </c>
      <c r="D87" s="11">
        <v>32.05509813439329</v>
      </c>
      <c r="E87" s="12">
        <f t="shared" si="1"/>
        <v>41525</v>
      </c>
    </row>
    <row r="88" spans="1:5" x14ac:dyDescent="0.25">
      <c r="A88" s="2">
        <f>IF(B88="","",SUBTOTAL(3,$B$2:B88))</f>
        <v>87</v>
      </c>
      <c r="B88" s="9" t="s">
        <v>53</v>
      </c>
      <c r="C88" s="10" t="s">
        <v>49</v>
      </c>
      <c r="D88" s="11">
        <v>11.906179307060365</v>
      </c>
      <c r="E88" s="12">
        <f t="shared" si="1"/>
        <v>41526</v>
      </c>
    </row>
    <row r="89" spans="1:5" x14ac:dyDescent="0.25">
      <c r="A89" s="2">
        <f>IF(B89="","",SUBTOTAL(3,$B$2:B89))</f>
        <v>88</v>
      </c>
      <c r="B89" s="9" t="s">
        <v>53</v>
      </c>
      <c r="C89" s="10" t="s">
        <v>49</v>
      </c>
      <c r="D89" s="11">
        <v>30.223378240999391</v>
      </c>
      <c r="E89" s="12">
        <f t="shared" si="1"/>
        <v>41527</v>
      </c>
    </row>
    <row r="90" spans="1:5" x14ac:dyDescent="0.25">
      <c r="A90" s="2">
        <f>IF(B90="","",SUBTOTAL(3,$B$2:B90))</f>
        <v>89</v>
      </c>
      <c r="B90" s="9" t="s">
        <v>53</v>
      </c>
      <c r="C90" s="10" t="s">
        <v>54</v>
      </c>
      <c r="D90" s="11">
        <v>183.17198933939025</v>
      </c>
      <c r="E90" s="12">
        <f t="shared" si="1"/>
        <v>41528</v>
      </c>
    </row>
    <row r="91" spans="1:5" x14ac:dyDescent="0.25">
      <c r="A91" s="2">
        <f>IF(B91="","",SUBTOTAL(3,$B$2:B91))</f>
        <v>90</v>
      </c>
      <c r="B91" s="9" t="s">
        <v>53</v>
      </c>
      <c r="C91" s="10" t="s">
        <v>49</v>
      </c>
      <c r="D91" s="11">
        <v>21.940340883072164</v>
      </c>
      <c r="E91" s="12">
        <f t="shared" si="1"/>
        <v>41529</v>
      </c>
    </row>
    <row r="92" spans="1:5" x14ac:dyDescent="0.25">
      <c r="A92" s="2">
        <f>IF(B92="","",SUBTOTAL(3,$B$2:B92))</f>
        <v>91</v>
      </c>
      <c r="B92" s="9" t="s">
        <v>53</v>
      </c>
      <c r="C92" s="10" t="s">
        <v>49</v>
      </c>
      <c r="D92" s="11">
        <v>76.822332328940263</v>
      </c>
      <c r="E92" s="12">
        <f t="shared" si="1"/>
        <v>41530</v>
      </c>
    </row>
    <row r="93" spans="1:5" x14ac:dyDescent="0.25">
      <c r="A93" s="2">
        <f>IF(B93="","",SUBTOTAL(3,$B$2:B93))</f>
        <v>92</v>
      </c>
      <c r="B93" s="9" t="s">
        <v>53</v>
      </c>
      <c r="C93" s="10" t="s">
        <v>49</v>
      </c>
      <c r="D93" s="11">
        <v>73.2687957357561</v>
      </c>
      <c r="E93" s="12">
        <f t="shared" si="1"/>
        <v>41531</v>
      </c>
    </row>
    <row r="94" spans="1:5" x14ac:dyDescent="0.25">
      <c r="A94" s="2">
        <f>IF(B94="","",SUBTOTAL(3,$B$2:B94))</f>
        <v>93</v>
      </c>
      <c r="B94" s="9" t="s">
        <v>53</v>
      </c>
      <c r="C94" s="10" t="s">
        <v>49</v>
      </c>
      <c r="D94" s="11">
        <v>12.682324818888697</v>
      </c>
      <c r="E94" s="12">
        <f t="shared" si="1"/>
        <v>41532</v>
      </c>
    </row>
    <row r="95" spans="1:5" x14ac:dyDescent="0.25">
      <c r="A95" s="2">
        <f>IF(B95="","",SUBTOTAL(3,$B$2:B95))</f>
        <v>94</v>
      </c>
      <c r="B95" s="9" t="s">
        <v>48</v>
      </c>
      <c r="C95" s="10" t="s">
        <v>52</v>
      </c>
      <c r="D95" s="11">
        <v>123.22858903265558</v>
      </c>
      <c r="E95" s="12">
        <f t="shared" si="1"/>
        <v>41533</v>
      </c>
    </row>
    <row r="96" spans="1:5" x14ac:dyDescent="0.25">
      <c r="A96" s="2">
        <f>IF(B96="","",SUBTOTAL(3,$B$2:B96))</f>
        <v>95</v>
      </c>
      <c r="B96" s="9" t="s">
        <v>48</v>
      </c>
      <c r="C96" s="10" t="s">
        <v>49</v>
      </c>
      <c r="D96" s="11">
        <v>1.9077325939617993</v>
      </c>
      <c r="E96" s="12">
        <f t="shared" si="1"/>
        <v>41534</v>
      </c>
    </row>
    <row r="97" spans="1:5" x14ac:dyDescent="0.25">
      <c r="A97" s="2">
        <f>IF(B97="","",SUBTOTAL(3,$B$2:B97))</f>
        <v>96</v>
      </c>
      <c r="B97" s="9" t="s">
        <v>48</v>
      </c>
      <c r="C97" s="10" t="s">
        <v>49</v>
      </c>
      <c r="D97" s="11">
        <v>24.598890942698706</v>
      </c>
      <c r="E97" s="12">
        <f t="shared" si="1"/>
        <v>41535</v>
      </c>
    </row>
    <row r="98" spans="1:5" x14ac:dyDescent="0.25">
      <c r="A98" s="2">
        <f>IF(B98="","",SUBTOTAL(3,$B$2:B98))</f>
        <v>97</v>
      </c>
      <c r="B98" s="9" t="s">
        <v>48</v>
      </c>
      <c r="C98" s="10" t="s">
        <v>49</v>
      </c>
      <c r="D98" s="11">
        <v>1.8052988293284042</v>
      </c>
      <c r="E98" s="12">
        <f t="shared" si="1"/>
        <v>41536</v>
      </c>
    </row>
    <row r="99" spans="1:5" x14ac:dyDescent="0.25">
      <c r="A99" s="2">
        <f>IF(B99="","",SUBTOTAL(3,$B$2:B99))</f>
        <v>98</v>
      </c>
      <c r="B99" s="9" t="s">
        <v>55</v>
      </c>
      <c r="C99" s="10" t="s">
        <v>52</v>
      </c>
      <c r="D99" s="11">
        <v>4.2</v>
      </c>
      <c r="E99" s="12">
        <f t="shared" si="1"/>
        <v>41537</v>
      </c>
    </row>
    <row r="100" spans="1:5" x14ac:dyDescent="0.25">
      <c r="A100" s="2">
        <f>IF(B100="","",SUBTOTAL(3,$B$2:B100))</f>
        <v>99</v>
      </c>
      <c r="B100" s="9" t="s">
        <v>50</v>
      </c>
      <c r="C100" s="10" t="s">
        <v>49</v>
      </c>
      <c r="D100" s="11">
        <v>30</v>
      </c>
      <c r="E100" s="12">
        <f t="shared" si="1"/>
        <v>41538</v>
      </c>
    </row>
    <row r="101" spans="1:5" x14ac:dyDescent="0.25">
      <c r="A101" s="2">
        <f>IF(B101="","",SUBTOTAL(3,$B$2:B101))</f>
        <v>100</v>
      </c>
      <c r="B101" s="9" t="s">
        <v>55</v>
      </c>
      <c r="C101" s="10" t="s">
        <v>56</v>
      </c>
      <c r="D101" s="11">
        <v>350</v>
      </c>
      <c r="E101" s="12">
        <f t="shared" si="1"/>
        <v>41539</v>
      </c>
    </row>
    <row r="102" spans="1:5" x14ac:dyDescent="0.25">
      <c r="A102" s="2">
        <f>IF(B102="","",SUBTOTAL(3,$B$2:B102))</f>
        <v>101</v>
      </c>
      <c r="B102" s="9" t="s">
        <v>51</v>
      </c>
      <c r="C102" s="10" t="s">
        <v>54</v>
      </c>
      <c r="D102" s="11">
        <v>264.74637297469025</v>
      </c>
      <c r="E102" s="12">
        <f t="shared" si="1"/>
        <v>41540</v>
      </c>
    </row>
    <row r="103" spans="1:5" x14ac:dyDescent="0.25">
      <c r="A103" s="2">
        <f>IF(B103="","",SUBTOTAL(3,$B$2:B103))</f>
        <v>102</v>
      </c>
      <c r="B103" s="9" t="s">
        <v>55</v>
      </c>
      <c r="C103" s="10" t="s">
        <v>49</v>
      </c>
      <c r="D103" s="11">
        <v>65.178425941013529</v>
      </c>
      <c r="E103" s="12">
        <f t="shared" si="1"/>
        <v>41541</v>
      </c>
    </row>
    <row r="104" spans="1:5" x14ac:dyDescent="0.25">
      <c r="A104" s="2">
        <f>IF(B104="","",SUBTOTAL(3,$B$2:B104))</f>
        <v>103</v>
      </c>
      <c r="B104" s="9" t="s">
        <v>50</v>
      </c>
      <c r="C104" s="10" t="s">
        <v>49</v>
      </c>
      <c r="D104" s="11">
        <v>39.682539682539684</v>
      </c>
      <c r="E104" s="12">
        <f t="shared" si="1"/>
        <v>41542</v>
      </c>
    </row>
    <row r="105" spans="1:5" x14ac:dyDescent="0.25">
      <c r="A105" s="2">
        <f>IF(B105="","",SUBTOTAL(3,$B$2:B105))</f>
        <v>104</v>
      </c>
      <c r="B105" s="9" t="s">
        <v>50</v>
      </c>
      <c r="C105" s="10" t="s">
        <v>49</v>
      </c>
      <c r="D105" s="11">
        <v>55.114638447971785</v>
      </c>
      <c r="E105" s="12">
        <f t="shared" si="1"/>
        <v>41543</v>
      </c>
    </row>
    <row r="106" spans="1:5" x14ac:dyDescent="0.25">
      <c r="A106" s="2">
        <f>IF(B106="","",SUBTOTAL(3,$B$2:B106))</f>
        <v>105</v>
      </c>
      <c r="B106" s="9" t="s">
        <v>50</v>
      </c>
      <c r="C106" s="10" t="s">
        <v>49</v>
      </c>
      <c r="D106" s="11">
        <v>66.137566137566139</v>
      </c>
      <c r="E106" s="12">
        <f t="shared" si="1"/>
        <v>41544</v>
      </c>
    </row>
    <row r="107" spans="1:5" x14ac:dyDescent="0.25">
      <c r="A107" s="2">
        <f>IF(B107="","",SUBTOTAL(3,$B$2:B107))</f>
        <v>106</v>
      </c>
      <c r="B107" s="9" t="s">
        <v>51</v>
      </c>
      <c r="C107" s="10" t="s">
        <v>49</v>
      </c>
      <c r="D107" s="11">
        <v>81.030710639332298</v>
      </c>
      <c r="E107" s="12">
        <f t="shared" si="1"/>
        <v>41545</v>
      </c>
    </row>
    <row r="108" spans="1:5" x14ac:dyDescent="0.25">
      <c r="A108" s="2">
        <f>IF(B108="","",SUBTOTAL(3,$B$2:B108))</f>
        <v>107</v>
      </c>
      <c r="B108" s="9" t="s">
        <v>48</v>
      </c>
      <c r="C108" s="10" t="s">
        <v>49</v>
      </c>
      <c r="D108" s="11">
        <v>277.26432532347508</v>
      </c>
      <c r="E108" s="12">
        <f t="shared" si="1"/>
        <v>41546</v>
      </c>
    </row>
    <row r="109" spans="1:5" x14ac:dyDescent="0.25">
      <c r="A109" s="2">
        <f>IF(B109="","",SUBTOTAL(3,$B$2:B109))</f>
        <v>108</v>
      </c>
      <c r="B109" s="9" t="s">
        <v>51</v>
      </c>
      <c r="C109" s="10" t="s">
        <v>52</v>
      </c>
      <c r="D109" s="11">
        <v>32.412284255732921</v>
      </c>
      <c r="E109" s="12">
        <f t="shared" si="1"/>
        <v>41547</v>
      </c>
    </row>
    <row r="110" spans="1:5" x14ac:dyDescent="0.25">
      <c r="A110" s="2">
        <f>IF(B110="","",SUBTOTAL(3,$B$2:B110))</f>
        <v>109</v>
      </c>
      <c r="B110" s="9" t="s">
        <v>50</v>
      </c>
      <c r="C110" s="10" t="s">
        <v>49</v>
      </c>
      <c r="D110" s="11">
        <v>33.06878306878307</v>
      </c>
      <c r="E110" s="12">
        <f t="shared" si="1"/>
        <v>41548</v>
      </c>
    </row>
    <row r="111" spans="1:5" x14ac:dyDescent="0.25">
      <c r="A111" s="2">
        <f>IF(B111="","",SUBTOTAL(3,$B$2:B111))</f>
        <v>110</v>
      </c>
      <c r="B111" s="9" t="s">
        <v>50</v>
      </c>
      <c r="C111" s="10" t="s">
        <v>52</v>
      </c>
      <c r="D111" s="11">
        <v>110.22927689594357</v>
      </c>
      <c r="E111" s="12">
        <f t="shared" si="1"/>
        <v>41549</v>
      </c>
    </row>
    <row r="112" spans="1:5" x14ac:dyDescent="0.25">
      <c r="A112" s="2">
        <f>IF(B112="","",SUBTOTAL(3,$B$2:B112))</f>
        <v>111</v>
      </c>
      <c r="B112" s="9" t="s">
        <v>50</v>
      </c>
      <c r="C112" s="10" t="s">
        <v>54</v>
      </c>
      <c r="D112" s="11">
        <v>220.45855379188714</v>
      </c>
      <c r="E112" s="12">
        <f t="shared" si="1"/>
        <v>41550</v>
      </c>
    </row>
    <row r="113" spans="1:5" x14ac:dyDescent="0.25">
      <c r="A113" s="2">
        <f>IF(B113="","",SUBTOTAL(3,$B$2:B113))</f>
        <v>112</v>
      </c>
      <c r="B113" s="9" t="s">
        <v>50</v>
      </c>
      <c r="C113" s="10" t="s">
        <v>52</v>
      </c>
      <c r="D113" s="11">
        <v>11.022927689594356</v>
      </c>
      <c r="E113" s="12">
        <f t="shared" si="1"/>
        <v>41551</v>
      </c>
    </row>
    <row r="114" spans="1:5" x14ac:dyDescent="0.25">
      <c r="A114" s="2">
        <f>IF(B114="","",SUBTOTAL(3,$B$2:B114))</f>
        <v>113</v>
      </c>
      <c r="B114" s="9" t="s">
        <v>50</v>
      </c>
      <c r="C114" s="10" t="s">
        <v>49</v>
      </c>
      <c r="D114" s="11">
        <v>24.250440917107586</v>
      </c>
      <c r="E114" s="12">
        <f t="shared" si="1"/>
        <v>41552</v>
      </c>
    </row>
    <row r="115" spans="1:5" x14ac:dyDescent="0.25">
      <c r="A115" s="2">
        <f>IF(B115="","",SUBTOTAL(3,$B$2:B115))</f>
        <v>114</v>
      </c>
      <c r="B115" s="9" t="s">
        <v>50</v>
      </c>
      <c r="C115" s="10" t="s">
        <v>49</v>
      </c>
      <c r="D115" s="11">
        <v>440.91710758377428</v>
      </c>
      <c r="E115" s="12">
        <f t="shared" si="1"/>
        <v>41553</v>
      </c>
    </row>
    <row r="116" spans="1:5" x14ac:dyDescent="0.25">
      <c r="A116" s="2">
        <f>IF(B116="","",SUBTOTAL(3,$B$2:B116))</f>
        <v>115</v>
      </c>
      <c r="B116" s="9" t="s">
        <v>50</v>
      </c>
      <c r="C116" s="10" t="s">
        <v>49</v>
      </c>
      <c r="D116" s="11">
        <v>308.64197530864197</v>
      </c>
      <c r="E116" s="12">
        <f t="shared" si="1"/>
        <v>41554</v>
      </c>
    </row>
    <row r="117" spans="1:5" x14ac:dyDescent="0.25">
      <c r="A117" s="2">
        <f>IF(B117="","",SUBTOTAL(3,$B$2:B117))</f>
        <v>116</v>
      </c>
      <c r="B117" s="9" t="s">
        <v>50</v>
      </c>
      <c r="C117" s="10" t="s">
        <v>49</v>
      </c>
      <c r="D117" s="11">
        <v>116.84303350970018</v>
      </c>
      <c r="E117" s="12">
        <f t="shared" si="1"/>
        <v>41555</v>
      </c>
    </row>
    <row r="118" spans="1:5" x14ac:dyDescent="0.25">
      <c r="A118" s="2">
        <f>IF(B118="","",SUBTOTAL(3,$B$2:B118))</f>
        <v>117</v>
      </c>
      <c r="B118" s="9" t="s">
        <v>55</v>
      </c>
      <c r="C118" s="10" t="s">
        <v>52</v>
      </c>
      <c r="D118" s="11">
        <v>160.48788316482106</v>
      </c>
      <c r="E118" s="12">
        <f t="shared" si="1"/>
        <v>41556</v>
      </c>
    </row>
    <row r="119" spans="1:5" x14ac:dyDescent="0.25">
      <c r="A119" s="2">
        <f>IF(B119="","",SUBTOTAL(3,$B$2:B119))</f>
        <v>118</v>
      </c>
      <c r="B119" s="9" t="s">
        <v>51</v>
      </c>
      <c r="C119" s="10" t="s">
        <v>49</v>
      </c>
      <c r="D119" s="11">
        <v>95.308694270888495</v>
      </c>
      <c r="E119" s="12">
        <f t="shared" si="1"/>
        <v>41557</v>
      </c>
    </row>
    <row r="120" spans="1:5" x14ac:dyDescent="0.25">
      <c r="A120" s="2">
        <f>IF(B120="","",SUBTOTAL(3,$B$2:B120))</f>
        <v>119</v>
      </c>
      <c r="B120" s="9" t="s">
        <v>51</v>
      </c>
      <c r="C120" s="10" t="s">
        <v>49</v>
      </c>
      <c r="D120" s="11">
        <v>105.89854918987609</v>
      </c>
      <c r="E120" s="12">
        <f t="shared" si="1"/>
        <v>41558</v>
      </c>
    </row>
    <row r="121" spans="1:5" x14ac:dyDescent="0.25">
      <c r="A121" s="2">
        <f>IF(B121="","",SUBTOTAL(3,$B$2:B121))</f>
        <v>120</v>
      </c>
      <c r="B121" s="9" t="s">
        <v>51</v>
      </c>
      <c r="C121" s="10" t="s">
        <v>52</v>
      </c>
      <c r="D121" s="11">
        <v>22.23869532987398</v>
      </c>
      <c r="E121" s="12">
        <f t="shared" si="1"/>
        <v>41559</v>
      </c>
    </row>
    <row r="122" spans="1:5" x14ac:dyDescent="0.25">
      <c r="A122" s="2">
        <f>IF(B122="","",SUBTOTAL(3,$B$2:B122))</f>
        <v>121</v>
      </c>
      <c r="B122" s="9" t="s">
        <v>55</v>
      </c>
      <c r="C122" s="10" t="s">
        <v>52</v>
      </c>
      <c r="D122" s="11">
        <v>80.243941582410528</v>
      </c>
      <c r="E122" s="12">
        <f t="shared" si="1"/>
        <v>41560</v>
      </c>
    </row>
    <row r="123" spans="1:5" x14ac:dyDescent="0.25">
      <c r="A123" s="2">
        <f>IF(B123="","",SUBTOTAL(3,$B$2:B123))</f>
        <v>122</v>
      </c>
      <c r="B123" s="9" t="s">
        <v>55</v>
      </c>
      <c r="C123" s="10" t="s">
        <v>52</v>
      </c>
      <c r="D123" s="11">
        <v>586.60583346912176</v>
      </c>
      <c r="E123" s="12">
        <f t="shared" si="1"/>
        <v>41561</v>
      </c>
    </row>
    <row r="124" spans="1:5" x14ac:dyDescent="0.25">
      <c r="A124" s="2">
        <f>IF(B124="","",SUBTOTAL(3,$B$2:B124))</f>
        <v>123</v>
      </c>
      <c r="B124" s="9" t="s">
        <v>50</v>
      </c>
      <c r="C124" s="10" t="s">
        <v>49</v>
      </c>
      <c r="D124" s="11">
        <v>27</v>
      </c>
      <c r="E124" s="12">
        <f t="shared" si="1"/>
        <v>41562</v>
      </c>
    </row>
    <row r="125" spans="1:5" x14ac:dyDescent="0.25">
      <c r="A125" s="2">
        <f>IF(B125="","",SUBTOTAL(3,$B$2:B125))</f>
        <v>124</v>
      </c>
      <c r="B125" s="9" t="s">
        <v>50</v>
      </c>
      <c r="C125" s="10" t="s">
        <v>49</v>
      </c>
      <c r="D125" s="11">
        <v>27</v>
      </c>
      <c r="E125" s="12">
        <f t="shared" si="1"/>
        <v>41563</v>
      </c>
    </row>
    <row r="126" spans="1:5" x14ac:dyDescent="0.25">
      <c r="A126" s="2">
        <f>IF(B126="","",SUBTOTAL(3,$B$2:B126))</f>
        <v>125</v>
      </c>
      <c r="B126" s="9" t="s">
        <v>50</v>
      </c>
      <c r="C126" s="10" t="s">
        <v>49</v>
      </c>
      <c r="D126" s="11">
        <v>27</v>
      </c>
      <c r="E126" s="12">
        <f t="shared" si="1"/>
        <v>41564</v>
      </c>
    </row>
    <row r="127" spans="1:5" x14ac:dyDescent="0.25">
      <c r="A127" s="2">
        <f>IF(B127="","",SUBTOTAL(3,$B$2:B127))</f>
        <v>126</v>
      </c>
      <c r="B127" s="9" t="s">
        <v>50</v>
      </c>
      <c r="C127" s="10" t="s">
        <v>52</v>
      </c>
      <c r="D127" s="11">
        <v>44.091710758377424</v>
      </c>
      <c r="E127" s="12">
        <f t="shared" si="1"/>
        <v>41565</v>
      </c>
    </row>
    <row r="128" spans="1:5" x14ac:dyDescent="0.25">
      <c r="A128" s="2">
        <f>IF(B128="","",SUBTOTAL(3,$B$2:B128))</f>
        <v>127</v>
      </c>
      <c r="B128" s="9" t="s">
        <v>50</v>
      </c>
      <c r="C128" s="10" t="s">
        <v>49</v>
      </c>
      <c r="D128" s="11">
        <v>3.7477954144620811</v>
      </c>
      <c r="E128" s="12">
        <f t="shared" si="1"/>
        <v>41566</v>
      </c>
    </row>
    <row r="129" spans="1:5" x14ac:dyDescent="0.25">
      <c r="A129" s="2">
        <f>IF(B129="","",SUBTOTAL(3,$B$2:B129))</f>
        <v>128</v>
      </c>
      <c r="B129" s="9" t="s">
        <v>50</v>
      </c>
      <c r="C129" s="10" t="s">
        <v>49</v>
      </c>
      <c r="D129" s="11">
        <v>88.183421516754848</v>
      </c>
      <c r="E129" s="12">
        <f t="shared" si="1"/>
        <v>41567</v>
      </c>
    </row>
    <row r="130" spans="1:5" x14ac:dyDescent="0.25">
      <c r="A130" s="2">
        <f>IF(B130="","",SUBTOTAL(3,$B$2:B130))</f>
        <v>129</v>
      </c>
      <c r="B130" s="9" t="s">
        <v>50</v>
      </c>
      <c r="C130" s="10" t="s">
        <v>49</v>
      </c>
      <c r="D130" s="11">
        <v>88.183421516754848</v>
      </c>
      <c r="E130" s="12">
        <f t="shared" si="1"/>
        <v>41568</v>
      </c>
    </row>
    <row r="131" spans="1:5" x14ac:dyDescent="0.25">
      <c r="A131" s="2">
        <f>IF(B131="","",SUBTOTAL(3,$B$2:B131))</f>
        <v>130</v>
      </c>
      <c r="B131" s="9" t="s">
        <v>50</v>
      </c>
      <c r="C131" s="10" t="s">
        <v>49</v>
      </c>
      <c r="D131" s="11">
        <v>88.183421516754848</v>
      </c>
      <c r="E131" s="12">
        <f t="shared" si="1"/>
        <v>41569</v>
      </c>
    </row>
    <row r="132" spans="1:5" x14ac:dyDescent="0.25">
      <c r="A132" s="2">
        <f>IF(B132="","",SUBTOTAL(3,$B$2:B132))</f>
        <v>131</v>
      </c>
      <c r="B132" s="9" t="s">
        <v>48</v>
      </c>
      <c r="C132" s="10" t="s">
        <v>49</v>
      </c>
      <c r="D132" s="11">
        <v>77.017868145409736</v>
      </c>
      <c r="E132" s="12">
        <f t="shared" ref="E132:E195" si="2">E131+1</f>
        <v>41570</v>
      </c>
    </row>
    <row r="133" spans="1:5" x14ac:dyDescent="0.25">
      <c r="A133" s="2">
        <f>IF(B133="","",SUBTOTAL(3,$B$2:B133))</f>
        <v>132</v>
      </c>
      <c r="B133" s="9" t="s">
        <v>50</v>
      </c>
      <c r="C133" s="10" t="s">
        <v>52</v>
      </c>
      <c r="D133" s="11">
        <v>44.091710758377424</v>
      </c>
      <c r="E133" s="12">
        <f t="shared" si="2"/>
        <v>41571</v>
      </c>
    </row>
    <row r="134" spans="1:5" x14ac:dyDescent="0.25">
      <c r="A134" s="2">
        <f>IF(B134="","",SUBTOTAL(3,$B$2:B134))</f>
        <v>133</v>
      </c>
      <c r="B134" s="9" t="s">
        <v>55</v>
      </c>
      <c r="C134" s="10" t="s">
        <v>56</v>
      </c>
      <c r="D134" s="11">
        <v>350</v>
      </c>
      <c r="E134" s="12">
        <f t="shared" si="2"/>
        <v>41572</v>
      </c>
    </row>
    <row r="135" spans="1:5" x14ac:dyDescent="0.25">
      <c r="A135" s="2">
        <f>IF(B135="","",SUBTOTAL(3,$B$2:B135))</f>
        <v>134</v>
      </c>
      <c r="B135" s="9" t="s">
        <v>50</v>
      </c>
      <c r="C135" s="10" t="s">
        <v>52</v>
      </c>
      <c r="D135" s="11">
        <v>154.32098765432099</v>
      </c>
      <c r="E135" s="12">
        <f t="shared" si="2"/>
        <v>41573</v>
      </c>
    </row>
    <row r="136" spans="1:5" x14ac:dyDescent="0.25">
      <c r="A136" s="2">
        <f>IF(B136="","",SUBTOTAL(3,$B$2:B136))</f>
        <v>135</v>
      </c>
      <c r="B136" s="9" t="s">
        <v>53</v>
      </c>
      <c r="C136" s="10" t="s">
        <v>49</v>
      </c>
      <c r="D136" s="11">
        <v>91.585994669695125</v>
      </c>
      <c r="E136" s="12">
        <f t="shared" si="2"/>
        <v>41574</v>
      </c>
    </row>
    <row r="137" spans="1:5" x14ac:dyDescent="0.25">
      <c r="A137" s="2">
        <f>IF(B137="","",SUBTOTAL(3,$B$2:B137))</f>
        <v>136</v>
      </c>
      <c r="B137" s="9" t="s">
        <v>50</v>
      </c>
      <c r="C137" s="10" t="s">
        <v>49</v>
      </c>
      <c r="D137" s="11">
        <v>40</v>
      </c>
      <c r="E137" s="12">
        <f t="shared" si="2"/>
        <v>41575</v>
      </c>
    </row>
    <row r="138" spans="1:5" x14ac:dyDescent="0.25">
      <c r="A138" s="2">
        <f>IF(B138="","",SUBTOTAL(3,$B$2:B138))</f>
        <v>137</v>
      </c>
      <c r="B138" s="9" t="s">
        <v>50</v>
      </c>
      <c r="C138" s="10" t="s">
        <v>49</v>
      </c>
      <c r="D138" s="11">
        <v>110.22927689594357</v>
      </c>
      <c r="E138" s="12">
        <f t="shared" si="2"/>
        <v>41576</v>
      </c>
    </row>
    <row r="139" spans="1:5" x14ac:dyDescent="0.25">
      <c r="A139" s="2">
        <f>IF(B139="","",SUBTOTAL(3,$B$2:B139))</f>
        <v>138</v>
      </c>
      <c r="B139" s="9" t="s">
        <v>50</v>
      </c>
      <c r="C139" s="10" t="s">
        <v>49</v>
      </c>
      <c r="D139" s="11">
        <v>33.06878306878307</v>
      </c>
      <c r="E139" s="12">
        <f t="shared" si="2"/>
        <v>41577</v>
      </c>
    </row>
    <row r="140" spans="1:5" x14ac:dyDescent="0.25">
      <c r="A140" s="2">
        <f>IF(B140="","",SUBTOTAL(3,$B$2:B140))</f>
        <v>139</v>
      </c>
      <c r="B140" s="9" t="s">
        <v>50</v>
      </c>
      <c r="C140" s="10" t="s">
        <v>49</v>
      </c>
      <c r="D140" s="11">
        <v>391.73677248677251</v>
      </c>
      <c r="E140" s="12">
        <f t="shared" si="2"/>
        <v>41578</v>
      </c>
    </row>
    <row r="141" spans="1:5" x14ac:dyDescent="0.25">
      <c r="A141" s="2">
        <f>IF(B141="","",SUBTOTAL(3,$B$2:B141))</f>
        <v>140</v>
      </c>
      <c r="B141" s="9" t="s">
        <v>50</v>
      </c>
      <c r="C141" s="10" t="s">
        <v>49</v>
      </c>
      <c r="D141" s="11">
        <v>330.68783068783068</v>
      </c>
      <c r="E141" s="12">
        <f t="shared" si="2"/>
        <v>41579</v>
      </c>
    </row>
    <row r="142" spans="1:5" x14ac:dyDescent="0.25">
      <c r="A142" s="2">
        <f>IF(B142="","",SUBTOTAL(3,$B$2:B142))</f>
        <v>141</v>
      </c>
      <c r="B142" s="9" t="s">
        <v>48</v>
      </c>
      <c r="C142" s="10" t="s">
        <v>49</v>
      </c>
      <c r="D142" s="11">
        <v>55.153395380903135</v>
      </c>
      <c r="E142" s="12">
        <f t="shared" si="2"/>
        <v>41580</v>
      </c>
    </row>
    <row r="143" spans="1:5" x14ac:dyDescent="0.25">
      <c r="A143" s="2">
        <f>IF(B143="","",SUBTOTAL(3,$B$2:B143))</f>
        <v>142</v>
      </c>
      <c r="B143" s="9" t="s">
        <v>48</v>
      </c>
      <c r="C143" s="10" t="s">
        <v>49</v>
      </c>
      <c r="D143" s="11">
        <v>59.871776752791234</v>
      </c>
      <c r="E143" s="12">
        <f t="shared" si="2"/>
        <v>41581</v>
      </c>
    </row>
    <row r="144" spans="1:5" x14ac:dyDescent="0.25">
      <c r="A144" s="2">
        <f>IF(B144="","",SUBTOTAL(3,$B$2:B144))</f>
        <v>143</v>
      </c>
      <c r="B144" s="9" t="s">
        <v>48</v>
      </c>
      <c r="C144" s="10" t="s">
        <v>52</v>
      </c>
      <c r="D144" s="11">
        <v>68.941744226128904</v>
      </c>
      <c r="E144" s="12">
        <f t="shared" si="2"/>
        <v>41582</v>
      </c>
    </row>
    <row r="145" spans="1:5" x14ac:dyDescent="0.25">
      <c r="A145" s="2">
        <f>IF(B145="","",SUBTOTAL(3,$B$2:B145))</f>
        <v>144</v>
      </c>
      <c r="B145" s="9" t="s">
        <v>50</v>
      </c>
      <c r="C145" s="10" t="s">
        <v>52</v>
      </c>
      <c r="D145" s="11">
        <v>165.34391534391534</v>
      </c>
      <c r="E145" s="12">
        <f t="shared" si="2"/>
        <v>41583</v>
      </c>
    </row>
    <row r="146" spans="1:5" x14ac:dyDescent="0.25">
      <c r="A146" s="2">
        <f>IF(B146="","",SUBTOTAL(3,$B$2:B146))</f>
        <v>145</v>
      </c>
      <c r="B146" s="9" t="s">
        <v>50</v>
      </c>
      <c r="C146" s="10" t="s">
        <v>52</v>
      </c>
      <c r="D146" s="11">
        <v>22.045855379188712</v>
      </c>
      <c r="E146" s="12">
        <f t="shared" si="2"/>
        <v>41584</v>
      </c>
    </row>
    <row r="147" spans="1:5" x14ac:dyDescent="0.25">
      <c r="A147" s="2">
        <f>IF(B147="","",SUBTOTAL(3,$B$2:B147))</f>
        <v>146</v>
      </c>
      <c r="B147" s="9" t="s">
        <v>50</v>
      </c>
      <c r="C147" s="10" t="s">
        <v>49</v>
      </c>
      <c r="D147" s="11">
        <v>132.27513227513228</v>
      </c>
      <c r="E147" s="12">
        <f t="shared" si="2"/>
        <v>41585</v>
      </c>
    </row>
    <row r="148" spans="1:5" x14ac:dyDescent="0.25">
      <c r="A148" s="2">
        <f>IF(B148="","",SUBTOTAL(3,$B$2:B148))</f>
        <v>147</v>
      </c>
      <c r="B148" s="9" t="s">
        <v>50</v>
      </c>
      <c r="C148" s="10" t="s">
        <v>54</v>
      </c>
      <c r="D148" s="11">
        <v>220.45855379188714</v>
      </c>
      <c r="E148" s="12">
        <f t="shared" si="2"/>
        <v>41586</v>
      </c>
    </row>
    <row r="149" spans="1:5" x14ac:dyDescent="0.25">
      <c r="A149" s="2">
        <f>IF(B149="","",SUBTOTAL(3,$B$2:B149))</f>
        <v>148</v>
      </c>
      <c r="B149" s="9" t="s">
        <v>55</v>
      </c>
      <c r="C149" s="10" t="s">
        <v>52</v>
      </c>
      <c r="D149" s="11">
        <v>34.463000000000001</v>
      </c>
      <c r="E149" s="12">
        <f t="shared" si="2"/>
        <v>41587</v>
      </c>
    </row>
    <row r="150" spans="1:5" x14ac:dyDescent="0.25">
      <c r="A150" s="2">
        <f>IF(B150="","",SUBTOTAL(3,$B$2:B150))</f>
        <v>149</v>
      </c>
      <c r="B150" s="9" t="s">
        <v>50</v>
      </c>
      <c r="C150" s="10" t="s">
        <v>49</v>
      </c>
      <c r="D150" s="11">
        <v>5.511463844797178</v>
      </c>
      <c r="E150" s="12">
        <f t="shared" si="2"/>
        <v>41588</v>
      </c>
    </row>
    <row r="151" spans="1:5" x14ac:dyDescent="0.25">
      <c r="A151" s="2">
        <f>IF(B151="","",SUBTOTAL(3,$B$2:B151))</f>
        <v>150</v>
      </c>
      <c r="B151" s="9" t="s">
        <v>55</v>
      </c>
      <c r="C151" s="10" t="s">
        <v>54</v>
      </c>
      <c r="D151" s="11">
        <v>1400</v>
      </c>
      <c r="E151" s="12">
        <f t="shared" si="2"/>
        <v>41589</v>
      </c>
    </row>
    <row r="152" spans="1:5" x14ac:dyDescent="0.25">
      <c r="A152" s="2">
        <f>IF(B152="","",SUBTOTAL(3,$B$2:B152))</f>
        <v>151</v>
      </c>
      <c r="B152" s="9" t="s">
        <v>50</v>
      </c>
      <c r="C152" s="10" t="s">
        <v>54</v>
      </c>
      <c r="D152" s="11">
        <v>72.001763668430328</v>
      </c>
      <c r="E152" s="12">
        <f t="shared" si="2"/>
        <v>41590</v>
      </c>
    </row>
    <row r="153" spans="1:5" x14ac:dyDescent="0.25">
      <c r="A153" s="2">
        <f>IF(B153="","",SUBTOTAL(3,$B$2:B153))</f>
        <v>152</v>
      </c>
      <c r="B153" s="9" t="s">
        <v>48</v>
      </c>
      <c r="C153" s="10" t="s">
        <v>49</v>
      </c>
      <c r="D153" s="11">
        <v>68.545902649414671</v>
      </c>
      <c r="E153" s="12">
        <f t="shared" si="2"/>
        <v>41591</v>
      </c>
    </row>
    <row r="154" spans="1:5" x14ac:dyDescent="0.25">
      <c r="A154" s="2">
        <f>IF(B154="","",SUBTOTAL(3,$B$2:B154))</f>
        <v>153</v>
      </c>
      <c r="B154" s="9" t="s">
        <v>53</v>
      </c>
      <c r="C154" s="10" t="s">
        <v>49</v>
      </c>
      <c r="D154" s="11">
        <v>61.864507679485655</v>
      </c>
      <c r="E154" s="12">
        <f t="shared" si="2"/>
        <v>41592</v>
      </c>
    </row>
    <row r="155" spans="1:5" x14ac:dyDescent="0.25">
      <c r="A155" s="2">
        <f>IF(B155="","",SUBTOTAL(3,$B$2:B155))</f>
        <v>154</v>
      </c>
      <c r="B155" s="9" t="s">
        <v>53</v>
      </c>
      <c r="C155" s="10" t="s">
        <v>54</v>
      </c>
      <c r="D155" s="11">
        <v>45.792997334847563</v>
      </c>
      <c r="E155" s="12">
        <f t="shared" si="2"/>
        <v>41593</v>
      </c>
    </row>
    <row r="156" spans="1:5" x14ac:dyDescent="0.25">
      <c r="A156" s="2">
        <f>IF(B156="","",SUBTOTAL(3,$B$2:B156))</f>
        <v>155</v>
      </c>
      <c r="B156" s="9" t="s">
        <v>53</v>
      </c>
      <c r="C156" s="10" t="s">
        <v>54</v>
      </c>
      <c r="D156" s="11">
        <v>27.475798400908538</v>
      </c>
      <c r="E156" s="12">
        <f t="shared" si="2"/>
        <v>41594</v>
      </c>
    </row>
    <row r="157" spans="1:5" x14ac:dyDescent="0.25">
      <c r="A157" s="2">
        <f>IF(B157="","",SUBTOTAL(3,$B$2:B157))</f>
        <v>156</v>
      </c>
      <c r="B157" s="9" t="s">
        <v>48</v>
      </c>
      <c r="C157" s="10" t="s">
        <v>52</v>
      </c>
      <c r="D157" s="11">
        <v>68.941744226128904</v>
      </c>
      <c r="E157" s="12">
        <f t="shared" si="2"/>
        <v>41595</v>
      </c>
    </row>
    <row r="158" spans="1:5" x14ac:dyDescent="0.25">
      <c r="A158" s="2">
        <f>IF(B158="","",SUBTOTAL(3,$B$2:B158))</f>
        <v>157</v>
      </c>
      <c r="B158" s="9" t="s">
        <v>48</v>
      </c>
      <c r="C158" s="10" t="s">
        <v>52</v>
      </c>
      <c r="D158" s="11">
        <v>51.706308169596689</v>
      </c>
      <c r="E158" s="12">
        <f t="shared" si="2"/>
        <v>41596</v>
      </c>
    </row>
    <row r="159" spans="1:5" x14ac:dyDescent="0.25">
      <c r="A159" s="2">
        <f>IF(B159="","",SUBTOTAL(3,$B$2:B159))</f>
        <v>158</v>
      </c>
      <c r="B159" s="9" t="s">
        <v>50</v>
      </c>
      <c r="C159" s="10" t="s">
        <v>49</v>
      </c>
      <c r="D159" s="11">
        <v>587.60515873015868</v>
      </c>
      <c r="E159" s="12">
        <f t="shared" si="2"/>
        <v>41597</v>
      </c>
    </row>
    <row r="160" spans="1:5" x14ac:dyDescent="0.25">
      <c r="A160" s="2">
        <f>IF(B160="","",SUBTOTAL(3,$B$2:B160))</f>
        <v>159</v>
      </c>
      <c r="B160" s="9" t="s">
        <v>55</v>
      </c>
      <c r="C160" s="10" t="s">
        <v>49</v>
      </c>
      <c r="D160" s="11">
        <v>486.78</v>
      </c>
      <c r="E160" s="12">
        <f t="shared" si="2"/>
        <v>41598</v>
      </c>
    </row>
    <row r="161" spans="1:5" x14ac:dyDescent="0.25">
      <c r="A161" s="2">
        <f>IF(B161="","",SUBTOTAL(3,$B$2:B161))</f>
        <v>160</v>
      </c>
      <c r="B161" s="9" t="s">
        <v>55</v>
      </c>
      <c r="C161" s="10" t="s">
        <v>52</v>
      </c>
      <c r="D161" s="11">
        <v>91.882207010612404</v>
      </c>
      <c r="E161" s="12">
        <f t="shared" si="2"/>
        <v>41599</v>
      </c>
    </row>
    <row r="162" spans="1:5" x14ac:dyDescent="0.25">
      <c r="A162" s="2">
        <f>IF(B162="","",SUBTOTAL(3,$B$2:B162))</f>
        <v>161</v>
      </c>
      <c r="B162" s="9" t="s">
        <v>55</v>
      </c>
      <c r="C162" s="10" t="s">
        <v>52</v>
      </c>
      <c r="D162" s="11">
        <v>52.832269031102129</v>
      </c>
      <c r="E162" s="12">
        <f t="shared" si="2"/>
        <v>41600</v>
      </c>
    </row>
    <row r="163" spans="1:5" x14ac:dyDescent="0.25">
      <c r="A163" s="2">
        <f>IF(B163="","",SUBTOTAL(3,$B$2:B163))</f>
        <v>162</v>
      </c>
      <c r="B163" s="9" t="s">
        <v>55</v>
      </c>
      <c r="C163" s="10" t="s">
        <v>52</v>
      </c>
      <c r="D163" s="11">
        <v>91.882207010612404</v>
      </c>
      <c r="E163" s="12">
        <f t="shared" si="2"/>
        <v>41601</v>
      </c>
    </row>
    <row r="164" spans="1:5" x14ac:dyDescent="0.25">
      <c r="A164" s="2">
        <f>IF(B164="","",SUBTOTAL(3,$B$2:B164))</f>
        <v>163</v>
      </c>
      <c r="B164" s="9" t="s">
        <v>51</v>
      </c>
      <c r="C164" s="10" t="s">
        <v>52</v>
      </c>
      <c r="D164" s="11">
        <v>52.949274594938046</v>
      </c>
      <c r="E164" s="12">
        <f t="shared" si="2"/>
        <v>41602</v>
      </c>
    </row>
    <row r="165" spans="1:5" x14ac:dyDescent="0.25">
      <c r="A165" s="2">
        <f>IF(B165="","",SUBTOTAL(3,$B$2:B165))</f>
        <v>164</v>
      </c>
      <c r="B165" s="9" t="s">
        <v>55</v>
      </c>
      <c r="C165" s="10" t="s">
        <v>49</v>
      </c>
      <c r="D165" s="11">
        <v>1.8</v>
      </c>
      <c r="E165" s="12">
        <f t="shared" si="2"/>
        <v>41603</v>
      </c>
    </row>
    <row r="166" spans="1:5" x14ac:dyDescent="0.25">
      <c r="A166" s="2">
        <f>IF(B166="","",SUBTOTAL(3,$B$2:B166))</f>
        <v>165</v>
      </c>
      <c r="B166" s="9" t="s">
        <v>50</v>
      </c>
      <c r="C166" s="10" t="s">
        <v>49</v>
      </c>
      <c r="D166" s="11">
        <v>391.73677248677251</v>
      </c>
      <c r="E166" s="12">
        <f t="shared" si="2"/>
        <v>41604</v>
      </c>
    </row>
    <row r="167" spans="1:5" x14ac:dyDescent="0.25">
      <c r="A167" s="2">
        <f>IF(B167="","",SUBTOTAL(3,$B$2:B167))</f>
        <v>166</v>
      </c>
      <c r="B167" s="9" t="s">
        <v>50</v>
      </c>
      <c r="C167" s="10" t="s">
        <v>49</v>
      </c>
      <c r="D167" s="11">
        <v>391.73721340388005</v>
      </c>
      <c r="E167" s="12">
        <f t="shared" si="2"/>
        <v>41605</v>
      </c>
    </row>
    <row r="168" spans="1:5" x14ac:dyDescent="0.25">
      <c r="A168" s="2">
        <f>IF(B168="","",SUBTOTAL(3,$B$2:B168))</f>
        <v>167</v>
      </c>
      <c r="B168" s="9" t="s">
        <v>50</v>
      </c>
      <c r="C168" s="10" t="s">
        <v>49</v>
      </c>
      <c r="D168" s="11">
        <v>60</v>
      </c>
      <c r="E168" s="12">
        <f t="shared" si="2"/>
        <v>41606</v>
      </c>
    </row>
    <row r="169" spans="1:5" x14ac:dyDescent="0.25">
      <c r="A169" s="2">
        <f>IF(B169="","",SUBTOTAL(3,$B$2:B169))</f>
        <v>168</v>
      </c>
      <c r="B169" s="9" t="s">
        <v>51</v>
      </c>
      <c r="C169" s="10" t="s">
        <v>49</v>
      </c>
      <c r="D169" s="11">
        <v>52.949274594938046</v>
      </c>
      <c r="E169" s="12">
        <f t="shared" si="2"/>
        <v>41607</v>
      </c>
    </row>
    <row r="170" spans="1:5" x14ac:dyDescent="0.25">
      <c r="A170" s="2">
        <f>IF(B170="","",SUBTOTAL(3,$B$2:B170))</f>
        <v>169</v>
      </c>
      <c r="B170" s="9" t="s">
        <v>55</v>
      </c>
      <c r="C170" s="10" t="s">
        <v>54</v>
      </c>
      <c r="D170" s="11">
        <v>68.911655257959296</v>
      </c>
      <c r="E170" s="12">
        <f t="shared" si="2"/>
        <v>41608</v>
      </c>
    </row>
    <row r="171" spans="1:5" x14ac:dyDescent="0.25">
      <c r="A171" s="2">
        <f>IF(B171="","",SUBTOTAL(3,$B$2:B171))</f>
        <v>170</v>
      </c>
      <c r="B171" s="9" t="s">
        <v>55</v>
      </c>
      <c r="C171" s="10" t="s">
        <v>54</v>
      </c>
      <c r="D171" s="11">
        <v>68.911655257959296</v>
      </c>
      <c r="E171" s="12">
        <f t="shared" si="2"/>
        <v>41609</v>
      </c>
    </row>
    <row r="172" spans="1:5" x14ac:dyDescent="0.25">
      <c r="A172" s="2">
        <f>IF(B172="","",SUBTOTAL(3,$B$2:B172))</f>
        <v>171</v>
      </c>
      <c r="B172" s="9" t="s">
        <v>50</v>
      </c>
      <c r="C172" s="10" t="s">
        <v>54</v>
      </c>
      <c r="D172" s="11">
        <v>66.137566137566139</v>
      </c>
      <c r="E172" s="12">
        <f t="shared" si="2"/>
        <v>41610</v>
      </c>
    </row>
    <row r="173" spans="1:5" x14ac:dyDescent="0.25">
      <c r="A173" s="2">
        <f>IF(B173="","",SUBTOTAL(3,$B$2:B173))</f>
        <v>172</v>
      </c>
      <c r="B173" s="9" t="s">
        <v>55</v>
      </c>
      <c r="C173" s="10" t="s">
        <v>49</v>
      </c>
      <c r="D173" s="11">
        <v>200</v>
      </c>
      <c r="E173" s="12">
        <f t="shared" si="2"/>
        <v>41611</v>
      </c>
    </row>
    <row r="174" spans="1:5" x14ac:dyDescent="0.25">
      <c r="A174" s="2">
        <f>IF(B174="","",SUBTOTAL(3,$B$2:B174))</f>
        <v>173</v>
      </c>
      <c r="B174" s="9" t="s">
        <v>55</v>
      </c>
      <c r="C174" s="10" t="s">
        <v>54</v>
      </c>
      <c r="D174" s="11">
        <v>50</v>
      </c>
      <c r="E174" s="12">
        <f t="shared" si="2"/>
        <v>41612</v>
      </c>
    </row>
    <row r="175" spans="1:5" x14ac:dyDescent="0.25">
      <c r="A175" s="2">
        <f>IF(B175="","",SUBTOTAL(3,$B$2:B175))</f>
        <v>174</v>
      </c>
      <c r="B175" s="9" t="s">
        <v>50</v>
      </c>
      <c r="C175" s="10" t="s">
        <v>52</v>
      </c>
      <c r="D175" s="11">
        <v>6.6137566137566139</v>
      </c>
      <c r="E175" s="12">
        <f t="shared" si="2"/>
        <v>41613</v>
      </c>
    </row>
    <row r="176" spans="1:5" x14ac:dyDescent="0.25">
      <c r="A176" s="2">
        <f>IF(B176="","",SUBTOTAL(3,$B$2:B176))</f>
        <v>175</v>
      </c>
      <c r="B176" s="9" t="s">
        <v>50</v>
      </c>
      <c r="C176" s="10" t="s">
        <v>52</v>
      </c>
      <c r="D176" s="11">
        <v>165.34391534391534</v>
      </c>
      <c r="E176" s="12">
        <f t="shared" si="2"/>
        <v>41614</v>
      </c>
    </row>
    <row r="177" spans="1:5" x14ac:dyDescent="0.25">
      <c r="A177" s="2">
        <f>IF(B177="","",SUBTOTAL(3,$B$2:B177))</f>
        <v>176</v>
      </c>
      <c r="B177" s="9" t="s">
        <v>55</v>
      </c>
      <c r="C177" s="10" t="s">
        <v>52</v>
      </c>
      <c r="D177" s="11">
        <v>7.6649828906631914</v>
      </c>
      <c r="E177" s="12">
        <f t="shared" si="2"/>
        <v>41615</v>
      </c>
    </row>
    <row r="178" spans="1:5" x14ac:dyDescent="0.25">
      <c r="A178" s="2">
        <f>IF(B178="","",SUBTOTAL(3,$B$2:B178))</f>
        <v>177</v>
      </c>
      <c r="B178" s="9" t="s">
        <v>50</v>
      </c>
      <c r="C178" s="10" t="s">
        <v>52</v>
      </c>
      <c r="D178" s="11">
        <v>132.27513227513228</v>
      </c>
      <c r="E178" s="12">
        <f t="shared" si="2"/>
        <v>41616</v>
      </c>
    </row>
    <row r="179" spans="1:5" x14ac:dyDescent="0.25">
      <c r="A179" s="2">
        <f>IF(B179="","",SUBTOTAL(3,$B$2:B179))</f>
        <v>178</v>
      </c>
      <c r="B179" s="9" t="s">
        <v>50</v>
      </c>
      <c r="C179" s="10" t="s">
        <v>49</v>
      </c>
      <c r="D179" s="11">
        <v>110.22927689594357</v>
      </c>
      <c r="E179" s="12">
        <f t="shared" si="2"/>
        <v>41617</v>
      </c>
    </row>
    <row r="180" spans="1:5" x14ac:dyDescent="0.25">
      <c r="A180" s="2">
        <f>IF(B180="","",SUBTOTAL(3,$B$2:B180))</f>
        <v>179</v>
      </c>
      <c r="B180" s="9" t="s">
        <v>50</v>
      </c>
      <c r="C180" s="10" t="s">
        <v>54</v>
      </c>
      <c r="D180" s="11">
        <v>132.27513227513228</v>
      </c>
      <c r="E180" s="12">
        <f t="shared" si="2"/>
        <v>41618</v>
      </c>
    </row>
    <row r="181" spans="1:5" x14ac:dyDescent="0.25">
      <c r="A181" s="2">
        <f>IF(B181="","",SUBTOTAL(3,$B$2:B181))</f>
        <v>180</v>
      </c>
      <c r="B181" s="9" t="s">
        <v>50</v>
      </c>
      <c r="C181" s="10" t="s">
        <v>52</v>
      </c>
      <c r="D181" s="11">
        <v>44.091710758377424</v>
      </c>
      <c r="E181" s="12">
        <f t="shared" si="2"/>
        <v>41619</v>
      </c>
    </row>
    <row r="182" spans="1:5" x14ac:dyDescent="0.25">
      <c r="A182" s="2">
        <f>IF(B182="","",SUBTOTAL(3,$B$2:B182))</f>
        <v>181</v>
      </c>
      <c r="B182" s="9" t="s">
        <v>51</v>
      </c>
      <c r="C182" s="10" t="s">
        <v>52</v>
      </c>
      <c r="D182" s="11">
        <v>105.89854918987609</v>
      </c>
      <c r="E182" s="12">
        <f t="shared" si="2"/>
        <v>41620</v>
      </c>
    </row>
    <row r="183" spans="1:5" x14ac:dyDescent="0.25">
      <c r="A183" s="2">
        <f>IF(B183="","",SUBTOTAL(3,$B$2:B183))</f>
        <v>182</v>
      </c>
      <c r="B183" s="9" t="s">
        <v>55</v>
      </c>
      <c r="C183" s="10" t="s">
        <v>54</v>
      </c>
      <c r="D183" s="11">
        <v>50</v>
      </c>
      <c r="E183" s="12">
        <f t="shared" si="2"/>
        <v>41621</v>
      </c>
    </row>
    <row r="184" spans="1:5" x14ac:dyDescent="0.25">
      <c r="A184" s="2">
        <f>IF(B184="","",SUBTOTAL(3,$B$2:B184))</f>
        <v>183</v>
      </c>
      <c r="B184" s="9" t="s">
        <v>50</v>
      </c>
      <c r="C184" s="10" t="s">
        <v>52</v>
      </c>
      <c r="D184" s="11">
        <v>66.137566137566139</v>
      </c>
      <c r="E184" s="12">
        <f t="shared" si="2"/>
        <v>41622</v>
      </c>
    </row>
    <row r="185" spans="1:5" x14ac:dyDescent="0.25">
      <c r="A185" s="2">
        <f>IF(B185="","",SUBTOTAL(3,$B$2:B185))</f>
        <v>184</v>
      </c>
      <c r="B185" s="9" t="s">
        <v>48</v>
      </c>
      <c r="C185" s="10" t="s">
        <v>49</v>
      </c>
      <c r="D185" s="11">
        <v>108.41089279558773</v>
      </c>
      <c r="E185" s="12">
        <f t="shared" si="2"/>
        <v>41623</v>
      </c>
    </row>
    <row r="186" spans="1:5" x14ac:dyDescent="0.25">
      <c r="A186" s="2">
        <f>IF(B186="","",SUBTOTAL(3,$B$2:B186))</f>
        <v>185</v>
      </c>
      <c r="B186" s="9" t="s">
        <v>50</v>
      </c>
      <c r="C186" s="10" t="s">
        <v>49</v>
      </c>
      <c r="D186" s="11">
        <v>158.73015873015873</v>
      </c>
      <c r="E186" s="12">
        <f t="shared" si="2"/>
        <v>41624</v>
      </c>
    </row>
    <row r="187" spans="1:5" x14ac:dyDescent="0.25">
      <c r="A187" s="2">
        <f>IF(B187="","",SUBTOTAL(3,$B$2:B187))</f>
        <v>186</v>
      </c>
      <c r="B187" s="9" t="s">
        <v>50</v>
      </c>
      <c r="C187" s="10" t="s">
        <v>49</v>
      </c>
      <c r="D187" s="11">
        <v>44.091710758377424</v>
      </c>
      <c r="E187" s="12">
        <f t="shared" si="2"/>
        <v>41625</v>
      </c>
    </row>
    <row r="188" spans="1:5" x14ac:dyDescent="0.25">
      <c r="A188" s="2">
        <f>IF(B188="","",SUBTOTAL(3,$B$2:B188))</f>
        <v>187</v>
      </c>
      <c r="B188" s="9" t="s">
        <v>50</v>
      </c>
      <c r="C188" s="10" t="s">
        <v>52</v>
      </c>
      <c r="D188" s="11">
        <v>132.27513227513228</v>
      </c>
      <c r="E188" s="12">
        <f t="shared" si="2"/>
        <v>41626</v>
      </c>
    </row>
    <row r="189" spans="1:5" x14ac:dyDescent="0.25">
      <c r="A189" s="2">
        <f>IF(B189="","",SUBTOTAL(3,$B$2:B189))</f>
        <v>188</v>
      </c>
      <c r="B189" s="9" t="s">
        <v>48</v>
      </c>
      <c r="C189" s="10" t="s">
        <v>49</v>
      </c>
      <c r="D189" s="11">
        <v>104.06896817545258</v>
      </c>
      <c r="E189" s="12">
        <f t="shared" si="2"/>
        <v>41627</v>
      </c>
    </row>
    <row r="190" spans="1:5" x14ac:dyDescent="0.25">
      <c r="A190" s="2">
        <f>IF(B190="","",SUBTOTAL(3,$B$2:B190))</f>
        <v>189</v>
      </c>
      <c r="B190" s="9" t="s">
        <v>50</v>
      </c>
      <c r="C190" s="10" t="s">
        <v>49</v>
      </c>
      <c r="D190" s="11">
        <v>60</v>
      </c>
      <c r="E190" s="12">
        <f t="shared" si="2"/>
        <v>41628</v>
      </c>
    </row>
    <row r="191" spans="1:5" x14ac:dyDescent="0.25">
      <c r="A191" s="2">
        <f>IF(B191="","",SUBTOTAL(3,$B$2:B191))</f>
        <v>190</v>
      </c>
      <c r="B191" s="9" t="s">
        <v>50</v>
      </c>
      <c r="C191" s="10" t="s">
        <v>49</v>
      </c>
      <c r="D191" s="11">
        <v>70</v>
      </c>
      <c r="E191" s="12">
        <f t="shared" si="2"/>
        <v>41629</v>
      </c>
    </row>
    <row r="192" spans="1:5" x14ac:dyDescent="0.25">
      <c r="A192" s="2">
        <f>IF(B192="","",SUBTOTAL(3,$B$2:B192))</f>
        <v>191</v>
      </c>
      <c r="B192" s="9" t="s">
        <v>50</v>
      </c>
      <c r="C192" s="10" t="s">
        <v>49</v>
      </c>
      <c r="D192" s="11">
        <v>14.589109347442681</v>
      </c>
      <c r="E192" s="12">
        <f t="shared" si="2"/>
        <v>41630</v>
      </c>
    </row>
    <row r="193" spans="1:5" x14ac:dyDescent="0.25">
      <c r="A193" s="2">
        <f>IF(B193="","",SUBTOTAL(3,$B$2:B193))</f>
        <v>192</v>
      </c>
      <c r="B193" s="9" t="s">
        <v>55</v>
      </c>
      <c r="C193" s="10" t="s">
        <v>52</v>
      </c>
      <c r="D193" s="11">
        <v>130</v>
      </c>
      <c r="E193" s="12">
        <f t="shared" si="2"/>
        <v>41631</v>
      </c>
    </row>
    <row r="194" spans="1:5" x14ac:dyDescent="0.25">
      <c r="A194" s="2">
        <f>IF(B194="","",SUBTOTAL(3,$B$2:B194))</f>
        <v>193</v>
      </c>
      <c r="B194" s="9" t="s">
        <v>50</v>
      </c>
      <c r="C194" s="10" t="s">
        <v>49</v>
      </c>
      <c r="D194" s="11">
        <v>110.22927689594357</v>
      </c>
      <c r="E194" s="12">
        <f t="shared" si="2"/>
        <v>41632</v>
      </c>
    </row>
    <row r="195" spans="1:5" x14ac:dyDescent="0.25">
      <c r="A195" s="2">
        <f>IF(B195="","",SUBTOTAL(3,$B$2:B195))</f>
        <v>194</v>
      </c>
      <c r="B195" s="9" t="s">
        <v>50</v>
      </c>
      <c r="C195" s="10" t="s">
        <v>52</v>
      </c>
      <c r="D195" s="11">
        <v>17.636684303350968</v>
      </c>
      <c r="E195" s="12">
        <f t="shared" si="2"/>
        <v>41633</v>
      </c>
    </row>
    <row r="196" spans="1:5" x14ac:dyDescent="0.25">
      <c r="A196" s="2">
        <f>IF(B196="","",SUBTOTAL(3,$B$2:B196))</f>
        <v>195</v>
      </c>
      <c r="B196" s="9" t="s">
        <v>48</v>
      </c>
      <c r="C196" s="10" t="s">
        <v>49</v>
      </c>
      <c r="D196" s="11">
        <v>27.726432532347506</v>
      </c>
      <c r="E196" s="12">
        <f t="shared" ref="E196:E259" si="3">E195+1</f>
        <v>41634</v>
      </c>
    </row>
    <row r="197" spans="1:5" x14ac:dyDescent="0.25">
      <c r="A197" s="2">
        <f>IF(B197="","",SUBTOTAL(3,$B$2:B197))</f>
        <v>196</v>
      </c>
      <c r="B197" s="9" t="s">
        <v>50</v>
      </c>
      <c r="C197" s="10" t="s">
        <v>49</v>
      </c>
      <c r="D197" s="11">
        <v>55.114638447971785</v>
      </c>
      <c r="E197" s="12">
        <f t="shared" si="3"/>
        <v>41635</v>
      </c>
    </row>
    <row r="198" spans="1:5" x14ac:dyDescent="0.25">
      <c r="A198" s="2">
        <f>IF(B198="","",SUBTOTAL(3,$B$2:B198))</f>
        <v>197</v>
      </c>
      <c r="B198" s="9" t="s">
        <v>50</v>
      </c>
      <c r="C198" s="10" t="s">
        <v>49</v>
      </c>
      <c r="D198" s="11">
        <v>11.022927689594356</v>
      </c>
      <c r="E198" s="12">
        <f t="shared" si="3"/>
        <v>41636</v>
      </c>
    </row>
    <row r="199" spans="1:5" x14ac:dyDescent="0.25">
      <c r="A199" s="2">
        <f>IF(B199="","",SUBTOTAL(3,$B$2:B199))</f>
        <v>198</v>
      </c>
      <c r="B199" s="9" t="s">
        <v>55</v>
      </c>
      <c r="C199" s="10" t="s">
        <v>49</v>
      </c>
      <c r="D199" s="11">
        <v>47.5</v>
      </c>
      <c r="E199" s="12">
        <f t="shared" si="3"/>
        <v>41637</v>
      </c>
    </row>
    <row r="200" spans="1:5" x14ac:dyDescent="0.25">
      <c r="A200" s="2">
        <f>IF(B200="","",SUBTOTAL(3,$B$2:B200))</f>
        <v>199</v>
      </c>
      <c r="B200" s="9" t="s">
        <v>51</v>
      </c>
      <c r="C200" s="10" t="s">
        <v>54</v>
      </c>
      <c r="D200" s="11">
        <v>105.89854918987609</v>
      </c>
      <c r="E200" s="12">
        <f t="shared" si="3"/>
        <v>41638</v>
      </c>
    </row>
    <row r="201" spans="1:5" x14ac:dyDescent="0.25">
      <c r="A201" s="2">
        <f>IF(B201="","",SUBTOTAL(3,$B$2:B201))</f>
        <v>200</v>
      </c>
      <c r="B201" s="9" t="s">
        <v>55</v>
      </c>
      <c r="C201" s="10" t="s">
        <v>52</v>
      </c>
      <c r="D201" s="11">
        <v>15</v>
      </c>
      <c r="E201" s="12">
        <f t="shared" si="3"/>
        <v>41639</v>
      </c>
    </row>
    <row r="202" spans="1:5" x14ac:dyDescent="0.25">
      <c r="A202" s="2">
        <f>IF(B202="","",SUBTOTAL(3,$B$2:B202))</f>
        <v>201</v>
      </c>
      <c r="B202" s="9" t="s">
        <v>50</v>
      </c>
      <c r="C202" s="10" t="s">
        <v>49</v>
      </c>
      <c r="D202" s="11">
        <v>110.22927689594357</v>
      </c>
      <c r="E202" s="12">
        <f t="shared" si="3"/>
        <v>41640</v>
      </c>
    </row>
    <row r="203" spans="1:5" x14ac:dyDescent="0.25">
      <c r="A203" s="2">
        <f>IF(B203="","",SUBTOTAL(3,$B$2:B203))</f>
        <v>202</v>
      </c>
      <c r="B203" s="9" t="s">
        <v>50</v>
      </c>
      <c r="C203" s="10" t="s">
        <v>49</v>
      </c>
      <c r="D203" s="11">
        <v>27.557319223985893</v>
      </c>
      <c r="E203" s="12">
        <f t="shared" si="3"/>
        <v>41641</v>
      </c>
    </row>
    <row r="204" spans="1:5" x14ac:dyDescent="0.25">
      <c r="A204" s="2">
        <f>IF(B204="","",SUBTOTAL(3,$B$2:B204))</f>
        <v>203</v>
      </c>
      <c r="B204" s="9" t="s">
        <v>48</v>
      </c>
      <c r="C204" s="10" t="s">
        <v>52</v>
      </c>
      <c r="D204" s="11">
        <v>138.63216266173754</v>
      </c>
      <c r="E204" s="12">
        <f t="shared" si="3"/>
        <v>41642</v>
      </c>
    </row>
    <row r="205" spans="1:5" x14ac:dyDescent="0.25">
      <c r="A205" s="2">
        <f>IF(B205="","",SUBTOTAL(3,$B$2:B205))</f>
        <v>204</v>
      </c>
      <c r="B205" s="9" t="s">
        <v>48</v>
      </c>
      <c r="C205" s="10" t="s">
        <v>54</v>
      </c>
      <c r="D205" s="11">
        <v>15.403573629081947</v>
      </c>
      <c r="E205" s="12">
        <f t="shared" si="3"/>
        <v>41643</v>
      </c>
    </row>
    <row r="206" spans="1:5" x14ac:dyDescent="0.25">
      <c r="A206" s="2">
        <f>IF(B206="","",SUBTOTAL(3,$B$2:B206))</f>
        <v>205</v>
      </c>
      <c r="B206" s="9" t="s">
        <v>53</v>
      </c>
      <c r="C206" s="10" t="s">
        <v>49</v>
      </c>
      <c r="D206" s="11">
        <v>64.110196268786581</v>
      </c>
      <c r="E206" s="12">
        <f t="shared" si="3"/>
        <v>41644</v>
      </c>
    </row>
    <row r="207" spans="1:5" x14ac:dyDescent="0.25">
      <c r="A207" s="2">
        <f>IF(B207="","",SUBTOTAL(3,$B$2:B207))</f>
        <v>206</v>
      </c>
      <c r="B207" s="9" t="s">
        <v>53</v>
      </c>
      <c r="C207" s="10" t="s">
        <v>49</v>
      </c>
      <c r="D207" s="11">
        <v>36.63439786787805</v>
      </c>
      <c r="E207" s="12">
        <f t="shared" si="3"/>
        <v>41645</v>
      </c>
    </row>
    <row r="208" spans="1:5" x14ac:dyDescent="0.25">
      <c r="A208" s="2">
        <f>IF(B208="","",SUBTOTAL(3,$B$2:B208))</f>
        <v>207</v>
      </c>
      <c r="B208" s="9" t="s">
        <v>53</v>
      </c>
      <c r="C208" s="10" t="s">
        <v>49</v>
      </c>
      <c r="D208" s="11">
        <v>123.64109280408842</v>
      </c>
      <c r="E208" s="12">
        <f t="shared" si="3"/>
        <v>41646</v>
      </c>
    </row>
    <row r="209" spans="1:5" x14ac:dyDescent="0.25">
      <c r="A209" s="2">
        <f>IF(B209="","",SUBTOTAL(3,$B$2:B209))</f>
        <v>208</v>
      </c>
      <c r="B209" s="9" t="s">
        <v>53</v>
      </c>
      <c r="C209" s="10" t="s">
        <v>49</v>
      </c>
      <c r="D209" s="11">
        <v>195.07816864645059</v>
      </c>
      <c r="E209" s="12">
        <f t="shared" si="3"/>
        <v>41647</v>
      </c>
    </row>
    <row r="210" spans="1:5" x14ac:dyDescent="0.25">
      <c r="A210" s="2">
        <f>IF(B210="","",SUBTOTAL(3,$B$2:B210))</f>
        <v>209</v>
      </c>
      <c r="B210" s="9" t="s">
        <v>51</v>
      </c>
      <c r="C210" s="10" t="s">
        <v>52</v>
      </c>
      <c r="D210" s="11">
        <v>6.3539129513925658</v>
      </c>
      <c r="E210" s="12">
        <f t="shared" si="3"/>
        <v>41648</v>
      </c>
    </row>
    <row r="211" spans="1:5" x14ac:dyDescent="0.25">
      <c r="A211" s="2">
        <f>IF(B211="","",SUBTOTAL(3,$B$2:B211))</f>
        <v>210</v>
      </c>
      <c r="B211" s="9" t="s">
        <v>51</v>
      </c>
      <c r="C211" s="10" t="s">
        <v>49</v>
      </c>
      <c r="D211" s="11">
        <v>79.423911892407062</v>
      </c>
      <c r="E211" s="12">
        <f t="shared" si="3"/>
        <v>41649</v>
      </c>
    </row>
    <row r="212" spans="1:5" x14ac:dyDescent="0.25">
      <c r="A212" s="2">
        <f>IF(B212="","",SUBTOTAL(3,$B$2:B212))</f>
        <v>211</v>
      </c>
      <c r="B212" s="9" t="s">
        <v>53</v>
      </c>
      <c r="C212" s="10" t="s">
        <v>49</v>
      </c>
      <c r="D212" s="11">
        <v>54.951596801817075</v>
      </c>
      <c r="E212" s="12">
        <f t="shared" si="3"/>
        <v>41650</v>
      </c>
    </row>
    <row r="213" spans="1:5" x14ac:dyDescent="0.25">
      <c r="A213" s="2">
        <f>IF(B213="","",SUBTOTAL(3,$B$2:B213))</f>
        <v>212</v>
      </c>
      <c r="B213" s="9" t="s">
        <v>53</v>
      </c>
      <c r="C213" s="10" t="s">
        <v>49</v>
      </c>
      <c r="D213" s="11">
        <v>73.2687957357561</v>
      </c>
      <c r="E213" s="12">
        <f t="shared" si="3"/>
        <v>41651</v>
      </c>
    </row>
    <row r="214" spans="1:5" x14ac:dyDescent="0.25">
      <c r="A214" s="2">
        <f>IF(B214="","",SUBTOTAL(3,$B$2:B214))</f>
        <v>213</v>
      </c>
      <c r="B214" s="9" t="s">
        <v>53</v>
      </c>
      <c r="C214" s="10" t="s">
        <v>49</v>
      </c>
      <c r="D214" s="11">
        <v>109.90319360363415</v>
      </c>
      <c r="E214" s="12">
        <f t="shared" si="3"/>
        <v>41652</v>
      </c>
    </row>
    <row r="215" spans="1:5" x14ac:dyDescent="0.25">
      <c r="A215" s="2">
        <f>IF(B215="","",SUBTOTAL(3,$B$2:B215))</f>
        <v>214</v>
      </c>
      <c r="B215" s="9" t="s">
        <v>53</v>
      </c>
      <c r="C215" s="10" t="s">
        <v>49</v>
      </c>
      <c r="D215" s="11">
        <v>457.92997334847558</v>
      </c>
      <c r="E215" s="12">
        <f t="shared" si="3"/>
        <v>41653</v>
      </c>
    </row>
    <row r="216" spans="1:5" x14ac:dyDescent="0.25">
      <c r="A216" s="2">
        <f>IF(B216="","",SUBTOTAL(3,$B$2:B216))</f>
        <v>215</v>
      </c>
      <c r="B216" s="9" t="s">
        <v>53</v>
      </c>
      <c r="C216" s="10" t="s">
        <v>49</v>
      </c>
      <c r="D216" s="11">
        <v>54.951596801817075</v>
      </c>
      <c r="E216" s="12">
        <f t="shared" si="3"/>
        <v>41654</v>
      </c>
    </row>
    <row r="217" spans="1:5" x14ac:dyDescent="0.25">
      <c r="A217" s="2">
        <f>IF(B217="","",SUBTOTAL(3,$B$2:B217))</f>
        <v>216</v>
      </c>
      <c r="B217" s="9" t="s">
        <v>53</v>
      </c>
      <c r="C217" s="10" t="s">
        <v>49</v>
      </c>
      <c r="D217" s="11">
        <v>54.951596801817075</v>
      </c>
      <c r="E217" s="12">
        <f t="shared" si="3"/>
        <v>41655</v>
      </c>
    </row>
    <row r="218" spans="1:5" x14ac:dyDescent="0.25">
      <c r="A218" s="2">
        <f>IF(B218="","",SUBTOTAL(3,$B$2:B218))</f>
        <v>217</v>
      </c>
      <c r="B218" s="9" t="s">
        <v>53</v>
      </c>
      <c r="C218" s="10" t="s">
        <v>49</v>
      </c>
      <c r="D218" s="11">
        <v>54.951596801817075</v>
      </c>
      <c r="E218" s="12">
        <f t="shared" si="3"/>
        <v>41656</v>
      </c>
    </row>
    <row r="219" spans="1:5" x14ac:dyDescent="0.25">
      <c r="A219" s="2">
        <f>IF(B219="","",SUBTOTAL(3,$B$2:B219))</f>
        <v>218</v>
      </c>
      <c r="B219" s="9" t="s">
        <v>55</v>
      </c>
      <c r="C219" s="10" t="s">
        <v>49</v>
      </c>
      <c r="D219" s="11">
        <v>30.875</v>
      </c>
      <c r="E219" s="12">
        <f t="shared" si="3"/>
        <v>41657</v>
      </c>
    </row>
    <row r="220" spans="1:5" x14ac:dyDescent="0.25">
      <c r="A220" s="2">
        <f>IF(B220="","",SUBTOTAL(3,$B$2:B220))</f>
        <v>219</v>
      </c>
      <c r="B220" s="9" t="s">
        <v>48</v>
      </c>
      <c r="C220" s="10" t="s">
        <v>52</v>
      </c>
      <c r="D220" s="11">
        <v>154.03573629081947</v>
      </c>
      <c r="E220" s="12">
        <f t="shared" si="3"/>
        <v>41658</v>
      </c>
    </row>
    <row r="221" spans="1:5" x14ac:dyDescent="0.25">
      <c r="A221" s="2">
        <f>IF(B221="","",SUBTOTAL(3,$B$2:B221))</f>
        <v>220</v>
      </c>
      <c r="B221" s="9" t="s">
        <v>48</v>
      </c>
      <c r="C221" s="10" t="s">
        <v>49</v>
      </c>
      <c r="D221" s="11">
        <v>63.154651879235985</v>
      </c>
      <c r="E221" s="12">
        <f t="shared" si="3"/>
        <v>41659</v>
      </c>
    </row>
    <row r="222" spans="1:5" x14ac:dyDescent="0.25">
      <c r="A222" s="2">
        <f>IF(B222="","",SUBTOTAL(3,$B$2:B222))</f>
        <v>221</v>
      </c>
      <c r="B222" s="9" t="s">
        <v>48</v>
      </c>
      <c r="C222" s="10" t="s">
        <v>49</v>
      </c>
      <c r="D222" s="11">
        <v>34.470872113064452</v>
      </c>
      <c r="E222" s="12">
        <f t="shared" si="3"/>
        <v>41660</v>
      </c>
    </row>
    <row r="223" spans="1:5" x14ac:dyDescent="0.25">
      <c r="A223" s="2">
        <f>IF(B223="","",SUBTOTAL(3,$B$2:B223))</f>
        <v>222</v>
      </c>
      <c r="B223" s="9" t="s">
        <v>55</v>
      </c>
      <c r="C223" s="10" t="s">
        <v>49</v>
      </c>
      <c r="D223" s="11">
        <v>4.8146364949446312</v>
      </c>
      <c r="E223" s="12">
        <f t="shared" si="3"/>
        <v>41661</v>
      </c>
    </row>
    <row r="224" spans="1:5" x14ac:dyDescent="0.25">
      <c r="A224" s="2">
        <f>IF(B224="","",SUBTOTAL(3,$B$2:B224))</f>
        <v>223</v>
      </c>
      <c r="B224" s="9" t="s">
        <v>55</v>
      </c>
      <c r="C224" s="10" t="s">
        <v>52</v>
      </c>
      <c r="D224" s="11">
        <v>51.688000000000002</v>
      </c>
      <c r="E224" s="12">
        <f t="shared" si="3"/>
        <v>41662</v>
      </c>
    </row>
    <row r="225" spans="1:5" x14ac:dyDescent="0.25">
      <c r="A225" s="2">
        <f>IF(B225="","",SUBTOTAL(3,$B$2:B225))</f>
        <v>224</v>
      </c>
      <c r="B225" s="9" t="s">
        <v>50</v>
      </c>
      <c r="C225" s="10" t="s">
        <v>49</v>
      </c>
      <c r="D225" s="11">
        <v>22.045855379188712</v>
      </c>
      <c r="E225" s="12">
        <f t="shared" si="3"/>
        <v>41663</v>
      </c>
    </row>
    <row r="226" spans="1:5" x14ac:dyDescent="0.25">
      <c r="A226" s="2">
        <f>IF(B226="","",SUBTOTAL(3,$B$2:B226))</f>
        <v>225</v>
      </c>
      <c r="B226" s="9" t="s">
        <v>50</v>
      </c>
      <c r="C226" s="10" t="s">
        <v>49</v>
      </c>
      <c r="D226" s="11">
        <v>360.271164021164</v>
      </c>
      <c r="E226" s="12">
        <f t="shared" si="3"/>
        <v>41664</v>
      </c>
    </row>
    <row r="227" spans="1:5" x14ac:dyDescent="0.25">
      <c r="A227" s="2">
        <f>IF(B227="","",SUBTOTAL(3,$B$2:B227))</f>
        <v>226</v>
      </c>
      <c r="B227" s="9" t="s">
        <v>50</v>
      </c>
      <c r="C227" s="10" t="s">
        <v>49</v>
      </c>
      <c r="D227" s="11">
        <v>40</v>
      </c>
      <c r="E227" s="12">
        <f t="shared" si="3"/>
        <v>41665</v>
      </c>
    </row>
    <row r="228" spans="1:5" x14ac:dyDescent="0.25">
      <c r="A228" s="2">
        <f>IF(B228="","",SUBTOTAL(3,$B$2:B228))</f>
        <v>227</v>
      </c>
      <c r="B228" s="9" t="s">
        <v>50</v>
      </c>
      <c r="C228" s="10" t="s">
        <v>49</v>
      </c>
      <c r="D228" s="11">
        <v>22.045855379188712</v>
      </c>
      <c r="E228" s="12">
        <f t="shared" si="3"/>
        <v>41666</v>
      </c>
    </row>
    <row r="229" spans="1:5" x14ac:dyDescent="0.25">
      <c r="A229" s="2">
        <f>IF(B229="","",SUBTOTAL(3,$B$2:B229))</f>
        <v>228</v>
      </c>
      <c r="B229" s="9" t="s">
        <v>50</v>
      </c>
      <c r="C229" s="10" t="s">
        <v>52</v>
      </c>
      <c r="D229" s="11">
        <v>165.34391534391534</v>
      </c>
      <c r="E229" s="12">
        <f t="shared" si="3"/>
        <v>41667</v>
      </c>
    </row>
    <row r="230" spans="1:5" x14ac:dyDescent="0.25">
      <c r="A230" s="2">
        <f>IF(B230="","",SUBTOTAL(3,$B$2:B230))</f>
        <v>229</v>
      </c>
      <c r="B230" s="9" t="s">
        <v>50</v>
      </c>
      <c r="C230" s="10" t="s">
        <v>52</v>
      </c>
      <c r="D230" s="11">
        <v>110.22927689594357</v>
      </c>
      <c r="E230" s="12">
        <f t="shared" si="3"/>
        <v>41668</v>
      </c>
    </row>
    <row r="231" spans="1:5" x14ac:dyDescent="0.25">
      <c r="A231" s="2">
        <f>IF(B231="","",SUBTOTAL(3,$B$2:B231))</f>
        <v>230</v>
      </c>
      <c r="B231" s="9" t="s">
        <v>51</v>
      </c>
      <c r="C231" s="10" t="s">
        <v>49</v>
      </c>
      <c r="D231" s="11">
        <v>105.89854918987609</v>
      </c>
      <c r="E231" s="12">
        <f t="shared" si="3"/>
        <v>41669</v>
      </c>
    </row>
    <row r="232" spans="1:5" x14ac:dyDescent="0.25">
      <c r="A232" s="2">
        <f>IF(B232="","",SUBTOTAL(3,$B$2:B232))</f>
        <v>231</v>
      </c>
      <c r="B232" s="9" t="s">
        <v>51</v>
      </c>
      <c r="C232" s="10" t="s">
        <v>52</v>
      </c>
      <c r="D232" s="11">
        <v>211.79709837975219</v>
      </c>
      <c r="E232" s="12">
        <f t="shared" si="3"/>
        <v>41670</v>
      </c>
    </row>
    <row r="233" spans="1:5" x14ac:dyDescent="0.25">
      <c r="A233" s="2">
        <f>IF(B233="","",SUBTOTAL(3,$B$2:B233))</f>
        <v>232</v>
      </c>
      <c r="B233" s="9" t="s">
        <v>51</v>
      </c>
      <c r="C233" s="10" t="s">
        <v>52</v>
      </c>
      <c r="D233" s="11">
        <v>105.89854918987609</v>
      </c>
      <c r="E233" s="12">
        <f t="shared" si="3"/>
        <v>41671</v>
      </c>
    </row>
    <row r="234" spans="1:5" x14ac:dyDescent="0.25">
      <c r="A234" s="2">
        <f>IF(B234="","",SUBTOTAL(3,$B$2:B234))</f>
        <v>233</v>
      </c>
      <c r="B234" s="9" t="s">
        <v>50</v>
      </c>
      <c r="C234" s="10" t="s">
        <v>49</v>
      </c>
      <c r="D234" s="11">
        <v>293.80257936507934</v>
      </c>
      <c r="E234" s="12">
        <f t="shared" si="3"/>
        <v>41672</v>
      </c>
    </row>
    <row r="235" spans="1:5" x14ac:dyDescent="0.25">
      <c r="A235" s="2">
        <f>IF(B235="","",SUBTOTAL(3,$B$2:B235))</f>
        <v>234</v>
      </c>
      <c r="B235" s="9" t="s">
        <v>55</v>
      </c>
      <c r="C235" s="10" t="s">
        <v>52</v>
      </c>
      <c r="D235" s="11">
        <v>68.911655257959296</v>
      </c>
      <c r="E235" s="12">
        <f t="shared" si="3"/>
        <v>41673</v>
      </c>
    </row>
    <row r="236" spans="1:5" x14ac:dyDescent="0.25">
      <c r="A236" s="2">
        <f>IF(B236="","",SUBTOTAL(3,$B$2:B236))</f>
        <v>235</v>
      </c>
      <c r="B236" s="9" t="s">
        <v>50</v>
      </c>
      <c r="C236" s="10" t="s">
        <v>49</v>
      </c>
      <c r="D236" s="11">
        <v>1410.9347442680776</v>
      </c>
      <c r="E236" s="12">
        <f t="shared" si="3"/>
        <v>41674</v>
      </c>
    </row>
    <row r="237" spans="1:5" x14ac:dyDescent="0.25">
      <c r="A237" s="2">
        <f>IF(B237="","",SUBTOTAL(3,$B$2:B237))</f>
        <v>236</v>
      </c>
      <c r="B237" s="9" t="s">
        <v>50</v>
      </c>
      <c r="C237" s="10" t="s">
        <v>52</v>
      </c>
      <c r="D237" s="11">
        <v>77.160493827160494</v>
      </c>
      <c r="E237" s="12">
        <f t="shared" si="3"/>
        <v>41675</v>
      </c>
    </row>
    <row r="238" spans="1:5" x14ac:dyDescent="0.25">
      <c r="A238" s="2">
        <f>IF(B238="","",SUBTOTAL(3,$B$2:B238))</f>
        <v>237</v>
      </c>
      <c r="B238" s="9" t="s">
        <v>48</v>
      </c>
      <c r="C238" s="10" t="s">
        <v>52</v>
      </c>
      <c r="D238" s="11">
        <v>308.07147258163894</v>
      </c>
      <c r="E238" s="12">
        <f t="shared" si="3"/>
        <v>41676</v>
      </c>
    </row>
    <row r="239" spans="1:5" x14ac:dyDescent="0.25">
      <c r="A239" s="2">
        <f>IF(B239="","",SUBTOTAL(3,$B$2:B239))</f>
        <v>238</v>
      </c>
      <c r="B239" s="9" t="s">
        <v>50</v>
      </c>
      <c r="C239" s="10" t="s">
        <v>49</v>
      </c>
      <c r="D239" s="11">
        <v>110.22927689594357</v>
      </c>
      <c r="E239" s="12">
        <f t="shared" si="3"/>
        <v>41677</v>
      </c>
    </row>
    <row r="240" spans="1:5" x14ac:dyDescent="0.25">
      <c r="A240" s="2">
        <f>IF(B240="","",SUBTOTAL(3,$B$2:B240))</f>
        <v>239</v>
      </c>
      <c r="B240" s="9" t="s">
        <v>50</v>
      </c>
      <c r="C240" s="10" t="s">
        <v>49</v>
      </c>
      <c r="D240" s="11">
        <v>77.160493827160494</v>
      </c>
      <c r="E240" s="12">
        <f t="shared" si="3"/>
        <v>41678</v>
      </c>
    </row>
    <row r="241" spans="1:5" x14ac:dyDescent="0.25">
      <c r="A241" s="2">
        <f>IF(B241="","",SUBTOTAL(3,$B$2:B241))</f>
        <v>240</v>
      </c>
      <c r="B241" s="9" t="s">
        <v>50</v>
      </c>
      <c r="C241" s="10" t="s">
        <v>52</v>
      </c>
      <c r="D241" s="11">
        <v>77.160493827160494</v>
      </c>
      <c r="E241" s="12">
        <f t="shared" si="3"/>
        <v>41679</v>
      </c>
    </row>
    <row r="242" spans="1:5" x14ac:dyDescent="0.25">
      <c r="A242" s="2">
        <f>IF(B242="","",SUBTOTAL(3,$B$2:B242))</f>
        <v>241</v>
      </c>
      <c r="B242" s="9" t="s">
        <v>50</v>
      </c>
      <c r="C242" s="10" t="s">
        <v>49</v>
      </c>
      <c r="D242" s="11">
        <v>195.86838624338625</v>
      </c>
      <c r="E242" s="12">
        <f t="shared" si="3"/>
        <v>41680</v>
      </c>
    </row>
    <row r="243" spans="1:5" x14ac:dyDescent="0.25">
      <c r="A243" s="2">
        <f>IF(B243="","",SUBTOTAL(3,$B$2:B243))</f>
        <v>242</v>
      </c>
      <c r="B243" s="9" t="s">
        <v>50</v>
      </c>
      <c r="C243" s="10" t="s">
        <v>49</v>
      </c>
      <c r="D243" s="11">
        <v>6.6137566137566139</v>
      </c>
      <c r="E243" s="12">
        <f t="shared" si="3"/>
        <v>41681</v>
      </c>
    </row>
    <row r="244" spans="1:5" x14ac:dyDescent="0.25">
      <c r="A244" s="2">
        <f>IF(B244="","",SUBTOTAL(3,$B$2:B244))</f>
        <v>243</v>
      </c>
      <c r="B244" s="9" t="s">
        <v>51</v>
      </c>
      <c r="C244" s="10" t="s">
        <v>49</v>
      </c>
      <c r="D244" s="11">
        <v>127.0782590278513</v>
      </c>
      <c r="E244" s="12">
        <f t="shared" si="3"/>
        <v>41682</v>
      </c>
    </row>
    <row r="245" spans="1:5" x14ac:dyDescent="0.25">
      <c r="A245" s="2">
        <f>IF(B245="","",SUBTOTAL(3,$B$2:B245))</f>
        <v>244</v>
      </c>
      <c r="B245" s="9" t="s">
        <v>50</v>
      </c>
      <c r="C245" s="10" t="s">
        <v>49</v>
      </c>
      <c r="D245" s="11">
        <v>30</v>
      </c>
      <c r="E245" s="12">
        <f t="shared" si="3"/>
        <v>41683</v>
      </c>
    </row>
    <row r="246" spans="1:5" x14ac:dyDescent="0.25">
      <c r="A246" s="2">
        <f>IF(B246="","",SUBTOTAL(3,$B$2:B246))</f>
        <v>245</v>
      </c>
      <c r="B246" s="9" t="s">
        <v>50</v>
      </c>
      <c r="C246" s="10" t="s">
        <v>49</v>
      </c>
      <c r="D246" s="11">
        <v>220.45855379188714</v>
      </c>
      <c r="E246" s="12">
        <f t="shared" si="3"/>
        <v>41684</v>
      </c>
    </row>
    <row r="247" spans="1:5" x14ac:dyDescent="0.25">
      <c r="A247" s="2">
        <f>IF(B247="","",SUBTOTAL(3,$B$2:B247))</f>
        <v>246</v>
      </c>
      <c r="B247" s="9" t="s">
        <v>50</v>
      </c>
      <c r="C247" s="10" t="s">
        <v>49</v>
      </c>
      <c r="D247" s="11">
        <v>330.68783068783068</v>
      </c>
      <c r="E247" s="12">
        <f t="shared" si="3"/>
        <v>41685</v>
      </c>
    </row>
    <row r="248" spans="1:5" x14ac:dyDescent="0.25">
      <c r="A248" s="2">
        <f>IF(B248="","",SUBTOTAL(3,$B$2:B248))</f>
        <v>247</v>
      </c>
      <c r="B248" s="9" t="s">
        <v>50</v>
      </c>
      <c r="C248" s="10" t="s">
        <v>49</v>
      </c>
      <c r="D248" s="11">
        <v>220.45855379188714</v>
      </c>
      <c r="E248" s="12">
        <f t="shared" si="3"/>
        <v>41686</v>
      </c>
    </row>
    <row r="249" spans="1:5" x14ac:dyDescent="0.25">
      <c r="A249" s="2">
        <f>IF(B249="","",SUBTOTAL(3,$B$2:B249))</f>
        <v>248</v>
      </c>
      <c r="B249" s="9" t="s">
        <v>50</v>
      </c>
      <c r="C249" s="10" t="s">
        <v>49</v>
      </c>
      <c r="D249" s="11">
        <v>11.022927689594356</v>
      </c>
      <c r="E249" s="12">
        <f t="shared" si="3"/>
        <v>41687</v>
      </c>
    </row>
    <row r="250" spans="1:5" x14ac:dyDescent="0.25">
      <c r="A250" s="2">
        <f>IF(B250="","",SUBTOTAL(3,$B$2:B250))</f>
        <v>249</v>
      </c>
      <c r="B250" s="9" t="s">
        <v>55</v>
      </c>
      <c r="C250" s="10" t="s">
        <v>52</v>
      </c>
      <c r="D250" s="11">
        <v>26.071370376405412</v>
      </c>
      <c r="E250" s="12">
        <f t="shared" si="3"/>
        <v>41688</v>
      </c>
    </row>
    <row r="251" spans="1:5" x14ac:dyDescent="0.25">
      <c r="A251" s="2">
        <f>IF(B251="","",SUBTOTAL(3,$B$2:B251))</f>
        <v>250</v>
      </c>
      <c r="B251" s="9" t="s">
        <v>50</v>
      </c>
      <c r="C251" s="10" t="s">
        <v>49</v>
      </c>
      <c r="D251" s="11">
        <v>195.86838624338625</v>
      </c>
      <c r="E251" s="12">
        <f t="shared" si="3"/>
        <v>41689</v>
      </c>
    </row>
    <row r="252" spans="1:5" x14ac:dyDescent="0.25">
      <c r="A252" s="2">
        <f>IF(B252="","",SUBTOTAL(3,$B$2:B252))</f>
        <v>251</v>
      </c>
      <c r="B252" s="9" t="s">
        <v>50</v>
      </c>
      <c r="C252" s="10" t="s">
        <v>49</v>
      </c>
      <c r="D252" s="11">
        <v>92.592592592592595</v>
      </c>
      <c r="E252" s="12">
        <f t="shared" si="3"/>
        <v>41690</v>
      </c>
    </row>
    <row r="253" spans="1:5" x14ac:dyDescent="0.25">
      <c r="A253" s="2">
        <f>IF(B253="","",SUBTOTAL(3,$B$2:B253))</f>
        <v>252</v>
      </c>
      <c r="B253" s="9" t="s">
        <v>50</v>
      </c>
      <c r="C253" s="10" t="s">
        <v>49</v>
      </c>
      <c r="D253" s="11">
        <v>22.045855379188712</v>
      </c>
      <c r="E253" s="12">
        <f t="shared" si="3"/>
        <v>41691</v>
      </c>
    </row>
    <row r="254" spans="1:5" x14ac:dyDescent="0.25">
      <c r="A254" s="2">
        <f>IF(B254="","",SUBTOTAL(3,$B$2:B254))</f>
        <v>253</v>
      </c>
      <c r="B254" s="9" t="s">
        <v>48</v>
      </c>
      <c r="C254" s="10" t="s">
        <v>56</v>
      </c>
      <c r="D254" s="11">
        <v>192.72031143602331</v>
      </c>
      <c r="E254" s="12">
        <f t="shared" si="3"/>
        <v>41692</v>
      </c>
    </row>
    <row r="255" spans="1:5" x14ac:dyDescent="0.25">
      <c r="A255" s="2">
        <f>IF(B255="","",SUBTOTAL(3,$B$2:B255))</f>
        <v>254</v>
      </c>
      <c r="B255" s="9" t="s">
        <v>48</v>
      </c>
      <c r="C255" s="10" t="s">
        <v>52</v>
      </c>
      <c r="D255" s="11">
        <v>64.24010381200776</v>
      </c>
      <c r="E255" s="12">
        <f t="shared" si="3"/>
        <v>41693</v>
      </c>
    </row>
    <row r="256" spans="1:5" x14ac:dyDescent="0.25">
      <c r="A256" s="2">
        <f>IF(B256="","",SUBTOTAL(3,$B$2:B256))</f>
        <v>255</v>
      </c>
      <c r="B256" s="9" t="s">
        <v>48</v>
      </c>
      <c r="C256" s="10" t="s">
        <v>52</v>
      </c>
      <c r="D256" s="11">
        <v>3.8544062287204657</v>
      </c>
      <c r="E256" s="12">
        <f t="shared" si="3"/>
        <v>41694</v>
      </c>
    </row>
    <row r="257" spans="1:5" x14ac:dyDescent="0.25">
      <c r="A257" s="2">
        <f>IF(B257="","",SUBTOTAL(3,$B$2:B257))</f>
        <v>256</v>
      </c>
      <c r="B257" s="9" t="s">
        <v>50</v>
      </c>
      <c r="C257" s="10" t="s">
        <v>54</v>
      </c>
      <c r="D257" s="11">
        <v>176.3668430335097</v>
      </c>
      <c r="E257" s="12">
        <f t="shared" si="3"/>
        <v>41695</v>
      </c>
    </row>
    <row r="258" spans="1:5" x14ac:dyDescent="0.25">
      <c r="A258" s="2">
        <f>IF(B258="","",SUBTOTAL(3,$B$2:B258))</f>
        <v>257</v>
      </c>
      <c r="B258" s="9" t="s">
        <v>50</v>
      </c>
      <c r="C258" s="10" t="s">
        <v>52</v>
      </c>
      <c r="D258" s="11">
        <v>66.137566137566139</v>
      </c>
      <c r="E258" s="12">
        <f t="shared" si="3"/>
        <v>41696</v>
      </c>
    </row>
    <row r="259" spans="1:5" x14ac:dyDescent="0.25">
      <c r="A259" s="2">
        <f>IF(B259="","",SUBTOTAL(3,$B$2:B259))</f>
        <v>258</v>
      </c>
      <c r="B259" s="9" t="s">
        <v>50</v>
      </c>
      <c r="C259" s="10" t="s">
        <v>52</v>
      </c>
      <c r="D259" s="11">
        <v>66.137566137566139</v>
      </c>
      <c r="E259" s="12">
        <f t="shared" si="3"/>
        <v>41697</v>
      </c>
    </row>
    <row r="260" spans="1:5" x14ac:dyDescent="0.25">
      <c r="A260" s="2">
        <f>IF(B260="","",SUBTOTAL(3,$B$2:B260))</f>
        <v>259</v>
      </c>
      <c r="B260" s="9" t="s">
        <v>55</v>
      </c>
      <c r="C260" s="10" t="s">
        <v>49</v>
      </c>
      <c r="D260" s="11">
        <v>308.21426930674875</v>
      </c>
      <c r="E260" s="12">
        <f t="shared" ref="E260:E323" si="4">E259+1</f>
        <v>41698</v>
      </c>
    </row>
    <row r="261" spans="1:5" x14ac:dyDescent="0.25">
      <c r="A261" s="2">
        <f>IF(B261="","",SUBTOTAL(3,$B$2:B261))</f>
        <v>260</v>
      </c>
      <c r="B261" s="9" t="s">
        <v>48</v>
      </c>
      <c r="C261" s="10" t="s">
        <v>49</v>
      </c>
      <c r="D261" s="11">
        <v>23.105360443622921</v>
      </c>
      <c r="E261" s="12">
        <f t="shared" si="4"/>
        <v>41699</v>
      </c>
    </row>
    <row r="262" spans="1:5" x14ac:dyDescent="0.25">
      <c r="A262" s="2">
        <f>IF(B262="","",SUBTOTAL(3,$B$2:B262))</f>
        <v>261</v>
      </c>
      <c r="B262" s="9" t="s">
        <v>50</v>
      </c>
      <c r="C262" s="10" t="s">
        <v>52</v>
      </c>
      <c r="D262" s="11">
        <v>110.22927689594357</v>
      </c>
      <c r="E262" s="12">
        <f t="shared" si="4"/>
        <v>41700</v>
      </c>
    </row>
    <row r="263" spans="1:5" x14ac:dyDescent="0.25">
      <c r="A263" s="2">
        <f>IF(B263="","",SUBTOTAL(3,$B$2:B263))</f>
        <v>262</v>
      </c>
      <c r="B263" s="9" t="s">
        <v>50</v>
      </c>
      <c r="C263" s="10" t="s">
        <v>49</v>
      </c>
      <c r="D263" s="11">
        <v>61.57</v>
      </c>
      <c r="E263" s="12">
        <f t="shared" si="4"/>
        <v>41701</v>
      </c>
    </row>
    <row r="264" spans="1:5" x14ac:dyDescent="0.25">
      <c r="A264" s="2">
        <f>IF(B264="","",SUBTOTAL(3,$B$2:B264))</f>
        <v>263</v>
      </c>
      <c r="B264" s="9" t="s">
        <v>48</v>
      </c>
      <c r="C264" s="10" t="s">
        <v>56</v>
      </c>
      <c r="D264" s="11">
        <v>192.72031143602331</v>
      </c>
      <c r="E264" s="12">
        <f t="shared" si="4"/>
        <v>41702</v>
      </c>
    </row>
    <row r="265" spans="1:5" x14ac:dyDescent="0.25">
      <c r="A265" s="2">
        <f>IF(B265="","",SUBTOTAL(3,$B$2:B265))</f>
        <v>264</v>
      </c>
      <c r="B265" s="9" t="s">
        <v>48</v>
      </c>
      <c r="C265" s="10" t="s">
        <v>54</v>
      </c>
      <c r="D265" s="11">
        <v>462.10720887245844</v>
      </c>
      <c r="E265" s="12">
        <f t="shared" si="4"/>
        <v>41703</v>
      </c>
    </row>
    <row r="266" spans="1:5" x14ac:dyDescent="0.25">
      <c r="A266" s="2">
        <f>IF(B266="","",SUBTOTAL(3,$B$2:B266))</f>
        <v>265</v>
      </c>
      <c r="B266" s="9" t="s">
        <v>55</v>
      </c>
      <c r="C266" s="10" t="s">
        <v>49</v>
      </c>
      <c r="D266" s="11">
        <v>65.808090446639511</v>
      </c>
      <c r="E266" s="12">
        <f t="shared" si="4"/>
        <v>41704</v>
      </c>
    </row>
    <row r="267" spans="1:5" x14ac:dyDescent="0.25">
      <c r="A267" s="2">
        <f>IF(B267="","",SUBTOTAL(3,$B$2:B267))</f>
        <v>266</v>
      </c>
      <c r="B267" s="9" t="s">
        <v>50</v>
      </c>
      <c r="C267" s="10" t="s">
        <v>49</v>
      </c>
      <c r="D267" s="11">
        <v>154.32098765432099</v>
      </c>
      <c r="E267" s="12">
        <f t="shared" si="4"/>
        <v>41705</v>
      </c>
    </row>
    <row r="268" spans="1:5" x14ac:dyDescent="0.25">
      <c r="A268" s="2">
        <f>IF(B268="","",SUBTOTAL(3,$B$2:B268))</f>
        <v>267</v>
      </c>
      <c r="B268" s="9" t="s">
        <v>55</v>
      </c>
      <c r="C268" s="10" t="s">
        <v>49</v>
      </c>
      <c r="D268" s="11">
        <v>70</v>
      </c>
      <c r="E268" s="12">
        <f t="shared" si="4"/>
        <v>41706</v>
      </c>
    </row>
    <row r="269" spans="1:5" x14ac:dyDescent="0.25">
      <c r="A269" s="2">
        <f>IF(B269="","",SUBTOTAL(3,$B$2:B269))</f>
        <v>268</v>
      </c>
      <c r="B269" s="9" t="s">
        <v>50</v>
      </c>
      <c r="C269" s="10" t="s">
        <v>52</v>
      </c>
      <c r="D269" s="11">
        <v>50</v>
      </c>
      <c r="E269" s="12">
        <f t="shared" si="4"/>
        <v>41707</v>
      </c>
    </row>
    <row r="270" spans="1:5" x14ac:dyDescent="0.25">
      <c r="A270" s="2">
        <f>IF(B270="","",SUBTOTAL(3,$B$2:B270))</f>
        <v>269</v>
      </c>
      <c r="B270" s="9" t="s">
        <v>50</v>
      </c>
      <c r="C270" s="10" t="s">
        <v>49</v>
      </c>
      <c r="D270" s="11">
        <v>61.75</v>
      </c>
      <c r="E270" s="12">
        <f t="shared" si="4"/>
        <v>41708</v>
      </c>
    </row>
    <row r="271" spans="1:5" x14ac:dyDescent="0.25">
      <c r="A271" s="2">
        <f>IF(B271="","",SUBTOTAL(3,$B$2:B271))</f>
        <v>270</v>
      </c>
      <c r="B271" s="9" t="s">
        <v>50</v>
      </c>
      <c r="C271" s="10" t="s">
        <v>54</v>
      </c>
      <c r="D271" s="11">
        <v>88.183421516754848</v>
      </c>
      <c r="E271" s="12">
        <f t="shared" si="4"/>
        <v>41709</v>
      </c>
    </row>
    <row r="272" spans="1:5" x14ac:dyDescent="0.25">
      <c r="A272" s="2">
        <f>IF(B272="","",SUBTOTAL(3,$B$2:B272))</f>
        <v>271</v>
      </c>
      <c r="B272" s="9" t="s">
        <v>50</v>
      </c>
      <c r="C272" s="10" t="s">
        <v>52</v>
      </c>
      <c r="D272" s="11">
        <v>88.183421516754848</v>
      </c>
      <c r="E272" s="12">
        <f t="shared" si="4"/>
        <v>41710</v>
      </c>
    </row>
    <row r="273" spans="1:5" x14ac:dyDescent="0.25">
      <c r="A273" s="2">
        <f>IF(B273="","",SUBTOTAL(3,$B$2:B273))</f>
        <v>272</v>
      </c>
      <c r="B273" s="9" t="s">
        <v>50</v>
      </c>
      <c r="C273" s="10" t="s">
        <v>49</v>
      </c>
      <c r="D273" s="11">
        <v>27.557319223985893</v>
      </c>
      <c r="E273" s="12">
        <f t="shared" si="4"/>
        <v>41711</v>
      </c>
    </row>
    <row r="274" spans="1:5" x14ac:dyDescent="0.25">
      <c r="A274" s="2">
        <f>IF(B274="","",SUBTOTAL(3,$B$2:B274))</f>
        <v>273</v>
      </c>
      <c r="B274" s="9" t="s">
        <v>50</v>
      </c>
      <c r="C274" s="10" t="s">
        <v>52</v>
      </c>
      <c r="D274" s="11">
        <v>33.06878306878307</v>
      </c>
      <c r="E274" s="12">
        <f t="shared" si="4"/>
        <v>41712</v>
      </c>
    </row>
    <row r="275" spans="1:5" x14ac:dyDescent="0.25">
      <c r="A275" s="2">
        <f>IF(B275="","",SUBTOTAL(3,$B$2:B275))</f>
        <v>274</v>
      </c>
      <c r="B275" s="9" t="s">
        <v>51</v>
      </c>
      <c r="C275" s="10" t="s">
        <v>52</v>
      </c>
      <c r="D275" s="11">
        <v>52.949274594938046</v>
      </c>
      <c r="E275" s="12">
        <f t="shared" si="4"/>
        <v>41713</v>
      </c>
    </row>
    <row r="276" spans="1:5" x14ac:dyDescent="0.25">
      <c r="A276" s="2">
        <f>IF(B276="","",SUBTOTAL(3,$B$2:B276))</f>
        <v>275</v>
      </c>
      <c r="B276" s="9" t="s">
        <v>51</v>
      </c>
      <c r="C276" s="10" t="s">
        <v>52</v>
      </c>
      <c r="D276" s="11">
        <v>52.949274594938046</v>
      </c>
      <c r="E276" s="12">
        <f t="shared" si="4"/>
        <v>41714</v>
      </c>
    </row>
    <row r="277" spans="1:5" x14ac:dyDescent="0.25">
      <c r="A277" s="2">
        <f>IF(B277="","",SUBTOTAL(3,$B$2:B277))</f>
        <v>276</v>
      </c>
      <c r="B277" s="9" t="s">
        <v>51</v>
      </c>
      <c r="C277" s="10" t="s">
        <v>49</v>
      </c>
      <c r="D277" s="11">
        <v>105.89854918987609</v>
      </c>
      <c r="E277" s="12">
        <f t="shared" si="4"/>
        <v>41715</v>
      </c>
    </row>
    <row r="278" spans="1:5" x14ac:dyDescent="0.25">
      <c r="A278" s="2">
        <f>IF(B278="","",SUBTOTAL(3,$B$2:B278))</f>
        <v>277</v>
      </c>
      <c r="B278" s="9" t="s">
        <v>51</v>
      </c>
      <c r="C278" s="10" t="s">
        <v>56</v>
      </c>
      <c r="D278" s="11">
        <v>3706.4492216456633</v>
      </c>
      <c r="E278" s="12">
        <f t="shared" si="4"/>
        <v>41716</v>
      </c>
    </row>
    <row r="279" spans="1:5" x14ac:dyDescent="0.25">
      <c r="A279" s="2">
        <f>IF(B279="","",SUBTOTAL(3,$B$2:B279))</f>
        <v>278</v>
      </c>
      <c r="B279" s="9" t="s">
        <v>50</v>
      </c>
      <c r="C279" s="10" t="s">
        <v>52</v>
      </c>
      <c r="D279" s="11">
        <v>59.523809523809526</v>
      </c>
      <c r="E279" s="12">
        <f t="shared" si="4"/>
        <v>41717</v>
      </c>
    </row>
    <row r="280" spans="1:5" x14ac:dyDescent="0.25">
      <c r="A280" s="2">
        <f>IF(B280="","",SUBTOTAL(3,$B$2:B280))</f>
        <v>279</v>
      </c>
      <c r="B280" s="9" t="s">
        <v>50</v>
      </c>
      <c r="C280" s="10" t="s">
        <v>52</v>
      </c>
      <c r="D280" s="11">
        <v>99.206349206349202</v>
      </c>
      <c r="E280" s="12">
        <f t="shared" si="4"/>
        <v>41718</v>
      </c>
    </row>
    <row r="281" spans="1:5" x14ac:dyDescent="0.25">
      <c r="A281" s="2">
        <f>IF(B281="","",SUBTOTAL(3,$B$2:B281))</f>
        <v>280</v>
      </c>
      <c r="B281" s="9" t="s">
        <v>50</v>
      </c>
      <c r="C281" s="10" t="s">
        <v>52</v>
      </c>
      <c r="D281" s="11">
        <v>49.603174603174601</v>
      </c>
      <c r="E281" s="12">
        <f t="shared" si="4"/>
        <v>41719</v>
      </c>
    </row>
    <row r="282" spans="1:5" x14ac:dyDescent="0.25">
      <c r="A282" s="2">
        <f>IF(B282="","",SUBTOTAL(3,$B$2:B282))</f>
        <v>281</v>
      </c>
      <c r="B282" s="9" t="s">
        <v>50</v>
      </c>
      <c r="C282" s="10" t="s">
        <v>52</v>
      </c>
      <c r="D282" s="11">
        <v>11.022927689594356</v>
      </c>
      <c r="E282" s="12">
        <f t="shared" si="4"/>
        <v>41720</v>
      </c>
    </row>
    <row r="283" spans="1:5" x14ac:dyDescent="0.25">
      <c r="A283" s="2">
        <f>IF(B283="","",SUBTOTAL(3,$B$2:B283))</f>
        <v>282</v>
      </c>
      <c r="B283" s="9" t="s">
        <v>48</v>
      </c>
      <c r="C283" s="10" t="s">
        <v>52</v>
      </c>
      <c r="D283" s="11">
        <v>77.017868145409736</v>
      </c>
      <c r="E283" s="12">
        <f t="shared" si="4"/>
        <v>41721</v>
      </c>
    </row>
    <row r="284" spans="1:5" x14ac:dyDescent="0.25">
      <c r="A284" s="2">
        <f>IF(B284="","",SUBTOTAL(3,$B$2:B284))</f>
        <v>283</v>
      </c>
      <c r="B284" s="9" t="s">
        <v>53</v>
      </c>
      <c r="C284" s="10" t="s">
        <v>49</v>
      </c>
      <c r="D284" s="11">
        <v>24.389069211536174</v>
      </c>
      <c r="E284" s="12">
        <f t="shared" si="4"/>
        <v>41722</v>
      </c>
    </row>
    <row r="285" spans="1:5" x14ac:dyDescent="0.25">
      <c r="A285" s="2">
        <f>IF(B285="","",SUBTOTAL(3,$B$2:B285))</f>
        <v>284</v>
      </c>
      <c r="B285" s="9" t="s">
        <v>51</v>
      </c>
      <c r="C285" s="10" t="s">
        <v>49</v>
      </c>
      <c r="D285" s="11">
        <v>21.179709837975221</v>
      </c>
      <c r="E285" s="12">
        <f t="shared" si="4"/>
        <v>41723</v>
      </c>
    </row>
    <row r="286" spans="1:5" x14ac:dyDescent="0.25">
      <c r="A286" s="2">
        <f>IF(B286="","",SUBTOTAL(3,$B$2:B286))</f>
        <v>285</v>
      </c>
      <c r="B286" s="9" t="s">
        <v>48</v>
      </c>
      <c r="C286" s="10" t="s">
        <v>52</v>
      </c>
      <c r="D286" s="11">
        <v>3.0807147258163893E-2</v>
      </c>
      <c r="E286" s="12">
        <f t="shared" si="4"/>
        <v>41724</v>
      </c>
    </row>
    <row r="287" spans="1:5" x14ac:dyDescent="0.25">
      <c r="A287" s="2">
        <f>IF(B287="","",SUBTOTAL(3,$B$2:B287))</f>
        <v>286</v>
      </c>
      <c r="B287" s="9" t="s">
        <v>50</v>
      </c>
      <c r="C287" s="10" t="s">
        <v>49</v>
      </c>
      <c r="D287" s="11">
        <v>440.91710758377428</v>
      </c>
      <c r="E287" s="12">
        <f t="shared" si="4"/>
        <v>41725</v>
      </c>
    </row>
    <row r="288" spans="1:5" x14ac:dyDescent="0.25">
      <c r="A288" s="2">
        <f>IF(B288="","",SUBTOTAL(3,$B$2:B288))</f>
        <v>287</v>
      </c>
      <c r="B288" s="9" t="s">
        <v>50</v>
      </c>
      <c r="C288" s="10" t="s">
        <v>54</v>
      </c>
      <c r="D288" s="11">
        <v>33.06878306878307</v>
      </c>
      <c r="E288" s="12">
        <f t="shared" si="4"/>
        <v>41726</v>
      </c>
    </row>
    <row r="289" spans="1:5" x14ac:dyDescent="0.25">
      <c r="A289" s="2">
        <f>IF(B289="","",SUBTOTAL(3,$B$2:B289))</f>
        <v>288</v>
      </c>
      <c r="B289" s="9" t="s">
        <v>48</v>
      </c>
      <c r="C289" s="10" t="s">
        <v>49</v>
      </c>
      <c r="D289" s="11">
        <v>182.68052988293283</v>
      </c>
      <c r="E289" s="12">
        <f t="shared" si="4"/>
        <v>41727</v>
      </c>
    </row>
    <row r="290" spans="1:5" x14ac:dyDescent="0.25">
      <c r="A290" s="2">
        <f>IF(B290="","",SUBTOTAL(3,$B$2:B290))</f>
        <v>289</v>
      </c>
      <c r="B290" s="9" t="s">
        <v>55</v>
      </c>
      <c r="C290" s="10" t="s">
        <v>49</v>
      </c>
      <c r="D290" s="11">
        <v>70</v>
      </c>
      <c r="E290" s="12">
        <f t="shared" si="4"/>
        <v>41728</v>
      </c>
    </row>
    <row r="291" spans="1:5" x14ac:dyDescent="0.25">
      <c r="A291" s="2">
        <f>IF(B291="","",SUBTOTAL(3,$B$2:B291))</f>
        <v>290</v>
      </c>
      <c r="B291" s="9" t="s">
        <v>48</v>
      </c>
      <c r="C291" s="10" t="s">
        <v>56</v>
      </c>
      <c r="D291" s="11">
        <v>256.96041524803104</v>
      </c>
      <c r="E291" s="12">
        <f t="shared" si="4"/>
        <v>41729</v>
      </c>
    </row>
    <row r="292" spans="1:5" x14ac:dyDescent="0.25">
      <c r="A292" s="2">
        <f>IF(B292="","",SUBTOTAL(3,$B$2:B292))</f>
        <v>291</v>
      </c>
      <c r="B292" s="9" t="s">
        <v>55</v>
      </c>
      <c r="C292" s="10" t="s">
        <v>49</v>
      </c>
      <c r="D292" s="11">
        <v>70</v>
      </c>
      <c r="E292" s="12">
        <f t="shared" si="4"/>
        <v>41730</v>
      </c>
    </row>
    <row r="293" spans="1:5" x14ac:dyDescent="0.25">
      <c r="A293" s="2">
        <f>IF(B293="","",SUBTOTAL(3,$B$2:B293))</f>
        <v>292</v>
      </c>
      <c r="B293" s="9" t="s">
        <v>48</v>
      </c>
      <c r="C293" s="10" t="s">
        <v>49</v>
      </c>
      <c r="D293" s="11">
        <v>21.841635296082639</v>
      </c>
      <c r="E293" s="12">
        <f t="shared" si="4"/>
        <v>41731</v>
      </c>
    </row>
    <row r="294" spans="1:5" x14ac:dyDescent="0.25">
      <c r="A294" s="2">
        <f>IF(B294="","",SUBTOTAL(3,$B$2:B294))</f>
        <v>293</v>
      </c>
      <c r="B294" s="9" t="s">
        <v>50</v>
      </c>
      <c r="C294" s="10" t="s">
        <v>54</v>
      </c>
      <c r="D294" s="11">
        <v>132.27513227513228</v>
      </c>
      <c r="E294" s="12">
        <f t="shared" si="4"/>
        <v>41732</v>
      </c>
    </row>
    <row r="295" spans="1:5" x14ac:dyDescent="0.25">
      <c r="A295" s="2">
        <f>IF(B295="","",SUBTOTAL(3,$B$2:B295))</f>
        <v>294</v>
      </c>
      <c r="B295" s="9" t="s">
        <v>51</v>
      </c>
      <c r="C295" s="10" t="s">
        <v>49</v>
      </c>
      <c r="D295" s="11">
        <v>158.84782378481412</v>
      </c>
      <c r="E295" s="12">
        <f t="shared" si="4"/>
        <v>41733</v>
      </c>
    </row>
    <row r="296" spans="1:5" x14ac:dyDescent="0.25">
      <c r="A296" s="2">
        <f>IF(B296="","",SUBTOTAL(3,$B$2:B296))</f>
        <v>295</v>
      </c>
      <c r="B296" s="9" t="s">
        <v>51</v>
      </c>
      <c r="C296" s="10" t="s">
        <v>56</v>
      </c>
      <c r="D296" s="11">
        <v>3706.4492216456633</v>
      </c>
      <c r="E296" s="12">
        <f t="shared" si="4"/>
        <v>41734</v>
      </c>
    </row>
    <row r="297" spans="1:5" x14ac:dyDescent="0.25">
      <c r="A297" s="2">
        <f>IF(B297="","",SUBTOTAL(3,$B$2:B297))</f>
        <v>296</v>
      </c>
      <c r="B297" s="9" t="s">
        <v>55</v>
      </c>
      <c r="C297" s="10" t="s">
        <v>52</v>
      </c>
      <c r="D297" s="11">
        <v>191.30913768548723</v>
      </c>
      <c r="E297" s="12">
        <f t="shared" si="4"/>
        <v>41735</v>
      </c>
    </row>
    <row r="298" spans="1:5" x14ac:dyDescent="0.25">
      <c r="A298" s="2">
        <f>IF(B298="","",SUBTOTAL(3,$B$2:B298))</f>
        <v>297</v>
      </c>
      <c r="B298" s="9" t="s">
        <v>48</v>
      </c>
      <c r="C298" s="10" t="s">
        <v>52</v>
      </c>
      <c r="D298" s="11">
        <v>256.96041524803104</v>
      </c>
      <c r="E298" s="12">
        <f t="shared" si="4"/>
        <v>41736</v>
      </c>
    </row>
    <row r="299" spans="1:5" x14ac:dyDescent="0.25">
      <c r="A299" s="2">
        <f>IF(B299="","",SUBTOTAL(3,$B$2:B299))</f>
        <v>298</v>
      </c>
      <c r="B299" s="9" t="s">
        <v>48</v>
      </c>
      <c r="C299" s="10" t="s">
        <v>52</v>
      </c>
      <c r="D299" s="11">
        <v>256.96041524803104</v>
      </c>
      <c r="E299" s="12">
        <f t="shared" si="4"/>
        <v>41737</v>
      </c>
    </row>
    <row r="300" spans="1:5" x14ac:dyDescent="0.25">
      <c r="A300" s="2">
        <f>IF(B300="","",SUBTOTAL(3,$B$2:B300))</f>
        <v>299</v>
      </c>
      <c r="B300" s="9" t="s">
        <v>51</v>
      </c>
      <c r="C300" s="10" t="s">
        <v>49</v>
      </c>
      <c r="D300" s="11">
        <v>529.49274594938049</v>
      </c>
      <c r="E300" s="12">
        <f t="shared" si="4"/>
        <v>41738</v>
      </c>
    </row>
    <row r="301" spans="1:5" x14ac:dyDescent="0.25">
      <c r="A301" s="2">
        <f>IF(B301="","",SUBTOTAL(3,$B$2:B301))</f>
        <v>300</v>
      </c>
      <c r="B301" s="9" t="s">
        <v>48</v>
      </c>
      <c r="C301" s="10" t="s">
        <v>52</v>
      </c>
      <c r="D301" s="11">
        <v>256.96041524803104</v>
      </c>
      <c r="E301" s="12">
        <f t="shared" si="4"/>
        <v>41739</v>
      </c>
    </row>
    <row r="302" spans="1:5" x14ac:dyDescent="0.25">
      <c r="A302" s="2">
        <f>IF(B302="","",SUBTOTAL(3,$B$2:B302))</f>
        <v>301</v>
      </c>
      <c r="B302" s="9" t="s">
        <v>48</v>
      </c>
      <c r="C302" s="10" t="s">
        <v>52</v>
      </c>
      <c r="D302" s="11">
        <v>256.96041524803104</v>
      </c>
      <c r="E302" s="12">
        <f t="shared" si="4"/>
        <v>41740</v>
      </c>
    </row>
    <row r="303" spans="1:5" x14ac:dyDescent="0.25">
      <c r="A303" s="2">
        <f>IF(B303="","",SUBTOTAL(3,$B$2:B303))</f>
        <v>302</v>
      </c>
      <c r="B303" s="9" t="s">
        <v>48</v>
      </c>
      <c r="C303" s="10" t="s">
        <v>52</v>
      </c>
      <c r="D303" s="11">
        <v>256.96041524803104</v>
      </c>
      <c r="E303" s="12">
        <f t="shared" si="4"/>
        <v>41741</v>
      </c>
    </row>
    <row r="304" spans="1:5" x14ac:dyDescent="0.25">
      <c r="A304" s="2">
        <f>IF(B304="","",SUBTOTAL(3,$B$2:B304))</f>
        <v>303</v>
      </c>
      <c r="B304" s="9" t="s">
        <v>48</v>
      </c>
      <c r="C304" s="10" t="s">
        <v>52</v>
      </c>
      <c r="D304" s="11">
        <v>256.96041524803104</v>
      </c>
      <c r="E304" s="12">
        <f t="shared" si="4"/>
        <v>41742</v>
      </c>
    </row>
    <row r="305" spans="1:5" x14ac:dyDescent="0.25">
      <c r="A305" s="2">
        <f>IF(B305="","",SUBTOTAL(3,$B$2:B305))</f>
        <v>304</v>
      </c>
      <c r="B305" s="9" t="s">
        <v>48</v>
      </c>
      <c r="C305" s="10" t="s">
        <v>52</v>
      </c>
      <c r="D305" s="11">
        <v>256.96041524803104</v>
      </c>
      <c r="E305" s="12">
        <f t="shared" si="4"/>
        <v>41743</v>
      </c>
    </row>
    <row r="306" spans="1:5" x14ac:dyDescent="0.25">
      <c r="A306" s="2">
        <f>IF(B306="","",SUBTOTAL(3,$B$2:B306))</f>
        <v>305</v>
      </c>
      <c r="B306" s="9" t="s">
        <v>48</v>
      </c>
      <c r="C306" s="10" t="s">
        <v>49</v>
      </c>
      <c r="D306" s="11">
        <v>61.614294516327789</v>
      </c>
      <c r="E306" s="12">
        <f t="shared" si="4"/>
        <v>41744</v>
      </c>
    </row>
    <row r="307" spans="1:5" x14ac:dyDescent="0.25">
      <c r="A307" s="2">
        <f>IF(B307="","",SUBTOTAL(3,$B$2:B307))</f>
        <v>306</v>
      </c>
      <c r="B307" s="9" t="s">
        <v>48</v>
      </c>
      <c r="C307" s="10" t="s">
        <v>49</v>
      </c>
      <c r="D307" s="11">
        <v>26.186075169439309</v>
      </c>
      <c r="E307" s="12">
        <f t="shared" si="4"/>
        <v>41745</v>
      </c>
    </row>
    <row r="308" spans="1:5" x14ac:dyDescent="0.25">
      <c r="A308" s="2">
        <f>IF(B308="","",SUBTOTAL(3,$B$2:B308))</f>
        <v>307</v>
      </c>
      <c r="B308" s="9" t="s">
        <v>55</v>
      </c>
      <c r="C308" s="10" t="s">
        <v>54</v>
      </c>
      <c r="D308" s="11">
        <v>57.182999999999993</v>
      </c>
      <c r="E308" s="12">
        <f t="shared" si="4"/>
        <v>41746</v>
      </c>
    </row>
    <row r="309" spans="1:5" x14ac:dyDescent="0.25">
      <c r="A309" s="2">
        <f>IF(B309="","",SUBTOTAL(3,$B$2:B309))</f>
        <v>308</v>
      </c>
      <c r="B309" s="9" t="s">
        <v>51</v>
      </c>
      <c r="C309" s="10" t="s">
        <v>54</v>
      </c>
      <c r="D309" s="11">
        <v>222.9164460446892</v>
      </c>
      <c r="E309" s="12">
        <f t="shared" si="4"/>
        <v>41747</v>
      </c>
    </row>
    <row r="310" spans="1:5" x14ac:dyDescent="0.25">
      <c r="A310" s="2">
        <f>IF(B310="","",SUBTOTAL(3,$B$2:B310))</f>
        <v>309</v>
      </c>
      <c r="B310" s="9" t="s">
        <v>48</v>
      </c>
      <c r="C310" s="10" t="s">
        <v>49</v>
      </c>
      <c r="D310" s="11">
        <v>3.7776284039986208</v>
      </c>
      <c r="E310" s="12">
        <f t="shared" si="4"/>
        <v>41748</v>
      </c>
    </row>
    <row r="311" spans="1:5" x14ac:dyDescent="0.25">
      <c r="A311" s="2">
        <f>IF(B311="","",SUBTOTAL(3,$B$2:B311))</f>
        <v>310</v>
      </c>
      <c r="B311" s="9" t="s">
        <v>48</v>
      </c>
      <c r="C311" s="10" t="s">
        <v>49</v>
      </c>
      <c r="D311" s="11">
        <v>24.129610479145121</v>
      </c>
      <c r="E311" s="12">
        <f t="shared" si="4"/>
        <v>41749</v>
      </c>
    </row>
    <row r="312" spans="1:5" x14ac:dyDescent="0.25">
      <c r="A312" s="2">
        <f>IF(B312="","",SUBTOTAL(3,$B$2:B312))</f>
        <v>311</v>
      </c>
      <c r="B312" s="9" t="s">
        <v>53</v>
      </c>
      <c r="C312" s="10" t="s">
        <v>49</v>
      </c>
      <c r="D312" s="11">
        <v>183.17198933939025</v>
      </c>
      <c r="E312" s="12">
        <f t="shared" si="4"/>
        <v>41750</v>
      </c>
    </row>
    <row r="313" spans="1:5" x14ac:dyDescent="0.25">
      <c r="A313" s="2">
        <f>IF(B313="","",SUBTOTAL(3,$B$2:B313))</f>
        <v>312</v>
      </c>
      <c r="B313" s="9" t="s">
        <v>53</v>
      </c>
      <c r="C313" s="10" t="s">
        <v>49</v>
      </c>
      <c r="D313" s="11">
        <v>183.17198933939025</v>
      </c>
      <c r="E313" s="12">
        <f t="shared" si="4"/>
        <v>41751</v>
      </c>
    </row>
    <row r="314" spans="1:5" x14ac:dyDescent="0.25">
      <c r="A314" s="2">
        <f>IF(B314="","",SUBTOTAL(3,$B$2:B314))</f>
        <v>313</v>
      </c>
      <c r="B314" s="9" t="s">
        <v>48</v>
      </c>
      <c r="C314" s="10" t="s">
        <v>49</v>
      </c>
      <c r="D314" s="11">
        <v>107.82501540357363</v>
      </c>
      <c r="E314" s="12">
        <f t="shared" si="4"/>
        <v>41752</v>
      </c>
    </row>
    <row r="315" spans="1:5" x14ac:dyDescent="0.25">
      <c r="A315" s="2">
        <f>IF(B315="","",SUBTOTAL(3,$B$2:B315))</f>
        <v>314</v>
      </c>
      <c r="B315" s="9" t="s">
        <v>48</v>
      </c>
      <c r="C315" s="10" t="s">
        <v>54</v>
      </c>
      <c r="D315" s="11">
        <v>154.03573629081947</v>
      </c>
      <c r="E315" s="12">
        <f t="shared" si="4"/>
        <v>41753</v>
      </c>
    </row>
    <row r="316" spans="1:5" x14ac:dyDescent="0.25">
      <c r="A316" s="2">
        <f>IF(B316="","",SUBTOTAL(3,$B$2:B316))</f>
        <v>315</v>
      </c>
      <c r="B316" s="9" t="s">
        <v>48</v>
      </c>
      <c r="C316" s="10" t="s">
        <v>52</v>
      </c>
      <c r="D316" s="11">
        <v>12.322858903265558</v>
      </c>
      <c r="E316" s="12">
        <f t="shared" si="4"/>
        <v>41754</v>
      </c>
    </row>
    <row r="317" spans="1:5" x14ac:dyDescent="0.25">
      <c r="A317" s="2">
        <f>IF(B317="","",SUBTOTAL(3,$B$2:B317))</f>
        <v>316</v>
      </c>
      <c r="B317" s="9" t="s">
        <v>48</v>
      </c>
      <c r="C317" s="10" t="s">
        <v>54</v>
      </c>
      <c r="D317" s="11">
        <v>55.47412199630314</v>
      </c>
      <c r="E317" s="12">
        <f t="shared" si="4"/>
        <v>41755</v>
      </c>
    </row>
    <row r="318" spans="1:5" x14ac:dyDescent="0.25">
      <c r="A318" s="2">
        <f>IF(B318="","",SUBTOTAL(3,$B$2:B318))</f>
        <v>317</v>
      </c>
      <c r="B318" s="9" t="s">
        <v>48</v>
      </c>
      <c r="C318" s="10" t="s">
        <v>52</v>
      </c>
      <c r="D318" s="11">
        <v>163.12199630314234</v>
      </c>
      <c r="E318" s="12">
        <f t="shared" si="4"/>
        <v>41756</v>
      </c>
    </row>
    <row r="319" spans="1:5" x14ac:dyDescent="0.25">
      <c r="A319" s="2">
        <f>IF(B319="","",SUBTOTAL(3,$B$2:B319))</f>
        <v>318</v>
      </c>
      <c r="B319" s="9" t="s">
        <v>51</v>
      </c>
      <c r="C319" s="10" t="s">
        <v>54</v>
      </c>
      <c r="D319" s="11">
        <v>95.838187016837864</v>
      </c>
      <c r="E319" s="12">
        <f t="shared" si="4"/>
        <v>41757</v>
      </c>
    </row>
    <row r="320" spans="1:5" x14ac:dyDescent="0.25">
      <c r="A320" s="2">
        <f>IF(B320="","",SUBTOTAL(3,$B$2:B320))</f>
        <v>319</v>
      </c>
      <c r="B320" s="9" t="s">
        <v>48</v>
      </c>
      <c r="C320" s="10" t="s">
        <v>52</v>
      </c>
      <c r="D320" s="11">
        <v>256.96041524803104</v>
      </c>
      <c r="E320" s="12">
        <f t="shared" si="4"/>
        <v>41758</v>
      </c>
    </row>
    <row r="321" spans="1:5" x14ac:dyDescent="0.25">
      <c r="A321" s="2">
        <f>IF(B321="","",SUBTOTAL(3,$B$2:B321))</f>
        <v>320</v>
      </c>
      <c r="B321" s="9" t="s">
        <v>48</v>
      </c>
      <c r="C321" s="10" t="s">
        <v>52</v>
      </c>
      <c r="D321" s="11">
        <v>256.96041524803104</v>
      </c>
      <c r="E321" s="12">
        <f t="shared" si="4"/>
        <v>41759</v>
      </c>
    </row>
    <row r="322" spans="1:5" x14ac:dyDescent="0.25">
      <c r="A322" s="2">
        <f>IF(B322="","",SUBTOTAL(3,$B$2:B322))</f>
        <v>321</v>
      </c>
      <c r="B322" s="9" t="s">
        <v>48</v>
      </c>
      <c r="C322" s="10" t="s">
        <v>52</v>
      </c>
      <c r="D322" s="11">
        <v>256.96041524803104</v>
      </c>
      <c r="E322" s="12">
        <f t="shared" si="4"/>
        <v>41760</v>
      </c>
    </row>
    <row r="323" spans="1:5" x14ac:dyDescent="0.25">
      <c r="A323" s="2">
        <f>IF(B323="","",SUBTOTAL(3,$B$2:B323))</f>
        <v>322</v>
      </c>
      <c r="B323" s="9" t="s">
        <v>48</v>
      </c>
      <c r="C323" s="10" t="s">
        <v>52</v>
      </c>
      <c r="D323" s="11">
        <v>256.96041524803104</v>
      </c>
      <c r="E323" s="12">
        <f t="shared" si="4"/>
        <v>41761</v>
      </c>
    </row>
    <row r="324" spans="1:5" x14ac:dyDescent="0.25">
      <c r="A324" s="2">
        <f>IF(B324="","",SUBTOTAL(3,$B$2:B324))</f>
        <v>323</v>
      </c>
      <c r="B324" s="9" t="s">
        <v>50</v>
      </c>
      <c r="C324" s="10" t="s">
        <v>52</v>
      </c>
      <c r="D324" s="11">
        <v>44.091710758377424</v>
      </c>
      <c r="E324" s="12">
        <f t="shared" ref="E324:E387" si="5">E323+1</f>
        <v>41762</v>
      </c>
    </row>
    <row r="325" spans="1:5" x14ac:dyDescent="0.25">
      <c r="A325" s="2">
        <f>IF(B325="","",SUBTOTAL(3,$B$2:B325))</f>
        <v>324</v>
      </c>
      <c r="B325" s="9" t="s">
        <v>50</v>
      </c>
      <c r="C325" s="10" t="s">
        <v>52</v>
      </c>
      <c r="D325" s="11">
        <v>44.091710758377424</v>
      </c>
      <c r="E325" s="12">
        <f t="shared" si="5"/>
        <v>41763</v>
      </c>
    </row>
    <row r="326" spans="1:5" x14ac:dyDescent="0.25">
      <c r="A326" s="2">
        <f>IF(B326="","",SUBTOTAL(3,$B$2:B326))</f>
        <v>325</v>
      </c>
      <c r="B326" s="9" t="s">
        <v>53</v>
      </c>
      <c r="C326" s="10" t="s">
        <v>49</v>
      </c>
      <c r="D326" s="11">
        <v>91.585994669695125</v>
      </c>
      <c r="E326" s="12">
        <f t="shared" si="5"/>
        <v>41764</v>
      </c>
    </row>
    <row r="327" spans="1:5" x14ac:dyDescent="0.25">
      <c r="A327" s="2">
        <f>IF(B327="","",SUBTOTAL(3,$B$2:B327))</f>
        <v>326</v>
      </c>
      <c r="B327" s="9" t="s">
        <v>53</v>
      </c>
      <c r="C327" s="10" t="s">
        <v>54</v>
      </c>
      <c r="D327" s="11">
        <v>18.317198933939025</v>
      </c>
      <c r="E327" s="12">
        <f t="shared" si="5"/>
        <v>41765</v>
      </c>
    </row>
    <row r="328" spans="1:5" x14ac:dyDescent="0.25">
      <c r="A328" s="2">
        <f>IF(B328="","",SUBTOTAL(3,$B$2:B328))</f>
        <v>327</v>
      </c>
      <c r="B328" s="9" t="s">
        <v>48</v>
      </c>
      <c r="C328" s="10" t="s">
        <v>52</v>
      </c>
      <c r="D328" s="11">
        <v>256.96041524803104</v>
      </c>
      <c r="E328" s="12">
        <f t="shared" si="5"/>
        <v>41766</v>
      </c>
    </row>
    <row r="329" spans="1:5" x14ac:dyDescent="0.25">
      <c r="A329" s="2">
        <f>IF(B329="","",SUBTOTAL(3,$B$2:B329))</f>
        <v>328</v>
      </c>
      <c r="B329" s="9" t="s">
        <v>48</v>
      </c>
      <c r="C329" s="10" t="s">
        <v>52</v>
      </c>
      <c r="D329" s="11">
        <v>256.96041524803104</v>
      </c>
      <c r="E329" s="12">
        <f t="shared" si="5"/>
        <v>41767</v>
      </c>
    </row>
    <row r="330" spans="1:5" x14ac:dyDescent="0.25">
      <c r="A330" s="2">
        <f>IF(B330="","",SUBTOTAL(3,$B$2:B330))</f>
        <v>329</v>
      </c>
      <c r="B330" s="9" t="s">
        <v>48</v>
      </c>
      <c r="C330" s="10" t="s">
        <v>54</v>
      </c>
      <c r="D330" s="11">
        <v>154.03573629081947</v>
      </c>
      <c r="E330" s="12">
        <f t="shared" si="5"/>
        <v>41768</v>
      </c>
    </row>
    <row r="331" spans="1:5" x14ac:dyDescent="0.25">
      <c r="A331" s="2">
        <f>IF(B331="","",SUBTOTAL(3,$B$2:B331))</f>
        <v>330</v>
      </c>
      <c r="B331" s="9" t="s">
        <v>50</v>
      </c>
      <c r="C331" s="10" t="s">
        <v>49</v>
      </c>
      <c r="D331" s="11">
        <v>119.48853615520282</v>
      </c>
      <c r="E331" s="12">
        <f t="shared" si="5"/>
        <v>41769</v>
      </c>
    </row>
    <row r="332" spans="1:5" x14ac:dyDescent="0.25">
      <c r="A332" s="2">
        <f>IF(B332="","",SUBTOTAL(3,$B$2:B332))</f>
        <v>331</v>
      </c>
      <c r="B332" s="9" t="s">
        <v>50</v>
      </c>
      <c r="C332" s="10" t="s">
        <v>49</v>
      </c>
      <c r="D332" s="11">
        <v>48.963844797178126</v>
      </c>
      <c r="E332" s="12">
        <f t="shared" si="5"/>
        <v>41770</v>
      </c>
    </row>
    <row r="333" spans="1:5" x14ac:dyDescent="0.25">
      <c r="A333" s="2">
        <f>IF(B333="","",SUBTOTAL(3,$B$2:B333))</f>
        <v>332</v>
      </c>
      <c r="B333" s="9" t="s">
        <v>50</v>
      </c>
      <c r="C333" s="10" t="s">
        <v>52</v>
      </c>
      <c r="D333" s="11">
        <v>176.3668430335097</v>
      </c>
      <c r="E333" s="12">
        <f t="shared" si="5"/>
        <v>41771</v>
      </c>
    </row>
    <row r="334" spans="1:5" x14ac:dyDescent="0.25">
      <c r="A334" s="2">
        <f>IF(B334="","",SUBTOTAL(3,$B$2:B334))</f>
        <v>333</v>
      </c>
      <c r="B334" s="9" t="s">
        <v>55</v>
      </c>
      <c r="C334" s="10" t="s">
        <v>52</v>
      </c>
      <c r="D334" s="11">
        <v>80.243941582410528</v>
      </c>
      <c r="E334" s="12">
        <f t="shared" si="5"/>
        <v>41772</v>
      </c>
    </row>
    <row r="335" spans="1:5" x14ac:dyDescent="0.25">
      <c r="A335" s="2">
        <f>IF(B335="","",SUBTOTAL(3,$B$2:B335))</f>
        <v>334</v>
      </c>
      <c r="B335" s="9" t="s">
        <v>51</v>
      </c>
      <c r="C335" s="10" t="s">
        <v>49</v>
      </c>
      <c r="D335" s="11">
        <v>42.359419675950441</v>
      </c>
      <c r="E335" s="12">
        <f t="shared" si="5"/>
        <v>41773</v>
      </c>
    </row>
    <row r="336" spans="1:5" x14ac:dyDescent="0.25">
      <c r="A336" s="2">
        <f>IF(B336="","",SUBTOTAL(3,$B$2:B336))</f>
        <v>335</v>
      </c>
      <c r="B336" s="9" t="s">
        <v>51</v>
      </c>
      <c r="C336" s="10" t="s">
        <v>54</v>
      </c>
      <c r="D336" s="11">
        <v>31.769564756962826</v>
      </c>
      <c r="E336" s="12">
        <f t="shared" si="5"/>
        <v>41774</v>
      </c>
    </row>
    <row r="337" spans="1:5" x14ac:dyDescent="0.25">
      <c r="A337" s="2">
        <f>IF(B337="","",SUBTOTAL(3,$B$2:B337))</f>
        <v>336</v>
      </c>
      <c r="B337" s="9" t="s">
        <v>51</v>
      </c>
      <c r="C337" s="10" t="s">
        <v>52</v>
      </c>
      <c r="D337" s="11">
        <v>52.949274594938046</v>
      </c>
      <c r="E337" s="12">
        <f t="shared" si="5"/>
        <v>41775</v>
      </c>
    </row>
    <row r="338" spans="1:5" x14ac:dyDescent="0.25">
      <c r="A338" s="2">
        <f>IF(B338="","",SUBTOTAL(3,$B$2:B338))</f>
        <v>337</v>
      </c>
      <c r="B338" s="9" t="s">
        <v>50</v>
      </c>
      <c r="C338" s="10" t="s">
        <v>54</v>
      </c>
      <c r="D338" s="11">
        <v>79.365079365079367</v>
      </c>
      <c r="E338" s="12">
        <f t="shared" si="5"/>
        <v>41776</v>
      </c>
    </row>
    <row r="339" spans="1:5" x14ac:dyDescent="0.25">
      <c r="A339" s="2">
        <f>IF(B339="","",SUBTOTAL(3,$B$2:B339))</f>
        <v>338</v>
      </c>
      <c r="B339" s="9" t="s">
        <v>51</v>
      </c>
      <c r="C339" s="10" t="s">
        <v>54</v>
      </c>
      <c r="D339" s="11">
        <v>127.0782590278513</v>
      </c>
      <c r="E339" s="12">
        <f t="shared" si="5"/>
        <v>41777</v>
      </c>
    </row>
    <row r="340" spans="1:5" x14ac:dyDescent="0.25">
      <c r="A340" s="2">
        <f>IF(B340="","",SUBTOTAL(3,$B$2:B340))</f>
        <v>339</v>
      </c>
      <c r="B340" s="9" t="s">
        <v>53</v>
      </c>
      <c r="C340" s="10" t="s">
        <v>54</v>
      </c>
      <c r="D340" s="11">
        <v>27.475798400908538</v>
      </c>
      <c r="E340" s="12">
        <f t="shared" si="5"/>
        <v>41778</v>
      </c>
    </row>
    <row r="341" spans="1:5" x14ac:dyDescent="0.25">
      <c r="A341" s="2">
        <f>IF(B341="","",SUBTOTAL(3,$B$2:B341))</f>
        <v>340</v>
      </c>
      <c r="B341" s="9" t="s">
        <v>53</v>
      </c>
      <c r="C341" s="10" t="s">
        <v>54</v>
      </c>
      <c r="D341" s="11">
        <v>9.1585994669695125</v>
      </c>
      <c r="E341" s="12">
        <f t="shared" si="5"/>
        <v>41779</v>
      </c>
    </row>
    <row r="342" spans="1:5" x14ac:dyDescent="0.25">
      <c r="A342" s="2">
        <f>IF(B342="","",SUBTOTAL(3,$B$2:B342))</f>
        <v>341</v>
      </c>
      <c r="B342" s="9" t="s">
        <v>51</v>
      </c>
      <c r="C342" s="10" t="s">
        <v>52</v>
      </c>
      <c r="D342" s="11">
        <v>158.84782378481412</v>
      </c>
      <c r="E342" s="12">
        <f t="shared" si="5"/>
        <v>41780</v>
      </c>
    </row>
    <row r="343" spans="1:5" x14ac:dyDescent="0.25">
      <c r="A343" s="2">
        <f>IF(B343="","",SUBTOTAL(3,$B$2:B343))</f>
        <v>342</v>
      </c>
      <c r="B343" s="9" t="s">
        <v>51</v>
      </c>
      <c r="C343" s="10" t="s">
        <v>52</v>
      </c>
      <c r="D343" s="11">
        <v>158.84782378481412</v>
      </c>
      <c r="E343" s="12">
        <f t="shared" si="5"/>
        <v>41781</v>
      </c>
    </row>
    <row r="344" spans="1:5" x14ac:dyDescent="0.25">
      <c r="A344" s="2">
        <f>IF(B344="","",SUBTOTAL(3,$B$2:B344))</f>
        <v>343</v>
      </c>
      <c r="B344" s="9" t="s">
        <v>48</v>
      </c>
      <c r="C344" s="10" t="s">
        <v>49</v>
      </c>
      <c r="D344" s="11">
        <v>16.890727335401586</v>
      </c>
      <c r="E344" s="12">
        <f t="shared" si="5"/>
        <v>41782</v>
      </c>
    </row>
    <row r="345" spans="1:5" x14ac:dyDescent="0.25">
      <c r="A345" s="2">
        <f>IF(B345="","",SUBTOTAL(3,$B$2:B345))</f>
        <v>344</v>
      </c>
      <c r="B345" s="9" t="s">
        <v>55</v>
      </c>
      <c r="C345" s="10" t="s">
        <v>54</v>
      </c>
      <c r="D345" s="11">
        <v>16.337999999999997</v>
      </c>
      <c r="E345" s="12">
        <f t="shared" si="5"/>
        <v>41783</v>
      </c>
    </row>
    <row r="346" spans="1:5" x14ac:dyDescent="0.25">
      <c r="A346" s="2">
        <f>IF(B346="","",SUBTOTAL(3,$B$2:B346))</f>
        <v>345</v>
      </c>
      <c r="B346" s="9" t="s">
        <v>51</v>
      </c>
      <c r="C346" s="10" t="s">
        <v>54</v>
      </c>
      <c r="D346" s="11">
        <v>52.949274594938046</v>
      </c>
      <c r="E346" s="12">
        <f t="shared" si="5"/>
        <v>41784</v>
      </c>
    </row>
    <row r="347" spans="1:5" x14ac:dyDescent="0.25">
      <c r="A347" s="2">
        <f>IF(B347="","",SUBTOTAL(3,$B$2:B347))</f>
        <v>346</v>
      </c>
      <c r="B347" s="9" t="s">
        <v>51</v>
      </c>
      <c r="C347" s="10" t="s">
        <v>49</v>
      </c>
      <c r="D347" s="11">
        <v>52.949274594938046</v>
      </c>
      <c r="E347" s="12">
        <f t="shared" si="5"/>
        <v>41785</v>
      </c>
    </row>
    <row r="348" spans="1:5" x14ac:dyDescent="0.25">
      <c r="A348" s="2">
        <f>IF(B348="","",SUBTOTAL(3,$B$2:B348))</f>
        <v>347</v>
      </c>
      <c r="B348" s="9" t="s">
        <v>50</v>
      </c>
      <c r="C348" s="10" t="s">
        <v>49</v>
      </c>
      <c r="D348" s="11">
        <v>88.183421516754848</v>
      </c>
      <c r="E348" s="12">
        <f t="shared" si="5"/>
        <v>41786</v>
      </c>
    </row>
    <row r="349" spans="1:5" x14ac:dyDescent="0.25">
      <c r="A349" s="2">
        <f>IF(B349="","",SUBTOTAL(3,$B$2:B349))</f>
        <v>348</v>
      </c>
      <c r="B349" s="9" t="s">
        <v>50</v>
      </c>
      <c r="C349" s="10" t="s">
        <v>54</v>
      </c>
      <c r="D349" s="11">
        <v>123.4567901234568</v>
      </c>
      <c r="E349" s="12">
        <f t="shared" si="5"/>
        <v>41787</v>
      </c>
    </row>
    <row r="350" spans="1:5" x14ac:dyDescent="0.25">
      <c r="A350" s="2">
        <f>IF(B350="","",SUBTOTAL(3,$B$2:B350))</f>
        <v>349</v>
      </c>
      <c r="B350" s="9" t="s">
        <v>50</v>
      </c>
      <c r="C350" s="10" t="s">
        <v>49</v>
      </c>
      <c r="D350" s="11">
        <v>132.27513227513228</v>
      </c>
      <c r="E350" s="12">
        <f t="shared" si="5"/>
        <v>41788</v>
      </c>
    </row>
    <row r="351" spans="1:5" x14ac:dyDescent="0.25">
      <c r="A351" s="2">
        <f>IF(B351="","",SUBTOTAL(3,$B$2:B351))</f>
        <v>350</v>
      </c>
      <c r="B351" s="9" t="s">
        <v>50</v>
      </c>
      <c r="C351" s="10" t="s">
        <v>52</v>
      </c>
      <c r="D351" s="11">
        <v>66.137566137566139</v>
      </c>
      <c r="E351" s="12">
        <f t="shared" si="5"/>
        <v>41789</v>
      </c>
    </row>
    <row r="352" spans="1:5" x14ac:dyDescent="0.25">
      <c r="A352" s="2">
        <f>IF(B352="","",SUBTOTAL(3,$B$2:B352))</f>
        <v>351</v>
      </c>
      <c r="B352" s="9" t="s">
        <v>48</v>
      </c>
      <c r="C352" s="10" t="s">
        <v>49</v>
      </c>
      <c r="D352" s="11">
        <v>37.430683918669132</v>
      </c>
      <c r="E352" s="12">
        <f t="shared" si="5"/>
        <v>41790</v>
      </c>
    </row>
    <row r="353" spans="1:5" x14ac:dyDescent="0.25">
      <c r="A353" s="2">
        <f>IF(B353="","",SUBTOTAL(3,$B$2:B353))</f>
        <v>352</v>
      </c>
      <c r="B353" s="9" t="s">
        <v>55</v>
      </c>
      <c r="C353" s="10" t="s">
        <v>49</v>
      </c>
      <c r="D353" s="11">
        <v>3.2097576632964211</v>
      </c>
      <c r="E353" s="12">
        <f t="shared" si="5"/>
        <v>41791</v>
      </c>
    </row>
    <row r="354" spans="1:5" x14ac:dyDescent="0.25">
      <c r="A354" s="2">
        <f>IF(B354="","",SUBTOTAL(3,$B$2:B354))</f>
        <v>353</v>
      </c>
      <c r="B354" s="9" t="s">
        <v>55</v>
      </c>
      <c r="C354" s="10" t="s">
        <v>52</v>
      </c>
      <c r="D354" s="11">
        <v>3.4906114588348585</v>
      </c>
      <c r="E354" s="12">
        <f t="shared" si="5"/>
        <v>41792</v>
      </c>
    </row>
    <row r="355" spans="1:5" x14ac:dyDescent="0.25">
      <c r="A355" s="2">
        <f>IF(B355="","",SUBTOTAL(3,$B$2:B355))</f>
        <v>354</v>
      </c>
      <c r="B355" s="9" t="s">
        <v>53</v>
      </c>
      <c r="C355" s="10" t="s">
        <v>54</v>
      </c>
      <c r="D355" s="11">
        <v>18.317198933939025</v>
      </c>
      <c r="E355" s="12">
        <f t="shared" si="5"/>
        <v>41793</v>
      </c>
    </row>
    <row r="356" spans="1:5" x14ac:dyDescent="0.25">
      <c r="A356" s="2">
        <f>IF(B356="","",SUBTOTAL(3,$B$2:B356))</f>
        <v>355</v>
      </c>
      <c r="B356" s="9" t="s">
        <v>50</v>
      </c>
      <c r="C356" s="10" t="s">
        <v>52</v>
      </c>
      <c r="D356" s="11">
        <v>44.091710758377424</v>
      </c>
      <c r="E356" s="12">
        <f t="shared" si="5"/>
        <v>41794</v>
      </c>
    </row>
    <row r="357" spans="1:5" x14ac:dyDescent="0.25">
      <c r="A357" s="2">
        <f>IF(B357="","",SUBTOTAL(3,$B$2:B357))</f>
        <v>356</v>
      </c>
      <c r="B357" s="9" t="s">
        <v>51</v>
      </c>
      <c r="C357" s="10" t="s">
        <v>49</v>
      </c>
      <c r="D357" s="11">
        <v>40.515355319666149</v>
      </c>
      <c r="E357" s="12">
        <f t="shared" si="5"/>
        <v>41795</v>
      </c>
    </row>
    <row r="358" spans="1:5" x14ac:dyDescent="0.25">
      <c r="A358" s="2">
        <f>IF(B358="","",SUBTOTAL(3,$B$2:B358))</f>
        <v>357</v>
      </c>
      <c r="B358" s="9" t="s">
        <v>51</v>
      </c>
      <c r="C358" s="10" t="s">
        <v>56</v>
      </c>
      <c r="D358" s="11">
        <v>810.30710639332301</v>
      </c>
      <c r="E358" s="12">
        <f t="shared" si="5"/>
        <v>41796</v>
      </c>
    </row>
    <row r="359" spans="1:5" x14ac:dyDescent="0.25">
      <c r="A359" s="2">
        <f>IF(B359="","",SUBTOTAL(3,$B$2:B359))</f>
        <v>358</v>
      </c>
      <c r="B359" s="9" t="s">
        <v>50</v>
      </c>
      <c r="C359" s="10" t="s">
        <v>49</v>
      </c>
      <c r="D359" s="11">
        <v>110.22927689594357</v>
      </c>
      <c r="E359" s="12">
        <f t="shared" si="5"/>
        <v>41797</v>
      </c>
    </row>
    <row r="360" spans="1:5" x14ac:dyDescent="0.25">
      <c r="A360" s="2">
        <f>IF(B360="","",SUBTOTAL(3,$B$2:B360))</f>
        <v>359</v>
      </c>
      <c r="B360" s="9" t="s">
        <v>55</v>
      </c>
      <c r="C360" s="10" t="s">
        <v>49</v>
      </c>
      <c r="D360" s="11">
        <v>0.65</v>
      </c>
      <c r="E360" s="12">
        <f t="shared" si="5"/>
        <v>41798</v>
      </c>
    </row>
    <row r="361" spans="1:5" x14ac:dyDescent="0.25">
      <c r="A361" s="2">
        <f>IF(B361="","",SUBTOTAL(3,$B$2:B361))</f>
        <v>360</v>
      </c>
      <c r="B361" s="9" t="s">
        <v>51</v>
      </c>
      <c r="C361" s="10" t="s">
        <v>52</v>
      </c>
      <c r="D361" s="11">
        <v>16.20614212786646</v>
      </c>
      <c r="E361" s="12">
        <f t="shared" si="5"/>
        <v>41799</v>
      </c>
    </row>
    <row r="362" spans="1:5" x14ac:dyDescent="0.25">
      <c r="A362" s="2">
        <f>IF(B362="","",SUBTOTAL(3,$B$2:B362))</f>
        <v>361</v>
      </c>
      <c r="B362" s="9" t="s">
        <v>51</v>
      </c>
      <c r="C362" s="10" t="s">
        <v>52</v>
      </c>
      <c r="D362" s="11">
        <v>105.89854918987609</v>
      </c>
      <c r="E362" s="12">
        <f t="shared" si="5"/>
        <v>41800</v>
      </c>
    </row>
    <row r="363" spans="1:5" x14ac:dyDescent="0.25">
      <c r="A363" s="2">
        <f>IF(B363="","",SUBTOTAL(3,$B$2:B363))</f>
        <v>362</v>
      </c>
      <c r="B363" s="9" t="s">
        <v>50</v>
      </c>
      <c r="C363" s="10" t="s">
        <v>49</v>
      </c>
      <c r="D363" s="11">
        <v>0.05</v>
      </c>
      <c r="E363" s="12">
        <f t="shared" si="5"/>
        <v>41801</v>
      </c>
    </row>
    <row r="364" spans="1:5" x14ac:dyDescent="0.25">
      <c r="A364" s="2">
        <f>IF(B364="","",SUBTOTAL(3,$B$2:B364))</f>
        <v>363</v>
      </c>
      <c r="B364" s="9" t="s">
        <v>55</v>
      </c>
      <c r="C364" s="10" t="s">
        <v>49</v>
      </c>
      <c r="D364" s="11">
        <v>65.178425941013529</v>
      </c>
      <c r="E364" s="12">
        <f t="shared" si="5"/>
        <v>41802</v>
      </c>
    </row>
    <row r="365" spans="1:5" x14ac:dyDescent="0.25">
      <c r="A365" s="2">
        <f>IF(B365="","",SUBTOTAL(3,$B$2:B365))</f>
        <v>364</v>
      </c>
      <c r="B365" s="9" t="s">
        <v>51</v>
      </c>
      <c r="C365" s="10" t="s">
        <v>52</v>
      </c>
      <c r="D365" s="11">
        <v>52.949274594938046</v>
      </c>
      <c r="E365" s="12">
        <f t="shared" si="5"/>
        <v>41803</v>
      </c>
    </row>
    <row r="366" spans="1:5" x14ac:dyDescent="0.25">
      <c r="A366" s="2">
        <f>IF(B366="","",SUBTOTAL(3,$B$2:B366))</f>
        <v>365</v>
      </c>
      <c r="B366" s="9" t="s">
        <v>51</v>
      </c>
      <c r="C366" s="10" t="s">
        <v>49</v>
      </c>
      <c r="D366" s="11">
        <v>74.294141479620762</v>
      </c>
      <c r="E366" s="12">
        <f t="shared" si="5"/>
        <v>41804</v>
      </c>
    </row>
    <row r="367" spans="1:5" x14ac:dyDescent="0.25">
      <c r="A367" s="2">
        <f>IF(B367="","",SUBTOTAL(3,$B$2:B367))</f>
        <v>366</v>
      </c>
      <c r="B367" s="9" t="s">
        <v>50</v>
      </c>
      <c r="C367" s="10" t="s">
        <v>49</v>
      </c>
      <c r="D367" s="11">
        <v>370.5</v>
      </c>
      <c r="E367" s="12">
        <f t="shared" si="5"/>
        <v>41805</v>
      </c>
    </row>
    <row r="368" spans="1:5" x14ac:dyDescent="0.25">
      <c r="A368" s="2">
        <f>IF(B368="","",SUBTOTAL(3,$B$2:B368))</f>
        <v>367</v>
      </c>
      <c r="B368" s="9" t="s">
        <v>48</v>
      </c>
      <c r="C368" s="10" t="s">
        <v>49</v>
      </c>
      <c r="D368" s="11">
        <v>17.235436056532226</v>
      </c>
      <c r="E368" s="12">
        <f t="shared" si="5"/>
        <v>41806</v>
      </c>
    </row>
    <row r="369" spans="1:5" x14ac:dyDescent="0.25">
      <c r="A369" s="2">
        <f>IF(B369="","",SUBTOTAL(3,$B$2:B369))</f>
        <v>368</v>
      </c>
      <c r="B369" s="9" t="s">
        <v>48</v>
      </c>
      <c r="C369" s="10" t="s">
        <v>49</v>
      </c>
      <c r="D369" s="11">
        <v>26.859301324630941</v>
      </c>
      <c r="E369" s="12">
        <f t="shared" si="5"/>
        <v>41807</v>
      </c>
    </row>
    <row r="370" spans="1:5" x14ac:dyDescent="0.25">
      <c r="A370" s="2">
        <f>IF(B370="","",SUBTOTAL(3,$B$2:B370))</f>
        <v>369</v>
      </c>
      <c r="B370" s="9" t="s">
        <v>48</v>
      </c>
      <c r="C370" s="10" t="s">
        <v>49</v>
      </c>
      <c r="D370" s="11">
        <v>6.1481633754320146</v>
      </c>
      <c r="E370" s="12">
        <f t="shared" si="5"/>
        <v>41808</v>
      </c>
    </row>
    <row r="371" spans="1:5" x14ac:dyDescent="0.25">
      <c r="A371" s="2">
        <f>IF(B371="","",SUBTOTAL(3,$B$2:B371))</f>
        <v>370</v>
      </c>
      <c r="B371" s="9" t="s">
        <v>48</v>
      </c>
      <c r="C371" s="10" t="s">
        <v>49</v>
      </c>
      <c r="D371" s="11">
        <v>26.859301324630941</v>
      </c>
      <c r="E371" s="12">
        <f t="shared" si="5"/>
        <v>41809</v>
      </c>
    </row>
    <row r="372" spans="1:5" x14ac:dyDescent="0.25">
      <c r="A372" s="2">
        <f>IF(B372="","",SUBTOTAL(3,$B$2:B372))</f>
        <v>371</v>
      </c>
      <c r="B372" s="9" t="s">
        <v>48</v>
      </c>
      <c r="C372" s="10" t="s">
        <v>49</v>
      </c>
      <c r="D372" s="11">
        <v>17.235436056532226</v>
      </c>
      <c r="E372" s="12">
        <f t="shared" si="5"/>
        <v>41810</v>
      </c>
    </row>
    <row r="373" spans="1:5" x14ac:dyDescent="0.25">
      <c r="A373" s="2">
        <f>IF(B373="","",SUBTOTAL(3,$B$2:B373))</f>
        <v>372</v>
      </c>
      <c r="B373" s="9" t="s">
        <v>55</v>
      </c>
      <c r="C373" s="10" t="s">
        <v>52</v>
      </c>
      <c r="D373" s="11">
        <v>82.372809413189259</v>
      </c>
      <c r="E373" s="12">
        <f t="shared" si="5"/>
        <v>41811</v>
      </c>
    </row>
    <row r="374" spans="1:5" x14ac:dyDescent="0.25">
      <c r="A374" s="2">
        <f>IF(B374="","",SUBTOTAL(3,$B$2:B374))</f>
        <v>373</v>
      </c>
      <c r="B374" s="9" t="s">
        <v>50</v>
      </c>
      <c r="C374" s="10" t="s">
        <v>52</v>
      </c>
      <c r="D374" s="11">
        <v>88.183421516754848</v>
      </c>
      <c r="E374" s="12">
        <f t="shared" si="5"/>
        <v>41812</v>
      </c>
    </row>
    <row r="375" spans="1:5" x14ac:dyDescent="0.25">
      <c r="A375" s="2">
        <f>IF(B375="","",SUBTOTAL(3,$B$2:B375))</f>
        <v>374</v>
      </c>
      <c r="B375" s="9" t="s">
        <v>48</v>
      </c>
      <c r="C375" s="10" t="s">
        <v>52</v>
      </c>
      <c r="D375" s="11">
        <v>1232.2858903265558</v>
      </c>
      <c r="E375" s="12">
        <f t="shared" si="5"/>
        <v>41813</v>
      </c>
    </row>
    <row r="376" spans="1:5" x14ac:dyDescent="0.25">
      <c r="A376" s="2">
        <f>IF(B376="","",SUBTOTAL(3,$B$2:B376))</f>
        <v>375</v>
      </c>
      <c r="B376" s="9" t="s">
        <v>50</v>
      </c>
      <c r="C376" s="10" t="s">
        <v>54</v>
      </c>
      <c r="D376" s="11">
        <v>6.6137566137566139</v>
      </c>
      <c r="E376" s="12">
        <f t="shared" si="5"/>
        <v>41814</v>
      </c>
    </row>
    <row r="377" spans="1:5" x14ac:dyDescent="0.25">
      <c r="A377" s="2">
        <f>IF(B377="","",SUBTOTAL(3,$B$2:B377))</f>
        <v>376</v>
      </c>
      <c r="B377" s="9" t="s">
        <v>51</v>
      </c>
      <c r="C377" s="10" t="s">
        <v>49</v>
      </c>
      <c r="D377" s="11">
        <v>317.69564756962825</v>
      </c>
      <c r="E377" s="12">
        <f t="shared" si="5"/>
        <v>41815</v>
      </c>
    </row>
    <row r="378" spans="1:5" x14ac:dyDescent="0.25">
      <c r="A378" s="2">
        <f>IF(B378="","",SUBTOTAL(3,$B$2:B378))</f>
        <v>377</v>
      </c>
      <c r="B378" s="9" t="s">
        <v>51</v>
      </c>
      <c r="C378" s="10" t="s">
        <v>49</v>
      </c>
      <c r="D378" s="11">
        <v>529.49274594938049</v>
      </c>
      <c r="E378" s="12">
        <f t="shared" si="5"/>
        <v>41816</v>
      </c>
    </row>
    <row r="379" spans="1:5" x14ac:dyDescent="0.25">
      <c r="A379" s="2">
        <f>IF(B379="","",SUBTOTAL(3,$B$2:B379))</f>
        <v>378</v>
      </c>
      <c r="B379" s="9" t="s">
        <v>55</v>
      </c>
      <c r="C379" s="10" t="s">
        <v>49</v>
      </c>
      <c r="D379" s="11">
        <v>12</v>
      </c>
      <c r="E379" s="12">
        <f t="shared" si="5"/>
        <v>41817</v>
      </c>
    </row>
    <row r="380" spans="1:5" x14ac:dyDescent="0.25">
      <c r="A380" s="2">
        <f>IF(B380="","",SUBTOTAL(3,$B$2:B380))</f>
        <v>379</v>
      </c>
      <c r="B380" s="9" t="s">
        <v>50</v>
      </c>
      <c r="C380" s="10" t="s">
        <v>57</v>
      </c>
      <c r="D380" s="11">
        <v>110.22927689594357</v>
      </c>
      <c r="E380" s="12">
        <f t="shared" si="5"/>
        <v>41818</v>
      </c>
    </row>
    <row r="381" spans="1:5" x14ac:dyDescent="0.25">
      <c r="A381" s="2">
        <f>IF(B381="","",SUBTOTAL(3,$B$2:B381))</f>
        <v>380</v>
      </c>
      <c r="B381" s="9" t="s">
        <v>50</v>
      </c>
      <c r="C381" s="10" t="s">
        <v>49</v>
      </c>
      <c r="D381" s="11">
        <v>154.32098765432099</v>
      </c>
      <c r="E381" s="12">
        <f t="shared" si="5"/>
        <v>41819</v>
      </c>
    </row>
    <row r="382" spans="1:5" x14ac:dyDescent="0.25">
      <c r="A382" s="2">
        <f>IF(B382="","",SUBTOTAL(3,$B$2:B382))</f>
        <v>381</v>
      </c>
      <c r="B382" s="9" t="s">
        <v>55</v>
      </c>
      <c r="C382" s="10" t="s">
        <v>52</v>
      </c>
      <c r="D382" s="11">
        <v>197.4242713399185</v>
      </c>
      <c r="E382" s="12">
        <f t="shared" si="5"/>
        <v>41820</v>
      </c>
    </row>
    <row r="383" spans="1:5" x14ac:dyDescent="0.25">
      <c r="A383" s="2">
        <f>IF(B383="","",SUBTOTAL(3,$B$2:B383))</f>
        <v>382</v>
      </c>
      <c r="B383" s="9" t="s">
        <v>53</v>
      </c>
      <c r="C383" s="10" t="s">
        <v>49</v>
      </c>
      <c r="D383" s="11">
        <v>87.739382893567921</v>
      </c>
      <c r="E383" s="12">
        <f t="shared" si="5"/>
        <v>41821</v>
      </c>
    </row>
    <row r="384" spans="1:5" x14ac:dyDescent="0.25">
      <c r="A384" s="2">
        <f>IF(B384="","",SUBTOTAL(3,$B$2:B384))</f>
        <v>383</v>
      </c>
      <c r="B384" s="9" t="s">
        <v>53</v>
      </c>
      <c r="C384" s="10" t="s">
        <v>49</v>
      </c>
      <c r="D384" s="11">
        <v>73.2687957357561</v>
      </c>
      <c r="E384" s="12">
        <f t="shared" si="5"/>
        <v>41822</v>
      </c>
    </row>
    <row r="385" spans="1:5" x14ac:dyDescent="0.25">
      <c r="A385" s="2">
        <f>IF(B385="","",SUBTOTAL(3,$B$2:B385))</f>
        <v>384</v>
      </c>
      <c r="B385" s="9" t="s">
        <v>53</v>
      </c>
      <c r="C385" s="10" t="s">
        <v>49</v>
      </c>
      <c r="D385" s="11">
        <v>9.1585994669695116E-7</v>
      </c>
      <c r="E385" s="12">
        <f t="shared" si="5"/>
        <v>41823</v>
      </c>
    </row>
    <row r="386" spans="1:5" x14ac:dyDescent="0.25">
      <c r="A386" s="2">
        <f>IF(B386="","",SUBTOTAL(3,$B$2:B386))</f>
        <v>385</v>
      </c>
      <c r="B386" s="9" t="s">
        <v>53</v>
      </c>
      <c r="C386" s="10" t="s">
        <v>49</v>
      </c>
      <c r="D386" s="11">
        <v>9.1585994669695116E-7</v>
      </c>
      <c r="E386" s="12">
        <f t="shared" si="5"/>
        <v>41824</v>
      </c>
    </row>
    <row r="387" spans="1:5" x14ac:dyDescent="0.25">
      <c r="A387" s="2">
        <f>IF(B387="","",SUBTOTAL(3,$B$2:B387))</f>
        <v>386</v>
      </c>
      <c r="B387" s="9" t="s">
        <v>48</v>
      </c>
      <c r="C387" s="10" t="s">
        <v>49</v>
      </c>
      <c r="D387" s="11">
        <v>137.88348845225781</v>
      </c>
      <c r="E387" s="12">
        <f t="shared" si="5"/>
        <v>41825</v>
      </c>
    </row>
    <row r="388" spans="1:5" x14ac:dyDescent="0.25">
      <c r="A388" s="2">
        <f>IF(B388="","",SUBTOTAL(3,$B$2:B388))</f>
        <v>387</v>
      </c>
      <c r="B388" s="9" t="s">
        <v>53</v>
      </c>
      <c r="C388" s="10" t="s">
        <v>49</v>
      </c>
      <c r="D388" s="11">
        <v>183.17198933939025</v>
      </c>
      <c r="E388" s="12">
        <f t="shared" ref="E388:E451" si="6">E387+1</f>
        <v>41826</v>
      </c>
    </row>
    <row r="389" spans="1:5" x14ac:dyDescent="0.25">
      <c r="A389" s="2">
        <f>IF(B389="","",SUBTOTAL(3,$B$2:B389))</f>
        <v>388</v>
      </c>
      <c r="B389" s="9" t="s">
        <v>48</v>
      </c>
      <c r="C389" s="10" t="s">
        <v>54</v>
      </c>
      <c r="D389" s="11">
        <v>9.2421441774491679</v>
      </c>
      <c r="E389" s="12">
        <f t="shared" si="6"/>
        <v>41827</v>
      </c>
    </row>
    <row r="390" spans="1:5" x14ac:dyDescent="0.25">
      <c r="A390" s="2">
        <f>IF(B390="","",SUBTOTAL(3,$B$2:B390))</f>
        <v>389</v>
      </c>
      <c r="B390" s="9" t="s">
        <v>50</v>
      </c>
      <c r="C390" s="10" t="s">
        <v>49</v>
      </c>
      <c r="D390" s="11">
        <v>10.45494841519664</v>
      </c>
      <c r="E390" s="12">
        <f t="shared" si="6"/>
        <v>41828</v>
      </c>
    </row>
    <row r="391" spans="1:5" x14ac:dyDescent="0.25">
      <c r="A391" s="2">
        <f>IF(B391="","",SUBTOTAL(3,$B$2:B391))</f>
        <v>390</v>
      </c>
      <c r="B391" s="9" t="s">
        <v>48</v>
      </c>
      <c r="C391" s="10" t="s">
        <v>49</v>
      </c>
      <c r="D391" s="11">
        <v>4.529698199992291</v>
      </c>
      <c r="E391" s="12">
        <f t="shared" si="6"/>
        <v>41829</v>
      </c>
    </row>
    <row r="392" spans="1:5" x14ac:dyDescent="0.25">
      <c r="A392" s="2">
        <f>IF(B392="","",SUBTOTAL(3,$B$2:B392))</f>
        <v>391</v>
      </c>
      <c r="B392" s="9" t="s">
        <v>55</v>
      </c>
      <c r="C392" s="10" t="s">
        <v>52</v>
      </c>
      <c r="D392" s="11">
        <v>329.04045223319753</v>
      </c>
      <c r="E392" s="12">
        <f t="shared" si="6"/>
        <v>41830</v>
      </c>
    </row>
    <row r="393" spans="1:5" x14ac:dyDescent="0.25">
      <c r="A393" s="2">
        <f>IF(B393="","",SUBTOTAL(3,$B$2:B393))</f>
        <v>392</v>
      </c>
      <c r="B393" s="9" t="s">
        <v>55</v>
      </c>
      <c r="C393" s="10" t="s">
        <v>52</v>
      </c>
      <c r="D393" s="11">
        <v>39.049937979510275</v>
      </c>
      <c r="E393" s="12">
        <f t="shared" si="6"/>
        <v>41831</v>
      </c>
    </row>
    <row r="394" spans="1:5" x14ac:dyDescent="0.25">
      <c r="A394" s="2">
        <f>IF(B394="","",SUBTOTAL(3,$B$2:B394))</f>
        <v>393</v>
      </c>
      <c r="B394" s="9" t="s">
        <v>55</v>
      </c>
      <c r="C394" s="10" t="s">
        <v>52</v>
      </c>
      <c r="D394" s="11">
        <v>91.882207010612404</v>
      </c>
      <c r="E394" s="12">
        <f t="shared" si="6"/>
        <v>41832</v>
      </c>
    </row>
    <row r="395" spans="1:5" x14ac:dyDescent="0.25">
      <c r="A395" s="2">
        <f>IF(B395="","",SUBTOTAL(3,$B$2:B395))</f>
        <v>394</v>
      </c>
      <c r="B395" s="9" t="s">
        <v>50</v>
      </c>
      <c r="C395" s="10" t="s">
        <v>52</v>
      </c>
      <c r="D395" s="11">
        <v>132.27513227513228</v>
      </c>
      <c r="E395" s="12">
        <f t="shared" si="6"/>
        <v>41833</v>
      </c>
    </row>
    <row r="396" spans="1:5" x14ac:dyDescent="0.25">
      <c r="A396" s="2">
        <f>IF(B396="","",SUBTOTAL(3,$B$2:B396))</f>
        <v>395</v>
      </c>
      <c r="B396" s="9" t="s">
        <v>50</v>
      </c>
      <c r="C396" s="10" t="s">
        <v>49</v>
      </c>
      <c r="D396" s="11">
        <v>70.546737213403873</v>
      </c>
      <c r="E396" s="12">
        <f t="shared" si="6"/>
        <v>41834</v>
      </c>
    </row>
    <row r="397" spans="1:5" x14ac:dyDescent="0.25">
      <c r="A397" s="2">
        <f>IF(B397="","",SUBTOTAL(3,$B$2:B397))</f>
        <v>396</v>
      </c>
      <c r="B397" s="9" t="s">
        <v>50</v>
      </c>
      <c r="C397" s="10" t="s">
        <v>52</v>
      </c>
      <c r="D397" s="11">
        <v>132.27513227513228</v>
      </c>
      <c r="E397" s="12">
        <f t="shared" si="6"/>
        <v>41835</v>
      </c>
    </row>
    <row r="398" spans="1:5" x14ac:dyDescent="0.25">
      <c r="A398" s="2">
        <f>IF(B398="","",SUBTOTAL(3,$B$2:B398))</f>
        <v>397</v>
      </c>
      <c r="B398" s="9" t="s">
        <v>55</v>
      </c>
      <c r="C398" s="10" t="s">
        <v>52</v>
      </c>
      <c r="D398" s="11">
        <v>263.23236178655804</v>
      </c>
      <c r="E398" s="12">
        <f t="shared" si="6"/>
        <v>41836</v>
      </c>
    </row>
    <row r="399" spans="1:5" x14ac:dyDescent="0.25">
      <c r="A399" s="2">
        <f>IF(B399="","",SUBTOTAL(3,$B$2:B399))</f>
        <v>398</v>
      </c>
      <c r="B399" s="9" t="s">
        <v>48</v>
      </c>
      <c r="C399" s="10" t="s">
        <v>56</v>
      </c>
      <c r="D399" s="11">
        <v>19.27203114360233</v>
      </c>
      <c r="E399" s="12">
        <f t="shared" si="6"/>
        <v>41837</v>
      </c>
    </row>
    <row r="400" spans="1:5" x14ac:dyDescent="0.25">
      <c r="A400" s="2">
        <f>IF(B400="","",SUBTOTAL(3,$B$2:B400))</f>
        <v>399</v>
      </c>
      <c r="B400" s="9" t="s">
        <v>55</v>
      </c>
      <c r="C400" s="10" t="s">
        <v>52</v>
      </c>
      <c r="D400" s="11">
        <v>329.04045223319753</v>
      </c>
      <c r="E400" s="12">
        <f t="shared" si="6"/>
        <v>41838</v>
      </c>
    </row>
    <row r="401" spans="1:5" x14ac:dyDescent="0.25">
      <c r="A401" s="2">
        <f>IF(B401="","",SUBTOTAL(3,$B$2:B401))</f>
        <v>400</v>
      </c>
      <c r="B401" s="9" t="s">
        <v>55</v>
      </c>
      <c r="C401" s="10" t="s">
        <v>52</v>
      </c>
      <c r="D401" s="11">
        <v>131.61618089327902</v>
      </c>
      <c r="E401" s="12">
        <f t="shared" si="6"/>
        <v>41839</v>
      </c>
    </row>
    <row r="402" spans="1:5" x14ac:dyDescent="0.25">
      <c r="A402" s="2">
        <f>IF(B402="","",SUBTOTAL(3,$B$2:B402))</f>
        <v>401</v>
      </c>
      <c r="B402" s="9" t="s">
        <v>50</v>
      </c>
      <c r="C402" s="10" t="s">
        <v>52</v>
      </c>
      <c r="D402" s="11">
        <v>132.27513227513228</v>
      </c>
      <c r="E402" s="12">
        <f t="shared" si="6"/>
        <v>41840</v>
      </c>
    </row>
    <row r="403" spans="1:5" x14ac:dyDescent="0.25">
      <c r="A403" s="2">
        <f>IF(B403="","",SUBTOTAL(3,$B$2:B403))</f>
        <v>402</v>
      </c>
      <c r="B403" s="9" t="s">
        <v>55</v>
      </c>
      <c r="C403" s="10" t="s">
        <v>52</v>
      </c>
      <c r="D403" s="11">
        <v>658.08090446639505</v>
      </c>
      <c r="E403" s="12">
        <f t="shared" si="6"/>
        <v>41841</v>
      </c>
    </row>
    <row r="404" spans="1:5" x14ac:dyDescent="0.25">
      <c r="A404" s="2">
        <f>IF(B404="","",SUBTOTAL(3,$B$2:B404))</f>
        <v>403</v>
      </c>
      <c r="B404" s="9" t="s">
        <v>55</v>
      </c>
      <c r="C404" s="10" t="s">
        <v>52</v>
      </c>
      <c r="D404" s="11">
        <v>329.04045223319753</v>
      </c>
      <c r="E404" s="12">
        <f t="shared" si="6"/>
        <v>41842</v>
      </c>
    </row>
    <row r="405" spans="1:5" x14ac:dyDescent="0.25">
      <c r="A405" s="2">
        <f>IF(B405="","",SUBTOTAL(3,$B$2:B405))</f>
        <v>404</v>
      </c>
      <c r="B405" s="9" t="s">
        <v>50</v>
      </c>
      <c r="C405" s="10" t="s">
        <v>49</v>
      </c>
      <c r="D405" s="11">
        <v>220.45855379188714</v>
      </c>
      <c r="E405" s="12">
        <f t="shared" si="6"/>
        <v>41843</v>
      </c>
    </row>
    <row r="406" spans="1:5" x14ac:dyDescent="0.25">
      <c r="A406" s="2">
        <f>IF(B406="","",SUBTOTAL(3,$B$2:B406))</f>
        <v>405</v>
      </c>
      <c r="B406" s="9" t="s">
        <v>55</v>
      </c>
      <c r="C406" s="10" t="s">
        <v>49</v>
      </c>
      <c r="D406" s="11">
        <v>97.767638911520294</v>
      </c>
      <c r="E406" s="12">
        <f t="shared" si="6"/>
        <v>41844</v>
      </c>
    </row>
    <row r="407" spans="1:5" x14ac:dyDescent="0.25">
      <c r="A407" s="2">
        <f>IF(B407="","",SUBTOTAL(3,$B$2:B407))</f>
        <v>406</v>
      </c>
      <c r="B407" s="9" t="s">
        <v>51</v>
      </c>
      <c r="C407" s="10" t="s">
        <v>54</v>
      </c>
      <c r="D407" s="11">
        <v>52.949274594938046</v>
      </c>
      <c r="E407" s="12">
        <f t="shared" si="6"/>
        <v>41845</v>
      </c>
    </row>
    <row r="408" spans="1:5" x14ac:dyDescent="0.25">
      <c r="A408" s="2">
        <f>IF(B408="","",SUBTOTAL(3,$B$2:B408))</f>
        <v>407</v>
      </c>
      <c r="B408" s="9" t="s">
        <v>51</v>
      </c>
      <c r="C408" s="10" t="s">
        <v>54</v>
      </c>
      <c r="D408" s="11">
        <v>52.949274594938046</v>
      </c>
      <c r="E408" s="12">
        <f t="shared" si="6"/>
        <v>41846</v>
      </c>
    </row>
    <row r="409" spans="1:5" x14ac:dyDescent="0.25">
      <c r="A409" s="2">
        <f>IF(B409="","",SUBTOTAL(3,$B$2:B409))</f>
        <v>408</v>
      </c>
      <c r="B409" s="9" t="s">
        <v>50</v>
      </c>
      <c r="C409" s="10" t="s">
        <v>49</v>
      </c>
      <c r="D409" s="11">
        <v>33.06878306878307</v>
      </c>
      <c r="E409" s="12">
        <f t="shared" si="6"/>
        <v>41847</v>
      </c>
    </row>
    <row r="410" spans="1:5" x14ac:dyDescent="0.25">
      <c r="A410" s="2">
        <f>IF(B410="","",SUBTOTAL(3,$B$2:B410))</f>
        <v>409</v>
      </c>
      <c r="B410" s="9" t="s">
        <v>50</v>
      </c>
      <c r="C410" s="10" t="s">
        <v>49</v>
      </c>
      <c r="D410" s="11">
        <v>136.68430335097003</v>
      </c>
      <c r="E410" s="12">
        <f t="shared" si="6"/>
        <v>41848</v>
      </c>
    </row>
    <row r="411" spans="1:5" x14ac:dyDescent="0.25">
      <c r="A411" s="2">
        <f>IF(B411="","",SUBTOTAL(3,$B$2:B411))</f>
        <v>410</v>
      </c>
      <c r="B411" s="9" t="s">
        <v>48</v>
      </c>
      <c r="C411" s="10" t="s">
        <v>49</v>
      </c>
      <c r="D411" s="11">
        <v>10.341261633919338</v>
      </c>
      <c r="E411" s="12">
        <f t="shared" si="6"/>
        <v>41849</v>
      </c>
    </row>
    <row r="412" spans="1:5" x14ac:dyDescent="0.25">
      <c r="A412" s="2">
        <f>IF(B412="","",SUBTOTAL(3,$B$2:B412))</f>
        <v>411</v>
      </c>
      <c r="B412" s="9" t="s">
        <v>55</v>
      </c>
      <c r="C412" s="10" t="s">
        <v>49</v>
      </c>
      <c r="D412" s="11">
        <v>260.71370376405412</v>
      </c>
      <c r="E412" s="12">
        <f t="shared" si="6"/>
        <v>41850</v>
      </c>
    </row>
    <row r="413" spans="1:5" x14ac:dyDescent="0.25">
      <c r="A413" s="2">
        <f>IF(B413="","",SUBTOTAL(3,$B$2:B413))</f>
        <v>412</v>
      </c>
      <c r="B413" s="9" t="s">
        <v>50</v>
      </c>
      <c r="C413" s="10" t="s">
        <v>49</v>
      </c>
      <c r="D413" s="11">
        <v>39.682539682539684</v>
      </c>
      <c r="E413" s="12">
        <f t="shared" si="6"/>
        <v>41851</v>
      </c>
    </row>
    <row r="414" spans="1:5" x14ac:dyDescent="0.25">
      <c r="A414" s="2">
        <f>IF(B414="","",SUBTOTAL(3,$B$2:B414))</f>
        <v>413</v>
      </c>
      <c r="B414" s="9" t="s">
        <v>50</v>
      </c>
      <c r="C414" s="10" t="s">
        <v>49</v>
      </c>
      <c r="D414" s="11">
        <v>14.690123456790122</v>
      </c>
      <c r="E414" s="12">
        <f t="shared" si="6"/>
        <v>41852</v>
      </c>
    </row>
    <row r="415" spans="1:5" x14ac:dyDescent="0.25">
      <c r="A415" s="2">
        <f>IF(B415="","",SUBTOTAL(3,$B$2:B415))</f>
        <v>414</v>
      </c>
      <c r="B415" s="9" t="s">
        <v>50</v>
      </c>
      <c r="C415" s="10" t="s">
        <v>49</v>
      </c>
      <c r="D415" s="11">
        <v>734.5064594356262</v>
      </c>
      <c r="E415" s="12">
        <f t="shared" si="6"/>
        <v>41853</v>
      </c>
    </row>
    <row r="416" spans="1:5" x14ac:dyDescent="0.25">
      <c r="A416" s="2">
        <f>IF(B416="","",SUBTOTAL(3,$B$2:B416))</f>
        <v>415</v>
      </c>
      <c r="B416" s="9" t="s">
        <v>51</v>
      </c>
      <c r="C416" s="10" t="s">
        <v>52</v>
      </c>
      <c r="D416" s="11">
        <v>105.89854918987609</v>
      </c>
      <c r="E416" s="12">
        <f t="shared" si="6"/>
        <v>41854</v>
      </c>
    </row>
    <row r="417" spans="1:5" x14ac:dyDescent="0.25">
      <c r="A417" s="2">
        <f>IF(B417="","",SUBTOTAL(3,$B$2:B417))</f>
        <v>416</v>
      </c>
      <c r="B417" s="9" t="s">
        <v>50</v>
      </c>
      <c r="C417" s="10" t="s">
        <v>52</v>
      </c>
      <c r="D417" s="11">
        <v>28.659611992945326</v>
      </c>
      <c r="E417" s="12">
        <f t="shared" si="6"/>
        <v>41855</v>
      </c>
    </row>
    <row r="418" spans="1:5" x14ac:dyDescent="0.25">
      <c r="A418" s="2">
        <f>IF(B418="","",SUBTOTAL(3,$B$2:B418))</f>
        <v>417</v>
      </c>
      <c r="B418" s="9" t="s">
        <v>48</v>
      </c>
      <c r="C418" s="10" t="s">
        <v>49</v>
      </c>
      <c r="D418" s="11">
        <v>25.696041524803107</v>
      </c>
      <c r="E418" s="12">
        <f t="shared" si="6"/>
        <v>41856</v>
      </c>
    </row>
    <row r="419" spans="1:5" x14ac:dyDescent="0.25">
      <c r="A419" s="2">
        <f>IF(B419="","",SUBTOTAL(3,$B$2:B419))</f>
        <v>418</v>
      </c>
      <c r="B419" s="9" t="s">
        <v>50</v>
      </c>
      <c r="C419" s="10" t="s">
        <v>49</v>
      </c>
      <c r="D419" s="11">
        <v>10.45494841519664</v>
      </c>
      <c r="E419" s="12">
        <f t="shared" si="6"/>
        <v>41857</v>
      </c>
    </row>
    <row r="420" spans="1:5" x14ac:dyDescent="0.25">
      <c r="A420" s="2">
        <f>IF(B420="","",SUBTOTAL(3,$B$2:B420))</f>
        <v>419</v>
      </c>
      <c r="B420" s="9" t="s">
        <v>50</v>
      </c>
      <c r="C420" s="10" t="s">
        <v>49</v>
      </c>
      <c r="D420" s="11">
        <v>132.27513227513228</v>
      </c>
      <c r="E420" s="12">
        <f t="shared" si="6"/>
        <v>41858</v>
      </c>
    </row>
    <row r="421" spans="1:5" x14ac:dyDescent="0.25">
      <c r="A421" s="2">
        <f>IF(B421="","",SUBTOTAL(3,$B$2:B421))</f>
        <v>420</v>
      </c>
      <c r="B421" s="9" t="s">
        <v>48</v>
      </c>
      <c r="C421" s="10" t="s">
        <v>49</v>
      </c>
      <c r="D421" s="11">
        <v>583.30014261303052</v>
      </c>
      <c r="E421" s="12">
        <f t="shared" si="6"/>
        <v>41859</v>
      </c>
    </row>
    <row r="422" spans="1:5" x14ac:dyDescent="0.25">
      <c r="A422" s="2">
        <f>IF(B422="","",SUBTOTAL(3,$B$2:B422))</f>
        <v>421</v>
      </c>
      <c r="B422" s="9" t="s">
        <v>55</v>
      </c>
      <c r="C422" s="10" t="s">
        <v>52</v>
      </c>
      <c r="D422" s="11">
        <v>100</v>
      </c>
      <c r="E422" s="12">
        <f t="shared" si="6"/>
        <v>41860</v>
      </c>
    </row>
    <row r="423" spans="1:5" x14ac:dyDescent="0.25">
      <c r="A423" s="2">
        <f>IF(B423="","",SUBTOTAL(3,$B$2:B423))</f>
        <v>422</v>
      </c>
      <c r="B423" s="9" t="s">
        <v>50</v>
      </c>
      <c r="C423" s="10" t="s">
        <v>49</v>
      </c>
      <c r="D423" s="11">
        <v>11.022927689594356</v>
      </c>
      <c r="E423" s="12">
        <f t="shared" si="6"/>
        <v>41861</v>
      </c>
    </row>
    <row r="424" spans="1:5" x14ac:dyDescent="0.25">
      <c r="A424" s="2">
        <f>IF(B424="","",SUBTOTAL(3,$B$2:B424))</f>
        <v>423</v>
      </c>
      <c r="B424" s="9" t="s">
        <v>50</v>
      </c>
      <c r="C424" s="10" t="s">
        <v>49</v>
      </c>
      <c r="D424" s="11">
        <v>66.137566137566139</v>
      </c>
      <c r="E424" s="12">
        <f t="shared" si="6"/>
        <v>41862</v>
      </c>
    </row>
    <row r="425" spans="1:5" x14ac:dyDescent="0.25">
      <c r="A425" s="2">
        <f>IF(B425="","",SUBTOTAL(3,$B$2:B425))</f>
        <v>424</v>
      </c>
      <c r="B425" s="9" t="s">
        <v>55</v>
      </c>
      <c r="C425" s="10" t="s">
        <v>49</v>
      </c>
      <c r="D425" s="11">
        <v>17.5</v>
      </c>
      <c r="E425" s="12">
        <f t="shared" si="6"/>
        <v>41863</v>
      </c>
    </row>
    <row r="426" spans="1:5" x14ac:dyDescent="0.25">
      <c r="A426" s="2">
        <f>IF(B426="","",SUBTOTAL(3,$B$2:B426))</f>
        <v>425</v>
      </c>
      <c r="B426" s="9" t="s">
        <v>55</v>
      </c>
      <c r="C426" s="10" t="s">
        <v>49</v>
      </c>
      <c r="D426" s="11">
        <v>0.35</v>
      </c>
      <c r="E426" s="12">
        <f t="shared" si="6"/>
        <v>41864</v>
      </c>
    </row>
    <row r="427" spans="1:5" x14ac:dyDescent="0.25">
      <c r="A427" s="2">
        <f>IF(B427="","",SUBTOTAL(3,$B$2:B427))</f>
        <v>426</v>
      </c>
      <c r="B427" s="9" t="s">
        <v>55</v>
      </c>
      <c r="C427" s="10" t="s">
        <v>52</v>
      </c>
      <c r="D427" s="11">
        <v>47.5</v>
      </c>
      <c r="E427" s="12">
        <f t="shared" si="6"/>
        <v>41865</v>
      </c>
    </row>
    <row r="428" spans="1:5" x14ac:dyDescent="0.25">
      <c r="A428" s="2">
        <f>IF(B428="","",SUBTOTAL(3,$B$2:B428))</f>
        <v>427</v>
      </c>
      <c r="B428" s="9" t="s">
        <v>55</v>
      </c>
      <c r="C428" s="10" t="s">
        <v>49</v>
      </c>
      <c r="D428" s="11">
        <v>39.107055564608117</v>
      </c>
      <c r="E428" s="12">
        <f t="shared" si="6"/>
        <v>41866</v>
      </c>
    </row>
    <row r="429" spans="1:5" x14ac:dyDescent="0.25">
      <c r="A429" s="2">
        <f>IF(B429="","",SUBTOTAL(3,$B$2:B429))</f>
        <v>428</v>
      </c>
      <c r="B429" s="9" t="s">
        <v>50</v>
      </c>
      <c r="C429" s="10" t="s">
        <v>49</v>
      </c>
      <c r="D429" s="11">
        <v>132.27513227513228</v>
      </c>
      <c r="E429" s="12">
        <f t="shared" si="6"/>
        <v>41867</v>
      </c>
    </row>
    <row r="430" spans="1:5" x14ac:dyDescent="0.25">
      <c r="A430" s="2">
        <f>IF(B430="","",SUBTOTAL(3,$B$2:B430))</f>
        <v>429</v>
      </c>
      <c r="B430" s="9" t="s">
        <v>55</v>
      </c>
      <c r="C430" s="10" t="s">
        <v>49</v>
      </c>
      <c r="D430" s="11">
        <v>102.73808976891625</v>
      </c>
      <c r="E430" s="12">
        <f t="shared" si="6"/>
        <v>41868</v>
      </c>
    </row>
    <row r="431" spans="1:5" x14ac:dyDescent="0.25">
      <c r="A431" s="2">
        <f>IF(B431="","",SUBTOTAL(3,$B$2:B431))</f>
        <v>430</v>
      </c>
      <c r="B431" s="9" t="s">
        <v>51</v>
      </c>
      <c r="C431" s="10" t="s">
        <v>52</v>
      </c>
      <c r="D431" s="11">
        <v>79.423911892407062</v>
      </c>
      <c r="E431" s="12">
        <f t="shared" si="6"/>
        <v>41869</v>
      </c>
    </row>
    <row r="432" spans="1:5" x14ac:dyDescent="0.25">
      <c r="A432" s="2">
        <f>IF(B432="","",SUBTOTAL(3,$B$2:B432))</f>
        <v>431</v>
      </c>
      <c r="B432" s="9" t="s">
        <v>50</v>
      </c>
      <c r="C432" s="10" t="s">
        <v>49</v>
      </c>
      <c r="D432" s="11">
        <v>195.868430335097</v>
      </c>
      <c r="E432" s="12">
        <f t="shared" si="6"/>
        <v>41870</v>
      </c>
    </row>
    <row r="433" spans="1:5" x14ac:dyDescent="0.25">
      <c r="A433" s="2">
        <f>IF(B433="","",SUBTOTAL(3,$B$2:B433))</f>
        <v>432</v>
      </c>
      <c r="B433" s="9" t="s">
        <v>55</v>
      </c>
      <c r="C433" s="10" t="s">
        <v>49</v>
      </c>
      <c r="D433" s="11">
        <v>81.473032426266911</v>
      </c>
      <c r="E433" s="12">
        <f t="shared" si="6"/>
        <v>41871</v>
      </c>
    </row>
    <row r="434" spans="1:5" x14ac:dyDescent="0.25">
      <c r="A434" s="2">
        <f>IF(B434="","",SUBTOTAL(3,$B$2:B434))</f>
        <v>433</v>
      </c>
      <c r="B434" s="9" t="s">
        <v>55</v>
      </c>
      <c r="C434" s="10" t="s">
        <v>49</v>
      </c>
      <c r="D434" s="11">
        <v>125.34046951807782</v>
      </c>
      <c r="E434" s="12">
        <f t="shared" si="6"/>
        <v>41872</v>
      </c>
    </row>
    <row r="435" spans="1:5" x14ac:dyDescent="0.25">
      <c r="A435" s="2">
        <f>IF(B435="","",SUBTOTAL(3,$B$2:B435))</f>
        <v>434</v>
      </c>
      <c r="B435" s="9" t="s">
        <v>55</v>
      </c>
      <c r="C435" s="10" t="s">
        <v>49</v>
      </c>
      <c r="D435" s="11">
        <v>80</v>
      </c>
      <c r="E435" s="12">
        <f t="shared" si="6"/>
        <v>41873</v>
      </c>
    </row>
    <row r="436" spans="1:5" x14ac:dyDescent="0.25">
      <c r="A436" s="2">
        <f>IF(B436="","",SUBTOTAL(3,$B$2:B436))</f>
        <v>435</v>
      </c>
      <c r="B436" s="9" t="s">
        <v>53</v>
      </c>
      <c r="C436" s="10" t="s">
        <v>54</v>
      </c>
      <c r="D436" s="11">
        <v>54.951596801817075</v>
      </c>
      <c r="E436" s="12">
        <f t="shared" si="6"/>
        <v>41874</v>
      </c>
    </row>
    <row r="437" spans="1:5" x14ac:dyDescent="0.25">
      <c r="A437" s="2">
        <f>IF(B437="","",SUBTOTAL(3,$B$2:B437))</f>
        <v>436</v>
      </c>
      <c r="B437" s="9" t="s">
        <v>53</v>
      </c>
      <c r="C437" s="10" t="s">
        <v>54</v>
      </c>
      <c r="D437" s="11">
        <v>183.17198933939025</v>
      </c>
      <c r="E437" s="12">
        <f t="shared" si="6"/>
        <v>41875</v>
      </c>
    </row>
    <row r="438" spans="1:5" x14ac:dyDescent="0.25">
      <c r="A438" s="2">
        <f>IF(B438="","",SUBTOTAL(3,$B$2:B438))</f>
        <v>437</v>
      </c>
      <c r="B438" s="9" t="s">
        <v>48</v>
      </c>
      <c r="C438" s="10" t="s">
        <v>49</v>
      </c>
      <c r="D438" s="11">
        <v>46.210720887245841</v>
      </c>
      <c r="E438" s="12">
        <f t="shared" si="6"/>
        <v>41876</v>
      </c>
    </row>
    <row r="439" spans="1:5" x14ac:dyDescent="0.25">
      <c r="A439" s="2">
        <f>IF(B439="","",SUBTOTAL(3,$B$2:B439))</f>
        <v>438</v>
      </c>
      <c r="B439" s="9" t="s">
        <v>48</v>
      </c>
      <c r="C439" s="10" t="s">
        <v>49</v>
      </c>
      <c r="D439" s="11">
        <v>462.10720887245844</v>
      </c>
      <c r="E439" s="12">
        <f t="shared" si="6"/>
        <v>41877</v>
      </c>
    </row>
    <row r="440" spans="1:5" x14ac:dyDescent="0.25">
      <c r="A440" s="2">
        <f>IF(B440="","",SUBTOTAL(3,$B$2:B440))</f>
        <v>439</v>
      </c>
      <c r="B440" s="9" t="s">
        <v>50</v>
      </c>
      <c r="C440" s="10" t="s">
        <v>49</v>
      </c>
      <c r="D440" s="11">
        <v>176.3668430335097</v>
      </c>
      <c r="E440" s="12">
        <f t="shared" si="6"/>
        <v>41878</v>
      </c>
    </row>
    <row r="441" spans="1:5" x14ac:dyDescent="0.25">
      <c r="A441" s="2">
        <f>IF(B441="","",SUBTOTAL(3,$B$2:B441))</f>
        <v>440</v>
      </c>
      <c r="B441" s="9" t="s">
        <v>48</v>
      </c>
      <c r="C441" s="10" t="s">
        <v>52</v>
      </c>
      <c r="D441" s="11">
        <v>154.03573629081947</v>
      </c>
      <c r="E441" s="12">
        <f t="shared" si="6"/>
        <v>41879</v>
      </c>
    </row>
    <row r="442" spans="1:5" x14ac:dyDescent="0.25">
      <c r="A442" s="2">
        <f>IF(B442="","",SUBTOTAL(3,$B$2:B442))</f>
        <v>441</v>
      </c>
      <c r="B442" s="9" t="s">
        <v>48</v>
      </c>
      <c r="C442" s="10" t="s">
        <v>49</v>
      </c>
      <c r="D442" s="11">
        <v>61.614294516327789</v>
      </c>
      <c r="E442" s="12">
        <f t="shared" si="6"/>
        <v>41880</v>
      </c>
    </row>
    <row r="443" spans="1:5" x14ac:dyDescent="0.25">
      <c r="A443" s="2">
        <f>IF(B443="","",SUBTOTAL(3,$B$2:B443))</f>
        <v>442</v>
      </c>
      <c r="B443" s="9" t="s">
        <v>48</v>
      </c>
      <c r="C443" s="10" t="s">
        <v>54</v>
      </c>
      <c r="D443" s="11">
        <v>77.017868145409736</v>
      </c>
      <c r="E443" s="12">
        <f t="shared" si="6"/>
        <v>41881</v>
      </c>
    </row>
    <row r="444" spans="1:5" x14ac:dyDescent="0.25">
      <c r="A444" s="2">
        <f>IF(B444="","",SUBTOTAL(3,$B$2:B444))</f>
        <v>443</v>
      </c>
      <c r="B444" s="9" t="s">
        <v>48</v>
      </c>
      <c r="C444" s="10" t="s">
        <v>52</v>
      </c>
      <c r="D444" s="11">
        <v>231.05360443622922</v>
      </c>
      <c r="E444" s="12">
        <f t="shared" si="6"/>
        <v>41882</v>
      </c>
    </row>
    <row r="445" spans="1:5" x14ac:dyDescent="0.25">
      <c r="A445" s="2">
        <f>IF(B445="","",SUBTOTAL(3,$B$2:B445))</f>
        <v>444</v>
      </c>
      <c r="B445" s="9" t="s">
        <v>53</v>
      </c>
      <c r="C445" s="10" t="s">
        <v>54</v>
      </c>
      <c r="D445" s="11">
        <v>28.849588320953963</v>
      </c>
      <c r="E445" s="12">
        <f t="shared" si="6"/>
        <v>41883</v>
      </c>
    </row>
    <row r="446" spans="1:5" x14ac:dyDescent="0.25">
      <c r="A446" s="2">
        <f>IF(B446="","",SUBTOTAL(3,$B$2:B446))</f>
        <v>445</v>
      </c>
      <c r="B446" s="9" t="s">
        <v>53</v>
      </c>
      <c r="C446" s="10" t="s">
        <v>54</v>
      </c>
      <c r="D446" s="11">
        <v>107.15561376354329</v>
      </c>
      <c r="E446" s="12">
        <f t="shared" si="6"/>
        <v>41884</v>
      </c>
    </row>
    <row r="447" spans="1:5" x14ac:dyDescent="0.25">
      <c r="A447" s="2">
        <f>IF(B447="","",SUBTOTAL(3,$B$2:B447))</f>
        <v>446</v>
      </c>
      <c r="B447" s="9" t="s">
        <v>53</v>
      </c>
      <c r="C447" s="10" t="s">
        <v>54</v>
      </c>
      <c r="D447" s="11">
        <v>54.951596801817075</v>
      </c>
      <c r="E447" s="12">
        <f t="shared" si="6"/>
        <v>41885</v>
      </c>
    </row>
    <row r="448" spans="1:5" x14ac:dyDescent="0.25">
      <c r="A448" s="2">
        <f>IF(B448="","",SUBTOTAL(3,$B$2:B448))</f>
        <v>447</v>
      </c>
      <c r="B448" s="9" t="s">
        <v>53</v>
      </c>
      <c r="C448" s="10" t="s">
        <v>49</v>
      </c>
      <c r="D448" s="11">
        <v>36.63439786787805</v>
      </c>
      <c r="E448" s="12">
        <f t="shared" si="6"/>
        <v>41886</v>
      </c>
    </row>
    <row r="449" spans="1:5" x14ac:dyDescent="0.25">
      <c r="A449" s="2">
        <f>IF(B449="","",SUBTOTAL(3,$B$2:B449))</f>
        <v>448</v>
      </c>
      <c r="B449" s="9" t="s">
        <v>53</v>
      </c>
      <c r="C449" s="10" t="s">
        <v>49</v>
      </c>
      <c r="D449" s="11">
        <v>64.110196268786581</v>
      </c>
      <c r="E449" s="12">
        <f t="shared" si="6"/>
        <v>41887</v>
      </c>
    </row>
    <row r="450" spans="1:5" x14ac:dyDescent="0.25">
      <c r="A450" s="2">
        <f>IF(B450="","",SUBTOTAL(3,$B$2:B450))</f>
        <v>449</v>
      </c>
      <c r="B450" s="9" t="s">
        <v>53</v>
      </c>
      <c r="C450" s="10" t="s">
        <v>49</v>
      </c>
      <c r="D450" s="11">
        <v>45.792997334847563</v>
      </c>
      <c r="E450" s="12">
        <f t="shared" si="6"/>
        <v>41888</v>
      </c>
    </row>
    <row r="451" spans="1:5" x14ac:dyDescent="0.25">
      <c r="A451" s="2">
        <f>IF(B451="","",SUBTOTAL(3,$B$2:B451))</f>
        <v>450</v>
      </c>
      <c r="B451" s="9" t="s">
        <v>53</v>
      </c>
      <c r="C451" s="10" t="s">
        <v>49</v>
      </c>
      <c r="D451" s="11">
        <v>119.06179307060366</v>
      </c>
      <c r="E451" s="12">
        <f t="shared" si="6"/>
        <v>41889</v>
      </c>
    </row>
    <row r="452" spans="1:5" x14ac:dyDescent="0.25">
      <c r="A452" s="2">
        <f>IF(B452="","",SUBTOTAL(3,$B$2:B452))</f>
        <v>451</v>
      </c>
      <c r="B452" s="9" t="s">
        <v>53</v>
      </c>
      <c r="C452" s="10" t="s">
        <v>49</v>
      </c>
      <c r="D452" s="11">
        <v>59.530896535301828</v>
      </c>
      <c r="E452" s="12">
        <f t="shared" ref="E452:E515" si="7">E451+1</f>
        <v>41890</v>
      </c>
    </row>
    <row r="453" spans="1:5" x14ac:dyDescent="0.25">
      <c r="A453" s="2">
        <f>IF(B453="","",SUBTOTAL(3,$B$2:B453))</f>
        <v>452</v>
      </c>
      <c r="B453" s="9" t="s">
        <v>53</v>
      </c>
      <c r="C453" s="10" t="s">
        <v>49</v>
      </c>
      <c r="D453" s="11">
        <v>412.13697601362799</v>
      </c>
      <c r="E453" s="12">
        <f t="shared" si="7"/>
        <v>41891</v>
      </c>
    </row>
    <row r="454" spans="1:5" x14ac:dyDescent="0.25">
      <c r="A454" s="2">
        <f>IF(B454="","",SUBTOTAL(3,$B$2:B454))</f>
        <v>453</v>
      </c>
      <c r="B454" s="9" t="s">
        <v>53</v>
      </c>
      <c r="C454" s="10" t="s">
        <v>49</v>
      </c>
      <c r="D454" s="11">
        <v>178.52766354969</v>
      </c>
      <c r="E454" s="12">
        <f t="shared" si="7"/>
        <v>41892</v>
      </c>
    </row>
    <row r="455" spans="1:5" x14ac:dyDescent="0.25">
      <c r="A455" s="2">
        <f>IF(B455="","",SUBTOTAL(3,$B$2:B455))</f>
        <v>454</v>
      </c>
      <c r="B455" s="9" t="s">
        <v>53</v>
      </c>
      <c r="C455" s="10" t="s">
        <v>49</v>
      </c>
      <c r="D455" s="11">
        <v>45.792997334847563</v>
      </c>
      <c r="E455" s="12">
        <f t="shared" si="7"/>
        <v>41893</v>
      </c>
    </row>
    <row r="456" spans="1:5" x14ac:dyDescent="0.25">
      <c r="A456" s="2">
        <f>IF(B456="","",SUBTOTAL(3,$B$2:B456))</f>
        <v>455</v>
      </c>
      <c r="B456" s="9" t="s">
        <v>53</v>
      </c>
      <c r="C456" s="10" t="s">
        <v>54</v>
      </c>
      <c r="D456" s="11">
        <v>27.475798400908538</v>
      </c>
      <c r="E456" s="12">
        <f t="shared" si="7"/>
        <v>41894</v>
      </c>
    </row>
    <row r="457" spans="1:5" x14ac:dyDescent="0.25">
      <c r="A457" s="2">
        <f>IF(B457="","",SUBTOTAL(3,$B$2:B457))</f>
        <v>456</v>
      </c>
      <c r="B457" s="9" t="s">
        <v>48</v>
      </c>
      <c r="C457" s="10" t="s">
        <v>54</v>
      </c>
      <c r="D457" s="11">
        <v>34.470872113064452</v>
      </c>
      <c r="E457" s="12">
        <f t="shared" si="7"/>
        <v>41895</v>
      </c>
    </row>
    <row r="458" spans="1:5" x14ac:dyDescent="0.25">
      <c r="A458" s="2">
        <f>IF(B458="","",SUBTOTAL(3,$B$2:B458))</f>
        <v>457</v>
      </c>
      <c r="B458" s="9" t="s">
        <v>50</v>
      </c>
      <c r="C458" s="10" t="s">
        <v>52</v>
      </c>
      <c r="D458" s="11">
        <v>44.091710758377424</v>
      </c>
      <c r="E458" s="12">
        <f t="shared" si="7"/>
        <v>41896</v>
      </c>
    </row>
    <row r="459" spans="1:5" x14ac:dyDescent="0.25">
      <c r="A459" s="2">
        <f>IF(B459="","",SUBTOTAL(3,$B$2:B459))</f>
        <v>458</v>
      </c>
      <c r="B459" s="9" t="s">
        <v>50</v>
      </c>
      <c r="C459" s="10" t="s">
        <v>49</v>
      </c>
      <c r="D459" s="11">
        <v>238.95061728395061</v>
      </c>
      <c r="E459" s="12">
        <f t="shared" si="7"/>
        <v>41897</v>
      </c>
    </row>
    <row r="460" spans="1:5" x14ac:dyDescent="0.25">
      <c r="A460" s="2">
        <f>IF(B460="","",SUBTOTAL(3,$B$2:B460))</f>
        <v>459</v>
      </c>
      <c r="B460" s="9" t="s">
        <v>50</v>
      </c>
      <c r="C460" s="10" t="s">
        <v>52</v>
      </c>
      <c r="D460" s="11">
        <v>61.85295414462081</v>
      </c>
      <c r="E460" s="12">
        <f t="shared" si="7"/>
        <v>41898</v>
      </c>
    </row>
    <row r="461" spans="1:5" x14ac:dyDescent="0.25">
      <c r="A461" s="2">
        <f>IF(B461="","",SUBTOTAL(3,$B$2:B461))</f>
        <v>460</v>
      </c>
      <c r="B461" s="9" t="s">
        <v>50</v>
      </c>
      <c r="C461" s="10" t="s">
        <v>49</v>
      </c>
      <c r="D461" s="11">
        <v>18.04052028218695</v>
      </c>
      <c r="E461" s="12">
        <f t="shared" si="7"/>
        <v>41899</v>
      </c>
    </row>
    <row r="462" spans="1:5" x14ac:dyDescent="0.25">
      <c r="A462" s="2">
        <f>IF(B462="","",SUBTOTAL(3,$B$2:B462))</f>
        <v>461</v>
      </c>
      <c r="B462" s="9" t="s">
        <v>51</v>
      </c>
      <c r="C462" s="10" t="s">
        <v>52</v>
      </c>
      <c r="D462" s="11">
        <v>16.20614212786646</v>
      </c>
      <c r="E462" s="12">
        <f t="shared" si="7"/>
        <v>41900</v>
      </c>
    </row>
    <row r="463" spans="1:5" x14ac:dyDescent="0.25">
      <c r="A463" s="2">
        <f>IF(B463="","",SUBTOTAL(3,$B$2:B463))</f>
        <v>462</v>
      </c>
      <c r="B463" s="9" t="s">
        <v>55</v>
      </c>
      <c r="C463" s="10" t="s">
        <v>49</v>
      </c>
      <c r="D463" s="11">
        <v>35</v>
      </c>
      <c r="E463" s="12">
        <f t="shared" si="7"/>
        <v>41901</v>
      </c>
    </row>
    <row r="464" spans="1:5" x14ac:dyDescent="0.25">
      <c r="A464" s="2">
        <f>IF(B464="","",SUBTOTAL(3,$B$2:B464))</f>
        <v>463</v>
      </c>
      <c r="B464" s="9" t="s">
        <v>50</v>
      </c>
      <c r="C464" s="10" t="s">
        <v>52</v>
      </c>
      <c r="D464" s="11">
        <v>44.091710758377424</v>
      </c>
      <c r="E464" s="12">
        <f t="shared" si="7"/>
        <v>41902</v>
      </c>
    </row>
    <row r="465" spans="1:5" x14ac:dyDescent="0.25">
      <c r="A465" s="2">
        <f>IF(B465="","",SUBTOTAL(3,$B$2:B465))</f>
        <v>464</v>
      </c>
      <c r="B465" s="9" t="s">
        <v>50</v>
      </c>
      <c r="C465" s="10" t="s">
        <v>52</v>
      </c>
      <c r="D465" s="11">
        <v>351.24338624338623</v>
      </c>
      <c r="E465" s="12">
        <f t="shared" si="7"/>
        <v>41903</v>
      </c>
    </row>
    <row r="466" spans="1:5" x14ac:dyDescent="0.25">
      <c r="A466" s="2">
        <f>IF(B466="","",SUBTOTAL(3,$B$2:B466))</f>
        <v>465</v>
      </c>
      <c r="B466" s="9" t="s">
        <v>55</v>
      </c>
      <c r="C466" s="10" t="s">
        <v>52</v>
      </c>
      <c r="D466" s="11">
        <v>98.118950627342358</v>
      </c>
      <c r="E466" s="12">
        <f t="shared" si="7"/>
        <v>41904</v>
      </c>
    </row>
    <row r="467" spans="1:5" x14ac:dyDescent="0.25">
      <c r="A467" s="2">
        <f>IF(B467="","",SUBTOTAL(3,$B$2:B467))</f>
        <v>466</v>
      </c>
      <c r="B467" s="9" t="s">
        <v>55</v>
      </c>
      <c r="C467" s="10" t="s">
        <v>54</v>
      </c>
      <c r="D467" s="11">
        <v>35</v>
      </c>
      <c r="E467" s="12">
        <f t="shared" si="7"/>
        <v>41905</v>
      </c>
    </row>
    <row r="468" spans="1:5" x14ac:dyDescent="0.25">
      <c r="A468" s="2">
        <f>IF(B468="","",SUBTOTAL(3,$B$2:B468))</f>
        <v>467</v>
      </c>
      <c r="B468" s="9" t="s">
        <v>48</v>
      </c>
      <c r="C468" s="10" t="s">
        <v>49</v>
      </c>
      <c r="D468" s="11">
        <v>103.41261633919338</v>
      </c>
      <c r="E468" s="12">
        <f t="shared" si="7"/>
        <v>41906</v>
      </c>
    </row>
    <row r="469" spans="1:5" x14ac:dyDescent="0.25">
      <c r="A469" s="2">
        <f>IF(B469="","",SUBTOTAL(3,$B$2:B469))</f>
        <v>468</v>
      </c>
      <c r="B469" s="9" t="s">
        <v>50</v>
      </c>
      <c r="C469" s="10" t="s">
        <v>49</v>
      </c>
      <c r="D469" s="11">
        <v>220.45855379188714</v>
      </c>
      <c r="E469" s="12">
        <f t="shared" si="7"/>
        <v>41907</v>
      </c>
    </row>
    <row r="470" spans="1:5" x14ac:dyDescent="0.25">
      <c r="A470" s="2">
        <f>IF(B470="","",SUBTOTAL(3,$B$2:B470))</f>
        <v>469</v>
      </c>
      <c r="B470" s="9" t="s">
        <v>48</v>
      </c>
      <c r="C470" s="10" t="s">
        <v>56</v>
      </c>
      <c r="D470" s="11">
        <v>160.6002595300194</v>
      </c>
      <c r="E470" s="12">
        <f t="shared" si="7"/>
        <v>41908</v>
      </c>
    </row>
    <row r="471" spans="1:5" x14ac:dyDescent="0.25">
      <c r="A471" s="2">
        <f>IF(B471="","",SUBTOTAL(3,$B$2:B471))</f>
        <v>470</v>
      </c>
      <c r="B471" s="9" t="s">
        <v>55</v>
      </c>
      <c r="C471" s="10" t="s">
        <v>52</v>
      </c>
      <c r="D471" s="11">
        <v>200</v>
      </c>
      <c r="E471" s="12">
        <f t="shared" si="7"/>
        <v>41909</v>
      </c>
    </row>
    <row r="472" spans="1:5" x14ac:dyDescent="0.25">
      <c r="A472" s="2">
        <f>IF(B472="","",SUBTOTAL(3,$B$2:B472))</f>
        <v>471</v>
      </c>
      <c r="B472" s="9" t="s">
        <v>50</v>
      </c>
      <c r="C472" s="10" t="s">
        <v>49</v>
      </c>
      <c r="D472" s="11">
        <v>24.483553791887125</v>
      </c>
      <c r="E472" s="12">
        <f t="shared" si="7"/>
        <v>41910</v>
      </c>
    </row>
    <row r="473" spans="1:5" x14ac:dyDescent="0.25">
      <c r="A473" s="2">
        <f>IF(B473="","",SUBTOTAL(3,$B$2:B473))</f>
        <v>472</v>
      </c>
      <c r="B473" s="9" t="s">
        <v>55</v>
      </c>
      <c r="C473" s="10" t="s">
        <v>49</v>
      </c>
      <c r="D473" s="11">
        <v>65.178425941013529</v>
      </c>
      <c r="E473" s="12">
        <f t="shared" si="7"/>
        <v>41911</v>
      </c>
    </row>
    <row r="474" spans="1:5" x14ac:dyDescent="0.25">
      <c r="A474" s="2">
        <f>IF(B474="","",SUBTOTAL(3,$B$2:B474))</f>
        <v>473</v>
      </c>
      <c r="B474" s="9" t="s">
        <v>48</v>
      </c>
      <c r="C474" s="10" t="s">
        <v>49</v>
      </c>
      <c r="D474" s="11">
        <v>1.1650585227345727</v>
      </c>
      <c r="E474" s="12">
        <f t="shared" si="7"/>
        <v>41912</v>
      </c>
    </row>
    <row r="475" spans="1:5" x14ac:dyDescent="0.25">
      <c r="A475" s="2">
        <f>IF(B475="","",SUBTOTAL(3,$B$2:B475))</f>
        <v>474</v>
      </c>
      <c r="B475" s="9" t="s">
        <v>55</v>
      </c>
      <c r="C475" s="10" t="s">
        <v>52</v>
      </c>
      <c r="D475" s="11">
        <v>80.243941582410528</v>
      </c>
      <c r="E475" s="12">
        <f t="shared" si="7"/>
        <v>41913</v>
      </c>
    </row>
    <row r="476" spans="1:5" x14ac:dyDescent="0.25">
      <c r="A476" s="2">
        <f>IF(B476="","",SUBTOTAL(3,$B$2:B476))</f>
        <v>475</v>
      </c>
      <c r="B476" s="9" t="s">
        <v>48</v>
      </c>
      <c r="C476" s="10" t="s">
        <v>49</v>
      </c>
      <c r="D476" s="11">
        <v>17.580144777662873</v>
      </c>
      <c r="E476" s="12">
        <f t="shared" si="7"/>
        <v>41914</v>
      </c>
    </row>
    <row r="477" spans="1:5" x14ac:dyDescent="0.25">
      <c r="A477" s="2">
        <f>IF(B477="","",SUBTOTAL(3,$B$2:B477))</f>
        <v>476</v>
      </c>
      <c r="B477" s="9" t="s">
        <v>48</v>
      </c>
      <c r="C477" s="10" t="s">
        <v>49</v>
      </c>
      <c r="D477" s="11">
        <v>9.6518441916580482</v>
      </c>
      <c r="E477" s="12">
        <f t="shared" si="7"/>
        <v>41915</v>
      </c>
    </row>
    <row r="478" spans="1:5" x14ac:dyDescent="0.25">
      <c r="A478" s="2">
        <f>IF(B478="","",SUBTOTAL(3,$B$2:B478))</f>
        <v>477</v>
      </c>
      <c r="B478" s="9" t="s">
        <v>48</v>
      </c>
      <c r="C478" s="10" t="s">
        <v>49</v>
      </c>
      <c r="D478" s="11">
        <v>2.8266115132712857</v>
      </c>
      <c r="E478" s="12">
        <f t="shared" si="7"/>
        <v>41916</v>
      </c>
    </row>
    <row r="479" spans="1:5" x14ac:dyDescent="0.25">
      <c r="A479" s="2">
        <f>IF(B479="","",SUBTOTAL(3,$B$2:B479))</f>
        <v>478</v>
      </c>
      <c r="B479" s="9" t="s">
        <v>50</v>
      </c>
      <c r="C479" s="10" t="s">
        <v>52</v>
      </c>
      <c r="D479" s="11">
        <v>205.57760141093476</v>
      </c>
      <c r="E479" s="12">
        <f t="shared" si="7"/>
        <v>41917</v>
      </c>
    </row>
    <row r="480" spans="1:5" x14ac:dyDescent="0.25">
      <c r="A480" s="2">
        <f>IF(B480="","",SUBTOTAL(3,$B$2:B480))</f>
        <v>479</v>
      </c>
      <c r="B480" s="9" t="s">
        <v>50</v>
      </c>
      <c r="C480" s="10" t="s">
        <v>49</v>
      </c>
      <c r="D480" s="11">
        <v>92.592592592592595</v>
      </c>
      <c r="E480" s="12">
        <f t="shared" si="7"/>
        <v>41918</v>
      </c>
    </row>
    <row r="481" spans="1:5" x14ac:dyDescent="0.25">
      <c r="A481" s="2">
        <f>IF(B481="","",SUBTOTAL(3,$B$2:B481))</f>
        <v>480</v>
      </c>
      <c r="B481" s="9" t="s">
        <v>48</v>
      </c>
      <c r="C481" s="10" t="s">
        <v>49</v>
      </c>
      <c r="D481" s="11">
        <v>9.5139607032057896</v>
      </c>
      <c r="E481" s="12">
        <f t="shared" si="7"/>
        <v>41919</v>
      </c>
    </row>
    <row r="482" spans="1:5" x14ac:dyDescent="0.25">
      <c r="A482" s="2">
        <f>IF(B482="","",SUBTOTAL(3,$B$2:B482))</f>
        <v>481</v>
      </c>
      <c r="B482" s="9" t="s">
        <v>55</v>
      </c>
      <c r="C482" s="10" t="s">
        <v>49</v>
      </c>
      <c r="D482" s="11">
        <v>10</v>
      </c>
      <c r="E482" s="12">
        <f t="shared" si="7"/>
        <v>41920</v>
      </c>
    </row>
    <row r="483" spans="1:5" x14ac:dyDescent="0.25">
      <c r="A483" s="2">
        <f>IF(B483="","",SUBTOTAL(3,$B$2:B483))</f>
        <v>482</v>
      </c>
      <c r="B483" s="9" t="s">
        <v>50</v>
      </c>
      <c r="C483" s="10" t="s">
        <v>54</v>
      </c>
      <c r="D483" s="11">
        <v>126.41093474426808</v>
      </c>
      <c r="E483" s="12">
        <f t="shared" si="7"/>
        <v>41921</v>
      </c>
    </row>
    <row r="484" spans="1:5" x14ac:dyDescent="0.25">
      <c r="A484" s="2">
        <f>IF(B484="","",SUBTOTAL(3,$B$2:B484))</f>
        <v>483</v>
      </c>
      <c r="B484" s="9" t="s">
        <v>50</v>
      </c>
      <c r="C484" s="10" t="s">
        <v>49</v>
      </c>
      <c r="D484" s="11">
        <v>44.091710758377424</v>
      </c>
      <c r="E484" s="12">
        <f t="shared" si="7"/>
        <v>41922</v>
      </c>
    </row>
    <row r="485" spans="1:5" x14ac:dyDescent="0.25">
      <c r="A485" s="2">
        <f>IF(B485="","",SUBTOTAL(3,$B$2:B485))</f>
        <v>484</v>
      </c>
      <c r="B485" s="9" t="s">
        <v>55</v>
      </c>
      <c r="C485" s="10" t="s">
        <v>49</v>
      </c>
      <c r="D485" s="11">
        <v>166.25</v>
      </c>
      <c r="E485" s="12">
        <f t="shared" si="7"/>
        <v>41923</v>
      </c>
    </row>
    <row r="486" spans="1:5" x14ac:dyDescent="0.25">
      <c r="A486" s="2">
        <f>IF(B486="","",SUBTOTAL(3,$B$2:B486))</f>
        <v>485</v>
      </c>
      <c r="B486" s="9" t="s">
        <v>55</v>
      </c>
      <c r="C486" s="10" t="s">
        <v>49</v>
      </c>
      <c r="D486" s="11">
        <v>166.25</v>
      </c>
      <c r="E486" s="12">
        <f t="shared" si="7"/>
        <v>41924</v>
      </c>
    </row>
    <row r="487" spans="1:5" x14ac:dyDescent="0.25">
      <c r="A487" s="2">
        <f>IF(B487="","",SUBTOTAL(3,$B$2:B487))</f>
        <v>486</v>
      </c>
      <c r="B487" s="9" t="s">
        <v>50</v>
      </c>
      <c r="C487" s="10" t="s">
        <v>49</v>
      </c>
      <c r="D487" s="11">
        <v>10.45494841519664</v>
      </c>
      <c r="E487" s="12">
        <f t="shared" si="7"/>
        <v>41925</v>
      </c>
    </row>
    <row r="488" spans="1:5" x14ac:dyDescent="0.25">
      <c r="A488" s="2">
        <f>IF(B488="","",SUBTOTAL(3,$B$2:B488))</f>
        <v>487</v>
      </c>
      <c r="B488" s="9" t="s">
        <v>50</v>
      </c>
      <c r="C488" s="10" t="s">
        <v>49</v>
      </c>
      <c r="D488" s="11">
        <v>25.352733686067019</v>
      </c>
      <c r="E488" s="12">
        <f t="shared" si="7"/>
        <v>41926</v>
      </c>
    </row>
    <row r="489" spans="1:5" x14ac:dyDescent="0.25">
      <c r="A489" s="2">
        <f>IF(B489="","",SUBTOTAL(3,$B$2:B489))</f>
        <v>488</v>
      </c>
      <c r="B489" s="9" t="s">
        <v>55</v>
      </c>
      <c r="C489" s="10" t="s">
        <v>49</v>
      </c>
      <c r="D489" s="11">
        <v>20</v>
      </c>
      <c r="E489" s="12">
        <f t="shared" si="7"/>
        <v>41927</v>
      </c>
    </row>
    <row r="490" spans="1:5" x14ac:dyDescent="0.25">
      <c r="A490" s="2">
        <f>IF(B490="","",SUBTOTAL(3,$B$2:B490))</f>
        <v>489</v>
      </c>
      <c r="B490" s="9" t="s">
        <v>48</v>
      </c>
      <c r="C490" s="10" t="s">
        <v>49</v>
      </c>
      <c r="D490" s="11">
        <v>46.210720887245841</v>
      </c>
      <c r="E490" s="12">
        <f t="shared" si="7"/>
        <v>41928</v>
      </c>
    </row>
    <row r="491" spans="1:5" x14ac:dyDescent="0.25">
      <c r="A491" s="2">
        <f>IF(B491="","",SUBTOTAL(3,$B$2:B491))</f>
        <v>490</v>
      </c>
      <c r="B491" s="9" t="s">
        <v>55</v>
      </c>
      <c r="C491" s="10" t="s">
        <v>52</v>
      </c>
      <c r="D491" s="11">
        <v>22.975000000000001</v>
      </c>
      <c r="E491" s="12">
        <f t="shared" si="7"/>
        <v>41929</v>
      </c>
    </row>
    <row r="492" spans="1:5" x14ac:dyDescent="0.25">
      <c r="A492" s="2">
        <f>IF(B492="","",SUBTOTAL(3,$B$2:B492))</f>
        <v>491</v>
      </c>
      <c r="B492" s="9" t="s">
        <v>50</v>
      </c>
      <c r="C492" s="10" t="s">
        <v>49</v>
      </c>
      <c r="D492" s="11">
        <v>167.54850088183423</v>
      </c>
      <c r="E492" s="12">
        <f t="shared" si="7"/>
        <v>41930</v>
      </c>
    </row>
    <row r="493" spans="1:5" x14ac:dyDescent="0.25">
      <c r="A493" s="2">
        <f>IF(B493="","",SUBTOTAL(3,$B$2:B493))</f>
        <v>492</v>
      </c>
      <c r="B493" s="9" t="s">
        <v>55</v>
      </c>
      <c r="C493" s="10" t="s">
        <v>49</v>
      </c>
      <c r="D493" s="11">
        <v>53.968392374158483</v>
      </c>
      <c r="E493" s="12">
        <f t="shared" si="7"/>
        <v>41931</v>
      </c>
    </row>
    <row r="494" spans="1:5" x14ac:dyDescent="0.25">
      <c r="A494" s="2">
        <f>IF(B494="","",SUBTOTAL(3,$B$2:B494))</f>
        <v>493</v>
      </c>
      <c r="B494" s="9" t="s">
        <v>50</v>
      </c>
      <c r="C494" s="10" t="s">
        <v>49</v>
      </c>
      <c r="D494" s="11">
        <v>587.60515873015868</v>
      </c>
      <c r="E494" s="12">
        <f t="shared" si="7"/>
        <v>41932</v>
      </c>
    </row>
    <row r="495" spans="1:5" x14ac:dyDescent="0.25">
      <c r="A495" s="2">
        <f>IF(B495="","",SUBTOTAL(3,$B$2:B495))</f>
        <v>494</v>
      </c>
      <c r="B495" s="9" t="s">
        <v>55</v>
      </c>
      <c r="C495" s="10" t="s">
        <v>49</v>
      </c>
      <c r="D495" s="11">
        <v>372.8518820270491</v>
      </c>
      <c r="E495" s="12">
        <f t="shared" si="7"/>
        <v>41933</v>
      </c>
    </row>
    <row r="496" spans="1:5" x14ac:dyDescent="0.25">
      <c r="A496" s="2">
        <f>IF(B496="","",SUBTOTAL(3,$B$2:B496))</f>
        <v>495</v>
      </c>
      <c r="B496" s="9" t="s">
        <v>51</v>
      </c>
      <c r="C496" s="10" t="s">
        <v>49</v>
      </c>
      <c r="D496" s="11">
        <v>465.95361643545482</v>
      </c>
      <c r="E496" s="12">
        <f t="shared" si="7"/>
        <v>41934</v>
      </c>
    </row>
    <row r="497" spans="1:5" x14ac:dyDescent="0.25">
      <c r="A497" s="2">
        <f>IF(B497="","",SUBTOTAL(3,$B$2:B497))</f>
        <v>496</v>
      </c>
      <c r="B497" s="9" t="s">
        <v>48</v>
      </c>
      <c r="C497" s="10" t="s">
        <v>49</v>
      </c>
      <c r="D497" s="11">
        <v>43.082385384350225</v>
      </c>
      <c r="E497" s="12">
        <f t="shared" si="7"/>
        <v>41935</v>
      </c>
    </row>
    <row r="498" spans="1:5" x14ac:dyDescent="0.25">
      <c r="A498" s="2">
        <f>IF(B498="","",SUBTOTAL(3,$B$2:B498))</f>
        <v>497</v>
      </c>
      <c r="B498" s="9" t="s">
        <v>48</v>
      </c>
      <c r="C498" s="10" t="s">
        <v>54</v>
      </c>
      <c r="D498" s="11">
        <v>9.2421441774491679</v>
      </c>
      <c r="E498" s="12">
        <f t="shared" si="7"/>
        <v>41936</v>
      </c>
    </row>
    <row r="499" spans="1:5" x14ac:dyDescent="0.25">
      <c r="A499" s="2">
        <f>IF(B499="","",SUBTOTAL(3,$B$2:B499))</f>
        <v>498</v>
      </c>
      <c r="B499" s="9" t="s">
        <v>53</v>
      </c>
      <c r="C499" s="10" t="s">
        <v>49</v>
      </c>
      <c r="D499" s="11">
        <v>100.74459413666463</v>
      </c>
      <c r="E499" s="12">
        <f t="shared" si="7"/>
        <v>41937</v>
      </c>
    </row>
    <row r="500" spans="1:5" x14ac:dyDescent="0.25">
      <c r="A500" s="2">
        <f>IF(B500="","",SUBTOTAL(3,$B$2:B500))</f>
        <v>499</v>
      </c>
      <c r="B500" s="9" t="s">
        <v>53</v>
      </c>
      <c r="C500" s="10" t="s">
        <v>54</v>
      </c>
      <c r="D500" s="11">
        <v>50.828665500471672</v>
      </c>
      <c r="E500" s="12">
        <f t="shared" si="7"/>
        <v>41938</v>
      </c>
    </row>
    <row r="501" spans="1:5" x14ac:dyDescent="0.25">
      <c r="A501" s="2">
        <f>IF(B501="","",SUBTOTAL(3,$B$2:B501))</f>
        <v>500</v>
      </c>
      <c r="B501" s="9" t="s">
        <v>51</v>
      </c>
      <c r="C501" s="10" t="s">
        <v>54</v>
      </c>
      <c r="D501" s="11">
        <v>105.89854918987609</v>
      </c>
      <c r="E501" s="12">
        <f t="shared" si="7"/>
        <v>41939</v>
      </c>
    </row>
    <row r="502" spans="1:5" x14ac:dyDescent="0.25">
      <c r="A502" s="2">
        <f>IF(B502="","",SUBTOTAL(3,$B$2:B502))</f>
        <v>501</v>
      </c>
      <c r="B502" s="9" t="s">
        <v>53</v>
      </c>
      <c r="C502" s="10" t="s">
        <v>54</v>
      </c>
      <c r="D502" s="11">
        <v>91.585994669695125</v>
      </c>
      <c r="E502" s="12">
        <f t="shared" si="7"/>
        <v>41940</v>
      </c>
    </row>
    <row r="503" spans="1:5" x14ac:dyDescent="0.25">
      <c r="A503" s="2">
        <f>IF(B503="","",SUBTOTAL(3,$B$2:B503))</f>
        <v>502</v>
      </c>
      <c r="B503" s="9" t="s">
        <v>48</v>
      </c>
      <c r="C503" s="10" t="s">
        <v>49</v>
      </c>
      <c r="D503" s="11">
        <v>77.017868145409736</v>
      </c>
      <c r="E503" s="12">
        <f t="shared" si="7"/>
        <v>41941</v>
      </c>
    </row>
    <row r="504" spans="1:5" x14ac:dyDescent="0.25">
      <c r="A504" s="2">
        <f>IF(B504="","",SUBTOTAL(3,$B$2:B504))</f>
        <v>503</v>
      </c>
      <c r="B504" s="9" t="s">
        <v>48</v>
      </c>
      <c r="C504" s="10" t="s">
        <v>49</v>
      </c>
      <c r="D504" s="11">
        <v>206.40788662969811</v>
      </c>
      <c r="E504" s="12">
        <f t="shared" si="7"/>
        <v>41942</v>
      </c>
    </row>
    <row r="505" spans="1:5" x14ac:dyDescent="0.25">
      <c r="A505" s="2">
        <f>IF(B505="","",SUBTOTAL(3,$B$2:B505))</f>
        <v>504</v>
      </c>
      <c r="B505" s="9" t="s">
        <v>50</v>
      </c>
      <c r="C505" s="10" t="s">
        <v>49</v>
      </c>
      <c r="D505" s="11">
        <v>220.45855379188714</v>
      </c>
      <c r="E505" s="12">
        <f t="shared" si="7"/>
        <v>41943</v>
      </c>
    </row>
    <row r="506" spans="1:5" x14ac:dyDescent="0.25">
      <c r="A506" s="2">
        <f>IF(B506="","",SUBTOTAL(3,$B$2:B506))</f>
        <v>505</v>
      </c>
      <c r="B506" s="9" t="s">
        <v>55</v>
      </c>
      <c r="C506" s="10" t="s">
        <v>49</v>
      </c>
      <c r="D506" s="11">
        <v>22</v>
      </c>
      <c r="E506" s="12">
        <f t="shared" si="7"/>
        <v>41944</v>
      </c>
    </row>
    <row r="507" spans="1:5" x14ac:dyDescent="0.25">
      <c r="A507" s="2">
        <f>IF(B507="","",SUBTOTAL(3,$B$2:B507))</f>
        <v>506</v>
      </c>
      <c r="B507" s="9" t="s">
        <v>48</v>
      </c>
      <c r="C507" s="10" t="s">
        <v>49</v>
      </c>
      <c r="D507" s="11">
        <v>202.99872804594455</v>
      </c>
      <c r="E507" s="12">
        <f t="shared" si="7"/>
        <v>41945</v>
      </c>
    </row>
    <row r="508" spans="1:5" x14ac:dyDescent="0.25">
      <c r="A508" s="2">
        <f>IF(B508="","",SUBTOTAL(3,$B$2:B508))</f>
        <v>507</v>
      </c>
      <c r="B508" s="9" t="s">
        <v>50</v>
      </c>
      <c r="C508" s="10" t="s">
        <v>49</v>
      </c>
      <c r="D508" s="11">
        <v>220.45855379188714</v>
      </c>
      <c r="E508" s="12">
        <f t="shared" si="7"/>
        <v>41946</v>
      </c>
    </row>
    <row r="509" spans="1:5" x14ac:dyDescent="0.25">
      <c r="A509" s="2">
        <f>IF(B509="","",SUBTOTAL(3,$B$2:B509))</f>
        <v>508</v>
      </c>
      <c r="B509" s="9" t="s">
        <v>50</v>
      </c>
      <c r="C509" s="10" t="s">
        <v>52</v>
      </c>
      <c r="D509" s="11">
        <v>33.06878306878307</v>
      </c>
      <c r="E509" s="12">
        <f t="shared" si="7"/>
        <v>41947</v>
      </c>
    </row>
    <row r="510" spans="1:5" x14ac:dyDescent="0.25">
      <c r="A510" s="2">
        <f>IF(B510="","",SUBTOTAL(3,$B$2:B510))</f>
        <v>509</v>
      </c>
      <c r="B510" s="9" t="s">
        <v>48</v>
      </c>
      <c r="C510" s="10" t="s">
        <v>49</v>
      </c>
      <c r="D510" s="11">
        <v>20.042912389346419</v>
      </c>
      <c r="E510" s="12">
        <f t="shared" si="7"/>
        <v>41948</v>
      </c>
    </row>
    <row r="511" spans="1:5" x14ac:dyDescent="0.25">
      <c r="A511" s="2">
        <f>IF(B511="","",SUBTOTAL(3,$B$2:B511))</f>
        <v>510</v>
      </c>
      <c r="B511" s="9" t="s">
        <v>50</v>
      </c>
      <c r="C511" s="10" t="s">
        <v>49</v>
      </c>
      <c r="D511" s="11">
        <v>661.37566137566137</v>
      </c>
      <c r="E511" s="12">
        <f t="shared" si="7"/>
        <v>41949</v>
      </c>
    </row>
    <row r="512" spans="1:5" x14ac:dyDescent="0.25">
      <c r="A512" s="2">
        <f>IF(B512="","",SUBTOTAL(3,$B$2:B512))</f>
        <v>511</v>
      </c>
      <c r="B512" s="9" t="s">
        <v>50</v>
      </c>
      <c r="C512" s="10" t="s">
        <v>52</v>
      </c>
      <c r="D512" s="11">
        <v>88.183421516754848</v>
      </c>
      <c r="E512" s="12">
        <f t="shared" si="7"/>
        <v>41950</v>
      </c>
    </row>
    <row r="513" spans="1:5" x14ac:dyDescent="0.25">
      <c r="A513" s="2">
        <f>IF(B513="","",SUBTOTAL(3,$B$2:B513))</f>
        <v>512</v>
      </c>
      <c r="B513" s="9" t="s">
        <v>51</v>
      </c>
      <c r="C513" s="10" t="s">
        <v>52</v>
      </c>
      <c r="D513" s="11">
        <v>129.64913702293168</v>
      </c>
      <c r="E513" s="12">
        <f t="shared" si="7"/>
        <v>41951</v>
      </c>
    </row>
    <row r="514" spans="1:5" x14ac:dyDescent="0.25">
      <c r="A514" s="2">
        <f>IF(B514="","",SUBTOTAL(3,$B$2:B514))</f>
        <v>513</v>
      </c>
      <c r="B514" s="9" t="s">
        <v>55</v>
      </c>
      <c r="C514" s="10" t="s">
        <v>54</v>
      </c>
      <c r="D514" s="11">
        <v>579.76927683489407</v>
      </c>
      <c r="E514" s="12">
        <f t="shared" si="7"/>
        <v>41952</v>
      </c>
    </row>
    <row r="515" spans="1:5" x14ac:dyDescent="0.25">
      <c r="A515" s="2">
        <f>IF(B515="","",SUBTOTAL(3,$B$2:B515))</f>
        <v>514</v>
      </c>
      <c r="B515" s="9" t="s">
        <v>50</v>
      </c>
      <c r="C515" s="10" t="s">
        <v>49</v>
      </c>
      <c r="D515" s="11">
        <v>18.04052028218695</v>
      </c>
      <c r="E515" s="12">
        <f t="shared" si="7"/>
        <v>41953</v>
      </c>
    </row>
    <row r="516" spans="1:5" x14ac:dyDescent="0.25">
      <c r="A516" s="2">
        <f>IF(B516="","",SUBTOTAL(3,$B$2:B516))</f>
        <v>515</v>
      </c>
      <c r="B516" s="9" t="s">
        <v>48</v>
      </c>
      <c r="C516" s="10" t="s">
        <v>49</v>
      </c>
      <c r="D516" s="11">
        <v>107.82501540357363</v>
      </c>
      <c r="E516" s="12">
        <f t="shared" ref="E516:E579" si="8">E515+1</f>
        <v>41954</v>
      </c>
    </row>
    <row r="517" spans="1:5" x14ac:dyDescent="0.25">
      <c r="A517" s="2">
        <f>IF(B517="","",SUBTOTAL(3,$B$2:B517))</f>
        <v>516</v>
      </c>
      <c r="B517" s="9" t="s">
        <v>48</v>
      </c>
      <c r="C517" s="10" t="s">
        <v>49</v>
      </c>
      <c r="D517" s="11">
        <v>1.747459303894235</v>
      </c>
      <c r="E517" s="12">
        <f t="shared" si="8"/>
        <v>41955</v>
      </c>
    </row>
    <row r="518" spans="1:5" x14ac:dyDescent="0.25">
      <c r="A518" s="2">
        <f>IF(B518="","",SUBTOTAL(3,$B$2:B518))</f>
        <v>517</v>
      </c>
      <c r="B518" s="9" t="s">
        <v>53</v>
      </c>
      <c r="C518" s="10" t="s">
        <v>49</v>
      </c>
      <c r="D518" s="11">
        <v>64.110196268786581</v>
      </c>
      <c r="E518" s="12">
        <f t="shared" si="8"/>
        <v>41956</v>
      </c>
    </row>
    <row r="519" spans="1:5" x14ac:dyDescent="0.25">
      <c r="A519" s="2">
        <f>IF(B519="","",SUBTOTAL(3,$B$2:B519))</f>
        <v>518</v>
      </c>
      <c r="B519" s="9" t="s">
        <v>50</v>
      </c>
      <c r="C519" s="10" t="s">
        <v>49</v>
      </c>
      <c r="D519" s="11">
        <v>5.9791446208112875</v>
      </c>
      <c r="E519" s="12">
        <f t="shared" si="8"/>
        <v>41957</v>
      </c>
    </row>
    <row r="520" spans="1:5" x14ac:dyDescent="0.25">
      <c r="A520" s="2">
        <f>IF(B520="","",SUBTOTAL(3,$B$2:B520))</f>
        <v>519</v>
      </c>
      <c r="B520" s="9" t="s">
        <v>55</v>
      </c>
      <c r="C520" s="10" t="s">
        <v>49</v>
      </c>
      <c r="D520" s="11">
        <v>23</v>
      </c>
      <c r="E520" s="12">
        <f t="shared" si="8"/>
        <v>41958</v>
      </c>
    </row>
    <row r="521" spans="1:5" x14ac:dyDescent="0.25">
      <c r="A521" s="2">
        <f>IF(B521="","",SUBTOTAL(3,$B$2:B521))</f>
        <v>520</v>
      </c>
      <c r="B521" s="9" t="s">
        <v>55</v>
      </c>
      <c r="C521" s="10" t="s">
        <v>52</v>
      </c>
      <c r="D521" s="11">
        <v>0</v>
      </c>
      <c r="E521" s="12">
        <f t="shared" si="8"/>
        <v>41959</v>
      </c>
    </row>
    <row r="522" spans="1:5" x14ac:dyDescent="0.25">
      <c r="A522" s="2">
        <f>IF(B522="","",SUBTOTAL(3,$B$2:B522))</f>
        <v>521</v>
      </c>
      <c r="B522" s="9" t="s">
        <v>48</v>
      </c>
      <c r="C522" s="10" t="s">
        <v>52</v>
      </c>
      <c r="D522" s="11">
        <v>385.08934072704869</v>
      </c>
      <c r="E522" s="12">
        <f t="shared" si="8"/>
        <v>41960</v>
      </c>
    </row>
    <row r="523" spans="1:5" x14ac:dyDescent="0.25">
      <c r="A523" s="2">
        <f>IF(B523="","",SUBTOTAL(3,$B$2:B523))</f>
        <v>522</v>
      </c>
      <c r="B523" s="9" t="s">
        <v>50</v>
      </c>
      <c r="C523" s="10" t="s">
        <v>49</v>
      </c>
      <c r="D523" s="11">
        <v>22.045855379188712</v>
      </c>
      <c r="E523" s="12">
        <f t="shared" si="8"/>
        <v>41961</v>
      </c>
    </row>
    <row r="524" spans="1:5" x14ac:dyDescent="0.25">
      <c r="A524" s="2">
        <f>IF(B524="","",SUBTOTAL(3,$B$2:B524))</f>
        <v>523</v>
      </c>
      <c r="B524" s="9" t="s">
        <v>50</v>
      </c>
      <c r="C524" s="10" t="s">
        <v>49</v>
      </c>
      <c r="D524" s="11">
        <v>22.045855379188712</v>
      </c>
      <c r="E524" s="12">
        <f t="shared" si="8"/>
        <v>41962</v>
      </c>
    </row>
    <row r="525" spans="1:5" x14ac:dyDescent="0.25">
      <c r="A525" s="2">
        <f>IF(B525="","",SUBTOTAL(3,$B$2:B525))</f>
        <v>524</v>
      </c>
      <c r="B525" s="9" t="s">
        <v>55</v>
      </c>
      <c r="C525" s="10" t="s">
        <v>52</v>
      </c>
      <c r="D525" s="11">
        <v>50</v>
      </c>
      <c r="E525" s="12">
        <f t="shared" si="8"/>
        <v>41963</v>
      </c>
    </row>
    <row r="526" spans="1:5" x14ac:dyDescent="0.25">
      <c r="A526" s="2">
        <f>IF(B526="","",SUBTOTAL(3,$B$2:B526))</f>
        <v>525</v>
      </c>
      <c r="B526" s="9" t="s">
        <v>50</v>
      </c>
      <c r="C526" s="10" t="s">
        <v>49</v>
      </c>
      <c r="D526" s="11">
        <v>66.137566137566139</v>
      </c>
      <c r="E526" s="12">
        <f t="shared" si="8"/>
        <v>41964</v>
      </c>
    </row>
    <row r="527" spans="1:5" x14ac:dyDescent="0.25">
      <c r="A527" s="2">
        <f>IF(B527="","",SUBTOTAL(3,$B$2:B527))</f>
        <v>526</v>
      </c>
      <c r="B527" s="9" t="s">
        <v>55</v>
      </c>
      <c r="C527" s="10" t="s">
        <v>52</v>
      </c>
      <c r="D527" s="11">
        <v>220</v>
      </c>
      <c r="E527" s="12">
        <f t="shared" si="8"/>
        <v>41965</v>
      </c>
    </row>
    <row r="528" spans="1:5" x14ac:dyDescent="0.25">
      <c r="A528" s="2">
        <f>IF(B528="","",SUBTOTAL(3,$B$2:B528))</f>
        <v>527</v>
      </c>
      <c r="B528" s="9" t="s">
        <v>55</v>
      </c>
      <c r="C528" s="10" t="s">
        <v>57</v>
      </c>
      <c r="D528" s="11">
        <v>0.5</v>
      </c>
      <c r="E528" s="12">
        <f t="shared" si="8"/>
        <v>41966</v>
      </c>
    </row>
    <row r="529" spans="1:5" x14ac:dyDescent="0.25">
      <c r="A529" s="2">
        <f>IF(B529="","",SUBTOTAL(3,$B$2:B529))</f>
        <v>528</v>
      </c>
      <c r="B529" s="9" t="s">
        <v>48</v>
      </c>
      <c r="C529" s="10" t="s">
        <v>52</v>
      </c>
      <c r="D529" s="11">
        <v>6.8941744226128918</v>
      </c>
      <c r="E529" s="12">
        <f t="shared" si="8"/>
        <v>41967</v>
      </c>
    </row>
    <row r="530" spans="1:5" x14ac:dyDescent="0.25">
      <c r="A530" s="2">
        <f>IF(B530="","",SUBTOTAL(3,$B$2:B530))</f>
        <v>529</v>
      </c>
      <c r="B530" s="9" t="s">
        <v>48</v>
      </c>
      <c r="C530" s="10" t="s">
        <v>56</v>
      </c>
      <c r="D530" s="11">
        <v>154.17624914881864</v>
      </c>
      <c r="E530" s="12">
        <f t="shared" si="8"/>
        <v>41968</v>
      </c>
    </row>
    <row r="531" spans="1:5" x14ac:dyDescent="0.25">
      <c r="A531" s="2">
        <f>IF(B531="","",SUBTOTAL(3,$B$2:B531))</f>
        <v>530</v>
      </c>
      <c r="B531" s="9" t="s">
        <v>53</v>
      </c>
      <c r="C531" s="10" t="s">
        <v>54</v>
      </c>
      <c r="D531" s="11">
        <v>457.92997334847558</v>
      </c>
      <c r="E531" s="12">
        <f t="shared" si="8"/>
        <v>41969</v>
      </c>
    </row>
    <row r="532" spans="1:5" x14ac:dyDescent="0.25">
      <c r="A532" s="2">
        <f>IF(B532="","",SUBTOTAL(3,$B$2:B532))</f>
        <v>531</v>
      </c>
      <c r="B532" s="9" t="s">
        <v>53</v>
      </c>
      <c r="C532" s="10" t="s">
        <v>49</v>
      </c>
      <c r="D532" s="11">
        <v>32.05509813439329</v>
      </c>
      <c r="E532" s="12">
        <f t="shared" si="8"/>
        <v>41970</v>
      </c>
    </row>
    <row r="533" spans="1:5" x14ac:dyDescent="0.25">
      <c r="A533" s="2">
        <f>IF(B533="","",SUBTOTAL(3,$B$2:B533))</f>
        <v>532</v>
      </c>
      <c r="B533" s="9" t="s">
        <v>53</v>
      </c>
      <c r="C533" s="10" t="s">
        <v>54</v>
      </c>
      <c r="D533" s="11">
        <v>27.475798400908538</v>
      </c>
      <c r="E533" s="12">
        <f t="shared" si="8"/>
        <v>41971</v>
      </c>
    </row>
    <row r="534" spans="1:5" x14ac:dyDescent="0.25">
      <c r="A534" s="2">
        <f>IF(B534="","",SUBTOTAL(3,$B$2:B534))</f>
        <v>533</v>
      </c>
      <c r="B534" s="9" t="s">
        <v>48</v>
      </c>
      <c r="C534" s="10" t="s">
        <v>49</v>
      </c>
      <c r="D534" s="11">
        <v>1.2322858903265557</v>
      </c>
      <c r="E534" s="12">
        <f t="shared" si="8"/>
        <v>41972</v>
      </c>
    </row>
    <row r="535" spans="1:5" x14ac:dyDescent="0.25">
      <c r="A535" s="2">
        <f>IF(B535="","",SUBTOTAL(3,$B$2:B535))</f>
        <v>534</v>
      </c>
      <c r="B535" s="9" t="s">
        <v>48</v>
      </c>
      <c r="C535" s="10" t="s">
        <v>49</v>
      </c>
      <c r="D535" s="11">
        <v>230.75045289273189</v>
      </c>
      <c r="E535" s="12">
        <f t="shared" si="8"/>
        <v>41973</v>
      </c>
    </row>
    <row r="536" spans="1:5" x14ac:dyDescent="0.25">
      <c r="A536" s="2">
        <f>IF(B536="","",SUBTOTAL(3,$B$2:B536))</f>
        <v>535</v>
      </c>
      <c r="B536" s="9" t="s">
        <v>55</v>
      </c>
      <c r="C536" s="10" t="s">
        <v>52</v>
      </c>
      <c r="D536" s="11">
        <v>21.615289199246568</v>
      </c>
      <c r="E536" s="12">
        <f t="shared" si="8"/>
        <v>41974</v>
      </c>
    </row>
    <row r="537" spans="1:5" x14ac:dyDescent="0.25">
      <c r="A537" s="2">
        <f>IF(B537="","",SUBTOTAL(3,$B$2:B537))</f>
        <v>536</v>
      </c>
      <c r="B537" s="9" t="s">
        <v>55</v>
      </c>
      <c r="C537" s="10" t="s">
        <v>52</v>
      </c>
      <c r="D537" s="11">
        <v>12.423197960215004</v>
      </c>
      <c r="E537" s="12">
        <f t="shared" si="8"/>
        <v>41975</v>
      </c>
    </row>
    <row r="538" spans="1:5" x14ac:dyDescent="0.25">
      <c r="A538" s="2">
        <f>IF(B538="","",SUBTOTAL(3,$B$2:B538))</f>
        <v>537</v>
      </c>
      <c r="B538" s="9" t="s">
        <v>50</v>
      </c>
      <c r="C538" s="10" t="s">
        <v>49</v>
      </c>
      <c r="D538" s="11">
        <v>1911.6761904761906</v>
      </c>
      <c r="E538" s="12">
        <f t="shared" si="8"/>
        <v>41976</v>
      </c>
    </row>
    <row r="539" spans="1:5" x14ac:dyDescent="0.25">
      <c r="A539" s="2">
        <f>IF(B539="","",SUBTOTAL(3,$B$2:B539))</f>
        <v>538</v>
      </c>
      <c r="B539" s="9" t="s">
        <v>50</v>
      </c>
      <c r="C539" s="10" t="s">
        <v>54</v>
      </c>
      <c r="D539" s="11">
        <v>503.06172839506172</v>
      </c>
      <c r="E539" s="12">
        <f t="shared" si="8"/>
        <v>41977</v>
      </c>
    </row>
    <row r="540" spans="1:5" x14ac:dyDescent="0.25">
      <c r="A540" s="2">
        <f>IF(B540="","",SUBTOTAL(3,$B$2:B540))</f>
        <v>539</v>
      </c>
      <c r="B540" s="9" t="s">
        <v>55</v>
      </c>
      <c r="C540" s="10" t="s">
        <v>49</v>
      </c>
      <c r="D540" s="11">
        <v>36.584889146271642</v>
      </c>
      <c r="E540" s="12">
        <f t="shared" si="8"/>
        <v>41978</v>
      </c>
    </row>
    <row r="541" spans="1:5" x14ac:dyDescent="0.25">
      <c r="A541" s="2">
        <f>IF(B541="","",SUBTOTAL(3,$B$2:B541))</f>
        <v>540</v>
      </c>
      <c r="B541" s="9" t="s">
        <v>50</v>
      </c>
      <c r="C541" s="10" t="s">
        <v>52</v>
      </c>
      <c r="D541" s="11">
        <v>50</v>
      </c>
      <c r="E541" s="12">
        <f t="shared" si="8"/>
        <v>41979</v>
      </c>
    </row>
    <row r="542" spans="1:5" x14ac:dyDescent="0.25">
      <c r="A542" s="2">
        <f>IF(B542="","",SUBTOTAL(3,$B$2:B542))</f>
        <v>541</v>
      </c>
      <c r="B542" s="9" t="s">
        <v>51</v>
      </c>
      <c r="C542" s="10" t="s">
        <v>54</v>
      </c>
      <c r="D542" s="11">
        <v>370.64492216456637</v>
      </c>
      <c r="E542" s="12">
        <f t="shared" si="8"/>
        <v>41980</v>
      </c>
    </row>
    <row r="543" spans="1:5" x14ac:dyDescent="0.25">
      <c r="A543" s="2">
        <f>IF(B543="","",SUBTOTAL(3,$B$2:B543))</f>
        <v>542</v>
      </c>
      <c r="B543" s="9" t="s">
        <v>53</v>
      </c>
      <c r="C543" s="10" t="s">
        <v>49</v>
      </c>
      <c r="D543" s="11">
        <v>155.45092364475624</v>
      </c>
      <c r="E543" s="12">
        <f t="shared" si="8"/>
        <v>41981</v>
      </c>
    </row>
    <row r="544" spans="1:5" x14ac:dyDescent="0.25">
      <c r="A544" s="2">
        <f>IF(B544="","",SUBTOTAL(3,$B$2:B544))</f>
        <v>543</v>
      </c>
      <c r="B544" s="9" t="s">
        <v>50</v>
      </c>
      <c r="C544" s="10" t="s">
        <v>49</v>
      </c>
      <c r="D544" s="11">
        <v>11.855158730158729</v>
      </c>
      <c r="E544" s="12">
        <f t="shared" si="8"/>
        <v>41982</v>
      </c>
    </row>
    <row r="545" spans="1:5" x14ac:dyDescent="0.25">
      <c r="A545" s="2">
        <f>IF(B545="","",SUBTOTAL(3,$B$2:B545))</f>
        <v>544</v>
      </c>
      <c r="B545" s="9" t="s">
        <v>55</v>
      </c>
      <c r="C545" s="10" t="s">
        <v>54</v>
      </c>
      <c r="D545" s="11">
        <v>27.268240357469544</v>
      </c>
      <c r="E545" s="12">
        <f t="shared" si="8"/>
        <v>41983</v>
      </c>
    </row>
    <row r="546" spans="1:5" x14ac:dyDescent="0.25">
      <c r="A546" s="2">
        <f>IF(B546="","",SUBTOTAL(3,$B$2:B546))</f>
        <v>545</v>
      </c>
      <c r="B546" s="9" t="s">
        <v>50</v>
      </c>
      <c r="C546" s="10" t="s">
        <v>52</v>
      </c>
      <c r="D546" s="11">
        <v>55.114638447971785</v>
      </c>
      <c r="E546" s="12">
        <f t="shared" si="8"/>
        <v>41984</v>
      </c>
    </row>
    <row r="547" spans="1:5" x14ac:dyDescent="0.25">
      <c r="A547" s="2">
        <f>IF(B547="","",SUBTOTAL(3,$B$2:B547))</f>
        <v>546</v>
      </c>
      <c r="B547" s="9" t="s">
        <v>50</v>
      </c>
      <c r="C547" s="10" t="s">
        <v>54</v>
      </c>
      <c r="D547" s="11">
        <v>291.78225308641976</v>
      </c>
      <c r="E547" s="12">
        <f t="shared" si="8"/>
        <v>41985</v>
      </c>
    </row>
    <row r="548" spans="1:5" x14ac:dyDescent="0.25">
      <c r="A548" s="2">
        <f>IF(B548="","",SUBTOTAL(3,$B$2:B548))</f>
        <v>547</v>
      </c>
      <c r="B548" s="9" t="s">
        <v>50</v>
      </c>
      <c r="C548" s="10" t="s">
        <v>49</v>
      </c>
      <c r="D548" s="11">
        <v>186.28747795414461</v>
      </c>
      <c r="E548" s="12">
        <f t="shared" si="8"/>
        <v>41986</v>
      </c>
    </row>
    <row r="549" spans="1:5" x14ac:dyDescent="0.25">
      <c r="A549" s="2">
        <f>IF(B549="","",SUBTOTAL(3,$B$2:B549))</f>
        <v>548</v>
      </c>
      <c r="B549" s="9" t="s">
        <v>48</v>
      </c>
      <c r="C549" s="10" t="s">
        <v>49</v>
      </c>
      <c r="D549" s="11">
        <v>57.816093430806987</v>
      </c>
      <c r="E549" s="12">
        <f t="shared" si="8"/>
        <v>41987</v>
      </c>
    </row>
    <row r="550" spans="1:5" x14ac:dyDescent="0.25">
      <c r="A550" s="2">
        <f>IF(B550="","",SUBTOTAL(3,$B$2:B550))</f>
        <v>549</v>
      </c>
      <c r="B550" s="9" t="s">
        <v>51</v>
      </c>
      <c r="C550" s="10" t="s">
        <v>52</v>
      </c>
      <c r="D550" s="11">
        <v>52.949274594938046</v>
      </c>
      <c r="E550" s="12">
        <f t="shared" si="8"/>
        <v>41988</v>
      </c>
    </row>
    <row r="551" spans="1:5" x14ac:dyDescent="0.25">
      <c r="A551" s="2">
        <f>IF(B551="","",SUBTOTAL(3,$B$2:B551))</f>
        <v>550</v>
      </c>
      <c r="B551" s="9" t="s">
        <v>53</v>
      </c>
      <c r="C551" s="10" t="s">
        <v>54</v>
      </c>
      <c r="D551" s="11">
        <v>366.3439786787805</v>
      </c>
      <c r="E551" s="12">
        <f t="shared" si="8"/>
        <v>41989</v>
      </c>
    </row>
    <row r="552" spans="1:5" x14ac:dyDescent="0.25">
      <c r="A552" s="2">
        <f>IF(B552="","",SUBTOTAL(3,$B$2:B552))</f>
        <v>551</v>
      </c>
      <c r="B552" s="9" t="s">
        <v>55</v>
      </c>
      <c r="C552" s="10" t="s">
        <v>57</v>
      </c>
      <c r="D552" s="11">
        <v>2.2970551752653098E-2</v>
      </c>
      <c r="E552" s="12">
        <f t="shared" si="8"/>
        <v>41990</v>
      </c>
    </row>
    <row r="553" spans="1:5" x14ac:dyDescent="0.25">
      <c r="A553" s="2">
        <f>IF(B553="","",SUBTOTAL(3,$B$2:B553))</f>
        <v>552</v>
      </c>
      <c r="B553" s="9" t="s">
        <v>51</v>
      </c>
      <c r="C553" s="10" t="s">
        <v>54</v>
      </c>
      <c r="D553" s="11">
        <v>180.02753362278938</v>
      </c>
      <c r="E553" s="12">
        <f t="shared" si="8"/>
        <v>41991</v>
      </c>
    </row>
    <row r="554" spans="1:5" x14ac:dyDescent="0.25">
      <c r="A554" s="2">
        <f>IF(B554="","",SUBTOTAL(3,$B$2:B554))</f>
        <v>553</v>
      </c>
      <c r="B554" s="9" t="s">
        <v>51</v>
      </c>
      <c r="C554" s="10" t="s">
        <v>52</v>
      </c>
      <c r="D554" s="11">
        <v>52.949274594938046</v>
      </c>
      <c r="E554" s="12">
        <f t="shared" si="8"/>
        <v>41992</v>
      </c>
    </row>
    <row r="555" spans="1:5" x14ac:dyDescent="0.25">
      <c r="A555" s="2">
        <f>IF(B555="","",SUBTOTAL(3,$B$2:B555))</f>
        <v>554</v>
      </c>
      <c r="B555" s="9" t="s">
        <v>51</v>
      </c>
      <c r="C555" s="10" t="s">
        <v>52</v>
      </c>
      <c r="D555" s="11">
        <v>52.949274594938046</v>
      </c>
      <c r="E555" s="12">
        <f t="shared" si="8"/>
        <v>41993</v>
      </c>
    </row>
    <row r="556" spans="1:5" x14ac:dyDescent="0.25">
      <c r="A556" s="2">
        <f>IF(B556="","",SUBTOTAL(3,$B$2:B556))</f>
        <v>555</v>
      </c>
      <c r="B556" s="9" t="s">
        <v>51</v>
      </c>
      <c r="C556" s="10" t="s">
        <v>52</v>
      </c>
      <c r="D556" s="11">
        <v>52.949274594938046</v>
      </c>
      <c r="E556" s="12">
        <f t="shared" si="8"/>
        <v>41994</v>
      </c>
    </row>
    <row r="557" spans="1:5" x14ac:dyDescent="0.25">
      <c r="A557" s="2">
        <f>IF(B557="","",SUBTOTAL(3,$B$2:B557))</f>
        <v>556</v>
      </c>
      <c r="B557" s="9" t="s">
        <v>50</v>
      </c>
      <c r="C557" s="10" t="s">
        <v>49</v>
      </c>
      <c r="D557" s="11">
        <v>551.14638447971777</v>
      </c>
      <c r="E557" s="12">
        <f t="shared" si="8"/>
        <v>41995</v>
      </c>
    </row>
    <row r="558" spans="1:5" x14ac:dyDescent="0.25">
      <c r="A558" s="2">
        <f>IF(B558="","",SUBTOTAL(3,$B$2:B558))</f>
        <v>557</v>
      </c>
      <c r="B558" s="9" t="s">
        <v>51</v>
      </c>
      <c r="C558" s="10" t="s">
        <v>52</v>
      </c>
      <c r="D558" s="11">
        <v>52.949274594938046</v>
      </c>
      <c r="E558" s="12">
        <f t="shared" si="8"/>
        <v>41996</v>
      </c>
    </row>
    <row r="559" spans="1:5" x14ac:dyDescent="0.25">
      <c r="A559" s="2">
        <f>IF(B559="","",SUBTOTAL(3,$B$2:B559))</f>
        <v>558</v>
      </c>
      <c r="B559" s="9" t="s">
        <v>51</v>
      </c>
      <c r="C559" s="10" t="s">
        <v>52</v>
      </c>
      <c r="D559" s="11">
        <v>52.949274594938046</v>
      </c>
      <c r="E559" s="12">
        <f t="shared" si="8"/>
        <v>41997</v>
      </c>
    </row>
    <row r="560" spans="1:5" x14ac:dyDescent="0.25">
      <c r="A560" s="2">
        <f>IF(B560="","",SUBTOTAL(3,$B$2:B560))</f>
        <v>559</v>
      </c>
      <c r="B560" s="9" t="s">
        <v>55</v>
      </c>
      <c r="C560" s="10" t="s">
        <v>54</v>
      </c>
      <c r="D560" s="11">
        <v>0.58499999999999996</v>
      </c>
      <c r="E560" s="12">
        <f t="shared" si="8"/>
        <v>41998</v>
      </c>
    </row>
    <row r="561" spans="1:5" x14ac:dyDescent="0.25">
      <c r="A561" s="2">
        <f>IF(B561="","",SUBTOTAL(3,$B$2:B561))</f>
        <v>560</v>
      </c>
      <c r="B561" s="9" t="s">
        <v>51</v>
      </c>
      <c r="C561" s="10" t="s">
        <v>52</v>
      </c>
      <c r="D561" s="11">
        <v>52.949274594938046</v>
      </c>
      <c r="E561" s="12">
        <f t="shared" si="8"/>
        <v>41999</v>
      </c>
    </row>
    <row r="562" spans="1:5" x14ac:dyDescent="0.25">
      <c r="A562" s="2">
        <f>IF(B562="","",SUBTOTAL(3,$B$2:B562))</f>
        <v>561</v>
      </c>
      <c r="B562" s="9" t="s">
        <v>51</v>
      </c>
      <c r="C562" s="10" t="s">
        <v>52</v>
      </c>
      <c r="D562" s="11">
        <v>52.949274594938046</v>
      </c>
      <c r="E562" s="12">
        <f t="shared" si="8"/>
        <v>42000</v>
      </c>
    </row>
    <row r="563" spans="1:5" x14ac:dyDescent="0.25">
      <c r="A563" s="2">
        <f>IF(B563="","",SUBTOTAL(3,$B$2:B563))</f>
        <v>562</v>
      </c>
      <c r="B563" s="9" t="s">
        <v>51</v>
      </c>
      <c r="C563" s="10" t="s">
        <v>52</v>
      </c>
      <c r="D563" s="11">
        <v>52.949274594938046</v>
      </c>
      <c r="E563" s="12">
        <f t="shared" si="8"/>
        <v>42001</v>
      </c>
    </row>
    <row r="564" spans="1:5" x14ac:dyDescent="0.25">
      <c r="A564" s="2">
        <f>IF(B564="","",SUBTOTAL(3,$B$2:B564))</f>
        <v>563</v>
      </c>
      <c r="B564" s="9" t="s">
        <v>51</v>
      </c>
      <c r="C564" s="10" t="s">
        <v>52</v>
      </c>
      <c r="D564" s="11">
        <v>52.949274594938046</v>
      </c>
      <c r="E564" s="12">
        <f t="shared" si="8"/>
        <v>42002</v>
      </c>
    </row>
    <row r="565" spans="1:5" x14ac:dyDescent="0.25">
      <c r="A565" s="2">
        <f>IF(B565="","",SUBTOTAL(3,$B$2:B565))</f>
        <v>564</v>
      </c>
      <c r="B565" s="9" t="s">
        <v>51</v>
      </c>
      <c r="C565" s="10" t="s">
        <v>52</v>
      </c>
      <c r="D565" s="11">
        <v>52.949274594938046</v>
      </c>
      <c r="E565" s="12">
        <f t="shared" si="8"/>
        <v>42003</v>
      </c>
    </row>
    <row r="566" spans="1:5" x14ac:dyDescent="0.25">
      <c r="A566" s="2">
        <f>IF(B566="","",SUBTOTAL(3,$B$2:B566))</f>
        <v>565</v>
      </c>
      <c r="B566" s="9" t="s">
        <v>51</v>
      </c>
      <c r="C566" s="10" t="s">
        <v>52</v>
      </c>
      <c r="D566" s="11">
        <v>52.949274594938046</v>
      </c>
      <c r="E566" s="12">
        <f t="shared" si="8"/>
        <v>42004</v>
      </c>
    </row>
    <row r="567" spans="1:5" x14ac:dyDescent="0.25">
      <c r="A567" s="2">
        <f>IF(B567="","",SUBTOTAL(3,$B$2:B567))</f>
        <v>566</v>
      </c>
      <c r="B567" s="9" t="s">
        <v>51</v>
      </c>
      <c r="C567" s="10" t="s">
        <v>52</v>
      </c>
      <c r="D567" s="11">
        <v>52.949274594938046</v>
      </c>
      <c r="E567" s="12">
        <f t="shared" si="8"/>
        <v>42005</v>
      </c>
    </row>
    <row r="568" spans="1:5" x14ac:dyDescent="0.25">
      <c r="A568" s="2">
        <f>IF(B568="","",SUBTOTAL(3,$B$2:B568))</f>
        <v>567</v>
      </c>
      <c r="B568" s="9" t="s">
        <v>55</v>
      </c>
      <c r="C568" s="10" t="s">
        <v>49</v>
      </c>
      <c r="D568" s="11">
        <v>1.1375</v>
      </c>
      <c r="E568" s="12">
        <f t="shared" si="8"/>
        <v>42006</v>
      </c>
    </row>
    <row r="569" spans="1:5" x14ac:dyDescent="0.25">
      <c r="A569" s="2">
        <f>IF(B569="","",SUBTOTAL(3,$B$2:B569))</f>
        <v>568</v>
      </c>
      <c r="B569" s="9" t="s">
        <v>55</v>
      </c>
      <c r="C569" s="10" t="s">
        <v>49</v>
      </c>
      <c r="D569" s="11">
        <v>5.2</v>
      </c>
      <c r="E569" s="12">
        <f t="shared" si="8"/>
        <v>42007</v>
      </c>
    </row>
    <row r="570" spans="1:5" x14ac:dyDescent="0.25">
      <c r="A570" s="2">
        <f>IF(B570="","",SUBTOTAL(3,$B$2:B570))</f>
        <v>569</v>
      </c>
      <c r="B570" s="9" t="s">
        <v>55</v>
      </c>
      <c r="C570" s="10" t="s">
        <v>49</v>
      </c>
      <c r="D570" s="11">
        <v>5.2</v>
      </c>
      <c r="E570" s="12">
        <f t="shared" si="8"/>
        <v>42008</v>
      </c>
    </row>
    <row r="571" spans="1:5" x14ac:dyDescent="0.25">
      <c r="A571" s="2">
        <f>IF(B571="","",SUBTOTAL(3,$B$2:B571))</f>
        <v>570</v>
      </c>
      <c r="B571" s="9" t="s">
        <v>48</v>
      </c>
      <c r="C571" s="10" t="s">
        <v>52</v>
      </c>
      <c r="D571" s="11">
        <v>154.03573629081947</v>
      </c>
      <c r="E571" s="12">
        <f t="shared" si="8"/>
        <v>42009</v>
      </c>
    </row>
    <row r="572" spans="1:5" x14ac:dyDescent="0.25">
      <c r="A572" s="2">
        <f>IF(B572="","",SUBTOTAL(3,$B$2:B572))</f>
        <v>571</v>
      </c>
      <c r="B572" s="9" t="s">
        <v>48</v>
      </c>
      <c r="C572" s="10" t="s">
        <v>52</v>
      </c>
      <c r="D572" s="11">
        <v>154.03573629081947</v>
      </c>
      <c r="E572" s="12">
        <f t="shared" si="8"/>
        <v>42010</v>
      </c>
    </row>
    <row r="573" spans="1:5" x14ac:dyDescent="0.25">
      <c r="A573" s="2">
        <f>IF(B573="","",SUBTOTAL(3,$B$2:B573))</f>
        <v>572</v>
      </c>
      <c r="B573" s="9" t="s">
        <v>48</v>
      </c>
      <c r="C573" s="10" t="s">
        <v>49</v>
      </c>
      <c r="D573" s="11">
        <v>411.13666439684971</v>
      </c>
      <c r="E573" s="12">
        <f t="shared" si="8"/>
        <v>42011</v>
      </c>
    </row>
    <row r="574" spans="1:5" x14ac:dyDescent="0.25">
      <c r="A574" s="2">
        <f>IF(B574="","",SUBTOTAL(3,$B$2:B574))</f>
        <v>573</v>
      </c>
      <c r="B574" s="9" t="s">
        <v>50</v>
      </c>
      <c r="C574" s="10" t="s">
        <v>52</v>
      </c>
      <c r="D574" s="11">
        <v>6.6137566137566139</v>
      </c>
      <c r="E574" s="12">
        <f t="shared" si="8"/>
        <v>42012</v>
      </c>
    </row>
    <row r="575" spans="1:5" x14ac:dyDescent="0.25">
      <c r="A575" s="2">
        <f>IF(B575="","",SUBTOTAL(3,$B$2:B575))</f>
        <v>574</v>
      </c>
      <c r="B575" s="9" t="s">
        <v>50</v>
      </c>
      <c r="C575" s="10" t="s">
        <v>52</v>
      </c>
      <c r="D575" s="11">
        <v>55.114638447971785</v>
      </c>
      <c r="E575" s="12">
        <f t="shared" si="8"/>
        <v>42013</v>
      </c>
    </row>
    <row r="576" spans="1:5" x14ac:dyDescent="0.25">
      <c r="A576" s="2">
        <f>IF(B576="","",SUBTOTAL(3,$B$2:B576))</f>
        <v>575</v>
      </c>
      <c r="B576" s="9" t="s">
        <v>48</v>
      </c>
      <c r="C576" s="10" t="s">
        <v>54</v>
      </c>
      <c r="D576" s="11">
        <v>20.682523267838675</v>
      </c>
      <c r="E576" s="12">
        <f t="shared" si="8"/>
        <v>42014</v>
      </c>
    </row>
    <row r="577" spans="1:5" x14ac:dyDescent="0.25">
      <c r="A577" s="2">
        <f>IF(B577="","",SUBTOTAL(3,$B$2:B577))</f>
        <v>576</v>
      </c>
      <c r="B577" s="9" t="s">
        <v>55</v>
      </c>
      <c r="C577" s="10" t="s">
        <v>52</v>
      </c>
      <c r="D577" s="11">
        <v>151.19999999999999</v>
      </c>
      <c r="E577" s="12">
        <f t="shared" si="8"/>
        <v>42015</v>
      </c>
    </row>
    <row r="578" spans="1:5" x14ac:dyDescent="0.25">
      <c r="A578" s="2">
        <f>IF(B578="","",SUBTOTAL(3,$B$2:B578))</f>
        <v>577</v>
      </c>
      <c r="B578" s="9" t="s">
        <v>55</v>
      </c>
      <c r="C578" s="10" t="s">
        <v>52</v>
      </c>
      <c r="D578" s="11">
        <v>30</v>
      </c>
      <c r="E578" s="12">
        <f t="shared" si="8"/>
        <v>42016</v>
      </c>
    </row>
    <row r="579" spans="1:5" x14ac:dyDescent="0.25">
      <c r="A579" s="2">
        <f>IF(B579="","",SUBTOTAL(3,$B$2:B579))</f>
        <v>578</v>
      </c>
      <c r="B579" s="9" t="s">
        <v>55</v>
      </c>
      <c r="C579" s="10" t="s">
        <v>49</v>
      </c>
      <c r="D579" s="11">
        <v>500</v>
      </c>
      <c r="E579" s="12">
        <f t="shared" si="8"/>
        <v>42017</v>
      </c>
    </row>
    <row r="580" spans="1:5" x14ac:dyDescent="0.25">
      <c r="A580" s="2">
        <f>IF(B580="","",SUBTOTAL(3,$B$2:B580))</f>
        <v>579</v>
      </c>
      <c r="B580" s="9" t="s">
        <v>55</v>
      </c>
      <c r="C580" s="10" t="s">
        <v>49</v>
      </c>
      <c r="D580" s="11">
        <v>5.6875</v>
      </c>
      <c r="E580" s="12">
        <f t="shared" ref="E580:E643" si="9">E579+1</f>
        <v>42018</v>
      </c>
    </row>
    <row r="581" spans="1:5" x14ac:dyDescent="0.25">
      <c r="A581" s="2">
        <f>IF(B581="","",SUBTOTAL(3,$B$2:B581))</f>
        <v>580</v>
      </c>
      <c r="B581" s="9" t="s">
        <v>55</v>
      </c>
      <c r="C581" s="10" t="s">
        <v>49</v>
      </c>
      <c r="D581" s="11">
        <v>325.89212970506765</v>
      </c>
      <c r="E581" s="12">
        <f t="shared" si="9"/>
        <v>42019</v>
      </c>
    </row>
    <row r="582" spans="1:5" x14ac:dyDescent="0.25">
      <c r="A582" s="2">
        <f>IF(B582="","",SUBTOTAL(3,$B$2:B582))</f>
        <v>581</v>
      </c>
      <c r="B582" s="9" t="s">
        <v>48</v>
      </c>
      <c r="C582" s="10" t="s">
        <v>49</v>
      </c>
      <c r="D582" s="11">
        <v>3.7538062261508616</v>
      </c>
      <c r="E582" s="12">
        <f t="shared" si="9"/>
        <v>42020</v>
      </c>
    </row>
    <row r="583" spans="1:5" x14ac:dyDescent="0.25">
      <c r="A583" s="2">
        <f>IF(B583="","",SUBTOTAL(3,$B$2:B583))</f>
        <v>582</v>
      </c>
      <c r="B583" s="9" t="s">
        <v>50</v>
      </c>
      <c r="C583" s="10" t="s">
        <v>52</v>
      </c>
      <c r="D583" s="11">
        <v>66.137566137566139</v>
      </c>
      <c r="E583" s="12">
        <f t="shared" si="9"/>
        <v>42021</v>
      </c>
    </row>
    <row r="584" spans="1:5" x14ac:dyDescent="0.25">
      <c r="A584" s="2">
        <f>IF(B584="","",SUBTOTAL(3,$B$2:B584))</f>
        <v>583</v>
      </c>
      <c r="B584" s="9" t="s">
        <v>50</v>
      </c>
      <c r="C584" s="10" t="s">
        <v>49</v>
      </c>
      <c r="D584" s="11">
        <v>44.091710758377424</v>
      </c>
      <c r="E584" s="12">
        <f t="shared" si="9"/>
        <v>42022</v>
      </c>
    </row>
    <row r="585" spans="1:5" x14ac:dyDescent="0.25">
      <c r="A585" s="2">
        <f>IF(B585="","",SUBTOTAL(3,$B$2:B585))</f>
        <v>584</v>
      </c>
      <c r="B585" s="9" t="s">
        <v>55</v>
      </c>
      <c r="C585" s="10" t="s">
        <v>49</v>
      </c>
      <c r="D585" s="11">
        <v>33.960297979033548</v>
      </c>
      <c r="E585" s="12">
        <f t="shared" si="9"/>
        <v>42023</v>
      </c>
    </row>
    <row r="586" spans="1:5" x14ac:dyDescent="0.25">
      <c r="A586" s="2">
        <f>IF(B586="","",SUBTOTAL(3,$B$2:B586))</f>
        <v>585</v>
      </c>
      <c r="B586" s="9" t="s">
        <v>55</v>
      </c>
      <c r="C586" s="10" t="s">
        <v>49</v>
      </c>
      <c r="D586" s="11">
        <v>2.2749999999999999</v>
      </c>
      <c r="E586" s="12">
        <f t="shared" si="9"/>
        <v>42024</v>
      </c>
    </row>
    <row r="587" spans="1:5" x14ac:dyDescent="0.25">
      <c r="A587" s="2">
        <f>IF(B587="","",SUBTOTAL(3,$B$2:B587))</f>
        <v>586</v>
      </c>
      <c r="B587" s="9" t="s">
        <v>51</v>
      </c>
      <c r="C587" s="10" t="s">
        <v>54</v>
      </c>
      <c r="D587" s="11">
        <v>52.949274594938046</v>
      </c>
      <c r="E587" s="12">
        <f t="shared" si="9"/>
        <v>42025</v>
      </c>
    </row>
    <row r="588" spans="1:5" x14ac:dyDescent="0.25">
      <c r="A588" s="2">
        <f>IF(B588="","",SUBTOTAL(3,$B$2:B588))</f>
        <v>587</v>
      </c>
      <c r="B588" s="9" t="s">
        <v>55</v>
      </c>
      <c r="C588" s="10" t="s">
        <v>49</v>
      </c>
      <c r="D588" s="11">
        <v>360.93721036336979</v>
      </c>
      <c r="E588" s="12">
        <f t="shared" si="9"/>
        <v>42026</v>
      </c>
    </row>
    <row r="589" spans="1:5" x14ac:dyDescent="0.25">
      <c r="A589" s="2">
        <f>IF(B589="","",SUBTOTAL(3,$B$2:B589))</f>
        <v>588</v>
      </c>
      <c r="B589" s="9" t="s">
        <v>48</v>
      </c>
      <c r="C589" s="10" t="s">
        <v>49</v>
      </c>
      <c r="D589" s="11">
        <v>10.341261633919338</v>
      </c>
      <c r="E589" s="12">
        <f t="shared" si="9"/>
        <v>42027</v>
      </c>
    </row>
    <row r="590" spans="1:5" x14ac:dyDescent="0.25">
      <c r="A590" s="2">
        <f>IF(B590="","",SUBTOTAL(3,$B$2:B590))</f>
        <v>589</v>
      </c>
      <c r="B590" s="9" t="s">
        <v>50</v>
      </c>
      <c r="C590" s="10" t="s">
        <v>52</v>
      </c>
      <c r="D590" s="11">
        <v>66.137566137566139</v>
      </c>
      <c r="E590" s="12">
        <f t="shared" si="9"/>
        <v>42028</v>
      </c>
    </row>
    <row r="591" spans="1:5" x14ac:dyDescent="0.25">
      <c r="A591" s="2">
        <f>IF(B591="","",SUBTOTAL(3,$B$2:B591))</f>
        <v>590</v>
      </c>
      <c r="B591" s="9" t="s">
        <v>50</v>
      </c>
      <c r="C591" s="10" t="s">
        <v>49</v>
      </c>
      <c r="D591" s="11">
        <v>264.55026455026456</v>
      </c>
      <c r="E591" s="12">
        <f t="shared" si="9"/>
        <v>42029</v>
      </c>
    </row>
    <row r="592" spans="1:5" x14ac:dyDescent="0.25">
      <c r="A592" s="2">
        <f>IF(B592="","",SUBTOTAL(3,$B$2:B592))</f>
        <v>591</v>
      </c>
      <c r="B592" s="9" t="s">
        <v>50</v>
      </c>
      <c r="C592" s="10" t="s">
        <v>54</v>
      </c>
      <c r="D592" s="11">
        <v>110.22927689594357</v>
      </c>
      <c r="E592" s="12">
        <f t="shared" si="9"/>
        <v>42030</v>
      </c>
    </row>
    <row r="593" spans="1:5" x14ac:dyDescent="0.25">
      <c r="A593" s="2">
        <f>IF(B593="","",SUBTOTAL(3,$B$2:B593))</f>
        <v>592</v>
      </c>
      <c r="B593" s="9" t="s">
        <v>48</v>
      </c>
      <c r="C593" s="10" t="s">
        <v>54</v>
      </c>
      <c r="D593" s="11">
        <v>6.4721904590597825</v>
      </c>
      <c r="E593" s="12">
        <f t="shared" si="9"/>
        <v>42031</v>
      </c>
    </row>
    <row r="594" spans="1:5" x14ac:dyDescent="0.25">
      <c r="A594" s="2">
        <f>IF(B594="","",SUBTOTAL(3,$B$2:B594))</f>
        <v>593</v>
      </c>
      <c r="B594" s="9" t="s">
        <v>50</v>
      </c>
      <c r="C594" s="10" t="s">
        <v>52</v>
      </c>
      <c r="D594" s="11">
        <v>66.137566137566139</v>
      </c>
      <c r="E594" s="12">
        <f t="shared" si="9"/>
        <v>42032</v>
      </c>
    </row>
    <row r="595" spans="1:5" x14ac:dyDescent="0.25">
      <c r="A595" s="2">
        <f>IF(B595="","",SUBTOTAL(3,$B$2:B595))</f>
        <v>594</v>
      </c>
      <c r="B595" s="9" t="s">
        <v>50</v>
      </c>
      <c r="C595" s="10" t="s">
        <v>49</v>
      </c>
      <c r="D595" s="11">
        <v>22.045855379188712</v>
      </c>
      <c r="E595" s="12">
        <f t="shared" si="9"/>
        <v>42033</v>
      </c>
    </row>
    <row r="596" spans="1:5" x14ac:dyDescent="0.25">
      <c r="A596" s="2">
        <f>IF(B596="","",SUBTOTAL(3,$B$2:B596))</f>
        <v>595</v>
      </c>
      <c r="B596" s="9" t="s">
        <v>50</v>
      </c>
      <c r="C596" s="10" t="s">
        <v>49</v>
      </c>
      <c r="D596" s="11">
        <v>110.22927689594357</v>
      </c>
      <c r="E596" s="12">
        <f t="shared" si="9"/>
        <v>42034</v>
      </c>
    </row>
    <row r="597" spans="1:5" x14ac:dyDescent="0.25">
      <c r="A597" s="2">
        <f>IF(B597="","",SUBTOTAL(3,$B$2:B597))</f>
        <v>596</v>
      </c>
      <c r="B597" s="9" t="s">
        <v>50</v>
      </c>
      <c r="C597" s="10" t="s">
        <v>52</v>
      </c>
      <c r="D597" s="11">
        <v>66.137566137566139</v>
      </c>
      <c r="E597" s="12">
        <f t="shared" si="9"/>
        <v>42035</v>
      </c>
    </row>
    <row r="598" spans="1:5" x14ac:dyDescent="0.25">
      <c r="A598" s="2">
        <f>IF(B598="","",SUBTOTAL(3,$B$2:B598))</f>
        <v>597</v>
      </c>
      <c r="B598" s="9" t="s">
        <v>50</v>
      </c>
      <c r="C598" s="10" t="s">
        <v>52</v>
      </c>
      <c r="D598" s="11">
        <v>66.137566137566139</v>
      </c>
      <c r="E598" s="12">
        <f t="shared" si="9"/>
        <v>42036</v>
      </c>
    </row>
    <row r="599" spans="1:5" x14ac:dyDescent="0.25">
      <c r="A599" s="2">
        <f>IF(B599="","",SUBTOTAL(3,$B$2:B599))</f>
        <v>598</v>
      </c>
      <c r="B599" s="9" t="s">
        <v>50</v>
      </c>
      <c r="C599" s="10" t="s">
        <v>52</v>
      </c>
      <c r="D599" s="11">
        <v>264.55026455026456</v>
      </c>
      <c r="E599" s="12">
        <f t="shared" si="9"/>
        <v>42037</v>
      </c>
    </row>
    <row r="600" spans="1:5" x14ac:dyDescent="0.25">
      <c r="A600" s="2">
        <f>IF(B600="","",SUBTOTAL(3,$B$2:B600))</f>
        <v>599</v>
      </c>
      <c r="B600" s="9" t="s">
        <v>53</v>
      </c>
      <c r="C600" s="10" t="s">
        <v>54</v>
      </c>
      <c r="D600" s="11">
        <v>91.585994669695125</v>
      </c>
      <c r="E600" s="12">
        <f t="shared" si="9"/>
        <v>42038</v>
      </c>
    </row>
    <row r="601" spans="1:5" x14ac:dyDescent="0.25">
      <c r="A601" s="2">
        <f>IF(B601="","",SUBTOTAL(3,$B$2:B601))</f>
        <v>600</v>
      </c>
      <c r="B601" s="9" t="s">
        <v>53</v>
      </c>
      <c r="C601" s="10" t="s">
        <v>54</v>
      </c>
      <c r="D601" s="11">
        <v>18.317198933939025</v>
      </c>
      <c r="E601" s="12">
        <f t="shared" si="9"/>
        <v>42039</v>
      </c>
    </row>
    <row r="602" spans="1:5" x14ac:dyDescent="0.25">
      <c r="A602" s="2">
        <f>IF(B602="","",SUBTOTAL(3,$B$2:B602))</f>
        <v>601</v>
      </c>
      <c r="B602" s="9" t="s">
        <v>53</v>
      </c>
      <c r="C602" s="10" t="s">
        <v>49</v>
      </c>
      <c r="D602" s="11">
        <v>137.37899200454268</v>
      </c>
      <c r="E602" s="12">
        <f t="shared" si="9"/>
        <v>42040</v>
      </c>
    </row>
    <row r="603" spans="1:5" x14ac:dyDescent="0.25">
      <c r="A603" s="2">
        <f>IF(B603="","",SUBTOTAL(3,$B$2:B603))</f>
        <v>602</v>
      </c>
      <c r="B603" s="9" t="s">
        <v>48</v>
      </c>
      <c r="C603" s="10" t="s">
        <v>49</v>
      </c>
      <c r="D603" s="11">
        <v>46.210720887245841</v>
      </c>
      <c r="E603" s="12">
        <f t="shared" si="9"/>
        <v>42041</v>
      </c>
    </row>
    <row r="604" spans="1:5" x14ac:dyDescent="0.25">
      <c r="A604" s="2">
        <f>IF(B604="","",SUBTOTAL(3,$B$2:B604))</f>
        <v>603</v>
      </c>
      <c r="B604" s="9" t="s">
        <v>48</v>
      </c>
      <c r="C604" s="10" t="s">
        <v>49</v>
      </c>
      <c r="D604" s="11">
        <v>385.08934072704869</v>
      </c>
      <c r="E604" s="12">
        <f t="shared" si="9"/>
        <v>42042</v>
      </c>
    </row>
    <row r="605" spans="1:5" x14ac:dyDescent="0.25">
      <c r="A605" s="2">
        <f>IF(B605="","",SUBTOTAL(3,$B$2:B605))</f>
        <v>604</v>
      </c>
      <c r="B605" s="9" t="s">
        <v>51</v>
      </c>
      <c r="C605" s="10" t="s">
        <v>52</v>
      </c>
      <c r="D605" s="11">
        <v>81.030710639332298</v>
      </c>
      <c r="E605" s="12">
        <f t="shared" si="9"/>
        <v>42043</v>
      </c>
    </row>
    <row r="606" spans="1:5" x14ac:dyDescent="0.25">
      <c r="A606" s="2">
        <f>IF(B606="","",SUBTOTAL(3,$B$2:B606))</f>
        <v>605</v>
      </c>
      <c r="B606" s="9" t="s">
        <v>50</v>
      </c>
      <c r="C606" s="10" t="s">
        <v>52</v>
      </c>
      <c r="D606" s="11">
        <v>19.841269841269842</v>
      </c>
      <c r="E606" s="12">
        <f t="shared" si="9"/>
        <v>42044</v>
      </c>
    </row>
    <row r="607" spans="1:5" x14ac:dyDescent="0.25">
      <c r="A607" s="2">
        <f>IF(B607="","",SUBTOTAL(3,$B$2:B607))</f>
        <v>606</v>
      </c>
      <c r="B607" s="9" t="s">
        <v>53</v>
      </c>
      <c r="C607" s="10" t="s">
        <v>54</v>
      </c>
      <c r="D607" s="11">
        <v>32.05509813439329</v>
      </c>
      <c r="E607" s="12">
        <f t="shared" si="9"/>
        <v>42045</v>
      </c>
    </row>
    <row r="608" spans="1:5" x14ac:dyDescent="0.25">
      <c r="A608" s="2">
        <f>IF(B608="","",SUBTOTAL(3,$B$2:B608))</f>
        <v>607</v>
      </c>
      <c r="B608" s="9" t="s">
        <v>53</v>
      </c>
      <c r="C608" s="10" t="s">
        <v>49</v>
      </c>
      <c r="D608" s="11">
        <v>732.687957357561</v>
      </c>
      <c r="E608" s="12">
        <f t="shared" si="9"/>
        <v>42046</v>
      </c>
    </row>
    <row r="609" spans="1:5" x14ac:dyDescent="0.25">
      <c r="A609" s="2">
        <f>IF(B609="","",SUBTOTAL(3,$B$2:B609))</f>
        <v>608</v>
      </c>
      <c r="B609" s="9" t="s">
        <v>48</v>
      </c>
      <c r="C609" s="10" t="s">
        <v>52</v>
      </c>
      <c r="D609" s="11">
        <v>344.70872113064462</v>
      </c>
      <c r="E609" s="12">
        <f t="shared" si="9"/>
        <v>42047</v>
      </c>
    </row>
    <row r="610" spans="1:5" x14ac:dyDescent="0.25">
      <c r="A610" s="2">
        <f>IF(B610="","",SUBTOTAL(3,$B$2:B610))</f>
        <v>609</v>
      </c>
      <c r="B610" s="9" t="s">
        <v>48</v>
      </c>
      <c r="C610" s="10" t="s">
        <v>52</v>
      </c>
      <c r="D610" s="11">
        <v>517.06308169596684</v>
      </c>
      <c r="E610" s="12">
        <f t="shared" si="9"/>
        <v>42048</v>
      </c>
    </row>
    <row r="611" spans="1:5" x14ac:dyDescent="0.25">
      <c r="A611" s="2">
        <f>IF(B611="","",SUBTOTAL(3,$B$2:B611))</f>
        <v>610</v>
      </c>
      <c r="B611" s="9" t="s">
        <v>50</v>
      </c>
      <c r="C611" s="10" t="s">
        <v>49</v>
      </c>
      <c r="D611" s="11">
        <v>60</v>
      </c>
      <c r="E611" s="12">
        <f t="shared" si="9"/>
        <v>42049</v>
      </c>
    </row>
    <row r="612" spans="1:5" x14ac:dyDescent="0.25">
      <c r="A612" s="2">
        <f>IF(B612="","",SUBTOTAL(3,$B$2:B612))</f>
        <v>611</v>
      </c>
      <c r="B612" s="9" t="s">
        <v>48</v>
      </c>
      <c r="C612" s="10" t="s">
        <v>49</v>
      </c>
      <c r="D612" s="11">
        <v>32.850293002412961</v>
      </c>
      <c r="E612" s="12">
        <f t="shared" si="9"/>
        <v>42050</v>
      </c>
    </row>
    <row r="613" spans="1:5" x14ac:dyDescent="0.25">
      <c r="A613" s="2">
        <f>IF(B613="","",SUBTOTAL(3,$B$2:B613))</f>
        <v>612</v>
      </c>
      <c r="B613" s="9" t="s">
        <v>50</v>
      </c>
      <c r="C613" s="10" t="s">
        <v>49</v>
      </c>
      <c r="D613" s="11">
        <v>661.37566137566137</v>
      </c>
      <c r="E613" s="12">
        <f t="shared" si="9"/>
        <v>42051</v>
      </c>
    </row>
    <row r="614" spans="1:5" x14ac:dyDescent="0.25">
      <c r="A614" s="2">
        <f>IF(B614="","",SUBTOTAL(3,$B$2:B614))</f>
        <v>613</v>
      </c>
      <c r="B614" s="9" t="s">
        <v>50</v>
      </c>
      <c r="C614" s="10" t="s">
        <v>52</v>
      </c>
      <c r="D614" s="11">
        <v>44.091710758377424</v>
      </c>
      <c r="E614" s="12">
        <f t="shared" si="9"/>
        <v>42052</v>
      </c>
    </row>
    <row r="615" spans="1:5" x14ac:dyDescent="0.25">
      <c r="A615" s="2">
        <f>IF(B615="","",SUBTOTAL(3,$B$2:B615))</f>
        <v>614</v>
      </c>
      <c r="B615" s="9" t="s">
        <v>50</v>
      </c>
      <c r="C615" s="10" t="s">
        <v>54</v>
      </c>
      <c r="D615" s="11">
        <v>6.6137566137566139</v>
      </c>
      <c r="E615" s="12">
        <f t="shared" si="9"/>
        <v>42053</v>
      </c>
    </row>
    <row r="616" spans="1:5" x14ac:dyDescent="0.25">
      <c r="A616" s="2">
        <f>IF(B616="","",SUBTOTAL(3,$B$2:B616))</f>
        <v>615</v>
      </c>
      <c r="B616" s="9" t="s">
        <v>55</v>
      </c>
      <c r="C616" s="10" t="s">
        <v>49</v>
      </c>
      <c r="D616" s="11">
        <v>98.118455271305194</v>
      </c>
      <c r="E616" s="12">
        <f t="shared" si="9"/>
        <v>42054</v>
      </c>
    </row>
    <row r="617" spans="1:5" x14ac:dyDescent="0.25">
      <c r="A617" s="2">
        <f>IF(B617="","",SUBTOTAL(3,$B$2:B617))</f>
        <v>616</v>
      </c>
      <c r="B617" s="9" t="s">
        <v>50</v>
      </c>
      <c r="C617" s="10" t="s">
        <v>49</v>
      </c>
      <c r="D617" s="11">
        <v>90</v>
      </c>
      <c r="E617" s="12">
        <f t="shared" si="9"/>
        <v>42055</v>
      </c>
    </row>
    <row r="618" spans="1:5" x14ac:dyDescent="0.25">
      <c r="A618" s="2">
        <f>IF(B618="","",SUBTOTAL(3,$B$2:B618))</f>
        <v>617</v>
      </c>
      <c r="B618" s="9" t="s">
        <v>55</v>
      </c>
      <c r="C618" s="10" t="s">
        <v>52</v>
      </c>
      <c r="D618" s="11">
        <v>300</v>
      </c>
      <c r="E618" s="12">
        <f t="shared" si="9"/>
        <v>42056</v>
      </c>
    </row>
    <row r="619" spans="1:5" x14ac:dyDescent="0.25">
      <c r="A619" s="2">
        <f>IF(B619="","",SUBTOTAL(3,$B$2:B619))</f>
        <v>618</v>
      </c>
      <c r="B619" s="9" t="s">
        <v>51</v>
      </c>
      <c r="C619" s="10" t="s">
        <v>54</v>
      </c>
      <c r="D619" s="11">
        <v>607.73032979499237</v>
      </c>
      <c r="E619" s="12">
        <f t="shared" si="9"/>
        <v>42057</v>
      </c>
    </row>
    <row r="620" spans="1:5" x14ac:dyDescent="0.25">
      <c r="A620" s="2">
        <f>IF(B620="","",SUBTOTAL(3,$B$2:B620))</f>
        <v>619</v>
      </c>
      <c r="B620" s="9" t="s">
        <v>50</v>
      </c>
      <c r="C620" s="10" t="s">
        <v>49</v>
      </c>
      <c r="D620" s="11">
        <v>587.60515873015868</v>
      </c>
      <c r="E620" s="12">
        <f t="shared" si="9"/>
        <v>42058</v>
      </c>
    </row>
    <row r="621" spans="1:5" x14ac:dyDescent="0.25">
      <c r="A621" s="2">
        <f>IF(B621="","",SUBTOTAL(3,$B$2:B621))</f>
        <v>620</v>
      </c>
      <c r="B621" s="9" t="s">
        <v>55</v>
      </c>
      <c r="C621" s="10" t="s">
        <v>49</v>
      </c>
      <c r="D621" s="11">
        <v>102.73808976891625</v>
      </c>
      <c r="E621" s="12">
        <f t="shared" si="9"/>
        <v>42059</v>
      </c>
    </row>
    <row r="622" spans="1:5" x14ac:dyDescent="0.25">
      <c r="A622" s="2">
        <f>IF(B622="","",SUBTOTAL(3,$B$2:B622))</f>
        <v>621</v>
      </c>
      <c r="B622" s="9" t="s">
        <v>50</v>
      </c>
      <c r="C622" s="10" t="s">
        <v>52</v>
      </c>
      <c r="D622" s="11">
        <v>44.091710758377424</v>
      </c>
      <c r="E622" s="12">
        <f t="shared" si="9"/>
        <v>42060</v>
      </c>
    </row>
    <row r="623" spans="1:5" x14ac:dyDescent="0.25">
      <c r="A623" s="2">
        <f>IF(B623="","",SUBTOTAL(3,$B$2:B623))</f>
        <v>622</v>
      </c>
      <c r="B623" s="9" t="s">
        <v>51</v>
      </c>
      <c r="C623" s="10" t="s">
        <v>52</v>
      </c>
      <c r="D623" s="11">
        <v>21.179709837975221</v>
      </c>
      <c r="E623" s="12">
        <f t="shared" si="9"/>
        <v>42061</v>
      </c>
    </row>
    <row r="624" spans="1:5" x14ac:dyDescent="0.25">
      <c r="A624" s="2">
        <f>IF(B624="","",SUBTOTAL(3,$B$2:B624))</f>
        <v>623</v>
      </c>
      <c r="B624" s="9" t="s">
        <v>51</v>
      </c>
      <c r="C624" s="10" t="s">
        <v>52</v>
      </c>
      <c r="D624" s="11">
        <v>31.769564756962826</v>
      </c>
      <c r="E624" s="12">
        <f t="shared" si="9"/>
        <v>42062</v>
      </c>
    </row>
    <row r="625" spans="1:5" x14ac:dyDescent="0.25">
      <c r="A625" s="2">
        <f>IF(B625="","",SUBTOTAL(3,$B$2:B625))</f>
        <v>624</v>
      </c>
      <c r="B625" s="9" t="s">
        <v>50</v>
      </c>
      <c r="C625" s="10" t="s">
        <v>49</v>
      </c>
      <c r="D625" s="11">
        <v>44.091710758377424</v>
      </c>
      <c r="E625" s="12">
        <f t="shared" si="9"/>
        <v>42063</v>
      </c>
    </row>
    <row r="626" spans="1:5" x14ac:dyDescent="0.25">
      <c r="A626" s="2">
        <f>IF(B626="","",SUBTOTAL(3,$B$2:B626))</f>
        <v>625</v>
      </c>
      <c r="B626" s="9" t="s">
        <v>55</v>
      </c>
      <c r="C626" s="10" t="s">
        <v>52</v>
      </c>
      <c r="D626" s="11">
        <v>48.883819455760147</v>
      </c>
      <c r="E626" s="12">
        <f t="shared" si="9"/>
        <v>42064</v>
      </c>
    </row>
    <row r="627" spans="1:5" x14ac:dyDescent="0.25">
      <c r="A627" s="2">
        <f>IF(B627="","",SUBTOTAL(3,$B$2:B627))</f>
        <v>626</v>
      </c>
      <c r="B627" s="9" t="s">
        <v>51</v>
      </c>
      <c r="C627" s="10" t="s">
        <v>54</v>
      </c>
      <c r="D627" s="11">
        <v>105.89854918987609</v>
      </c>
      <c r="E627" s="12">
        <f t="shared" si="9"/>
        <v>42065</v>
      </c>
    </row>
    <row r="628" spans="1:5" x14ac:dyDescent="0.25">
      <c r="A628" s="2">
        <f>IF(B628="","",SUBTOTAL(3,$B$2:B628))</f>
        <v>627</v>
      </c>
      <c r="B628" s="9" t="s">
        <v>50</v>
      </c>
      <c r="C628" s="10" t="s">
        <v>49</v>
      </c>
      <c r="D628" s="11">
        <v>391.73686067019401</v>
      </c>
      <c r="E628" s="12">
        <f t="shared" si="9"/>
        <v>42066</v>
      </c>
    </row>
    <row r="629" spans="1:5" x14ac:dyDescent="0.25">
      <c r="A629" s="2">
        <f>IF(B629="","",SUBTOTAL(3,$B$2:B629))</f>
        <v>628</v>
      </c>
      <c r="B629" s="9" t="s">
        <v>55</v>
      </c>
      <c r="C629" s="10" t="s">
        <v>52</v>
      </c>
      <c r="D629" s="11">
        <v>11.485275876326551</v>
      </c>
      <c r="E629" s="12">
        <f t="shared" si="9"/>
        <v>42067</v>
      </c>
    </row>
    <row r="630" spans="1:5" x14ac:dyDescent="0.25">
      <c r="A630" s="2">
        <f>IF(B630="","",SUBTOTAL(3,$B$2:B630))</f>
        <v>629</v>
      </c>
      <c r="B630" s="9" t="s">
        <v>48</v>
      </c>
      <c r="C630" s="10" t="s">
        <v>49</v>
      </c>
      <c r="D630" s="11">
        <v>12.848020762401553</v>
      </c>
      <c r="E630" s="12">
        <f t="shared" si="9"/>
        <v>42068</v>
      </c>
    </row>
    <row r="631" spans="1:5" x14ac:dyDescent="0.25">
      <c r="A631" s="2">
        <f>IF(B631="","",SUBTOTAL(3,$B$2:B631))</f>
        <v>630</v>
      </c>
      <c r="B631" s="9" t="s">
        <v>50</v>
      </c>
      <c r="C631" s="10" t="s">
        <v>52</v>
      </c>
      <c r="D631" s="11">
        <v>66.137566137566139</v>
      </c>
      <c r="E631" s="12">
        <f t="shared" si="9"/>
        <v>42069</v>
      </c>
    </row>
    <row r="632" spans="1:5" x14ac:dyDescent="0.25">
      <c r="A632" s="2">
        <f>IF(B632="","",SUBTOTAL(3,$B$2:B632))</f>
        <v>631</v>
      </c>
      <c r="B632" s="9" t="s">
        <v>50</v>
      </c>
      <c r="C632" s="10" t="s">
        <v>49</v>
      </c>
      <c r="D632" s="11">
        <v>462.96296296296299</v>
      </c>
      <c r="E632" s="12">
        <f t="shared" si="9"/>
        <v>42070</v>
      </c>
    </row>
    <row r="633" spans="1:5" x14ac:dyDescent="0.25">
      <c r="A633" s="2">
        <f>IF(B633="","",SUBTOTAL(3,$B$2:B633))</f>
        <v>632</v>
      </c>
      <c r="B633" s="9" t="s">
        <v>50</v>
      </c>
      <c r="C633" s="10" t="s">
        <v>49</v>
      </c>
      <c r="D633" s="11">
        <v>18.738977072310405</v>
      </c>
      <c r="E633" s="12">
        <f t="shared" si="9"/>
        <v>42071</v>
      </c>
    </row>
    <row r="634" spans="1:5" x14ac:dyDescent="0.25">
      <c r="A634" s="2">
        <f>IF(B634="","",SUBTOTAL(3,$B$2:B634))</f>
        <v>633</v>
      </c>
      <c r="B634" s="9" t="s">
        <v>48</v>
      </c>
      <c r="C634" s="10" t="s">
        <v>54</v>
      </c>
      <c r="D634" s="11">
        <v>89.340727048675291</v>
      </c>
      <c r="E634" s="12">
        <f t="shared" si="9"/>
        <v>42072</v>
      </c>
    </row>
    <row r="635" spans="1:5" x14ac:dyDescent="0.25">
      <c r="A635" s="2">
        <f>IF(B635="","",SUBTOTAL(3,$B$2:B635))</f>
        <v>634</v>
      </c>
      <c r="B635" s="9" t="s">
        <v>48</v>
      </c>
      <c r="C635" s="10" t="s">
        <v>52</v>
      </c>
      <c r="D635" s="11">
        <v>34.470872113064452</v>
      </c>
      <c r="E635" s="12">
        <f t="shared" si="9"/>
        <v>42073</v>
      </c>
    </row>
    <row r="636" spans="1:5" x14ac:dyDescent="0.25">
      <c r="A636" s="2">
        <f>IF(B636="","",SUBTOTAL(3,$B$2:B636))</f>
        <v>635</v>
      </c>
      <c r="B636" s="9" t="s">
        <v>48</v>
      </c>
      <c r="C636" s="10" t="s">
        <v>49</v>
      </c>
      <c r="D636" s="11">
        <v>18.958979662185452</v>
      </c>
      <c r="E636" s="12">
        <f t="shared" si="9"/>
        <v>42074</v>
      </c>
    </row>
    <row r="637" spans="1:5" x14ac:dyDescent="0.25">
      <c r="A637" s="2">
        <f>IF(B637="","",SUBTOTAL(3,$B$2:B637))</f>
        <v>636</v>
      </c>
      <c r="B637" s="9" t="s">
        <v>48</v>
      </c>
      <c r="C637" s="10" t="s">
        <v>49</v>
      </c>
      <c r="D637" s="11">
        <v>3.4470872113064459</v>
      </c>
      <c r="E637" s="12">
        <f t="shared" si="9"/>
        <v>42075</v>
      </c>
    </row>
    <row r="638" spans="1:5" x14ac:dyDescent="0.25">
      <c r="A638" s="2">
        <f>IF(B638="","",SUBTOTAL(3,$B$2:B638))</f>
        <v>637</v>
      </c>
      <c r="B638" s="9" t="s">
        <v>48</v>
      </c>
      <c r="C638" s="10" t="s">
        <v>49</v>
      </c>
      <c r="D638" s="11">
        <v>9.6518441916580482</v>
      </c>
      <c r="E638" s="12">
        <f t="shared" si="9"/>
        <v>42076</v>
      </c>
    </row>
    <row r="639" spans="1:5" x14ac:dyDescent="0.25">
      <c r="A639" s="2">
        <f>IF(B639="","",SUBTOTAL(3,$B$2:B639))</f>
        <v>638</v>
      </c>
      <c r="B639" s="9" t="s">
        <v>55</v>
      </c>
      <c r="C639" s="10" t="s">
        <v>49</v>
      </c>
      <c r="D639" s="11">
        <v>329.04045223319753</v>
      </c>
      <c r="E639" s="12">
        <f t="shared" si="9"/>
        <v>42077</v>
      </c>
    </row>
    <row r="640" spans="1:5" x14ac:dyDescent="0.25">
      <c r="A640" s="2">
        <f>IF(B640="","",SUBTOTAL(3,$B$2:B640))</f>
        <v>639</v>
      </c>
      <c r="B640" s="9" t="s">
        <v>48</v>
      </c>
      <c r="C640" s="10" t="s">
        <v>49</v>
      </c>
      <c r="D640" s="11">
        <v>34.470872113064452</v>
      </c>
      <c r="E640" s="12">
        <f t="shared" si="9"/>
        <v>42078</v>
      </c>
    </row>
    <row r="641" spans="1:5" x14ac:dyDescent="0.25">
      <c r="A641" s="2">
        <f>IF(B641="","",SUBTOTAL(3,$B$2:B641))</f>
        <v>640</v>
      </c>
      <c r="B641" s="9" t="s">
        <v>48</v>
      </c>
      <c r="C641" s="10" t="s">
        <v>49</v>
      </c>
      <c r="D641" s="11">
        <v>34.470872113064452</v>
      </c>
      <c r="E641" s="12">
        <f t="shared" si="9"/>
        <v>42079</v>
      </c>
    </row>
    <row r="642" spans="1:5" x14ac:dyDescent="0.25">
      <c r="A642" s="2">
        <f>IF(B642="","",SUBTOTAL(3,$B$2:B642))</f>
        <v>641</v>
      </c>
      <c r="B642" s="9" t="s">
        <v>48</v>
      </c>
      <c r="C642" s="10" t="s">
        <v>49</v>
      </c>
      <c r="D642" s="11">
        <v>20.682523267838675</v>
      </c>
      <c r="E642" s="12">
        <f t="shared" si="9"/>
        <v>42080</v>
      </c>
    </row>
    <row r="643" spans="1:5" x14ac:dyDescent="0.25">
      <c r="A643" s="2">
        <f>IF(B643="","",SUBTOTAL(3,$B$2:B643))</f>
        <v>642</v>
      </c>
      <c r="B643" s="9" t="s">
        <v>48</v>
      </c>
      <c r="C643" s="10" t="s">
        <v>54</v>
      </c>
      <c r="D643" s="11">
        <v>20.682523267838675</v>
      </c>
      <c r="E643" s="12">
        <f t="shared" si="9"/>
        <v>42081</v>
      </c>
    </row>
    <row r="644" spans="1:5" x14ac:dyDescent="0.25">
      <c r="A644" s="2">
        <f>IF(B644="","",SUBTOTAL(3,$B$2:B644))</f>
        <v>643</v>
      </c>
      <c r="B644" s="9" t="s">
        <v>48</v>
      </c>
      <c r="C644" s="10" t="s">
        <v>54</v>
      </c>
      <c r="D644" s="11">
        <v>3.4470872113064459</v>
      </c>
      <c r="E644" s="12">
        <f t="shared" ref="E644:E707" si="10">E643+1</f>
        <v>42082</v>
      </c>
    </row>
    <row r="645" spans="1:5" x14ac:dyDescent="0.25">
      <c r="A645" s="2">
        <f>IF(B645="","",SUBTOTAL(3,$B$2:B645))</f>
        <v>644</v>
      </c>
      <c r="B645" s="9" t="s">
        <v>48</v>
      </c>
      <c r="C645" s="10" t="s">
        <v>49</v>
      </c>
      <c r="D645" s="11">
        <v>9.5139607032057896</v>
      </c>
      <c r="E645" s="12">
        <f t="shared" si="10"/>
        <v>42083</v>
      </c>
    </row>
    <row r="646" spans="1:5" x14ac:dyDescent="0.25">
      <c r="A646" s="2">
        <f>IF(B646="","",SUBTOTAL(3,$B$2:B646))</f>
        <v>645</v>
      </c>
      <c r="B646" s="9" t="s">
        <v>48</v>
      </c>
      <c r="C646" s="10" t="s">
        <v>49</v>
      </c>
      <c r="D646" s="11">
        <v>15.167183729748361</v>
      </c>
      <c r="E646" s="12">
        <f t="shared" si="10"/>
        <v>42084</v>
      </c>
    </row>
    <row r="647" spans="1:5" x14ac:dyDescent="0.25">
      <c r="A647" s="2">
        <f>IF(B647="","",SUBTOTAL(3,$B$2:B647))</f>
        <v>646</v>
      </c>
      <c r="B647" s="9" t="s">
        <v>48</v>
      </c>
      <c r="C647" s="10" t="s">
        <v>49</v>
      </c>
      <c r="D647" s="11">
        <v>24.129610479145121</v>
      </c>
      <c r="E647" s="12">
        <f t="shared" si="10"/>
        <v>42085</v>
      </c>
    </row>
    <row r="648" spans="1:5" x14ac:dyDescent="0.25">
      <c r="A648" s="2">
        <f>IF(B648="","",SUBTOTAL(3,$B$2:B648))</f>
        <v>647</v>
      </c>
      <c r="B648" s="9" t="s">
        <v>48</v>
      </c>
      <c r="C648" s="10" t="s">
        <v>49</v>
      </c>
      <c r="D648" s="11">
        <v>17.235436056532226</v>
      </c>
      <c r="E648" s="12">
        <f t="shared" si="10"/>
        <v>42086</v>
      </c>
    </row>
    <row r="649" spans="1:5" x14ac:dyDescent="0.25">
      <c r="A649" s="2">
        <f>IF(B649="","",SUBTOTAL(3,$B$2:B649))</f>
        <v>648</v>
      </c>
      <c r="B649" s="9" t="s">
        <v>53</v>
      </c>
      <c r="C649" s="10" t="s">
        <v>54</v>
      </c>
      <c r="D649" s="11">
        <v>59.530896535301828</v>
      </c>
      <c r="E649" s="12">
        <f t="shared" si="10"/>
        <v>42087</v>
      </c>
    </row>
    <row r="650" spans="1:5" x14ac:dyDescent="0.25">
      <c r="A650" s="2">
        <f>IF(B650="","",SUBTOTAL(3,$B$2:B650))</f>
        <v>649</v>
      </c>
      <c r="B650" s="9" t="s">
        <v>48</v>
      </c>
      <c r="C650" s="10" t="s">
        <v>49</v>
      </c>
      <c r="D650" s="11">
        <v>9.2421441774491679</v>
      </c>
      <c r="E650" s="12">
        <f t="shared" si="10"/>
        <v>42088</v>
      </c>
    </row>
    <row r="651" spans="1:5" x14ac:dyDescent="0.25">
      <c r="A651" s="2">
        <f>IF(B651="","",SUBTOTAL(3,$B$2:B651))</f>
        <v>650</v>
      </c>
      <c r="B651" s="9" t="s">
        <v>48</v>
      </c>
      <c r="C651" s="10" t="s">
        <v>54</v>
      </c>
      <c r="D651" s="11">
        <v>34.470872113064452</v>
      </c>
      <c r="E651" s="12">
        <f t="shared" si="10"/>
        <v>42089</v>
      </c>
    </row>
    <row r="652" spans="1:5" x14ac:dyDescent="0.25">
      <c r="A652" s="2">
        <f>IF(B652="","",SUBTOTAL(3,$B$2:B652))</f>
        <v>651</v>
      </c>
      <c r="B652" s="9" t="s">
        <v>51</v>
      </c>
      <c r="C652" s="10" t="s">
        <v>49</v>
      </c>
      <c r="D652" s="11">
        <v>2117.970983797522</v>
      </c>
      <c r="E652" s="12">
        <f t="shared" si="10"/>
        <v>42090</v>
      </c>
    </row>
    <row r="653" spans="1:5" x14ac:dyDescent="0.25">
      <c r="A653" s="2">
        <f>IF(B653="","",SUBTOTAL(3,$B$2:B653))</f>
        <v>652</v>
      </c>
      <c r="B653" s="9" t="s">
        <v>55</v>
      </c>
      <c r="C653" s="10" t="s">
        <v>49</v>
      </c>
      <c r="D653" s="11">
        <v>5.6870000000000003</v>
      </c>
      <c r="E653" s="12">
        <f t="shared" si="10"/>
        <v>42091</v>
      </c>
    </row>
    <row r="654" spans="1:5" x14ac:dyDescent="0.25">
      <c r="A654" s="2">
        <f>IF(B654="","",SUBTOTAL(3,$B$2:B654))</f>
        <v>653</v>
      </c>
      <c r="B654" s="9" t="s">
        <v>50</v>
      </c>
      <c r="C654" s="10" t="s">
        <v>49</v>
      </c>
      <c r="D654" s="11">
        <v>97.934215167548501</v>
      </c>
      <c r="E654" s="12">
        <f t="shared" si="10"/>
        <v>42092</v>
      </c>
    </row>
    <row r="655" spans="1:5" x14ac:dyDescent="0.25">
      <c r="A655" s="2">
        <f>IF(B655="","",SUBTOTAL(3,$B$2:B655))</f>
        <v>654</v>
      </c>
      <c r="B655" s="9" t="s">
        <v>50</v>
      </c>
      <c r="C655" s="10" t="s">
        <v>49</v>
      </c>
      <c r="D655" s="11">
        <v>296.37985008818345</v>
      </c>
      <c r="E655" s="12">
        <f t="shared" si="10"/>
        <v>42093</v>
      </c>
    </row>
    <row r="656" spans="1:5" x14ac:dyDescent="0.25">
      <c r="A656" s="2">
        <f>IF(B656="","",SUBTOTAL(3,$B$2:B656))</f>
        <v>655</v>
      </c>
      <c r="B656" s="9" t="s">
        <v>50</v>
      </c>
      <c r="C656" s="10" t="s">
        <v>49</v>
      </c>
      <c r="D656" s="11">
        <v>36.0810405643739</v>
      </c>
      <c r="E656" s="12">
        <f t="shared" si="10"/>
        <v>42094</v>
      </c>
    </row>
    <row r="657" spans="1:5" x14ac:dyDescent="0.25">
      <c r="A657" s="2">
        <f>IF(B657="","",SUBTOTAL(3,$B$2:B657))</f>
        <v>656</v>
      </c>
      <c r="B657" s="9" t="s">
        <v>53</v>
      </c>
      <c r="C657" s="10" t="s">
        <v>54</v>
      </c>
      <c r="D657" s="11">
        <v>13.737899200454269</v>
      </c>
      <c r="E657" s="12">
        <f t="shared" si="10"/>
        <v>42095</v>
      </c>
    </row>
    <row r="658" spans="1:5" x14ac:dyDescent="0.25">
      <c r="A658" s="2">
        <f>IF(B658="","",SUBTOTAL(3,$B$2:B658))</f>
        <v>657</v>
      </c>
      <c r="B658" s="9" t="s">
        <v>53</v>
      </c>
      <c r="C658" s="10" t="s">
        <v>49</v>
      </c>
      <c r="D658" s="11">
        <v>109.90319360363415</v>
      </c>
      <c r="E658" s="12">
        <f t="shared" si="10"/>
        <v>42096</v>
      </c>
    </row>
    <row r="659" spans="1:5" x14ac:dyDescent="0.25">
      <c r="A659" s="2">
        <f>IF(B659="","",SUBTOTAL(3,$B$2:B659))</f>
        <v>658</v>
      </c>
      <c r="B659" s="9" t="s">
        <v>53</v>
      </c>
      <c r="C659" s="10" t="s">
        <v>49</v>
      </c>
      <c r="D659" s="11">
        <v>457.92997334847558</v>
      </c>
      <c r="E659" s="12">
        <f t="shared" si="10"/>
        <v>42097</v>
      </c>
    </row>
    <row r="660" spans="1:5" x14ac:dyDescent="0.25">
      <c r="A660" s="2">
        <f>IF(B660="","",SUBTOTAL(3,$B$2:B660))</f>
        <v>659</v>
      </c>
      <c r="B660" s="9" t="s">
        <v>51</v>
      </c>
      <c r="C660" s="10" t="s">
        <v>52</v>
      </c>
      <c r="D660" s="11">
        <v>211.79709837975219</v>
      </c>
      <c r="E660" s="12">
        <f t="shared" si="10"/>
        <v>42098</v>
      </c>
    </row>
    <row r="661" spans="1:5" x14ac:dyDescent="0.25">
      <c r="A661" s="2">
        <f>IF(B661="","",SUBTOTAL(3,$B$2:B661))</f>
        <v>660</v>
      </c>
      <c r="B661" s="9" t="s">
        <v>53</v>
      </c>
      <c r="C661" s="10" t="s">
        <v>49</v>
      </c>
      <c r="D661" s="11">
        <v>274.75798400908536</v>
      </c>
      <c r="E661" s="12">
        <f t="shared" si="10"/>
        <v>42099</v>
      </c>
    </row>
    <row r="662" spans="1:5" x14ac:dyDescent="0.25">
      <c r="A662" s="2">
        <f>IF(B662="","",SUBTOTAL(3,$B$2:B662))</f>
        <v>661</v>
      </c>
      <c r="B662" s="9" t="s">
        <v>48</v>
      </c>
      <c r="C662" s="10" t="s">
        <v>49</v>
      </c>
      <c r="D662" s="11">
        <v>7.5835918648741805</v>
      </c>
      <c r="E662" s="12">
        <f t="shared" si="10"/>
        <v>42100</v>
      </c>
    </row>
    <row r="663" spans="1:5" x14ac:dyDescent="0.25">
      <c r="A663" s="2">
        <f>IF(B663="","",SUBTOTAL(3,$B$2:B663))</f>
        <v>662</v>
      </c>
      <c r="B663" s="9" t="s">
        <v>50</v>
      </c>
      <c r="C663" s="10" t="s">
        <v>49</v>
      </c>
      <c r="D663" s="11">
        <v>121.25220458553792</v>
      </c>
      <c r="E663" s="12">
        <f t="shared" si="10"/>
        <v>42101</v>
      </c>
    </row>
    <row r="664" spans="1:5" x14ac:dyDescent="0.25">
      <c r="A664" s="2">
        <f>IF(B664="","",SUBTOTAL(3,$B$2:B664))</f>
        <v>663</v>
      </c>
      <c r="B664" s="9" t="s">
        <v>55</v>
      </c>
      <c r="C664" s="10" t="s">
        <v>52</v>
      </c>
      <c r="D664" s="11">
        <v>0</v>
      </c>
      <c r="E664" s="12">
        <f t="shared" si="10"/>
        <v>42102</v>
      </c>
    </row>
    <row r="665" spans="1:5" x14ac:dyDescent="0.25">
      <c r="A665" s="2">
        <f>IF(B665="","",SUBTOTAL(3,$B$2:B665))</f>
        <v>664</v>
      </c>
      <c r="B665" s="9" t="s">
        <v>50</v>
      </c>
      <c r="C665" s="10" t="s">
        <v>52</v>
      </c>
      <c r="D665" s="11">
        <v>55.114638447971785</v>
      </c>
      <c r="E665" s="12">
        <f t="shared" si="10"/>
        <v>42103</v>
      </c>
    </row>
    <row r="666" spans="1:5" x14ac:dyDescent="0.25">
      <c r="A666" s="2">
        <f>IF(B666="","",SUBTOTAL(3,$B$2:B666))</f>
        <v>665</v>
      </c>
      <c r="B666" s="9" t="s">
        <v>50</v>
      </c>
      <c r="C666" s="10" t="s">
        <v>52</v>
      </c>
      <c r="D666" s="11">
        <v>28.659611992945326</v>
      </c>
      <c r="E666" s="12">
        <f t="shared" si="10"/>
        <v>42104</v>
      </c>
    </row>
    <row r="667" spans="1:5" x14ac:dyDescent="0.25">
      <c r="A667" s="2">
        <f>IF(B667="","",SUBTOTAL(3,$B$2:B667))</f>
        <v>666</v>
      </c>
      <c r="B667" s="9" t="s">
        <v>50</v>
      </c>
      <c r="C667" s="10" t="s">
        <v>52</v>
      </c>
      <c r="D667" s="11">
        <v>44.091710758377424</v>
      </c>
      <c r="E667" s="12">
        <f t="shared" si="10"/>
        <v>42105</v>
      </c>
    </row>
    <row r="668" spans="1:5" x14ac:dyDescent="0.25">
      <c r="A668" s="2">
        <f>IF(B668="","",SUBTOTAL(3,$B$2:B668))</f>
        <v>667</v>
      </c>
      <c r="B668" s="9" t="s">
        <v>50</v>
      </c>
      <c r="C668" s="10" t="s">
        <v>49</v>
      </c>
      <c r="D668" s="11">
        <v>400.1141975308642</v>
      </c>
      <c r="E668" s="12">
        <f t="shared" si="10"/>
        <v>42106</v>
      </c>
    </row>
    <row r="669" spans="1:5" x14ac:dyDescent="0.25">
      <c r="A669" s="2">
        <f>IF(B669="","",SUBTOTAL(3,$B$2:B669))</f>
        <v>668</v>
      </c>
      <c r="B669" s="9" t="s">
        <v>50</v>
      </c>
      <c r="C669" s="10" t="s">
        <v>52</v>
      </c>
      <c r="D669" s="11">
        <v>44.091710758377424</v>
      </c>
      <c r="E669" s="12">
        <f t="shared" si="10"/>
        <v>42107</v>
      </c>
    </row>
    <row r="670" spans="1:5" x14ac:dyDescent="0.25">
      <c r="A670" s="2">
        <f>IF(B670="","",SUBTOTAL(3,$B$2:B670))</f>
        <v>669</v>
      </c>
      <c r="B670" s="9" t="s">
        <v>50</v>
      </c>
      <c r="C670" s="10" t="s">
        <v>49</v>
      </c>
      <c r="D670" s="11">
        <v>661.37566137566137</v>
      </c>
      <c r="E670" s="12">
        <f t="shared" si="10"/>
        <v>42108</v>
      </c>
    </row>
    <row r="671" spans="1:5" x14ac:dyDescent="0.25">
      <c r="A671" s="2">
        <f>IF(B671="","",SUBTOTAL(3,$B$2:B671))</f>
        <v>670</v>
      </c>
      <c r="B671" s="9" t="s">
        <v>55</v>
      </c>
      <c r="C671" s="10" t="s">
        <v>49</v>
      </c>
      <c r="D671" s="11">
        <v>372.8518820270491</v>
      </c>
      <c r="E671" s="12">
        <f t="shared" si="10"/>
        <v>42109</v>
      </c>
    </row>
    <row r="672" spans="1:5" x14ac:dyDescent="0.25">
      <c r="A672" s="2">
        <f>IF(B672="","",SUBTOTAL(3,$B$2:B672))</f>
        <v>671</v>
      </c>
      <c r="B672" s="9" t="s">
        <v>50</v>
      </c>
      <c r="C672" s="10" t="s">
        <v>49</v>
      </c>
      <c r="D672" s="11">
        <v>36.0810405643739</v>
      </c>
      <c r="E672" s="12">
        <f t="shared" si="10"/>
        <v>42110</v>
      </c>
    </row>
    <row r="673" spans="1:5" x14ac:dyDescent="0.25">
      <c r="A673" s="2">
        <f>IF(B673="","",SUBTOTAL(3,$B$2:B673))</f>
        <v>672</v>
      </c>
      <c r="B673" s="9" t="s">
        <v>50</v>
      </c>
      <c r="C673" s="10" t="s">
        <v>52</v>
      </c>
      <c r="D673" s="11">
        <v>304.11144179894183</v>
      </c>
      <c r="E673" s="12">
        <f t="shared" si="10"/>
        <v>42111</v>
      </c>
    </row>
    <row r="674" spans="1:5" x14ac:dyDescent="0.25">
      <c r="A674" s="2">
        <f>IF(B674="","",SUBTOTAL(3,$B$2:B674))</f>
        <v>673</v>
      </c>
      <c r="B674" s="9" t="s">
        <v>50</v>
      </c>
      <c r="C674" s="10" t="s">
        <v>49</v>
      </c>
      <c r="D674" s="11">
        <v>158.73015873015873</v>
      </c>
      <c r="E674" s="12">
        <f t="shared" si="10"/>
        <v>42112</v>
      </c>
    </row>
    <row r="675" spans="1:5" x14ac:dyDescent="0.25">
      <c r="A675" s="2">
        <f>IF(B675="","",SUBTOTAL(3,$B$2:B675))</f>
        <v>674</v>
      </c>
      <c r="B675" s="9" t="s">
        <v>50</v>
      </c>
      <c r="C675" s="10" t="s">
        <v>52</v>
      </c>
      <c r="D675" s="11">
        <v>110.22927689594357</v>
      </c>
      <c r="E675" s="12">
        <f t="shared" si="10"/>
        <v>42113</v>
      </c>
    </row>
    <row r="676" spans="1:5" x14ac:dyDescent="0.25">
      <c r="A676" s="2">
        <f>IF(B676="","",SUBTOTAL(3,$B$2:B676))</f>
        <v>675</v>
      </c>
      <c r="B676" s="9" t="s">
        <v>50</v>
      </c>
      <c r="C676" s="10" t="s">
        <v>54</v>
      </c>
      <c r="D676" s="11">
        <v>55.114638447971785</v>
      </c>
      <c r="E676" s="12">
        <f t="shared" si="10"/>
        <v>42114</v>
      </c>
    </row>
    <row r="677" spans="1:5" x14ac:dyDescent="0.25">
      <c r="A677" s="2">
        <f>IF(B677="","",SUBTOTAL(3,$B$2:B677))</f>
        <v>676</v>
      </c>
      <c r="B677" s="9" t="s">
        <v>50</v>
      </c>
      <c r="C677" s="10" t="s">
        <v>49</v>
      </c>
      <c r="D677" s="11">
        <v>2546.2918871252205</v>
      </c>
      <c r="E677" s="12">
        <f t="shared" si="10"/>
        <v>42115</v>
      </c>
    </row>
    <row r="678" spans="1:5" x14ac:dyDescent="0.25">
      <c r="A678" s="2">
        <f>IF(B678="","",SUBTOTAL(3,$B$2:B678))</f>
        <v>677</v>
      </c>
      <c r="B678" s="9" t="s">
        <v>48</v>
      </c>
      <c r="C678" s="10" t="s">
        <v>52</v>
      </c>
      <c r="D678" s="11">
        <v>38.508934072704868</v>
      </c>
      <c r="E678" s="12">
        <f t="shared" si="10"/>
        <v>42116</v>
      </c>
    </row>
    <row r="679" spans="1:5" x14ac:dyDescent="0.25">
      <c r="A679" s="2">
        <f>IF(B679="","",SUBTOTAL(3,$B$2:B679))</f>
        <v>678</v>
      </c>
      <c r="B679" s="9" t="s">
        <v>55</v>
      </c>
      <c r="C679" s="10" t="s">
        <v>52</v>
      </c>
      <c r="D679" s="11">
        <v>0</v>
      </c>
      <c r="E679" s="12">
        <f t="shared" si="10"/>
        <v>42117</v>
      </c>
    </row>
    <row r="680" spans="1:5" x14ac:dyDescent="0.25">
      <c r="A680" s="2">
        <f>IF(B680="","",SUBTOTAL(3,$B$2:B680))</f>
        <v>679</v>
      </c>
      <c r="B680" s="9" t="s">
        <v>50</v>
      </c>
      <c r="C680" s="10" t="s">
        <v>52</v>
      </c>
      <c r="D680" s="11">
        <v>36.265432098765437</v>
      </c>
      <c r="E680" s="12">
        <f t="shared" si="10"/>
        <v>42118</v>
      </c>
    </row>
    <row r="681" spans="1:5" x14ac:dyDescent="0.25">
      <c r="A681" s="2">
        <f>IF(B681="","",SUBTOTAL(3,$B$2:B681))</f>
        <v>680</v>
      </c>
      <c r="B681" s="9" t="s">
        <v>51</v>
      </c>
      <c r="C681" s="10" t="s">
        <v>52</v>
      </c>
      <c r="D681" s="11">
        <v>40.515355319666149</v>
      </c>
      <c r="E681" s="12">
        <f t="shared" si="10"/>
        <v>42119</v>
      </c>
    </row>
    <row r="682" spans="1:5" x14ac:dyDescent="0.25">
      <c r="A682" s="2">
        <f>IF(B682="","",SUBTOTAL(3,$B$2:B682))</f>
        <v>681</v>
      </c>
      <c r="B682" s="9" t="s">
        <v>48</v>
      </c>
      <c r="C682" s="10" t="s">
        <v>49</v>
      </c>
      <c r="D682" s="11">
        <v>86.177180282661155</v>
      </c>
      <c r="E682" s="12">
        <f t="shared" si="10"/>
        <v>42120</v>
      </c>
    </row>
    <row r="683" spans="1:5" x14ac:dyDescent="0.25">
      <c r="A683" s="2">
        <f>IF(B683="","",SUBTOTAL(3,$B$2:B683))</f>
        <v>682</v>
      </c>
      <c r="B683" s="9" t="s">
        <v>55</v>
      </c>
      <c r="C683" s="10" t="s">
        <v>49</v>
      </c>
      <c r="D683" s="11">
        <v>28.975000000000001</v>
      </c>
      <c r="E683" s="12">
        <f t="shared" si="10"/>
        <v>42121</v>
      </c>
    </row>
    <row r="684" spans="1:5" x14ac:dyDescent="0.25">
      <c r="A684" s="2">
        <f>IF(B684="","",SUBTOTAL(3,$B$2:B684))</f>
        <v>683</v>
      </c>
      <c r="B684" s="9" t="s">
        <v>51</v>
      </c>
      <c r="C684" s="10" t="s">
        <v>52</v>
      </c>
      <c r="D684" s="11">
        <v>4.4477390659747957</v>
      </c>
      <c r="E684" s="12">
        <f t="shared" si="10"/>
        <v>42122</v>
      </c>
    </row>
    <row r="685" spans="1:5" x14ac:dyDescent="0.25">
      <c r="A685" s="2">
        <f>IF(B685="","",SUBTOTAL(3,$B$2:B685))</f>
        <v>684</v>
      </c>
      <c r="B685" s="9" t="s">
        <v>50</v>
      </c>
      <c r="C685" s="10" t="s">
        <v>52</v>
      </c>
      <c r="D685" s="11">
        <v>33.06878306878307</v>
      </c>
      <c r="E685" s="12">
        <f t="shared" si="10"/>
        <v>42123</v>
      </c>
    </row>
    <row r="686" spans="1:5" x14ac:dyDescent="0.25">
      <c r="A686" s="2">
        <f>IF(B686="","",SUBTOTAL(3,$B$2:B686))</f>
        <v>685</v>
      </c>
      <c r="B686" s="9" t="s">
        <v>50</v>
      </c>
      <c r="C686" s="10" t="s">
        <v>54</v>
      </c>
      <c r="D686" s="11">
        <v>110.22927689594357</v>
      </c>
      <c r="E686" s="12">
        <f t="shared" si="10"/>
        <v>42124</v>
      </c>
    </row>
    <row r="687" spans="1:5" x14ac:dyDescent="0.25">
      <c r="A687" s="2">
        <f>IF(B687="","",SUBTOTAL(3,$B$2:B687))</f>
        <v>686</v>
      </c>
      <c r="B687" s="9" t="s">
        <v>50</v>
      </c>
      <c r="C687" s="10" t="s">
        <v>49</v>
      </c>
      <c r="D687" s="11">
        <v>26.455026455026456</v>
      </c>
      <c r="E687" s="12">
        <f t="shared" si="10"/>
        <v>42125</v>
      </c>
    </row>
    <row r="688" spans="1:5" x14ac:dyDescent="0.25">
      <c r="A688" s="2">
        <f>IF(B688="","",SUBTOTAL(3,$B$2:B688))</f>
        <v>687</v>
      </c>
      <c r="B688" s="9" t="s">
        <v>55</v>
      </c>
      <c r="C688" s="10" t="s">
        <v>49</v>
      </c>
      <c r="D688" s="11">
        <v>11.52</v>
      </c>
      <c r="E688" s="12">
        <f t="shared" si="10"/>
        <v>42126</v>
      </c>
    </row>
    <row r="689" spans="1:5" x14ac:dyDescent="0.25">
      <c r="A689" s="2">
        <f>IF(B689="","",SUBTOTAL(3,$B$2:B689))</f>
        <v>688</v>
      </c>
      <c r="B689" s="9" t="s">
        <v>50</v>
      </c>
      <c r="C689" s="10" t="s">
        <v>49</v>
      </c>
      <c r="D689" s="11">
        <v>661.37566137566137</v>
      </c>
      <c r="E689" s="12">
        <f t="shared" si="10"/>
        <v>42127</v>
      </c>
    </row>
    <row r="690" spans="1:5" x14ac:dyDescent="0.25">
      <c r="A690" s="2">
        <f>IF(B690="","",SUBTOTAL(3,$B$2:B690))</f>
        <v>689</v>
      </c>
      <c r="B690" s="9" t="s">
        <v>50</v>
      </c>
      <c r="C690" s="10" t="s">
        <v>52</v>
      </c>
      <c r="D690" s="11">
        <v>81.569664902998241</v>
      </c>
      <c r="E690" s="12">
        <f t="shared" si="10"/>
        <v>42128</v>
      </c>
    </row>
    <row r="691" spans="1:5" x14ac:dyDescent="0.25">
      <c r="A691" s="2">
        <f>IF(B691="","",SUBTOTAL(3,$B$2:B691))</f>
        <v>690</v>
      </c>
      <c r="B691" s="9" t="s">
        <v>48</v>
      </c>
      <c r="C691" s="10" t="s">
        <v>49</v>
      </c>
      <c r="D691" s="11">
        <v>192.54467036352435</v>
      </c>
      <c r="E691" s="12">
        <f t="shared" si="10"/>
        <v>42129</v>
      </c>
    </row>
    <row r="692" spans="1:5" x14ac:dyDescent="0.25">
      <c r="A692" s="2">
        <f>IF(B692="","",SUBTOTAL(3,$B$2:B692))</f>
        <v>691</v>
      </c>
      <c r="B692" s="9" t="s">
        <v>50</v>
      </c>
      <c r="C692" s="10" t="s">
        <v>49</v>
      </c>
      <c r="D692" s="11">
        <v>105.33979276895944</v>
      </c>
      <c r="E692" s="12">
        <f t="shared" si="10"/>
        <v>42130</v>
      </c>
    </row>
    <row r="693" spans="1:5" x14ac:dyDescent="0.25">
      <c r="A693" s="2">
        <f>IF(B693="","",SUBTOTAL(3,$B$2:B693))</f>
        <v>692</v>
      </c>
      <c r="B693" s="9" t="s">
        <v>50</v>
      </c>
      <c r="C693" s="10" t="s">
        <v>52</v>
      </c>
      <c r="D693" s="11">
        <v>44.091710758377424</v>
      </c>
      <c r="E693" s="12">
        <f t="shared" si="10"/>
        <v>42131</v>
      </c>
    </row>
    <row r="694" spans="1:5" x14ac:dyDescent="0.25">
      <c r="A694" s="2">
        <f>IF(B694="","",SUBTOTAL(3,$B$2:B694))</f>
        <v>693</v>
      </c>
      <c r="B694" s="9" t="s">
        <v>55</v>
      </c>
      <c r="C694" s="10" t="s">
        <v>49</v>
      </c>
      <c r="D694" s="11">
        <v>195.53527782304059</v>
      </c>
      <c r="E694" s="12">
        <f t="shared" si="10"/>
        <v>42132</v>
      </c>
    </row>
    <row r="695" spans="1:5" x14ac:dyDescent="0.25">
      <c r="A695" s="2">
        <f>IF(B695="","",SUBTOTAL(3,$B$2:B695))</f>
        <v>694</v>
      </c>
      <c r="B695" s="9" t="s">
        <v>50</v>
      </c>
      <c r="C695" s="10" t="s">
        <v>49</v>
      </c>
      <c r="D695" s="11">
        <v>35.56547619047619</v>
      </c>
      <c r="E695" s="12">
        <f t="shared" si="10"/>
        <v>42133</v>
      </c>
    </row>
    <row r="696" spans="1:5" x14ac:dyDescent="0.25">
      <c r="A696" s="2">
        <f>IF(B696="","",SUBTOTAL(3,$B$2:B696))</f>
        <v>695</v>
      </c>
      <c r="B696" s="9" t="s">
        <v>50</v>
      </c>
      <c r="C696" s="10" t="s">
        <v>52</v>
      </c>
      <c r="D696" s="11">
        <v>132.27513227513228</v>
      </c>
      <c r="E696" s="12">
        <f t="shared" si="10"/>
        <v>42134</v>
      </c>
    </row>
    <row r="697" spans="1:5" x14ac:dyDescent="0.25">
      <c r="A697" s="2">
        <f>IF(B697="","",SUBTOTAL(3,$B$2:B697))</f>
        <v>696</v>
      </c>
      <c r="B697" s="9" t="s">
        <v>50</v>
      </c>
      <c r="C697" s="10" t="s">
        <v>52</v>
      </c>
      <c r="D697" s="11">
        <v>88.183421516754848</v>
      </c>
      <c r="E697" s="12">
        <f t="shared" si="10"/>
        <v>42135</v>
      </c>
    </row>
    <row r="698" spans="1:5" x14ac:dyDescent="0.25">
      <c r="A698" s="2">
        <f>IF(B698="","",SUBTOTAL(3,$B$2:B698))</f>
        <v>697</v>
      </c>
      <c r="B698" s="9" t="s">
        <v>50</v>
      </c>
      <c r="C698" s="10" t="s">
        <v>49</v>
      </c>
      <c r="D698" s="11">
        <v>66.137566137566139</v>
      </c>
      <c r="E698" s="12">
        <f t="shared" si="10"/>
        <v>42136</v>
      </c>
    </row>
    <row r="699" spans="1:5" x14ac:dyDescent="0.25">
      <c r="A699" s="2">
        <f>IF(B699="","",SUBTOTAL(3,$B$2:B699))</f>
        <v>698</v>
      </c>
      <c r="B699" s="9" t="s">
        <v>50</v>
      </c>
      <c r="C699" s="10" t="s">
        <v>54</v>
      </c>
      <c r="D699" s="11">
        <v>352.73368606701939</v>
      </c>
      <c r="E699" s="12">
        <f t="shared" si="10"/>
        <v>42137</v>
      </c>
    </row>
    <row r="700" spans="1:5" x14ac:dyDescent="0.25">
      <c r="A700" s="2">
        <f>IF(B700="","",SUBTOTAL(3,$B$2:B700))</f>
        <v>699</v>
      </c>
      <c r="B700" s="9" t="s">
        <v>50</v>
      </c>
      <c r="C700" s="10" t="s">
        <v>54</v>
      </c>
      <c r="D700" s="11">
        <v>66.137566137566139</v>
      </c>
      <c r="E700" s="12">
        <f t="shared" si="10"/>
        <v>42138</v>
      </c>
    </row>
    <row r="701" spans="1:5" x14ac:dyDescent="0.25">
      <c r="A701" s="2">
        <f>IF(B701="","",SUBTOTAL(3,$B$2:B701))</f>
        <v>700</v>
      </c>
      <c r="B701" s="9" t="s">
        <v>48</v>
      </c>
      <c r="C701" s="10" t="s">
        <v>49</v>
      </c>
      <c r="D701" s="11">
        <v>202.99872804594455</v>
      </c>
      <c r="E701" s="12">
        <f t="shared" si="10"/>
        <v>42139</v>
      </c>
    </row>
    <row r="702" spans="1:5" x14ac:dyDescent="0.25">
      <c r="A702" s="2">
        <f>IF(B702="","",SUBTOTAL(3,$B$2:B702))</f>
        <v>701</v>
      </c>
      <c r="B702" s="9" t="s">
        <v>55</v>
      </c>
      <c r="C702" s="10" t="s">
        <v>49</v>
      </c>
      <c r="D702" s="11">
        <v>231.8</v>
      </c>
      <c r="E702" s="12">
        <f t="shared" si="10"/>
        <v>42140</v>
      </c>
    </row>
    <row r="703" spans="1:5" x14ac:dyDescent="0.25">
      <c r="A703" s="2">
        <f>IF(B703="","",SUBTOTAL(3,$B$2:B703))</f>
        <v>702</v>
      </c>
      <c r="B703" s="9" t="s">
        <v>55</v>
      </c>
      <c r="C703" s="10" t="s">
        <v>49</v>
      </c>
      <c r="D703" s="11">
        <v>231.8</v>
      </c>
      <c r="E703" s="12">
        <f t="shared" si="10"/>
        <v>42141</v>
      </c>
    </row>
    <row r="704" spans="1:5" x14ac:dyDescent="0.25">
      <c r="A704" s="2">
        <f>IF(B704="","",SUBTOTAL(3,$B$2:B704))</f>
        <v>703</v>
      </c>
      <c r="B704" s="9" t="s">
        <v>55</v>
      </c>
      <c r="C704" s="10" t="s">
        <v>49</v>
      </c>
      <c r="D704" s="11">
        <v>115.9</v>
      </c>
      <c r="E704" s="12">
        <f t="shared" si="10"/>
        <v>42142</v>
      </c>
    </row>
    <row r="705" spans="1:5" x14ac:dyDescent="0.25">
      <c r="A705" s="2">
        <f>IF(B705="","",SUBTOTAL(3,$B$2:B705))</f>
        <v>704</v>
      </c>
      <c r="B705" s="9" t="s">
        <v>55</v>
      </c>
      <c r="C705" s="10" t="s">
        <v>49</v>
      </c>
      <c r="D705" s="11">
        <v>231.8</v>
      </c>
      <c r="E705" s="12">
        <f t="shared" si="10"/>
        <v>42143</v>
      </c>
    </row>
    <row r="706" spans="1:5" x14ac:dyDescent="0.25">
      <c r="A706" s="2">
        <f>IF(B706="","",SUBTOTAL(3,$B$2:B706))</f>
        <v>705</v>
      </c>
      <c r="B706" s="9" t="s">
        <v>55</v>
      </c>
      <c r="C706" s="10" t="s">
        <v>49</v>
      </c>
      <c r="D706" s="11">
        <v>231.8</v>
      </c>
      <c r="E706" s="12">
        <f t="shared" si="10"/>
        <v>42144</v>
      </c>
    </row>
    <row r="707" spans="1:5" x14ac:dyDescent="0.25">
      <c r="A707" s="2">
        <f>IF(B707="","",SUBTOTAL(3,$B$2:B707))</f>
        <v>706</v>
      </c>
      <c r="B707" s="9" t="s">
        <v>55</v>
      </c>
      <c r="C707" s="10" t="s">
        <v>49</v>
      </c>
      <c r="D707" s="11">
        <v>231.8</v>
      </c>
      <c r="E707" s="12">
        <f t="shared" si="10"/>
        <v>42145</v>
      </c>
    </row>
    <row r="708" spans="1:5" x14ac:dyDescent="0.25">
      <c r="A708" s="2">
        <f>IF(B708="","",SUBTOTAL(3,$B$2:B708))</f>
        <v>707</v>
      </c>
      <c r="B708" s="9" t="s">
        <v>48</v>
      </c>
      <c r="C708" s="10" t="s">
        <v>49</v>
      </c>
      <c r="D708" s="11">
        <v>49.291435613062234</v>
      </c>
      <c r="E708" s="12">
        <f t="shared" ref="E708:E771" si="11">E707+1</f>
        <v>42146</v>
      </c>
    </row>
    <row r="709" spans="1:5" x14ac:dyDescent="0.25">
      <c r="A709" s="2">
        <f>IF(B709="","",SUBTOTAL(3,$B$2:B709))</f>
        <v>708</v>
      </c>
      <c r="B709" s="9" t="s">
        <v>48</v>
      </c>
      <c r="C709" s="10" t="s">
        <v>49</v>
      </c>
      <c r="D709" s="11">
        <v>61.614294516327789</v>
      </c>
      <c r="E709" s="12">
        <f t="shared" si="11"/>
        <v>42147</v>
      </c>
    </row>
    <row r="710" spans="1:5" x14ac:dyDescent="0.25">
      <c r="A710" s="2">
        <f>IF(B710="","",SUBTOTAL(3,$B$2:B710))</f>
        <v>709</v>
      </c>
      <c r="B710" s="9" t="s">
        <v>48</v>
      </c>
      <c r="C710" s="10" t="s">
        <v>52</v>
      </c>
      <c r="D710" s="11">
        <v>3.5428219346888473E-2</v>
      </c>
      <c r="E710" s="12">
        <f t="shared" si="11"/>
        <v>42148</v>
      </c>
    </row>
    <row r="711" spans="1:5" x14ac:dyDescent="0.25">
      <c r="A711" s="2">
        <f>IF(B711="","",SUBTOTAL(3,$B$2:B711))</f>
        <v>710</v>
      </c>
      <c r="B711" s="9" t="s">
        <v>48</v>
      </c>
      <c r="C711" s="10" t="s">
        <v>52</v>
      </c>
      <c r="D711" s="11">
        <v>12.322858903265558</v>
      </c>
      <c r="E711" s="12">
        <f t="shared" si="11"/>
        <v>42149</v>
      </c>
    </row>
    <row r="712" spans="1:5" x14ac:dyDescent="0.25">
      <c r="A712" s="2">
        <f>IF(B712="","",SUBTOTAL(3,$B$2:B712))</f>
        <v>711</v>
      </c>
      <c r="B712" s="9" t="s">
        <v>48</v>
      </c>
      <c r="C712" s="10" t="s">
        <v>49</v>
      </c>
      <c r="D712" s="11">
        <v>46.210720887245841</v>
      </c>
      <c r="E712" s="12">
        <f t="shared" si="11"/>
        <v>42150</v>
      </c>
    </row>
    <row r="713" spans="1:5" x14ac:dyDescent="0.25">
      <c r="A713" s="2">
        <f>IF(B713="","",SUBTOTAL(3,$B$2:B713))</f>
        <v>712</v>
      </c>
      <c r="B713" s="9" t="s">
        <v>48</v>
      </c>
      <c r="C713" s="10" t="s">
        <v>52</v>
      </c>
      <c r="D713" s="11">
        <v>184</v>
      </c>
      <c r="E713" s="12">
        <f t="shared" si="11"/>
        <v>42151</v>
      </c>
    </row>
    <row r="714" spans="1:5" x14ac:dyDescent="0.25">
      <c r="A714" s="2">
        <f>IF(B714="","",SUBTOTAL(3,$B$2:B714))</f>
        <v>713</v>
      </c>
      <c r="B714" s="9" t="s">
        <v>53</v>
      </c>
      <c r="C714" s="10" t="s">
        <v>49</v>
      </c>
      <c r="D714" s="11">
        <v>64.110196268786581</v>
      </c>
      <c r="E714" s="12">
        <f t="shared" si="11"/>
        <v>42152</v>
      </c>
    </row>
    <row r="715" spans="1:5" x14ac:dyDescent="0.25">
      <c r="A715" s="2">
        <f>IF(B715="","",SUBTOTAL(3,$B$2:B715))</f>
        <v>714</v>
      </c>
      <c r="B715" s="9" t="s">
        <v>48</v>
      </c>
      <c r="C715" s="10" t="s">
        <v>49</v>
      </c>
      <c r="D715" s="11">
        <v>25.853154084798344</v>
      </c>
      <c r="E715" s="12">
        <f t="shared" si="11"/>
        <v>42153</v>
      </c>
    </row>
    <row r="716" spans="1:5" x14ac:dyDescent="0.25">
      <c r="A716" s="2">
        <f>IF(B716="","",SUBTOTAL(3,$B$2:B716))</f>
        <v>715</v>
      </c>
      <c r="B716" s="9" t="s">
        <v>51</v>
      </c>
      <c r="C716" s="10" t="s">
        <v>54</v>
      </c>
      <c r="D716" s="11">
        <v>128.13724451975008</v>
      </c>
      <c r="E716" s="12">
        <f t="shared" si="11"/>
        <v>42154</v>
      </c>
    </row>
    <row r="717" spans="1:5" x14ac:dyDescent="0.25">
      <c r="A717" s="2">
        <f>IF(B717="","",SUBTOTAL(3,$B$2:B717))</f>
        <v>716</v>
      </c>
      <c r="B717" s="9" t="s">
        <v>50</v>
      </c>
      <c r="C717" s="10" t="s">
        <v>49</v>
      </c>
      <c r="D717" s="11">
        <v>195.86838624338625</v>
      </c>
      <c r="E717" s="12">
        <f t="shared" si="11"/>
        <v>42155</v>
      </c>
    </row>
    <row r="718" spans="1:5" x14ac:dyDescent="0.25">
      <c r="A718" s="2">
        <f>IF(B718="","",SUBTOTAL(3,$B$2:B718))</f>
        <v>717</v>
      </c>
      <c r="B718" s="9" t="s">
        <v>50</v>
      </c>
      <c r="C718" s="10" t="s">
        <v>54</v>
      </c>
      <c r="D718" s="11">
        <v>88.183421516754848</v>
      </c>
      <c r="E718" s="12">
        <f t="shared" si="11"/>
        <v>42156</v>
      </c>
    </row>
    <row r="719" spans="1:5" x14ac:dyDescent="0.25">
      <c r="A719" s="2">
        <f>IF(B719="","",SUBTOTAL(3,$B$2:B719))</f>
        <v>718</v>
      </c>
      <c r="B719" s="9" t="s">
        <v>55</v>
      </c>
      <c r="C719" s="10" t="s">
        <v>54</v>
      </c>
      <c r="D719" s="11">
        <v>1.6048788316482105</v>
      </c>
      <c r="E719" s="12">
        <f t="shared" si="11"/>
        <v>42157</v>
      </c>
    </row>
    <row r="720" spans="1:5" x14ac:dyDescent="0.25">
      <c r="A720" s="2">
        <f>IF(B720="","",SUBTOTAL(3,$B$2:B720))</f>
        <v>719</v>
      </c>
      <c r="B720" s="9" t="s">
        <v>50</v>
      </c>
      <c r="C720" s="10" t="s">
        <v>52</v>
      </c>
      <c r="D720" s="11">
        <v>55.114638447971785</v>
      </c>
      <c r="E720" s="12">
        <f t="shared" si="11"/>
        <v>42158</v>
      </c>
    </row>
    <row r="721" spans="1:5" x14ac:dyDescent="0.25">
      <c r="A721" s="2">
        <f>IF(B721="","",SUBTOTAL(3,$B$2:B721))</f>
        <v>720</v>
      </c>
      <c r="B721" s="9" t="s">
        <v>50</v>
      </c>
      <c r="C721" s="10" t="s">
        <v>49</v>
      </c>
      <c r="D721" s="11">
        <v>77.160493827160494</v>
      </c>
      <c r="E721" s="12">
        <f t="shared" si="11"/>
        <v>42159</v>
      </c>
    </row>
    <row r="722" spans="1:5" x14ac:dyDescent="0.25">
      <c r="A722" s="2">
        <f>IF(B722="","",SUBTOTAL(3,$B$2:B722))</f>
        <v>721</v>
      </c>
      <c r="B722" s="9" t="s">
        <v>50</v>
      </c>
      <c r="C722" s="10" t="s">
        <v>49</v>
      </c>
      <c r="D722" s="11">
        <v>13.227513227513228</v>
      </c>
      <c r="E722" s="12">
        <f t="shared" si="11"/>
        <v>42160</v>
      </c>
    </row>
    <row r="723" spans="1:5" x14ac:dyDescent="0.25">
      <c r="A723" s="2">
        <f>IF(B723="","",SUBTOTAL(3,$B$2:B723))</f>
        <v>722</v>
      </c>
      <c r="B723" s="9" t="s">
        <v>48</v>
      </c>
      <c r="C723" s="10" t="s">
        <v>49</v>
      </c>
      <c r="D723" s="11">
        <v>92.421441774491683</v>
      </c>
      <c r="E723" s="12">
        <f t="shared" si="11"/>
        <v>42161</v>
      </c>
    </row>
    <row r="724" spans="1:5" x14ac:dyDescent="0.25">
      <c r="A724" s="2">
        <f>IF(B724="","",SUBTOTAL(3,$B$2:B724))</f>
        <v>723</v>
      </c>
      <c r="B724" s="9" t="s">
        <v>51</v>
      </c>
      <c r="C724" s="10" t="s">
        <v>54</v>
      </c>
      <c r="D724" s="11">
        <v>64.824568511465841</v>
      </c>
      <c r="E724" s="12">
        <f t="shared" si="11"/>
        <v>42162</v>
      </c>
    </row>
    <row r="725" spans="1:5" x14ac:dyDescent="0.25">
      <c r="A725" s="2">
        <f>IF(B725="","",SUBTOTAL(3,$B$2:B725))</f>
        <v>724</v>
      </c>
      <c r="B725" s="9" t="s">
        <v>51</v>
      </c>
      <c r="C725" s="10" t="s">
        <v>54</v>
      </c>
      <c r="D725" s="11">
        <v>52.949274594938046</v>
      </c>
      <c r="E725" s="12">
        <f t="shared" si="11"/>
        <v>42163</v>
      </c>
    </row>
    <row r="726" spans="1:5" x14ac:dyDescent="0.25">
      <c r="A726" s="2">
        <f>IF(B726="","",SUBTOTAL(3,$B$2:B726))</f>
        <v>725</v>
      </c>
      <c r="B726" s="9" t="s">
        <v>50</v>
      </c>
      <c r="C726" s="10" t="s">
        <v>52</v>
      </c>
      <c r="D726" s="11">
        <v>44.091710758377424</v>
      </c>
      <c r="E726" s="12">
        <f t="shared" si="11"/>
        <v>42164</v>
      </c>
    </row>
    <row r="727" spans="1:5" x14ac:dyDescent="0.25">
      <c r="A727" s="2">
        <f>IF(B727="","",SUBTOTAL(3,$B$2:B727))</f>
        <v>726</v>
      </c>
      <c r="B727" s="9" t="s">
        <v>50</v>
      </c>
      <c r="C727" s="10" t="s">
        <v>49</v>
      </c>
      <c r="D727" s="11">
        <v>356.12522045855383</v>
      </c>
      <c r="E727" s="12">
        <f t="shared" si="11"/>
        <v>42165</v>
      </c>
    </row>
    <row r="728" spans="1:5" x14ac:dyDescent="0.25">
      <c r="A728" s="2">
        <f>IF(B728="","",SUBTOTAL(3,$B$2:B728))</f>
        <v>727</v>
      </c>
      <c r="B728" s="9" t="s">
        <v>48</v>
      </c>
      <c r="C728" s="10" t="s">
        <v>49</v>
      </c>
      <c r="D728" s="11">
        <v>12.75422268183385</v>
      </c>
      <c r="E728" s="12">
        <f t="shared" si="11"/>
        <v>42166</v>
      </c>
    </row>
    <row r="729" spans="1:5" x14ac:dyDescent="0.25">
      <c r="A729" s="2">
        <f>IF(B729="","",SUBTOTAL(3,$B$2:B729))</f>
        <v>728</v>
      </c>
      <c r="B729" s="9" t="s">
        <v>51</v>
      </c>
      <c r="C729" s="10" t="s">
        <v>49</v>
      </c>
      <c r="D729" s="11">
        <v>25.415651805570263</v>
      </c>
      <c r="E729" s="12">
        <f t="shared" si="11"/>
        <v>42167</v>
      </c>
    </row>
    <row r="730" spans="1:5" x14ac:dyDescent="0.25">
      <c r="A730" s="2">
        <f>IF(B730="","",SUBTOTAL(3,$B$2:B730))</f>
        <v>729</v>
      </c>
      <c r="B730" s="9" t="s">
        <v>50</v>
      </c>
      <c r="C730" s="10" t="s">
        <v>52</v>
      </c>
      <c r="D730" s="11">
        <v>66.137566137566139</v>
      </c>
      <c r="E730" s="12">
        <f t="shared" si="11"/>
        <v>42168</v>
      </c>
    </row>
    <row r="731" spans="1:5" x14ac:dyDescent="0.25">
      <c r="A731" s="2">
        <f>IF(B731="","",SUBTOTAL(3,$B$2:B731))</f>
        <v>730</v>
      </c>
      <c r="B731" s="9" t="s">
        <v>51</v>
      </c>
      <c r="C731" s="10" t="s">
        <v>54</v>
      </c>
      <c r="D731" s="11">
        <v>191.14688128772633</v>
      </c>
      <c r="E731" s="12">
        <f t="shared" si="11"/>
        <v>42169</v>
      </c>
    </row>
    <row r="732" spans="1:5" x14ac:dyDescent="0.25">
      <c r="A732" s="2">
        <f>IF(B732="","",SUBTOTAL(3,$B$2:B732))</f>
        <v>731</v>
      </c>
      <c r="B732" s="9" t="s">
        <v>51</v>
      </c>
      <c r="C732" s="10" t="s">
        <v>49</v>
      </c>
      <c r="D732" s="11">
        <v>52.949274594938046</v>
      </c>
      <c r="E732" s="12">
        <f t="shared" si="11"/>
        <v>42170</v>
      </c>
    </row>
    <row r="733" spans="1:5" x14ac:dyDescent="0.25">
      <c r="A733" s="2">
        <f>IF(B733="","",SUBTOTAL(3,$B$2:B733))</f>
        <v>732</v>
      </c>
      <c r="B733" s="9" t="s">
        <v>51</v>
      </c>
      <c r="C733" s="10" t="s">
        <v>49</v>
      </c>
      <c r="D733" s="11">
        <v>52.949274594938046</v>
      </c>
      <c r="E733" s="12">
        <f t="shared" si="11"/>
        <v>42171</v>
      </c>
    </row>
    <row r="734" spans="1:5" x14ac:dyDescent="0.25">
      <c r="A734" s="2">
        <f>IF(B734="","",SUBTOTAL(3,$B$2:B734))</f>
        <v>733</v>
      </c>
      <c r="B734" s="9" t="s">
        <v>51</v>
      </c>
      <c r="C734" s="10" t="s">
        <v>54</v>
      </c>
      <c r="D734" s="11">
        <v>52.949274594938046</v>
      </c>
      <c r="E734" s="12">
        <f t="shared" si="11"/>
        <v>42172</v>
      </c>
    </row>
    <row r="735" spans="1:5" x14ac:dyDescent="0.25">
      <c r="A735" s="2">
        <f>IF(B735="","",SUBTOTAL(3,$B$2:B735))</f>
        <v>734</v>
      </c>
      <c r="B735" s="9" t="s">
        <v>51</v>
      </c>
      <c r="C735" s="10" t="s">
        <v>54</v>
      </c>
      <c r="D735" s="11">
        <v>191.14688128772633</v>
      </c>
      <c r="E735" s="12">
        <f t="shared" si="11"/>
        <v>42173</v>
      </c>
    </row>
    <row r="736" spans="1:5" x14ac:dyDescent="0.25">
      <c r="A736" s="2">
        <f>IF(B736="","",SUBTOTAL(3,$B$2:B736))</f>
        <v>735</v>
      </c>
      <c r="B736" s="9" t="s">
        <v>51</v>
      </c>
      <c r="C736" s="10" t="s">
        <v>54</v>
      </c>
      <c r="D736" s="11">
        <v>148.25796886582651</v>
      </c>
      <c r="E736" s="12">
        <f t="shared" si="11"/>
        <v>42174</v>
      </c>
    </row>
    <row r="737" spans="1:5" x14ac:dyDescent="0.25">
      <c r="A737" s="2">
        <f>IF(B737="","",SUBTOTAL(3,$B$2:B737))</f>
        <v>736</v>
      </c>
      <c r="B737" s="9" t="s">
        <v>50</v>
      </c>
      <c r="C737" s="10" t="s">
        <v>52</v>
      </c>
      <c r="D737" s="11">
        <v>132.27513227513228</v>
      </c>
      <c r="E737" s="12">
        <f t="shared" si="11"/>
        <v>42175</v>
      </c>
    </row>
    <row r="738" spans="1:5" x14ac:dyDescent="0.25">
      <c r="A738" s="2">
        <f>IF(B738="","",SUBTOTAL(3,$B$2:B738))</f>
        <v>737</v>
      </c>
      <c r="B738" s="9" t="s">
        <v>50</v>
      </c>
      <c r="C738" s="10" t="s">
        <v>52</v>
      </c>
      <c r="D738" s="11">
        <v>154.32098765432099</v>
      </c>
      <c r="E738" s="12">
        <f t="shared" si="11"/>
        <v>42176</v>
      </c>
    </row>
    <row r="739" spans="1:5" x14ac:dyDescent="0.25">
      <c r="A739" s="2">
        <f>IF(B739="","",SUBTOTAL(3,$B$2:B739))</f>
        <v>738</v>
      </c>
      <c r="B739" s="9" t="s">
        <v>50</v>
      </c>
      <c r="C739" s="10" t="s">
        <v>49</v>
      </c>
      <c r="D739" s="11">
        <v>125.66137566137566</v>
      </c>
      <c r="E739" s="12">
        <f t="shared" si="11"/>
        <v>42177</v>
      </c>
    </row>
    <row r="740" spans="1:5" x14ac:dyDescent="0.25">
      <c r="A740" s="2">
        <f>IF(B740="","",SUBTOTAL(3,$B$2:B740))</f>
        <v>739</v>
      </c>
      <c r="B740" s="9" t="s">
        <v>51</v>
      </c>
      <c r="C740" s="10" t="s">
        <v>54</v>
      </c>
      <c r="D740" s="11">
        <v>63.539129513925651</v>
      </c>
      <c r="E740" s="12">
        <f t="shared" si="11"/>
        <v>42178</v>
      </c>
    </row>
    <row r="741" spans="1:5" x14ac:dyDescent="0.25">
      <c r="A741" s="2">
        <f>IF(B741="","",SUBTOTAL(3,$B$2:B741))</f>
        <v>740</v>
      </c>
      <c r="B741" s="9" t="s">
        <v>50</v>
      </c>
      <c r="C741" s="10" t="s">
        <v>49</v>
      </c>
      <c r="D741" s="11">
        <v>97.934303350970012</v>
      </c>
      <c r="E741" s="12">
        <f t="shared" si="11"/>
        <v>42179</v>
      </c>
    </row>
    <row r="742" spans="1:5" x14ac:dyDescent="0.25">
      <c r="A742" s="2">
        <f>IF(B742="","",SUBTOTAL(3,$B$2:B742))</f>
        <v>741</v>
      </c>
      <c r="B742" s="9" t="s">
        <v>55</v>
      </c>
      <c r="C742" s="10" t="s">
        <v>49</v>
      </c>
      <c r="D742" s="11">
        <v>49.21917384523254</v>
      </c>
      <c r="E742" s="12">
        <f t="shared" si="11"/>
        <v>42180</v>
      </c>
    </row>
    <row r="743" spans="1:5" x14ac:dyDescent="0.25">
      <c r="A743" s="2">
        <f>IF(B743="","",SUBTOTAL(3,$B$2:B743))</f>
        <v>742</v>
      </c>
      <c r="B743" s="9" t="s">
        <v>55</v>
      </c>
      <c r="C743" s="10" t="s">
        <v>49</v>
      </c>
      <c r="D743" s="11">
        <v>65.808090446639511</v>
      </c>
      <c r="E743" s="12">
        <f t="shared" si="11"/>
        <v>42181</v>
      </c>
    </row>
    <row r="744" spans="1:5" x14ac:dyDescent="0.25">
      <c r="A744" s="2">
        <f>IF(B744="","",SUBTOTAL(3,$B$2:B744))</f>
        <v>743</v>
      </c>
      <c r="B744" s="9" t="s">
        <v>55</v>
      </c>
      <c r="C744" s="10" t="s">
        <v>52</v>
      </c>
      <c r="D744" s="11">
        <v>0</v>
      </c>
      <c r="E744" s="12">
        <f t="shared" si="11"/>
        <v>42182</v>
      </c>
    </row>
    <row r="745" spans="1:5" x14ac:dyDescent="0.25">
      <c r="A745" s="2">
        <f>IF(B745="","",SUBTOTAL(3,$B$2:B745))</f>
        <v>744</v>
      </c>
      <c r="B745" s="9" t="s">
        <v>55</v>
      </c>
      <c r="C745" s="10" t="s">
        <v>49</v>
      </c>
      <c r="D745" s="11">
        <v>1106.2998084984567</v>
      </c>
      <c r="E745" s="12">
        <f t="shared" si="11"/>
        <v>42183</v>
      </c>
    </row>
    <row r="746" spans="1:5" x14ac:dyDescent="0.25">
      <c r="A746" s="2">
        <f>IF(B746="","",SUBTOTAL(3,$B$2:B746))</f>
        <v>745</v>
      </c>
      <c r="B746" s="9" t="s">
        <v>50</v>
      </c>
      <c r="C746" s="10" t="s">
        <v>49</v>
      </c>
      <c r="D746" s="11">
        <v>110.22927689594357</v>
      </c>
      <c r="E746" s="12">
        <f t="shared" si="11"/>
        <v>42184</v>
      </c>
    </row>
    <row r="747" spans="1:5" x14ac:dyDescent="0.25">
      <c r="A747" s="2">
        <f>IF(B747="","",SUBTOTAL(3,$B$2:B747))</f>
        <v>746</v>
      </c>
      <c r="B747" s="9" t="s">
        <v>50</v>
      </c>
      <c r="C747" s="10" t="s">
        <v>49</v>
      </c>
      <c r="D747" s="11">
        <v>1984.1269841269841</v>
      </c>
      <c r="E747" s="12">
        <f t="shared" si="11"/>
        <v>42185</v>
      </c>
    </row>
    <row r="748" spans="1:5" x14ac:dyDescent="0.25">
      <c r="A748" s="2">
        <f>IF(B748="","",SUBTOTAL(3,$B$2:B748))</f>
        <v>747</v>
      </c>
      <c r="B748" s="9" t="s">
        <v>55</v>
      </c>
      <c r="C748" s="10" t="s">
        <v>49</v>
      </c>
      <c r="D748" s="11">
        <v>197.4242713399185</v>
      </c>
      <c r="E748" s="12">
        <f t="shared" si="11"/>
        <v>42186</v>
      </c>
    </row>
    <row r="749" spans="1:5" x14ac:dyDescent="0.25">
      <c r="A749" s="2">
        <f>IF(B749="","",SUBTOTAL(3,$B$2:B749))</f>
        <v>748</v>
      </c>
      <c r="B749" s="9" t="s">
        <v>55</v>
      </c>
      <c r="C749" s="10" t="s">
        <v>49</v>
      </c>
      <c r="D749" s="11">
        <v>658.08090446639505</v>
      </c>
      <c r="E749" s="12">
        <f t="shared" si="11"/>
        <v>42187</v>
      </c>
    </row>
    <row r="750" spans="1:5" x14ac:dyDescent="0.25">
      <c r="A750" s="2">
        <f>IF(B750="","",SUBTOTAL(3,$B$2:B750))</f>
        <v>749</v>
      </c>
      <c r="B750" s="9" t="s">
        <v>48</v>
      </c>
      <c r="C750" s="10" t="s">
        <v>49</v>
      </c>
      <c r="D750" s="11">
        <v>13.098931402964494</v>
      </c>
      <c r="E750" s="12">
        <f t="shared" si="11"/>
        <v>42188</v>
      </c>
    </row>
    <row r="751" spans="1:5" x14ac:dyDescent="0.25">
      <c r="A751" s="2">
        <f>IF(B751="","",SUBTOTAL(3,$B$2:B751))</f>
        <v>750</v>
      </c>
      <c r="B751" s="9" t="s">
        <v>53</v>
      </c>
      <c r="C751" s="10" t="s">
        <v>49</v>
      </c>
      <c r="D751" s="11">
        <v>137.37899200454268</v>
      </c>
      <c r="E751" s="12">
        <f t="shared" si="11"/>
        <v>42189</v>
      </c>
    </row>
    <row r="752" spans="1:5" x14ac:dyDescent="0.25">
      <c r="A752" s="2">
        <f>IF(B752="","",SUBTOTAL(3,$B$2:B752))</f>
        <v>751</v>
      </c>
      <c r="B752" s="9" t="s">
        <v>48</v>
      </c>
      <c r="C752" s="10" t="s">
        <v>54</v>
      </c>
      <c r="D752" s="11">
        <v>55.153395380903135</v>
      </c>
      <c r="E752" s="12">
        <f t="shared" si="11"/>
        <v>42190</v>
      </c>
    </row>
    <row r="753" spans="1:5" x14ac:dyDescent="0.25">
      <c r="A753" s="2">
        <f>IF(B753="","",SUBTOTAL(3,$B$2:B753))</f>
        <v>752</v>
      </c>
      <c r="B753" s="9" t="s">
        <v>48</v>
      </c>
      <c r="C753" s="10" t="s">
        <v>49</v>
      </c>
      <c r="D753" s="11">
        <v>7.5835918648741805</v>
      </c>
      <c r="E753" s="12">
        <f t="shared" si="11"/>
        <v>42191</v>
      </c>
    </row>
    <row r="754" spans="1:5" x14ac:dyDescent="0.25">
      <c r="A754" s="2">
        <f>IF(B754="","",SUBTOTAL(3,$B$2:B754))</f>
        <v>753</v>
      </c>
      <c r="B754" s="9" t="s">
        <v>48</v>
      </c>
      <c r="C754" s="10" t="s">
        <v>54</v>
      </c>
      <c r="D754" s="11">
        <v>10.341261633919338</v>
      </c>
      <c r="E754" s="12">
        <f t="shared" si="11"/>
        <v>42192</v>
      </c>
    </row>
    <row r="755" spans="1:5" x14ac:dyDescent="0.25">
      <c r="A755" s="2">
        <f>IF(B755="","",SUBTOTAL(3,$B$2:B755))</f>
        <v>754</v>
      </c>
      <c r="B755" s="9" t="s">
        <v>48</v>
      </c>
      <c r="C755" s="10" t="s">
        <v>49</v>
      </c>
      <c r="D755" s="11">
        <v>77.017868145409736</v>
      </c>
      <c r="E755" s="12">
        <f t="shared" si="11"/>
        <v>42193</v>
      </c>
    </row>
    <row r="756" spans="1:5" x14ac:dyDescent="0.25">
      <c r="A756" s="2">
        <f>IF(B756="","",SUBTOTAL(3,$B$2:B756))</f>
        <v>755</v>
      </c>
      <c r="B756" s="9" t="s">
        <v>48</v>
      </c>
      <c r="C756" s="10" t="s">
        <v>49</v>
      </c>
      <c r="D756" s="11">
        <v>22.406066873491898</v>
      </c>
      <c r="E756" s="12">
        <f t="shared" si="11"/>
        <v>42194</v>
      </c>
    </row>
    <row r="757" spans="1:5" x14ac:dyDescent="0.25">
      <c r="A757" s="2">
        <f>IF(B757="","",SUBTOTAL(3,$B$2:B757))</f>
        <v>756</v>
      </c>
      <c r="B757" s="9" t="s">
        <v>48</v>
      </c>
      <c r="C757" s="10" t="s">
        <v>49</v>
      </c>
      <c r="D757" s="11">
        <v>77.017868145409736</v>
      </c>
      <c r="E757" s="12">
        <f t="shared" si="11"/>
        <v>42195</v>
      </c>
    </row>
    <row r="758" spans="1:5" x14ac:dyDescent="0.25">
      <c r="A758" s="2">
        <f>IF(B758="","",SUBTOTAL(3,$B$2:B758))</f>
        <v>757</v>
      </c>
      <c r="B758" s="9" t="s">
        <v>48</v>
      </c>
      <c r="C758" s="10" t="s">
        <v>49</v>
      </c>
      <c r="D758" s="11">
        <v>77.017868145409736</v>
      </c>
      <c r="E758" s="12">
        <f t="shared" si="11"/>
        <v>42196</v>
      </c>
    </row>
    <row r="759" spans="1:5" x14ac:dyDescent="0.25">
      <c r="A759" s="2">
        <f>IF(B759="","",SUBTOTAL(3,$B$2:B759))</f>
        <v>758</v>
      </c>
      <c r="B759" s="9" t="s">
        <v>48</v>
      </c>
      <c r="C759" s="10" t="s">
        <v>49</v>
      </c>
      <c r="D759" s="11">
        <v>21.371940710099963</v>
      </c>
      <c r="E759" s="12">
        <f t="shared" si="11"/>
        <v>42197</v>
      </c>
    </row>
    <row r="760" spans="1:5" x14ac:dyDescent="0.25">
      <c r="A760" s="2">
        <f>IF(B760="","",SUBTOTAL(3,$B$2:B760))</f>
        <v>759</v>
      </c>
      <c r="B760" s="9" t="s">
        <v>48</v>
      </c>
      <c r="C760" s="10" t="s">
        <v>49</v>
      </c>
      <c r="D760" s="11">
        <v>103.41261633919338</v>
      </c>
      <c r="E760" s="12">
        <f t="shared" si="11"/>
        <v>42198</v>
      </c>
    </row>
    <row r="761" spans="1:5" x14ac:dyDescent="0.25">
      <c r="A761" s="2">
        <f>IF(B761="","",SUBTOTAL(3,$B$2:B761))</f>
        <v>760</v>
      </c>
      <c r="B761" s="9" t="s">
        <v>48</v>
      </c>
      <c r="C761" s="10" t="s">
        <v>49</v>
      </c>
      <c r="D761" s="11">
        <v>149.41466420209488</v>
      </c>
      <c r="E761" s="12">
        <f t="shared" si="11"/>
        <v>42199</v>
      </c>
    </row>
    <row r="762" spans="1:5" x14ac:dyDescent="0.25">
      <c r="A762" s="2">
        <f>IF(B762="","",SUBTOTAL(3,$B$2:B762))</f>
        <v>761</v>
      </c>
      <c r="B762" s="9" t="s">
        <v>53</v>
      </c>
      <c r="C762" s="10" t="s">
        <v>49</v>
      </c>
      <c r="D762" s="11">
        <v>91.585994669695125</v>
      </c>
      <c r="E762" s="12">
        <f t="shared" si="11"/>
        <v>42200</v>
      </c>
    </row>
    <row r="763" spans="1:5" x14ac:dyDescent="0.25">
      <c r="A763" s="2">
        <f>IF(B763="","",SUBTOTAL(3,$B$2:B763))</f>
        <v>762</v>
      </c>
      <c r="B763" s="9" t="s">
        <v>53</v>
      </c>
      <c r="C763" s="10" t="s">
        <v>49</v>
      </c>
      <c r="D763" s="11">
        <v>164.85479040545121</v>
      </c>
      <c r="E763" s="12">
        <f t="shared" si="11"/>
        <v>42201</v>
      </c>
    </row>
    <row r="764" spans="1:5" x14ac:dyDescent="0.25">
      <c r="A764" s="2">
        <f>IF(B764="","",SUBTOTAL(3,$B$2:B764))</f>
        <v>763</v>
      </c>
      <c r="B764" s="9" t="s">
        <v>53</v>
      </c>
      <c r="C764" s="10" t="s">
        <v>49</v>
      </c>
      <c r="D764" s="11">
        <v>274.75798400908536</v>
      </c>
      <c r="E764" s="12">
        <f t="shared" si="11"/>
        <v>42202</v>
      </c>
    </row>
    <row r="765" spans="1:5" x14ac:dyDescent="0.25">
      <c r="A765" s="2">
        <f>IF(B765="","",SUBTOTAL(3,$B$2:B765))</f>
        <v>764</v>
      </c>
      <c r="B765" s="9" t="s">
        <v>48</v>
      </c>
      <c r="C765" s="10" t="s">
        <v>54</v>
      </c>
      <c r="D765" s="11">
        <v>6.8941744226128918</v>
      </c>
      <c r="E765" s="12">
        <f t="shared" si="11"/>
        <v>42203</v>
      </c>
    </row>
    <row r="766" spans="1:5" x14ac:dyDescent="0.25">
      <c r="A766" s="2">
        <f>IF(B766="","",SUBTOTAL(3,$B$2:B766))</f>
        <v>765</v>
      </c>
      <c r="B766" s="9" t="s">
        <v>48</v>
      </c>
      <c r="C766" s="10" t="s">
        <v>49</v>
      </c>
      <c r="D766" s="11">
        <v>20.682523267838675</v>
      </c>
      <c r="E766" s="12">
        <f t="shared" si="11"/>
        <v>42204</v>
      </c>
    </row>
    <row r="767" spans="1:5" x14ac:dyDescent="0.25">
      <c r="A767" s="2">
        <f>IF(B767="","",SUBTOTAL(3,$B$2:B767))</f>
        <v>766</v>
      </c>
      <c r="B767" s="9" t="s">
        <v>51</v>
      </c>
      <c r="C767" s="10" t="s">
        <v>52</v>
      </c>
      <c r="D767" s="11">
        <v>162.0614212786646</v>
      </c>
      <c r="E767" s="12">
        <f t="shared" si="11"/>
        <v>42205</v>
      </c>
    </row>
    <row r="768" spans="1:5" x14ac:dyDescent="0.25">
      <c r="A768" s="2">
        <f>IF(B768="","",SUBTOTAL(3,$B$2:B768))</f>
        <v>767</v>
      </c>
      <c r="B768" s="9" t="s">
        <v>50</v>
      </c>
      <c r="C768" s="10" t="s">
        <v>49</v>
      </c>
      <c r="D768" s="11">
        <v>36.081018518518519</v>
      </c>
      <c r="E768" s="12">
        <f t="shared" si="11"/>
        <v>42206</v>
      </c>
    </row>
    <row r="769" spans="1:5" x14ac:dyDescent="0.25">
      <c r="A769" s="2">
        <f>IF(B769="","",SUBTOTAL(3,$B$2:B769))</f>
        <v>768</v>
      </c>
      <c r="B769" s="9" t="s">
        <v>50</v>
      </c>
      <c r="C769" s="10" t="s">
        <v>49</v>
      </c>
      <c r="D769" s="11">
        <v>3.6081128747795415</v>
      </c>
      <c r="E769" s="12">
        <f t="shared" si="11"/>
        <v>42207</v>
      </c>
    </row>
    <row r="770" spans="1:5" x14ac:dyDescent="0.25">
      <c r="A770" s="2">
        <f>IF(B770="","",SUBTOTAL(3,$B$2:B770))</f>
        <v>769</v>
      </c>
      <c r="B770" s="9" t="s">
        <v>55</v>
      </c>
      <c r="C770" s="10" t="s">
        <v>52</v>
      </c>
      <c r="D770" s="11">
        <v>12.423197960215004</v>
      </c>
      <c r="E770" s="12">
        <f t="shared" si="11"/>
        <v>42208</v>
      </c>
    </row>
    <row r="771" spans="1:5" x14ac:dyDescent="0.25">
      <c r="A771" s="2">
        <f>IF(B771="","",SUBTOTAL(3,$B$2:B771))</f>
        <v>770</v>
      </c>
      <c r="B771" s="9" t="s">
        <v>55</v>
      </c>
      <c r="C771" s="10" t="s">
        <v>52</v>
      </c>
      <c r="D771" s="11">
        <v>53.120417141926026</v>
      </c>
      <c r="E771" s="12">
        <f t="shared" si="11"/>
        <v>42209</v>
      </c>
    </row>
    <row r="772" spans="1:5" x14ac:dyDescent="0.25">
      <c r="A772" s="2">
        <f>IF(B772="","",SUBTOTAL(3,$B$2:B772))</f>
        <v>771</v>
      </c>
      <c r="B772" s="9" t="s">
        <v>48</v>
      </c>
      <c r="C772" s="10" t="s">
        <v>49</v>
      </c>
      <c r="D772" s="11">
        <v>5.6621227499903641</v>
      </c>
      <c r="E772" s="12">
        <f t="shared" ref="E772:E835" si="12">E771+1</f>
        <v>42210</v>
      </c>
    </row>
    <row r="773" spans="1:5" x14ac:dyDescent="0.25">
      <c r="A773" s="2">
        <f>IF(B773="","",SUBTOTAL(3,$B$2:B773))</f>
        <v>772</v>
      </c>
      <c r="B773" s="9" t="s">
        <v>48</v>
      </c>
      <c r="C773" s="10" t="s">
        <v>49</v>
      </c>
      <c r="D773" s="11">
        <v>1.1324245499980727</v>
      </c>
      <c r="E773" s="12">
        <f t="shared" si="12"/>
        <v>42211</v>
      </c>
    </row>
    <row r="774" spans="1:5" x14ac:dyDescent="0.25">
      <c r="A774" s="2">
        <f>IF(B774="","",SUBTOTAL(3,$B$2:B774))</f>
        <v>773</v>
      </c>
      <c r="B774" s="9" t="s">
        <v>50</v>
      </c>
      <c r="C774" s="10" t="s">
        <v>49</v>
      </c>
      <c r="D774" s="11">
        <v>220.45855379188714</v>
      </c>
      <c r="E774" s="12">
        <f t="shared" si="12"/>
        <v>42212</v>
      </c>
    </row>
    <row r="775" spans="1:5" x14ac:dyDescent="0.25">
      <c r="A775" s="2">
        <f>IF(B775="","",SUBTOTAL(3,$B$2:B775))</f>
        <v>774</v>
      </c>
      <c r="B775" s="9" t="s">
        <v>55</v>
      </c>
      <c r="C775" s="10" t="s">
        <v>52</v>
      </c>
      <c r="D775" s="11">
        <v>81.473032426266911</v>
      </c>
      <c r="E775" s="12">
        <f t="shared" si="12"/>
        <v>42213</v>
      </c>
    </row>
    <row r="776" spans="1:5" x14ac:dyDescent="0.25">
      <c r="A776" s="2">
        <f>IF(B776="","",SUBTOTAL(3,$B$2:B776))</f>
        <v>775</v>
      </c>
      <c r="B776" s="9" t="s">
        <v>55</v>
      </c>
      <c r="C776" s="10" t="s">
        <v>52</v>
      </c>
      <c r="D776" s="11">
        <v>28.5</v>
      </c>
      <c r="E776" s="12">
        <f t="shared" si="12"/>
        <v>42214</v>
      </c>
    </row>
    <row r="777" spans="1:5" x14ac:dyDescent="0.25">
      <c r="A777" s="2">
        <f>IF(B777="","",SUBTOTAL(3,$B$2:B777))</f>
        <v>776</v>
      </c>
      <c r="B777" s="9" t="s">
        <v>50</v>
      </c>
      <c r="C777" s="10" t="s">
        <v>49</v>
      </c>
      <c r="D777" s="11">
        <v>18.04052028218695</v>
      </c>
      <c r="E777" s="12">
        <f t="shared" si="12"/>
        <v>42215</v>
      </c>
    </row>
    <row r="778" spans="1:5" x14ac:dyDescent="0.25">
      <c r="A778" s="2">
        <f>IF(B778="","",SUBTOTAL(3,$B$2:B778))</f>
        <v>777</v>
      </c>
      <c r="B778" s="9" t="s">
        <v>48</v>
      </c>
      <c r="C778" s="10" t="s">
        <v>54</v>
      </c>
      <c r="D778" s="11">
        <v>46.210720887245841</v>
      </c>
      <c r="E778" s="12">
        <f t="shared" si="12"/>
        <v>42216</v>
      </c>
    </row>
    <row r="779" spans="1:5" x14ac:dyDescent="0.25">
      <c r="A779" s="2">
        <f>IF(B779="","",SUBTOTAL(3,$B$2:B779))</f>
        <v>778</v>
      </c>
      <c r="B779" s="9" t="s">
        <v>51</v>
      </c>
      <c r="C779" s="10" t="s">
        <v>54</v>
      </c>
      <c r="D779" s="11">
        <v>405.15355319666151</v>
      </c>
      <c r="E779" s="12">
        <f t="shared" si="12"/>
        <v>42217</v>
      </c>
    </row>
    <row r="780" spans="1:5" x14ac:dyDescent="0.25">
      <c r="A780" s="2">
        <f>IF(B780="","",SUBTOTAL(3,$B$2:B780))</f>
        <v>779</v>
      </c>
      <c r="B780" s="9" t="s">
        <v>50</v>
      </c>
      <c r="C780" s="10" t="s">
        <v>49</v>
      </c>
      <c r="D780" s="11">
        <v>485.0088183421517</v>
      </c>
      <c r="E780" s="12">
        <f t="shared" si="12"/>
        <v>42218</v>
      </c>
    </row>
    <row r="781" spans="1:5" x14ac:dyDescent="0.25">
      <c r="A781" s="2">
        <f>IF(B781="","",SUBTOTAL(3,$B$2:B781))</f>
        <v>780</v>
      </c>
      <c r="B781" s="9" t="s">
        <v>48</v>
      </c>
      <c r="C781" s="10" t="s">
        <v>52</v>
      </c>
      <c r="D781" s="11">
        <v>58.533579790511403</v>
      </c>
      <c r="E781" s="12">
        <f t="shared" si="12"/>
        <v>42219</v>
      </c>
    </row>
    <row r="782" spans="1:5" x14ac:dyDescent="0.25">
      <c r="A782" s="2">
        <f>IF(B782="","",SUBTOTAL(3,$B$2:B782))</f>
        <v>781</v>
      </c>
      <c r="B782" s="9" t="s">
        <v>48</v>
      </c>
      <c r="C782" s="10" t="s">
        <v>49</v>
      </c>
      <c r="D782" s="11">
        <v>100.12322858903266</v>
      </c>
      <c r="E782" s="12">
        <f t="shared" si="12"/>
        <v>42220</v>
      </c>
    </row>
    <row r="783" spans="1:5" x14ac:dyDescent="0.25">
      <c r="A783" s="2">
        <f>IF(B783="","",SUBTOTAL(3,$B$2:B783))</f>
        <v>782</v>
      </c>
      <c r="B783" s="9" t="s">
        <v>48</v>
      </c>
      <c r="C783" s="10" t="s">
        <v>49</v>
      </c>
      <c r="D783" s="11">
        <v>38.123647018269565</v>
      </c>
      <c r="E783" s="12">
        <f t="shared" si="12"/>
        <v>42221</v>
      </c>
    </row>
    <row r="784" spans="1:5" x14ac:dyDescent="0.25">
      <c r="A784" s="2">
        <f>IF(B784="","",SUBTOTAL(3,$B$2:B784))</f>
        <v>783</v>
      </c>
      <c r="B784" s="9" t="s">
        <v>48</v>
      </c>
      <c r="C784" s="10" t="s">
        <v>54</v>
      </c>
      <c r="D784" s="11">
        <v>51.706308169596689</v>
      </c>
      <c r="E784" s="12">
        <f t="shared" si="12"/>
        <v>42222</v>
      </c>
    </row>
    <row r="785" spans="1:5" x14ac:dyDescent="0.25">
      <c r="A785" s="2">
        <f>IF(B785="","",SUBTOTAL(3,$B$2:B785))</f>
        <v>784</v>
      </c>
      <c r="B785" s="9" t="s">
        <v>48</v>
      </c>
      <c r="C785" s="10" t="s">
        <v>54</v>
      </c>
      <c r="D785" s="11">
        <v>30.807147258163894</v>
      </c>
      <c r="E785" s="12">
        <f t="shared" si="12"/>
        <v>42223</v>
      </c>
    </row>
    <row r="786" spans="1:5" x14ac:dyDescent="0.25">
      <c r="A786" s="2">
        <f>IF(B786="","",SUBTOTAL(3,$B$2:B786))</f>
        <v>785</v>
      </c>
      <c r="B786" s="9" t="s">
        <v>50</v>
      </c>
      <c r="C786" s="10" t="s">
        <v>49</v>
      </c>
      <c r="D786" s="11">
        <v>293.80264550264553</v>
      </c>
      <c r="E786" s="12">
        <f t="shared" si="12"/>
        <v>42224</v>
      </c>
    </row>
    <row r="787" spans="1:5" x14ac:dyDescent="0.25">
      <c r="A787" s="2">
        <f>IF(B787="","",SUBTOTAL(3,$B$2:B787))</f>
        <v>786</v>
      </c>
      <c r="B787" s="9" t="s">
        <v>48</v>
      </c>
      <c r="C787" s="10" t="s">
        <v>49</v>
      </c>
      <c r="D787" s="11">
        <v>365.36105976586566</v>
      </c>
      <c r="E787" s="12">
        <f t="shared" si="12"/>
        <v>42225</v>
      </c>
    </row>
    <row r="788" spans="1:5" x14ac:dyDescent="0.25">
      <c r="A788" s="2">
        <f>IF(B788="","",SUBTOTAL(3,$B$2:B788))</f>
        <v>787</v>
      </c>
      <c r="B788" s="9" t="s">
        <v>48</v>
      </c>
      <c r="C788" s="10" t="s">
        <v>49</v>
      </c>
      <c r="D788" s="11">
        <v>79.283005860048263</v>
      </c>
      <c r="E788" s="12">
        <f t="shared" si="12"/>
        <v>42226</v>
      </c>
    </row>
    <row r="789" spans="1:5" x14ac:dyDescent="0.25">
      <c r="A789" s="2">
        <f>IF(B789="","",SUBTOTAL(3,$B$2:B789))</f>
        <v>788</v>
      </c>
      <c r="B789" s="9" t="s">
        <v>51</v>
      </c>
      <c r="C789" s="10" t="s">
        <v>54</v>
      </c>
      <c r="D789" s="11">
        <v>264.74637297469025</v>
      </c>
      <c r="E789" s="12">
        <f t="shared" si="12"/>
        <v>42227</v>
      </c>
    </row>
    <row r="790" spans="1:5" x14ac:dyDescent="0.25">
      <c r="A790" s="2">
        <f>IF(B790="","",SUBTOTAL(3,$B$2:B790))</f>
        <v>789</v>
      </c>
      <c r="B790" s="9" t="s">
        <v>50</v>
      </c>
      <c r="C790" s="10" t="s">
        <v>49</v>
      </c>
      <c r="D790" s="11">
        <v>110.22927689594357</v>
      </c>
      <c r="E790" s="12">
        <f t="shared" si="12"/>
        <v>42228</v>
      </c>
    </row>
    <row r="791" spans="1:5" x14ac:dyDescent="0.25">
      <c r="A791" s="2">
        <f>IF(B791="","",SUBTOTAL(3,$B$2:B791))</f>
        <v>790</v>
      </c>
      <c r="B791" s="9" t="s">
        <v>50</v>
      </c>
      <c r="C791" s="10" t="s">
        <v>49</v>
      </c>
      <c r="D791" s="11">
        <v>240.18077601410934</v>
      </c>
      <c r="E791" s="12">
        <f t="shared" si="12"/>
        <v>42229</v>
      </c>
    </row>
    <row r="792" spans="1:5" x14ac:dyDescent="0.25">
      <c r="A792" s="2">
        <f>IF(B792="","",SUBTOTAL(3,$B$2:B792))</f>
        <v>791</v>
      </c>
      <c r="B792" s="9" t="s">
        <v>48</v>
      </c>
      <c r="C792" s="10" t="s">
        <v>54</v>
      </c>
      <c r="D792" s="11">
        <v>7.7017868145409736</v>
      </c>
      <c r="E792" s="12">
        <f t="shared" si="12"/>
        <v>42230</v>
      </c>
    </row>
    <row r="793" spans="1:5" x14ac:dyDescent="0.25">
      <c r="A793" s="2">
        <f>IF(B793="","",SUBTOTAL(3,$B$2:B793))</f>
        <v>792</v>
      </c>
      <c r="B793" s="9" t="s">
        <v>48</v>
      </c>
      <c r="C793" s="10" t="s">
        <v>49</v>
      </c>
      <c r="D793" s="11">
        <v>46.210720887245841</v>
      </c>
      <c r="E793" s="12">
        <f t="shared" si="12"/>
        <v>42231</v>
      </c>
    </row>
    <row r="794" spans="1:5" x14ac:dyDescent="0.25">
      <c r="A794" s="2">
        <f>IF(B794="","",SUBTOTAL(3,$B$2:B794))</f>
        <v>793</v>
      </c>
      <c r="B794" s="9" t="s">
        <v>50</v>
      </c>
      <c r="C794" s="10" t="s">
        <v>49</v>
      </c>
      <c r="D794" s="11">
        <v>62.60030864197531</v>
      </c>
      <c r="E794" s="12">
        <f t="shared" si="12"/>
        <v>42232</v>
      </c>
    </row>
    <row r="795" spans="1:5" x14ac:dyDescent="0.25">
      <c r="A795" s="2">
        <f>IF(B795="","",SUBTOTAL(3,$B$2:B795))</f>
        <v>794</v>
      </c>
      <c r="B795" s="9" t="s">
        <v>50</v>
      </c>
      <c r="C795" s="10" t="s">
        <v>54</v>
      </c>
      <c r="D795" s="11">
        <v>161.37566137566139</v>
      </c>
      <c r="E795" s="12">
        <f t="shared" si="12"/>
        <v>42233</v>
      </c>
    </row>
    <row r="796" spans="1:5" x14ac:dyDescent="0.25">
      <c r="A796" s="2">
        <f>IF(B796="","",SUBTOTAL(3,$B$2:B796))</f>
        <v>795</v>
      </c>
      <c r="B796" s="9" t="s">
        <v>55</v>
      </c>
      <c r="C796" s="10" t="s">
        <v>49</v>
      </c>
      <c r="D796" s="11">
        <v>150</v>
      </c>
      <c r="E796" s="12">
        <f t="shared" si="12"/>
        <v>42234</v>
      </c>
    </row>
    <row r="797" spans="1:5" x14ac:dyDescent="0.25">
      <c r="A797" s="2">
        <f>IF(B797="","",SUBTOTAL(3,$B$2:B797))</f>
        <v>796</v>
      </c>
      <c r="B797" s="9" t="s">
        <v>55</v>
      </c>
      <c r="C797" s="10" t="s">
        <v>49</v>
      </c>
      <c r="D797" s="11">
        <v>50</v>
      </c>
      <c r="E797" s="12">
        <f t="shared" si="12"/>
        <v>42235</v>
      </c>
    </row>
    <row r="798" spans="1:5" x14ac:dyDescent="0.25">
      <c r="A798" s="2">
        <f>IF(B798="","",SUBTOTAL(3,$B$2:B798))</f>
        <v>797</v>
      </c>
      <c r="B798" s="9" t="s">
        <v>50</v>
      </c>
      <c r="C798" s="10" t="s">
        <v>49</v>
      </c>
      <c r="D798" s="11">
        <v>88.183421516754848</v>
      </c>
      <c r="E798" s="12">
        <f t="shared" si="12"/>
        <v>42236</v>
      </c>
    </row>
    <row r="799" spans="1:5" x14ac:dyDescent="0.25">
      <c r="A799" s="2">
        <f>IF(B799="","",SUBTOTAL(3,$B$2:B799))</f>
        <v>798</v>
      </c>
      <c r="B799" s="9" t="s">
        <v>50</v>
      </c>
      <c r="C799" s="10" t="s">
        <v>49</v>
      </c>
      <c r="D799" s="11">
        <v>220.45855379188714</v>
      </c>
      <c r="E799" s="12">
        <f t="shared" si="12"/>
        <v>42237</v>
      </c>
    </row>
    <row r="800" spans="1:5" x14ac:dyDescent="0.25">
      <c r="A800" s="2">
        <f>IF(B800="","",SUBTOTAL(3,$B$2:B800))</f>
        <v>799</v>
      </c>
      <c r="B800" s="9" t="s">
        <v>48</v>
      </c>
      <c r="C800" s="10" t="s">
        <v>54</v>
      </c>
      <c r="D800" s="11">
        <v>20.682523267838675</v>
      </c>
      <c r="E800" s="12">
        <f t="shared" si="12"/>
        <v>42238</v>
      </c>
    </row>
    <row r="801" spans="1:5" x14ac:dyDescent="0.25">
      <c r="A801" s="2">
        <f>IF(B801="","",SUBTOTAL(3,$B$2:B801))</f>
        <v>800</v>
      </c>
      <c r="B801" s="9" t="s">
        <v>50</v>
      </c>
      <c r="C801" s="10" t="s">
        <v>49</v>
      </c>
      <c r="D801" s="11">
        <v>22</v>
      </c>
      <c r="E801" s="12">
        <f t="shared" si="12"/>
        <v>42239</v>
      </c>
    </row>
    <row r="802" spans="1:5" x14ac:dyDescent="0.25">
      <c r="A802" s="2">
        <f>IF(B802="","",SUBTOTAL(3,$B$2:B802))</f>
        <v>801</v>
      </c>
      <c r="B802" s="9" t="s">
        <v>48</v>
      </c>
      <c r="C802" s="10" t="s">
        <v>49</v>
      </c>
      <c r="D802" s="11">
        <v>3.7538062261508616</v>
      </c>
      <c r="E802" s="12">
        <f t="shared" si="12"/>
        <v>42240</v>
      </c>
    </row>
    <row r="803" spans="1:5" x14ac:dyDescent="0.25">
      <c r="A803" s="2">
        <f>IF(B803="","",SUBTOTAL(3,$B$2:B803))</f>
        <v>802</v>
      </c>
      <c r="B803" s="9" t="s">
        <v>48</v>
      </c>
      <c r="C803" s="10" t="s">
        <v>49</v>
      </c>
      <c r="D803" s="11">
        <v>115.40272121079748</v>
      </c>
      <c r="E803" s="12">
        <f t="shared" si="12"/>
        <v>42241</v>
      </c>
    </row>
    <row r="804" spans="1:5" x14ac:dyDescent="0.25">
      <c r="A804" s="2">
        <f>IF(B804="","",SUBTOTAL(3,$B$2:B804))</f>
        <v>803</v>
      </c>
      <c r="B804" s="9" t="s">
        <v>48</v>
      </c>
      <c r="C804" s="10" t="s">
        <v>54</v>
      </c>
      <c r="D804" s="11">
        <v>68.941744226128904</v>
      </c>
      <c r="E804" s="12">
        <f t="shared" si="12"/>
        <v>42242</v>
      </c>
    </row>
    <row r="805" spans="1:5" x14ac:dyDescent="0.25">
      <c r="A805" s="2">
        <f>IF(B805="","",SUBTOTAL(3,$B$2:B805))</f>
        <v>804</v>
      </c>
      <c r="B805" s="9" t="s">
        <v>50</v>
      </c>
      <c r="C805" s="10" t="s">
        <v>54</v>
      </c>
      <c r="D805" s="11">
        <v>97.001763668430343</v>
      </c>
      <c r="E805" s="12">
        <f t="shared" si="12"/>
        <v>42243</v>
      </c>
    </row>
    <row r="806" spans="1:5" x14ac:dyDescent="0.25">
      <c r="A806" s="2">
        <f>IF(B806="","",SUBTOTAL(3,$B$2:B806))</f>
        <v>805</v>
      </c>
      <c r="B806" s="9" t="s">
        <v>50</v>
      </c>
      <c r="C806" s="10" t="s">
        <v>52</v>
      </c>
      <c r="D806" s="11">
        <v>132.27513227513228</v>
      </c>
      <c r="E806" s="12">
        <f t="shared" si="12"/>
        <v>42244</v>
      </c>
    </row>
    <row r="807" spans="1:5" x14ac:dyDescent="0.25">
      <c r="A807" s="2">
        <f>IF(B807="","",SUBTOTAL(3,$B$2:B807))</f>
        <v>806</v>
      </c>
      <c r="B807" s="9" t="s">
        <v>50</v>
      </c>
      <c r="C807" s="10" t="s">
        <v>52</v>
      </c>
      <c r="D807" s="11">
        <v>1824.6686507936508</v>
      </c>
      <c r="E807" s="12">
        <f t="shared" si="12"/>
        <v>42245</v>
      </c>
    </row>
    <row r="808" spans="1:5" x14ac:dyDescent="0.25">
      <c r="A808" s="2">
        <f>IF(B808="","",SUBTOTAL(3,$B$2:B808))</f>
        <v>807</v>
      </c>
      <c r="B808" s="9" t="s">
        <v>50</v>
      </c>
      <c r="C808" s="10" t="s">
        <v>49</v>
      </c>
      <c r="D808" s="11">
        <v>195.86860670194002</v>
      </c>
      <c r="E808" s="12">
        <f t="shared" si="12"/>
        <v>42246</v>
      </c>
    </row>
    <row r="809" spans="1:5" x14ac:dyDescent="0.25">
      <c r="A809" s="2">
        <f>IF(B809="","",SUBTOTAL(3,$B$2:B809))</f>
        <v>808</v>
      </c>
      <c r="B809" s="9" t="s">
        <v>51</v>
      </c>
      <c r="C809" s="10" t="s">
        <v>49</v>
      </c>
      <c r="D809" s="11">
        <v>232.97680821772741</v>
      </c>
      <c r="E809" s="12">
        <f t="shared" si="12"/>
        <v>42247</v>
      </c>
    </row>
    <row r="810" spans="1:5" x14ac:dyDescent="0.25">
      <c r="A810" s="2">
        <f>IF(B810="","",SUBTOTAL(3,$B$2:B810))</f>
        <v>809</v>
      </c>
      <c r="B810" s="9" t="s">
        <v>55</v>
      </c>
      <c r="C810" s="10" t="s">
        <v>54</v>
      </c>
      <c r="D810" s="11">
        <v>50</v>
      </c>
      <c r="E810" s="12">
        <f t="shared" si="12"/>
        <v>42248</v>
      </c>
    </row>
    <row r="811" spans="1:5" x14ac:dyDescent="0.25">
      <c r="A811" s="2">
        <f>IF(B811="","",SUBTOTAL(3,$B$2:B811))</f>
        <v>810</v>
      </c>
      <c r="B811" s="9" t="s">
        <v>55</v>
      </c>
      <c r="C811" s="10" t="s">
        <v>54</v>
      </c>
      <c r="D811" s="11">
        <v>50</v>
      </c>
      <c r="E811" s="12">
        <f t="shared" si="12"/>
        <v>42249</v>
      </c>
    </row>
    <row r="812" spans="1:5" x14ac:dyDescent="0.25">
      <c r="A812" s="2">
        <f>IF(B812="","",SUBTOTAL(3,$B$2:B812))</f>
        <v>811</v>
      </c>
      <c r="B812" s="9" t="s">
        <v>48</v>
      </c>
      <c r="C812" s="10" t="s">
        <v>54</v>
      </c>
      <c r="D812" s="11">
        <v>31.023784901758013</v>
      </c>
      <c r="E812" s="12">
        <f t="shared" si="12"/>
        <v>42250</v>
      </c>
    </row>
    <row r="813" spans="1:5" x14ac:dyDescent="0.25">
      <c r="A813" s="2">
        <f>IF(B813="","",SUBTOTAL(3,$B$2:B813))</f>
        <v>812</v>
      </c>
      <c r="B813" s="9" t="s">
        <v>55</v>
      </c>
      <c r="C813" s="10" t="s">
        <v>52</v>
      </c>
      <c r="D813" s="11">
        <v>29.330291673456088</v>
      </c>
      <c r="E813" s="12">
        <f t="shared" si="12"/>
        <v>42251</v>
      </c>
    </row>
    <row r="814" spans="1:5" x14ac:dyDescent="0.25">
      <c r="A814" s="2">
        <f>IF(B814="","",SUBTOTAL(3,$B$2:B814))</f>
        <v>813</v>
      </c>
      <c r="B814" s="9" t="s">
        <v>50</v>
      </c>
      <c r="C814" s="10" t="s">
        <v>49</v>
      </c>
      <c r="D814" s="11">
        <v>220.45855379188714</v>
      </c>
      <c r="E814" s="12">
        <f t="shared" si="12"/>
        <v>42252</v>
      </c>
    </row>
    <row r="815" spans="1:5" x14ac:dyDescent="0.25">
      <c r="A815" s="2">
        <f>IF(B815="","",SUBTOTAL(3,$B$2:B815))</f>
        <v>814</v>
      </c>
      <c r="B815" s="9" t="s">
        <v>50</v>
      </c>
      <c r="C815" s="10" t="s">
        <v>52</v>
      </c>
      <c r="D815" s="11">
        <v>110.22927689594357</v>
      </c>
      <c r="E815" s="12">
        <f t="shared" si="12"/>
        <v>42253</v>
      </c>
    </row>
    <row r="816" spans="1:5" x14ac:dyDescent="0.25">
      <c r="A816" s="2">
        <f>IF(B816="","",SUBTOTAL(3,$B$2:B816))</f>
        <v>815</v>
      </c>
      <c r="B816" s="9" t="s">
        <v>50</v>
      </c>
      <c r="C816" s="10" t="s">
        <v>54</v>
      </c>
      <c r="D816" s="11">
        <v>440.91710758377428</v>
      </c>
      <c r="E816" s="12">
        <f t="shared" si="12"/>
        <v>42254</v>
      </c>
    </row>
    <row r="817" spans="1:5" x14ac:dyDescent="0.25">
      <c r="A817" s="2">
        <f>IF(B817="","",SUBTOTAL(3,$B$2:B817))</f>
        <v>816</v>
      </c>
      <c r="B817" s="9" t="s">
        <v>53</v>
      </c>
      <c r="C817" s="10" t="s">
        <v>49</v>
      </c>
      <c r="D817" s="11">
        <v>73.168051141619429</v>
      </c>
      <c r="E817" s="12">
        <f t="shared" si="12"/>
        <v>42255</v>
      </c>
    </row>
    <row r="818" spans="1:5" x14ac:dyDescent="0.25">
      <c r="A818" s="2">
        <f>IF(B818="","",SUBTOTAL(3,$B$2:B818))</f>
        <v>817</v>
      </c>
      <c r="B818" s="9" t="s">
        <v>48</v>
      </c>
      <c r="C818" s="10" t="s">
        <v>49</v>
      </c>
      <c r="D818" s="11">
        <v>15.617373319544985</v>
      </c>
      <c r="E818" s="12">
        <f t="shared" si="12"/>
        <v>42256</v>
      </c>
    </row>
    <row r="819" spans="1:5" x14ac:dyDescent="0.25">
      <c r="A819" s="2">
        <f>IF(B819="","",SUBTOTAL(3,$B$2:B819))</f>
        <v>818</v>
      </c>
      <c r="B819" s="9" t="s">
        <v>48</v>
      </c>
      <c r="C819" s="10" t="s">
        <v>49</v>
      </c>
      <c r="D819" s="11">
        <v>2.5792830058600478</v>
      </c>
      <c r="E819" s="12">
        <f t="shared" si="12"/>
        <v>42257</v>
      </c>
    </row>
    <row r="820" spans="1:5" x14ac:dyDescent="0.25">
      <c r="A820" s="2">
        <f>IF(B820="","",SUBTOTAL(3,$B$2:B820))</f>
        <v>819</v>
      </c>
      <c r="B820" s="9" t="s">
        <v>51</v>
      </c>
      <c r="C820" s="10" t="s">
        <v>54</v>
      </c>
      <c r="D820" s="11">
        <v>52.949274594938046</v>
      </c>
      <c r="E820" s="12">
        <f t="shared" si="12"/>
        <v>42258</v>
      </c>
    </row>
    <row r="821" spans="1:5" x14ac:dyDescent="0.25">
      <c r="A821" s="2">
        <f>IF(B821="","",SUBTOTAL(3,$B$2:B821))</f>
        <v>820</v>
      </c>
      <c r="B821" s="9" t="s">
        <v>51</v>
      </c>
      <c r="C821" s="10" t="s">
        <v>52</v>
      </c>
      <c r="D821" s="11">
        <v>21.179709837975221</v>
      </c>
      <c r="E821" s="12">
        <f t="shared" si="12"/>
        <v>42259</v>
      </c>
    </row>
    <row r="822" spans="1:5" x14ac:dyDescent="0.25">
      <c r="A822" s="2">
        <f>IF(B822="","",SUBTOTAL(3,$B$2:B822))</f>
        <v>821</v>
      </c>
      <c r="B822" s="9" t="s">
        <v>48</v>
      </c>
      <c r="C822" s="10" t="s">
        <v>49</v>
      </c>
      <c r="D822" s="11">
        <v>20.682523267838675</v>
      </c>
      <c r="E822" s="12">
        <f t="shared" si="12"/>
        <v>42260</v>
      </c>
    </row>
    <row r="823" spans="1:5" x14ac:dyDescent="0.25">
      <c r="A823" s="2">
        <f>IF(B823="","",SUBTOTAL(3,$B$2:B823))</f>
        <v>822</v>
      </c>
      <c r="B823" s="9" t="s">
        <v>48</v>
      </c>
      <c r="C823" s="10" t="s">
        <v>49</v>
      </c>
      <c r="D823" s="11">
        <v>20.682523267838675</v>
      </c>
      <c r="E823" s="12">
        <f t="shared" si="12"/>
        <v>42261</v>
      </c>
    </row>
    <row r="824" spans="1:5" x14ac:dyDescent="0.25">
      <c r="A824" s="2">
        <f>IF(B824="","",SUBTOTAL(3,$B$2:B824))</f>
        <v>823</v>
      </c>
      <c r="B824" s="9" t="s">
        <v>53</v>
      </c>
      <c r="C824" s="10" t="s">
        <v>54</v>
      </c>
      <c r="D824" s="11">
        <v>31.322410177035731</v>
      </c>
      <c r="E824" s="12">
        <f t="shared" si="12"/>
        <v>42262</v>
      </c>
    </row>
    <row r="825" spans="1:5" x14ac:dyDescent="0.25">
      <c r="A825" s="2">
        <f>IF(B825="","",SUBTOTAL(3,$B$2:B825))</f>
        <v>824</v>
      </c>
      <c r="B825" s="9" t="s">
        <v>53</v>
      </c>
      <c r="C825" s="10" t="s">
        <v>52</v>
      </c>
      <c r="D825" s="11">
        <v>91.585994669695125</v>
      </c>
      <c r="E825" s="12">
        <f t="shared" si="12"/>
        <v>42263</v>
      </c>
    </row>
    <row r="826" spans="1:5" x14ac:dyDescent="0.25">
      <c r="A826" s="2">
        <f>IF(B826="","",SUBTOTAL(3,$B$2:B826))</f>
        <v>825</v>
      </c>
      <c r="B826" s="9" t="s">
        <v>53</v>
      </c>
      <c r="C826" s="10" t="s">
        <v>49</v>
      </c>
      <c r="D826" s="11">
        <v>59.530896535301828</v>
      </c>
      <c r="E826" s="12">
        <f t="shared" si="12"/>
        <v>42264</v>
      </c>
    </row>
    <row r="827" spans="1:5" x14ac:dyDescent="0.25">
      <c r="A827" s="2">
        <f>IF(B827="","",SUBTOTAL(3,$B$2:B827))</f>
        <v>826</v>
      </c>
      <c r="B827" s="9" t="s">
        <v>48</v>
      </c>
      <c r="C827" s="10" t="s">
        <v>49</v>
      </c>
      <c r="D827" s="11">
        <v>3.9844881075491205</v>
      </c>
      <c r="E827" s="12">
        <f t="shared" si="12"/>
        <v>42265</v>
      </c>
    </row>
    <row r="828" spans="1:5" x14ac:dyDescent="0.25">
      <c r="A828" s="2">
        <f>IF(B828="","",SUBTOTAL(3,$B$2:B828))</f>
        <v>827</v>
      </c>
      <c r="B828" s="9" t="s">
        <v>48</v>
      </c>
      <c r="C828" s="10" t="s">
        <v>49</v>
      </c>
      <c r="D828" s="11">
        <v>26.926490865218888</v>
      </c>
      <c r="E828" s="12">
        <f t="shared" si="12"/>
        <v>42266</v>
      </c>
    </row>
    <row r="829" spans="1:5" x14ac:dyDescent="0.25">
      <c r="A829" s="2">
        <f>IF(B829="","",SUBTOTAL(3,$B$2:B829))</f>
        <v>828</v>
      </c>
      <c r="B829" s="9" t="s">
        <v>48</v>
      </c>
      <c r="C829" s="10" t="s">
        <v>49</v>
      </c>
      <c r="D829" s="11">
        <v>34.470872113064452</v>
      </c>
      <c r="E829" s="12">
        <f t="shared" si="12"/>
        <v>42267</v>
      </c>
    </row>
    <row r="830" spans="1:5" x14ac:dyDescent="0.25">
      <c r="A830" s="2">
        <f>IF(B830="","",SUBTOTAL(3,$B$2:B830))</f>
        <v>829</v>
      </c>
      <c r="B830" s="9" t="s">
        <v>48</v>
      </c>
      <c r="C830" s="10" t="s">
        <v>49</v>
      </c>
      <c r="D830" s="11">
        <v>17.235436056532226</v>
      </c>
      <c r="E830" s="12">
        <f t="shared" si="12"/>
        <v>42268</v>
      </c>
    </row>
    <row r="831" spans="1:5" x14ac:dyDescent="0.25">
      <c r="A831" s="2">
        <f>IF(B831="","",SUBTOTAL(3,$B$2:B831))</f>
        <v>830</v>
      </c>
      <c r="B831" s="9" t="s">
        <v>48</v>
      </c>
      <c r="C831" s="10" t="s">
        <v>49</v>
      </c>
      <c r="D831" s="11">
        <v>2.7576697690451564</v>
      </c>
      <c r="E831" s="12">
        <f t="shared" si="12"/>
        <v>42269</v>
      </c>
    </row>
    <row r="832" spans="1:5" x14ac:dyDescent="0.25">
      <c r="A832" s="2">
        <f>IF(B832="","",SUBTOTAL(3,$B$2:B832))</f>
        <v>831</v>
      </c>
      <c r="B832" s="9" t="s">
        <v>48</v>
      </c>
      <c r="C832" s="10" t="s">
        <v>54</v>
      </c>
      <c r="D832" s="11">
        <v>3.4470872113064459</v>
      </c>
      <c r="E832" s="12">
        <f t="shared" si="12"/>
        <v>42270</v>
      </c>
    </row>
    <row r="833" spans="1:5" x14ac:dyDescent="0.25">
      <c r="A833" s="2">
        <f>IF(B833="","",SUBTOTAL(3,$B$2:B833))</f>
        <v>832</v>
      </c>
      <c r="B833" s="9" t="s">
        <v>48</v>
      </c>
      <c r="C833" s="10" t="s">
        <v>49</v>
      </c>
      <c r="D833" s="11">
        <v>28.955532574974146</v>
      </c>
      <c r="E833" s="12">
        <f t="shared" si="12"/>
        <v>42271</v>
      </c>
    </row>
    <row r="834" spans="1:5" x14ac:dyDescent="0.25">
      <c r="A834" s="2">
        <f>IF(B834="","",SUBTOTAL(3,$B$2:B834))</f>
        <v>833</v>
      </c>
      <c r="B834" s="9" t="s">
        <v>48</v>
      </c>
      <c r="C834" s="10" t="s">
        <v>52</v>
      </c>
      <c r="D834" s="11">
        <v>7.7017868145409736</v>
      </c>
      <c r="E834" s="12">
        <f t="shared" si="12"/>
        <v>42272</v>
      </c>
    </row>
    <row r="835" spans="1:5" x14ac:dyDescent="0.25">
      <c r="A835" s="2">
        <f>IF(B835="","",SUBTOTAL(3,$B$2:B835))</f>
        <v>834</v>
      </c>
      <c r="B835" s="9" t="s">
        <v>48</v>
      </c>
      <c r="C835" s="10" t="s">
        <v>49</v>
      </c>
      <c r="D835" s="11">
        <v>103.41261633919338</v>
      </c>
      <c r="E835" s="12">
        <f t="shared" si="12"/>
        <v>42273</v>
      </c>
    </row>
    <row r="836" spans="1:5" x14ac:dyDescent="0.25">
      <c r="A836" s="2">
        <f>IF(B836="","",SUBTOTAL(3,$B$2:B836))</f>
        <v>835</v>
      </c>
      <c r="B836" s="9" t="s">
        <v>48</v>
      </c>
      <c r="C836" s="10" t="s">
        <v>49</v>
      </c>
      <c r="D836" s="11">
        <v>20.682523267838675</v>
      </c>
      <c r="E836" s="12">
        <f t="shared" ref="E836:E899" si="13">E835+1</f>
        <v>42274</v>
      </c>
    </row>
    <row r="837" spans="1:5" x14ac:dyDescent="0.25">
      <c r="A837" s="2">
        <f>IF(B837="","",SUBTOTAL(3,$B$2:B837))</f>
        <v>836</v>
      </c>
      <c r="B837" s="9" t="s">
        <v>48</v>
      </c>
      <c r="C837" s="10" t="s">
        <v>49</v>
      </c>
      <c r="D837" s="11">
        <v>28.955532574974146</v>
      </c>
      <c r="E837" s="12">
        <f t="shared" si="13"/>
        <v>42275</v>
      </c>
    </row>
    <row r="838" spans="1:5" x14ac:dyDescent="0.25">
      <c r="A838" s="2">
        <f>IF(B838="","",SUBTOTAL(3,$B$2:B838))</f>
        <v>837</v>
      </c>
      <c r="B838" s="9" t="s">
        <v>48</v>
      </c>
      <c r="C838" s="10" t="s">
        <v>49</v>
      </c>
      <c r="D838" s="11">
        <v>34.470872113064452</v>
      </c>
      <c r="E838" s="12">
        <f t="shared" si="13"/>
        <v>42276</v>
      </c>
    </row>
    <row r="839" spans="1:5" x14ac:dyDescent="0.25">
      <c r="A839" s="2">
        <f>IF(B839="","",SUBTOTAL(3,$B$2:B839))</f>
        <v>838</v>
      </c>
      <c r="B839" s="9" t="s">
        <v>48</v>
      </c>
      <c r="C839" s="10" t="s">
        <v>49</v>
      </c>
      <c r="D839" s="11">
        <v>34.470872113064452</v>
      </c>
      <c r="E839" s="12">
        <f t="shared" si="13"/>
        <v>42277</v>
      </c>
    </row>
    <row r="840" spans="1:5" x14ac:dyDescent="0.25">
      <c r="A840" s="2">
        <f>IF(B840="","",SUBTOTAL(3,$B$2:B840))</f>
        <v>839</v>
      </c>
      <c r="B840" s="9" t="s">
        <v>51</v>
      </c>
      <c r="C840" s="10" t="s">
        <v>54</v>
      </c>
      <c r="D840" s="11">
        <v>52.949274594938046</v>
      </c>
      <c r="E840" s="12">
        <f t="shared" si="13"/>
        <v>42278</v>
      </c>
    </row>
    <row r="841" spans="1:5" x14ac:dyDescent="0.25">
      <c r="A841" s="2">
        <f>IF(B841="","",SUBTOTAL(3,$B$2:B841))</f>
        <v>840</v>
      </c>
      <c r="B841" s="9" t="s">
        <v>51</v>
      </c>
      <c r="C841" s="10" t="s">
        <v>52</v>
      </c>
      <c r="D841" s="11">
        <v>52.949274594938046</v>
      </c>
      <c r="E841" s="12">
        <f t="shared" si="13"/>
        <v>42279</v>
      </c>
    </row>
    <row r="842" spans="1:5" x14ac:dyDescent="0.25">
      <c r="A842" s="2">
        <f>IF(B842="","",SUBTOTAL(3,$B$2:B842))</f>
        <v>841</v>
      </c>
      <c r="B842" s="9" t="s">
        <v>51</v>
      </c>
      <c r="C842" s="10" t="s">
        <v>49</v>
      </c>
      <c r="D842" s="11">
        <v>52.949274594938046</v>
      </c>
      <c r="E842" s="12">
        <f t="shared" si="13"/>
        <v>42280</v>
      </c>
    </row>
    <row r="843" spans="1:5" x14ac:dyDescent="0.25">
      <c r="A843" s="2">
        <f>IF(B843="","",SUBTOTAL(3,$B$2:B843))</f>
        <v>842</v>
      </c>
      <c r="B843" s="9" t="s">
        <v>51</v>
      </c>
      <c r="C843" s="10" t="s">
        <v>54</v>
      </c>
      <c r="D843" s="11">
        <v>52.949274594938046</v>
      </c>
      <c r="E843" s="12">
        <f t="shared" si="13"/>
        <v>42281</v>
      </c>
    </row>
    <row r="844" spans="1:5" x14ac:dyDescent="0.25">
      <c r="A844" s="2">
        <f>IF(B844="","",SUBTOTAL(3,$B$2:B844))</f>
        <v>843</v>
      </c>
      <c r="B844" s="9" t="s">
        <v>51</v>
      </c>
      <c r="C844" s="10" t="s">
        <v>52</v>
      </c>
      <c r="D844" s="11">
        <v>52.949274594938046</v>
      </c>
      <c r="E844" s="12">
        <f t="shared" si="13"/>
        <v>42282</v>
      </c>
    </row>
    <row r="845" spans="1:5" x14ac:dyDescent="0.25">
      <c r="A845" s="2">
        <f>IF(B845="","",SUBTOTAL(3,$B$2:B845))</f>
        <v>844</v>
      </c>
      <c r="B845" s="9" t="s">
        <v>51</v>
      </c>
      <c r="C845" s="10" t="s">
        <v>49</v>
      </c>
      <c r="D845" s="11">
        <v>52.949274594938046</v>
      </c>
      <c r="E845" s="12">
        <f t="shared" si="13"/>
        <v>42283</v>
      </c>
    </row>
    <row r="846" spans="1:5" x14ac:dyDescent="0.25">
      <c r="A846" s="2">
        <f>IF(B846="","",SUBTOTAL(3,$B$2:B846))</f>
        <v>845</v>
      </c>
      <c r="B846" s="9" t="s">
        <v>51</v>
      </c>
      <c r="C846" s="10" t="s">
        <v>54</v>
      </c>
      <c r="D846" s="11">
        <v>52.949274594938046</v>
      </c>
      <c r="E846" s="12">
        <f t="shared" si="13"/>
        <v>42284</v>
      </c>
    </row>
    <row r="847" spans="1:5" x14ac:dyDescent="0.25">
      <c r="A847" s="2">
        <f>IF(B847="","",SUBTOTAL(3,$B$2:B847))</f>
        <v>846</v>
      </c>
      <c r="B847" s="9" t="s">
        <v>51</v>
      </c>
      <c r="C847" s="10" t="s">
        <v>49</v>
      </c>
      <c r="D847" s="11">
        <v>52.949274594938046</v>
      </c>
      <c r="E847" s="12">
        <f t="shared" si="13"/>
        <v>42285</v>
      </c>
    </row>
    <row r="848" spans="1:5" x14ac:dyDescent="0.25">
      <c r="A848" s="2">
        <f>IF(B848="","",SUBTOTAL(3,$B$2:B848))</f>
        <v>847</v>
      </c>
      <c r="B848" s="9" t="s">
        <v>51</v>
      </c>
      <c r="C848" s="10" t="s">
        <v>52</v>
      </c>
      <c r="D848" s="11">
        <v>52.949274594938046</v>
      </c>
      <c r="E848" s="12">
        <f t="shared" si="13"/>
        <v>42286</v>
      </c>
    </row>
    <row r="849" spans="1:5" x14ac:dyDescent="0.25">
      <c r="A849" s="2">
        <f>IF(B849="","",SUBTOTAL(3,$B$2:B849))</f>
        <v>848</v>
      </c>
      <c r="B849" s="9" t="s">
        <v>51</v>
      </c>
      <c r="C849" s="10" t="s">
        <v>52</v>
      </c>
      <c r="D849" s="11">
        <v>52.949274594938046</v>
      </c>
      <c r="E849" s="12">
        <f t="shared" si="13"/>
        <v>42287</v>
      </c>
    </row>
    <row r="850" spans="1:5" x14ac:dyDescent="0.25">
      <c r="A850" s="2">
        <f>IF(B850="","",SUBTOTAL(3,$B$2:B850))</f>
        <v>849</v>
      </c>
      <c r="B850" s="9" t="s">
        <v>55</v>
      </c>
      <c r="C850" s="10" t="s">
        <v>49</v>
      </c>
      <c r="D850" s="11">
        <v>1.5</v>
      </c>
      <c r="E850" s="12">
        <f t="shared" si="13"/>
        <v>42288</v>
      </c>
    </row>
    <row r="851" spans="1:5" x14ac:dyDescent="0.25">
      <c r="A851" s="2">
        <f>IF(B851="","",SUBTOTAL(3,$B$2:B851))</f>
        <v>850</v>
      </c>
      <c r="B851" s="9" t="s">
        <v>55</v>
      </c>
      <c r="C851" s="10" t="s">
        <v>54</v>
      </c>
      <c r="D851" s="11">
        <v>8.5</v>
      </c>
      <c r="E851" s="12">
        <f t="shared" si="13"/>
        <v>42289</v>
      </c>
    </row>
    <row r="852" spans="1:5" x14ac:dyDescent="0.25">
      <c r="A852" s="2">
        <f>IF(B852="","",SUBTOTAL(3,$B$2:B852))</f>
        <v>851</v>
      </c>
      <c r="B852" s="9" t="s">
        <v>55</v>
      </c>
      <c r="C852" s="10" t="s">
        <v>49</v>
      </c>
      <c r="D852" s="11">
        <v>2</v>
      </c>
      <c r="E852" s="12">
        <f t="shared" si="13"/>
        <v>42290</v>
      </c>
    </row>
    <row r="853" spans="1:5" x14ac:dyDescent="0.25">
      <c r="A853" s="2">
        <f>IF(B853="","",SUBTOTAL(3,$B$2:B853))</f>
        <v>852</v>
      </c>
      <c r="B853" s="9" t="s">
        <v>48</v>
      </c>
      <c r="C853" s="10" t="s">
        <v>49</v>
      </c>
      <c r="D853" s="11">
        <v>4.3433298862461216</v>
      </c>
      <c r="E853" s="12">
        <f t="shared" si="13"/>
        <v>42291</v>
      </c>
    </row>
    <row r="854" spans="1:5" x14ac:dyDescent="0.25">
      <c r="A854" s="2">
        <f>IF(B854="","",SUBTOTAL(3,$B$2:B854))</f>
        <v>853</v>
      </c>
      <c r="B854" s="9" t="s">
        <v>48</v>
      </c>
      <c r="C854" s="10" t="s">
        <v>52</v>
      </c>
      <c r="D854" s="11">
        <v>18.484288354898336</v>
      </c>
      <c r="E854" s="12">
        <f t="shared" si="13"/>
        <v>42292</v>
      </c>
    </row>
    <row r="855" spans="1:5" x14ac:dyDescent="0.25">
      <c r="A855" s="2">
        <f>IF(B855="","",SUBTOTAL(3,$B$2:B855))</f>
        <v>854</v>
      </c>
      <c r="B855" s="9" t="s">
        <v>48</v>
      </c>
      <c r="C855" s="10" t="s">
        <v>52</v>
      </c>
      <c r="D855" s="11">
        <v>18.484288354898336</v>
      </c>
      <c r="E855" s="12">
        <f t="shared" si="13"/>
        <v>42293</v>
      </c>
    </row>
    <row r="856" spans="1:5" x14ac:dyDescent="0.25">
      <c r="A856" s="2">
        <f>IF(B856="","",SUBTOTAL(3,$B$2:B856))</f>
        <v>855</v>
      </c>
      <c r="B856" s="9" t="s">
        <v>48</v>
      </c>
      <c r="C856" s="10" t="s">
        <v>52</v>
      </c>
      <c r="D856" s="11">
        <v>18.484288354898336</v>
      </c>
      <c r="E856" s="12">
        <f t="shared" si="13"/>
        <v>42294</v>
      </c>
    </row>
    <row r="857" spans="1:5" x14ac:dyDescent="0.25">
      <c r="A857" s="2">
        <f>IF(B857="","",SUBTOTAL(3,$B$2:B857))</f>
        <v>856</v>
      </c>
      <c r="B857" s="9" t="s">
        <v>50</v>
      </c>
      <c r="C857" s="10" t="s">
        <v>54</v>
      </c>
      <c r="D857" s="11">
        <v>46.684472663139339</v>
      </c>
      <c r="E857" s="12">
        <f t="shared" si="13"/>
        <v>42295</v>
      </c>
    </row>
    <row r="858" spans="1:5" x14ac:dyDescent="0.25">
      <c r="A858" s="2">
        <f>IF(B858="","",SUBTOTAL(3,$B$2:B858))</f>
        <v>857</v>
      </c>
      <c r="B858" s="9" t="s">
        <v>50</v>
      </c>
      <c r="C858" s="10" t="s">
        <v>52</v>
      </c>
      <c r="D858" s="11">
        <v>66.137566137566139</v>
      </c>
      <c r="E858" s="12">
        <f t="shared" si="13"/>
        <v>42296</v>
      </c>
    </row>
    <row r="859" spans="1:5" x14ac:dyDescent="0.25">
      <c r="A859" s="2">
        <f>IF(B859="","",SUBTOTAL(3,$B$2:B859))</f>
        <v>858</v>
      </c>
      <c r="B859" s="9" t="s">
        <v>55</v>
      </c>
      <c r="C859" s="10" t="s">
        <v>52</v>
      </c>
      <c r="D859" s="11">
        <v>40.121970791205264</v>
      </c>
      <c r="E859" s="12">
        <f t="shared" si="13"/>
        <v>42297</v>
      </c>
    </row>
    <row r="860" spans="1:5" x14ac:dyDescent="0.25">
      <c r="A860" s="2">
        <f>IF(B860="","",SUBTOTAL(3,$B$2:B860))</f>
        <v>859</v>
      </c>
      <c r="B860" s="9" t="s">
        <v>51</v>
      </c>
      <c r="C860" s="10" t="s">
        <v>49</v>
      </c>
      <c r="D860" s="11">
        <v>81.030710639332298</v>
      </c>
      <c r="E860" s="12">
        <f t="shared" si="13"/>
        <v>42298</v>
      </c>
    </row>
    <row r="861" spans="1:5" x14ac:dyDescent="0.25">
      <c r="A861" s="2">
        <f>IF(B861="","",SUBTOTAL(3,$B$2:B861))</f>
        <v>860</v>
      </c>
      <c r="B861" s="9" t="s">
        <v>48</v>
      </c>
      <c r="C861" s="10" t="s">
        <v>49</v>
      </c>
      <c r="D861" s="11">
        <v>8.617718028266113</v>
      </c>
      <c r="E861" s="12">
        <f t="shared" si="13"/>
        <v>42299</v>
      </c>
    </row>
    <row r="862" spans="1:5" x14ac:dyDescent="0.25">
      <c r="A862" s="2">
        <f>IF(B862="","",SUBTOTAL(3,$B$2:B862))</f>
        <v>861</v>
      </c>
      <c r="B862" s="9" t="s">
        <v>51</v>
      </c>
      <c r="C862" s="10" t="s">
        <v>49</v>
      </c>
      <c r="D862" s="11">
        <v>264.74637297469025</v>
      </c>
      <c r="E862" s="12">
        <f t="shared" si="13"/>
        <v>42300</v>
      </c>
    </row>
    <row r="863" spans="1:5" x14ac:dyDescent="0.25">
      <c r="A863" s="2">
        <f>IF(B863="","",SUBTOTAL(3,$B$2:B863))</f>
        <v>862</v>
      </c>
      <c r="B863" s="9" t="s">
        <v>48</v>
      </c>
      <c r="C863" s="10" t="s">
        <v>49</v>
      </c>
      <c r="D863" s="11">
        <v>51.706308169596689</v>
      </c>
      <c r="E863" s="12">
        <f t="shared" si="13"/>
        <v>42301</v>
      </c>
    </row>
    <row r="864" spans="1:5" x14ac:dyDescent="0.25">
      <c r="A864" s="2">
        <f>IF(B864="","",SUBTOTAL(3,$B$2:B864))</f>
        <v>863</v>
      </c>
      <c r="B864" s="9" t="s">
        <v>51</v>
      </c>
      <c r="C864" s="10" t="s">
        <v>52</v>
      </c>
      <c r="D864" s="11">
        <v>1215.4606595899847</v>
      </c>
      <c r="E864" s="12">
        <f t="shared" si="13"/>
        <v>42302</v>
      </c>
    </row>
    <row r="865" spans="1:5" x14ac:dyDescent="0.25">
      <c r="A865" s="2">
        <f>IF(B865="","",SUBTOTAL(3,$B$2:B865))</f>
        <v>864</v>
      </c>
      <c r="B865" s="9" t="s">
        <v>48</v>
      </c>
      <c r="C865" s="10" t="s">
        <v>49</v>
      </c>
      <c r="D865" s="11">
        <v>21.199234257962562</v>
      </c>
      <c r="E865" s="12">
        <f t="shared" si="13"/>
        <v>42303</v>
      </c>
    </row>
    <row r="866" spans="1:5" x14ac:dyDescent="0.25">
      <c r="A866" s="2">
        <f>IF(B866="","",SUBTOTAL(3,$B$2:B866))</f>
        <v>865</v>
      </c>
      <c r="B866" s="9" t="s">
        <v>51</v>
      </c>
      <c r="C866" s="10" t="s">
        <v>54</v>
      </c>
      <c r="D866" s="11">
        <v>52.949274594938046</v>
      </c>
      <c r="E866" s="12">
        <f t="shared" si="13"/>
        <v>42304</v>
      </c>
    </row>
    <row r="867" spans="1:5" x14ac:dyDescent="0.25">
      <c r="A867" s="2">
        <f>IF(B867="","",SUBTOTAL(3,$B$2:B867))</f>
        <v>866</v>
      </c>
      <c r="B867" s="9" t="s">
        <v>51</v>
      </c>
      <c r="C867" s="10" t="s">
        <v>52</v>
      </c>
      <c r="D867" s="11">
        <v>52.949274594938046</v>
      </c>
      <c r="E867" s="12">
        <f t="shared" si="13"/>
        <v>42305</v>
      </c>
    </row>
    <row r="868" spans="1:5" x14ac:dyDescent="0.25">
      <c r="A868" s="2">
        <f>IF(B868="","",SUBTOTAL(3,$B$2:B868))</f>
        <v>867</v>
      </c>
      <c r="B868" s="9" t="s">
        <v>51</v>
      </c>
      <c r="C868" s="10" t="s">
        <v>49</v>
      </c>
      <c r="D868" s="11">
        <v>81.030710639332298</v>
      </c>
      <c r="E868" s="12">
        <f t="shared" si="13"/>
        <v>42306</v>
      </c>
    </row>
    <row r="869" spans="1:5" x14ac:dyDescent="0.25">
      <c r="A869" s="2">
        <f>IF(B869="","",SUBTOTAL(3,$B$2:B869))</f>
        <v>868</v>
      </c>
      <c r="B869" s="9" t="s">
        <v>53</v>
      </c>
      <c r="C869" s="10" t="s">
        <v>52</v>
      </c>
      <c r="D869" s="11">
        <v>137.37899200454268</v>
      </c>
      <c r="E869" s="12">
        <f t="shared" si="13"/>
        <v>42307</v>
      </c>
    </row>
    <row r="870" spans="1:5" x14ac:dyDescent="0.25">
      <c r="A870" s="2">
        <f>IF(B870="","",SUBTOTAL(3,$B$2:B870))</f>
        <v>869</v>
      </c>
      <c r="B870" s="9" t="s">
        <v>50</v>
      </c>
      <c r="C870" s="10" t="s">
        <v>49</v>
      </c>
      <c r="D870" s="11">
        <v>4.55</v>
      </c>
      <c r="E870" s="12">
        <f t="shared" si="13"/>
        <v>42308</v>
      </c>
    </row>
    <row r="871" spans="1:5" x14ac:dyDescent="0.25">
      <c r="A871" s="2">
        <f>IF(B871="","",SUBTOTAL(3,$B$2:B871))</f>
        <v>870</v>
      </c>
      <c r="B871" s="9" t="s">
        <v>48</v>
      </c>
      <c r="C871" s="10" t="s">
        <v>49</v>
      </c>
      <c r="D871" s="11">
        <v>14.880834607428726</v>
      </c>
      <c r="E871" s="12">
        <f t="shared" si="13"/>
        <v>42309</v>
      </c>
    </row>
    <row r="872" spans="1:5" x14ac:dyDescent="0.25">
      <c r="A872" s="2">
        <f>IF(B872="","",SUBTOTAL(3,$B$2:B872))</f>
        <v>871</v>
      </c>
      <c r="B872" s="9" t="s">
        <v>55</v>
      </c>
      <c r="C872" s="10" t="s">
        <v>54</v>
      </c>
      <c r="D872" s="11">
        <v>65.808090446639511</v>
      </c>
      <c r="E872" s="12">
        <f t="shared" si="13"/>
        <v>42310</v>
      </c>
    </row>
    <row r="873" spans="1:5" x14ac:dyDescent="0.25">
      <c r="A873" s="2">
        <f>IF(B873="","",SUBTOTAL(3,$B$2:B873))</f>
        <v>872</v>
      </c>
      <c r="B873" s="9" t="s">
        <v>50</v>
      </c>
      <c r="C873" s="10" t="s">
        <v>54</v>
      </c>
      <c r="D873" s="11">
        <v>132.27513227513228</v>
      </c>
      <c r="E873" s="12">
        <f t="shared" si="13"/>
        <v>42311</v>
      </c>
    </row>
    <row r="874" spans="1:5" x14ac:dyDescent="0.25">
      <c r="A874" s="2">
        <f>IF(B874="","",SUBTOTAL(3,$B$2:B874))</f>
        <v>873</v>
      </c>
      <c r="B874" s="9" t="s">
        <v>51</v>
      </c>
      <c r="C874" s="10" t="s">
        <v>52</v>
      </c>
      <c r="D874" s="11">
        <v>52.949274594938046</v>
      </c>
      <c r="E874" s="12">
        <f t="shared" si="13"/>
        <v>42312</v>
      </c>
    </row>
    <row r="875" spans="1:5" x14ac:dyDescent="0.25">
      <c r="A875" s="2">
        <f>IF(B875="","",SUBTOTAL(3,$B$2:B875))</f>
        <v>874</v>
      </c>
      <c r="B875" s="9" t="s">
        <v>51</v>
      </c>
      <c r="C875" s="10" t="s">
        <v>54</v>
      </c>
      <c r="D875" s="11">
        <v>52.949274594938046</v>
      </c>
      <c r="E875" s="12">
        <f t="shared" si="13"/>
        <v>42313</v>
      </c>
    </row>
    <row r="876" spans="1:5" x14ac:dyDescent="0.25">
      <c r="A876" s="2">
        <f>IF(B876="","",SUBTOTAL(3,$B$2:B876))</f>
        <v>875</v>
      </c>
      <c r="B876" s="9" t="s">
        <v>51</v>
      </c>
      <c r="C876" s="10" t="s">
        <v>52</v>
      </c>
      <c r="D876" s="11">
        <v>52.949274594938046</v>
      </c>
      <c r="E876" s="12">
        <f t="shared" si="13"/>
        <v>42314</v>
      </c>
    </row>
    <row r="877" spans="1:5" x14ac:dyDescent="0.25">
      <c r="A877" s="2">
        <f>IF(B877="","",SUBTOTAL(3,$B$2:B877))</f>
        <v>876</v>
      </c>
      <c r="B877" s="9" t="s">
        <v>51</v>
      </c>
      <c r="C877" s="10" t="s">
        <v>49</v>
      </c>
      <c r="D877" s="11">
        <v>52.949274594938046</v>
      </c>
      <c r="E877" s="12">
        <f t="shared" si="13"/>
        <v>42315</v>
      </c>
    </row>
    <row r="878" spans="1:5" x14ac:dyDescent="0.25">
      <c r="A878" s="2">
        <f>IF(B878="","",SUBTOTAL(3,$B$2:B878))</f>
        <v>877</v>
      </c>
      <c r="B878" s="9" t="s">
        <v>51</v>
      </c>
      <c r="C878" s="10" t="s">
        <v>52</v>
      </c>
      <c r="D878" s="11">
        <v>52.949274594938046</v>
      </c>
      <c r="E878" s="12">
        <f t="shared" si="13"/>
        <v>42316</v>
      </c>
    </row>
    <row r="879" spans="1:5" x14ac:dyDescent="0.25">
      <c r="A879" s="2">
        <f>IF(B879="","",SUBTOTAL(3,$B$2:B879))</f>
        <v>878</v>
      </c>
      <c r="B879" s="9" t="s">
        <v>51</v>
      </c>
      <c r="C879" s="10" t="s">
        <v>54</v>
      </c>
      <c r="D879" s="11">
        <v>52.949274594938046</v>
      </c>
      <c r="E879" s="12">
        <f t="shared" si="13"/>
        <v>42317</v>
      </c>
    </row>
    <row r="880" spans="1:5" x14ac:dyDescent="0.25">
      <c r="A880" s="2">
        <f>IF(B880="","",SUBTOTAL(3,$B$2:B880))</f>
        <v>879</v>
      </c>
      <c r="B880" s="9" t="s">
        <v>51</v>
      </c>
      <c r="C880" s="10" t="s">
        <v>52</v>
      </c>
      <c r="D880" s="11">
        <v>52.949274594938046</v>
      </c>
      <c r="E880" s="12">
        <f t="shared" si="13"/>
        <v>42318</v>
      </c>
    </row>
    <row r="881" spans="1:5" x14ac:dyDescent="0.25">
      <c r="A881" s="2">
        <f>IF(B881="","",SUBTOTAL(3,$B$2:B881))</f>
        <v>880</v>
      </c>
      <c r="B881" s="9" t="s">
        <v>51</v>
      </c>
      <c r="C881" s="10" t="s">
        <v>49</v>
      </c>
      <c r="D881" s="11">
        <v>52.949274594938046</v>
      </c>
      <c r="E881" s="12">
        <f t="shared" si="13"/>
        <v>42319</v>
      </c>
    </row>
    <row r="882" spans="1:5" x14ac:dyDescent="0.25">
      <c r="A882" s="2">
        <f>IF(B882="","",SUBTOTAL(3,$B$2:B882))</f>
        <v>881</v>
      </c>
      <c r="B882" s="9" t="s">
        <v>51</v>
      </c>
      <c r="C882" s="10" t="s">
        <v>52</v>
      </c>
      <c r="D882" s="11">
        <v>52.949274594938046</v>
      </c>
      <c r="E882" s="12">
        <f t="shared" si="13"/>
        <v>42320</v>
      </c>
    </row>
    <row r="883" spans="1:5" x14ac:dyDescent="0.25">
      <c r="A883" s="2">
        <f>IF(B883="","",SUBTOTAL(3,$B$2:B883))</f>
        <v>882</v>
      </c>
      <c r="B883" s="9" t="s">
        <v>51</v>
      </c>
      <c r="C883" s="10" t="s">
        <v>54</v>
      </c>
      <c r="D883" s="11">
        <v>52.949274594938046</v>
      </c>
      <c r="E883" s="12">
        <f t="shared" si="13"/>
        <v>42321</v>
      </c>
    </row>
    <row r="884" spans="1:5" x14ac:dyDescent="0.25">
      <c r="A884" s="2">
        <f>IF(B884="","",SUBTOTAL(3,$B$2:B884))</f>
        <v>883</v>
      </c>
      <c r="B884" s="9" t="s">
        <v>51</v>
      </c>
      <c r="C884" s="10" t="s">
        <v>52</v>
      </c>
      <c r="D884" s="11">
        <v>52.949274594938046</v>
      </c>
      <c r="E884" s="12">
        <f t="shared" si="13"/>
        <v>42322</v>
      </c>
    </row>
    <row r="885" spans="1:5" x14ac:dyDescent="0.25">
      <c r="A885" s="2">
        <f>IF(B885="","",SUBTOTAL(3,$B$2:B885))</f>
        <v>884</v>
      </c>
      <c r="B885" s="9" t="s">
        <v>51</v>
      </c>
      <c r="C885" s="10" t="s">
        <v>49</v>
      </c>
      <c r="D885" s="11">
        <v>52.949274594938046</v>
      </c>
      <c r="E885" s="12">
        <f t="shared" si="13"/>
        <v>42323</v>
      </c>
    </row>
    <row r="886" spans="1:5" x14ac:dyDescent="0.25">
      <c r="A886" s="2">
        <f>IF(B886="","",SUBTOTAL(3,$B$2:B886))</f>
        <v>885</v>
      </c>
      <c r="B886" s="9" t="s">
        <v>51</v>
      </c>
      <c r="C886" s="10" t="s">
        <v>52</v>
      </c>
      <c r="D886" s="11">
        <v>52.949274594938046</v>
      </c>
      <c r="E886" s="12">
        <f t="shared" si="13"/>
        <v>42324</v>
      </c>
    </row>
    <row r="887" spans="1:5" x14ac:dyDescent="0.25">
      <c r="A887" s="2">
        <f>IF(B887="","",SUBTOTAL(3,$B$2:B887))</f>
        <v>886</v>
      </c>
      <c r="B887" s="9" t="s">
        <v>51</v>
      </c>
      <c r="C887" s="10" t="s">
        <v>54</v>
      </c>
      <c r="D887" s="11">
        <v>52.949274594938046</v>
      </c>
      <c r="E887" s="12">
        <f t="shared" si="13"/>
        <v>42325</v>
      </c>
    </row>
    <row r="888" spans="1:5" x14ac:dyDescent="0.25">
      <c r="A888" s="2">
        <f>IF(B888="","",SUBTOTAL(3,$B$2:B888))</f>
        <v>887</v>
      </c>
      <c r="B888" s="9" t="s">
        <v>51</v>
      </c>
      <c r="C888" s="10" t="s">
        <v>52</v>
      </c>
      <c r="D888" s="11">
        <v>52.949274594938046</v>
      </c>
      <c r="E888" s="12">
        <f t="shared" si="13"/>
        <v>42326</v>
      </c>
    </row>
    <row r="889" spans="1:5" x14ac:dyDescent="0.25">
      <c r="A889" s="2">
        <f>IF(B889="","",SUBTOTAL(3,$B$2:B889))</f>
        <v>888</v>
      </c>
      <c r="B889" s="9" t="s">
        <v>51</v>
      </c>
      <c r="C889" s="10" t="s">
        <v>49</v>
      </c>
      <c r="D889" s="11">
        <v>52.949274594938046</v>
      </c>
      <c r="E889" s="12">
        <f t="shared" si="13"/>
        <v>42327</v>
      </c>
    </row>
    <row r="890" spans="1:5" x14ac:dyDescent="0.25">
      <c r="A890" s="2">
        <f>IF(B890="","",SUBTOTAL(3,$B$2:B890))</f>
        <v>889</v>
      </c>
      <c r="B890" s="9" t="s">
        <v>51</v>
      </c>
      <c r="C890" s="10" t="s">
        <v>52</v>
      </c>
      <c r="D890" s="11">
        <v>52.949274594938046</v>
      </c>
      <c r="E890" s="12">
        <f t="shared" si="13"/>
        <v>42328</v>
      </c>
    </row>
    <row r="891" spans="1:5" x14ac:dyDescent="0.25">
      <c r="A891" s="2">
        <f>IF(B891="","",SUBTOTAL(3,$B$2:B891))</f>
        <v>890</v>
      </c>
      <c r="B891" s="9" t="s">
        <v>50</v>
      </c>
      <c r="C891" s="10" t="s">
        <v>49</v>
      </c>
      <c r="D891" s="11">
        <v>36.0810405643739</v>
      </c>
      <c r="E891" s="12">
        <f t="shared" si="13"/>
        <v>42329</v>
      </c>
    </row>
    <row r="892" spans="1:5" x14ac:dyDescent="0.25">
      <c r="A892" s="2">
        <f>IF(B892="","",SUBTOTAL(3,$B$2:B892))</f>
        <v>891</v>
      </c>
      <c r="B892" s="9" t="s">
        <v>48</v>
      </c>
      <c r="C892" s="10" t="s">
        <v>49</v>
      </c>
      <c r="D892" s="11">
        <v>103.41261633919338</v>
      </c>
      <c r="E892" s="12">
        <f t="shared" si="13"/>
        <v>42330</v>
      </c>
    </row>
    <row r="893" spans="1:5" x14ac:dyDescent="0.25">
      <c r="A893" s="2">
        <f>IF(B893="","",SUBTOTAL(3,$B$2:B893))</f>
        <v>892</v>
      </c>
      <c r="B893" s="9" t="s">
        <v>48</v>
      </c>
      <c r="C893" s="10" t="s">
        <v>49</v>
      </c>
      <c r="D893" s="11">
        <v>103.41261633919338</v>
      </c>
      <c r="E893" s="12">
        <f t="shared" si="13"/>
        <v>42331</v>
      </c>
    </row>
    <row r="894" spans="1:5" x14ac:dyDescent="0.25">
      <c r="A894" s="2">
        <f>IF(B894="","",SUBTOTAL(3,$B$2:B894))</f>
        <v>893</v>
      </c>
      <c r="B894" s="9" t="s">
        <v>48</v>
      </c>
      <c r="C894" s="10" t="s">
        <v>49</v>
      </c>
      <c r="D894" s="11">
        <v>2.0682523267838673</v>
      </c>
      <c r="E894" s="12">
        <f t="shared" si="13"/>
        <v>42332</v>
      </c>
    </row>
    <row r="895" spans="1:5" x14ac:dyDescent="0.25">
      <c r="A895" s="2">
        <f>IF(B895="","",SUBTOTAL(3,$B$2:B895))</f>
        <v>894</v>
      </c>
      <c r="B895" s="9" t="s">
        <v>48</v>
      </c>
      <c r="C895" s="10" t="s">
        <v>49</v>
      </c>
      <c r="D895" s="11">
        <v>33.781454670803171</v>
      </c>
      <c r="E895" s="12">
        <f t="shared" si="13"/>
        <v>42333</v>
      </c>
    </row>
    <row r="896" spans="1:5" x14ac:dyDescent="0.25">
      <c r="A896" s="2">
        <f>IF(B896="","",SUBTOTAL(3,$B$2:B896))</f>
        <v>895</v>
      </c>
      <c r="B896" s="9" t="s">
        <v>50</v>
      </c>
      <c r="C896" s="10" t="s">
        <v>54</v>
      </c>
      <c r="D896" s="11">
        <v>44.091710758377424</v>
      </c>
      <c r="E896" s="12">
        <f t="shared" si="13"/>
        <v>42334</v>
      </c>
    </row>
    <row r="897" spans="1:5" x14ac:dyDescent="0.25">
      <c r="A897" s="2">
        <f>IF(B897="","",SUBTOTAL(3,$B$2:B897))</f>
        <v>896</v>
      </c>
      <c r="B897" s="9" t="s">
        <v>50</v>
      </c>
      <c r="C897" s="10" t="s">
        <v>49</v>
      </c>
      <c r="D897" s="11">
        <v>220.45855379188714</v>
      </c>
      <c r="E897" s="12">
        <f t="shared" si="13"/>
        <v>42335</v>
      </c>
    </row>
    <row r="898" spans="1:5" x14ac:dyDescent="0.25">
      <c r="A898" s="2">
        <f>IF(B898="","",SUBTOTAL(3,$B$2:B898))</f>
        <v>897</v>
      </c>
      <c r="B898" s="9" t="s">
        <v>48</v>
      </c>
      <c r="C898" s="10" t="s">
        <v>49</v>
      </c>
      <c r="D898" s="11">
        <v>138.63216266173754</v>
      </c>
      <c r="E898" s="12">
        <f t="shared" si="13"/>
        <v>42336</v>
      </c>
    </row>
    <row r="899" spans="1:5" x14ac:dyDescent="0.25">
      <c r="A899" s="2">
        <f>IF(B899="","",SUBTOTAL(3,$B$2:B899))</f>
        <v>898</v>
      </c>
      <c r="B899" s="9" t="s">
        <v>51</v>
      </c>
      <c r="C899" s="10" t="s">
        <v>49</v>
      </c>
      <c r="D899" s="11">
        <v>211.79709837975219</v>
      </c>
      <c r="E899" s="12">
        <f t="shared" si="13"/>
        <v>42337</v>
      </c>
    </row>
    <row r="900" spans="1:5" x14ac:dyDescent="0.25">
      <c r="A900" s="2">
        <f>IF(B900="","",SUBTOTAL(3,$B$2:B900))</f>
        <v>899</v>
      </c>
      <c r="B900" s="9" t="s">
        <v>48</v>
      </c>
      <c r="C900" s="10" t="s">
        <v>49</v>
      </c>
      <c r="D900" s="11">
        <v>27.726432532347506</v>
      </c>
      <c r="E900" s="12">
        <f t="shared" ref="E900:E963" si="14">E899+1</f>
        <v>42338</v>
      </c>
    </row>
    <row r="901" spans="1:5" x14ac:dyDescent="0.25">
      <c r="A901" s="2">
        <f>IF(B901="","",SUBTOTAL(3,$B$2:B901))</f>
        <v>900</v>
      </c>
      <c r="B901" s="9" t="s">
        <v>48</v>
      </c>
      <c r="C901" s="10" t="s">
        <v>49</v>
      </c>
      <c r="D901" s="11">
        <v>20.024645717806532</v>
      </c>
      <c r="E901" s="12">
        <f t="shared" si="14"/>
        <v>42339</v>
      </c>
    </row>
    <row r="902" spans="1:5" x14ac:dyDescent="0.25">
      <c r="A902" s="2">
        <f>IF(B902="","",SUBTOTAL(3,$B$2:B902))</f>
        <v>901</v>
      </c>
      <c r="B902" s="9" t="s">
        <v>48</v>
      </c>
      <c r="C902" s="10" t="s">
        <v>49</v>
      </c>
      <c r="D902" s="11">
        <v>24.645717806531117</v>
      </c>
      <c r="E902" s="12">
        <f t="shared" si="14"/>
        <v>42340</v>
      </c>
    </row>
    <row r="903" spans="1:5" x14ac:dyDescent="0.25">
      <c r="A903" s="2">
        <f>IF(B903="","",SUBTOTAL(3,$B$2:B903))</f>
        <v>902</v>
      </c>
      <c r="B903" s="9" t="s">
        <v>48</v>
      </c>
      <c r="C903" s="10" t="s">
        <v>49</v>
      </c>
      <c r="D903" s="11">
        <v>21.010474430067774</v>
      </c>
      <c r="E903" s="12">
        <f t="shared" si="14"/>
        <v>42341</v>
      </c>
    </row>
    <row r="904" spans="1:5" x14ac:dyDescent="0.25">
      <c r="A904" s="2">
        <f>IF(B904="","",SUBTOTAL(3,$B$2:B904))</f>
        <v>903</v>
      </c>
      <c r="B904" s="9" t="s">
        <v>48</v>
      </c>
      <c r="C904" s="10" t="s">
        <v>54</v>
      </c>
      <c r="D904" s="11">
        <v>61.614294516327789</v>
      </c>
      <c r="E904" s="12">
        <f t="shared" si="14"/>
        <v>42342</v>
      </c>
    </row>
    <row r="905" spans="1:5" x14ac:dyDescent="0.25">
      <c r="A905" s="2">
        <f>IF(B905="","",SUBTOTAL(3,$B$2:B905))</f>
        <v>904</v>
      </c>
      <c r="B905" s="9" t="s">
        <v>50</v>
      </c>
      <c r="C905" s="10" t="s">
        <v>52</v>
      </c>
      <c r="D905" s="11">
        <v>22.045855379188712</v>
      </c>
      <c r="E905" s="12">
        <f t="shared" si="14"/>
        <v>42343</v>
      </c>
    </row>
    <row r="906" spans="1:5" x14ac:dyDescent="0.25">
      <c r="A906" s="2">
        <f>IF(B906="","",SUBTOTAL(3,$B$2:B906))</f>
        <v>905</v>
      </c>
      <c r="B906" s="9" t="s">
        <v>48</v>
      </c>
      <c r="C906" s="10" t="s">
        <v>52</v>
      </c>
      <c r="D906" s="11">
        <v>77.017868145409736</v>
      </c>
      <c r="E906" s="12">
        <f t="shared" si="14"/>
        <v>42344</v>
      </c>
    </row>
    <row r="907" spans="1:5" x14ac:dyDescent="0.25">
      <c r="A907" s="2">
        <f>IF(B907="","",SUBTOTAL(3,$B$2:B907))</f>
        <v>906</v>
      </c>
      <c r="B907" s="9" t="s">
        <v>53</v>
      </c>
      <c r="C907" s="10" t="s">
        <v>49</v>
      </c>
      <c r="D907" s="11">
        <v>238.0356635863244</v>
      </c>
      <c r="E907" s="12">
        <f t="shared" si="14"/>
        <v>42345</v>
      </c>
    </row>
    <row r="908" spans="1:5" x14ac:dyDescent="0.25">
      <c r="A908" s="2">
        <f>IF(B908="","",SUBTOTAL(3,$B$2:B908))</f>
        <v>907</v>
      </c>
      <c r="B908" s="9" t="s">
        <v>53</v>
      </c>
      <c r="C908" s="10" t="s">
        <v>49</v>
      </c>
      <c r="D908" s="11">
        <v>412.13697601362799</v>
      </c>
      <c r="E908" s="12">
        <f t="shared" si="14"/>
        <v>42346</v>
      </c>
    </row>
    <row r="909" spans="1:5" x14ac:dyDescent="0.25">
      <c r="A909" s="2">
        <f>IF(B909="","",SUBTOTAL(3,$B$2:B909))</f>
        <v>908</v>
      </c>
      <c r="B909" s="9" t="s">
        <v>53</v>
      </c>
      <c r="C909" s="10" t="s">
        <v>49</v>
      </c>
      <c r="D909" s="11">
        <v>73.2687957357561</v>
      </c>
      <c r="E909" s="12">
        <f t="shared" si="14"/>
        <v>42347</v>
      </c>
    </row>
    <row r="910" spans="1:5" x14ac:dyDescent="0.25">
      <c r="A910" s="2">
        <f>IF(B910="","",SUBTOTAL(3,$B$2:B910))</f>
        <v>909</v>
      </c>
      <c r="B910" s="9" t="s">
        <v>48</v>
      </c>
      <c r="C910" s="10" t="s">
        <v>49</v>
      </c>
      <c r="D910" s="11">
        <v>6.549465701482247</v>
      </c>
      <c r="E910" s="12">
        <f t="shared" si="14"/>
        <v>42348</v>
      </c>
    </row>
    <row r="911" spans="1:5" x14ac:dyDescent="0.25">
      <c r="A911" s="2">
        <f>IF(B911="","",SUBTOTAL(3,$B$2:B911))</f>
        <v>910</v>
      </c>
      <c r="B911" s="9" t="s">
        <v>48</v>
      </c>
      <c r="C911" s="10" t="s">
        <v>49</v>
      </c>
      <c r="D911" s="11">
        <v>32.747328507411233</v>
      </c>
      <c r="E911" s="12">
        <f t="shared" si="14"/>
        <v>42349</v>
      </c>
    </row>
    <row r="912" spans="1:5" x14ac:dyDescent="0.25">
      <c r="A912" s="2">
        <f>IF(B912="","",SUBTOTAL(3,$B$2:B912))</f>
        <v>911</v>
      </c>
      <c r="B912" s="9" t="s">
        <v>55</v>
      </c>
      <c r="C912" s="10" t="s">
        <v>52</v>
      </c>
      <c r="D912" s="11">
        <v>10</v>
      </c>
      <c r="E912" s="12">
        <f t="shared" si="14"/>
        <v>42350</v>
      </c>
    </row>
    <row r="913" spans="1:5" x14ac:dyDescent="0.25">
      <c r="A913" s="2">
        <f>IF(B913="","",SUBTOTAL(3,$B$2:B913))</f>
        <v>912</v>
      </c>
      <c r="B913" s="9" t="s">
        <v>50</v>
      </c>
      <c r="C913" s="10" t="s">
        <v>49</v>
      </c>
      <c r="D913" s="11">
        <v>110.22927689594357</v>
      </c>
      <c r="E913" s="12">
        <f t="shared" si="14"/>
        <v>42351</v>
      </c>
    </row>
    <row r="914" spans="1:5" x14ac:dyDescent="0.25">
      <c r="A914" s="2">
        <f>IF(B914="","",SUBTOTAL(3,$B$2:B914))</f>
        <v>913</v>
      </c>
      <c r="B914" s="9" t="s">
        <v>50</v>
      </c>
      <c r="C914" s="10" t="s">
        <v>52</v>
      </c>
      <c r="D914" s="11">
        <v>55.114638447971785</v>
      </c>
      <c r="E914" s="12">
        <f t="shared" si="14"/>
        <v>42352</v>
      </c>
    </row>
    <row r="915" spans="1:5" x14ac:dyDescent="0.25">
      <c r="A915" s="2">
        <f>IF(B915="","",SUBTOTAL(3,$B$2:B915))</f>
        <v>914</v>
      </c>
      <c r="B915" s="9" t="s">
        <v>48</v>
      </c>
      <c r="C915" s="10" t="s">
        <v>54</v>
      </c>
      <c r="D915" s="11">
        <v>154.03573629081947</v>
      </c>
      <c r="E915" s="12">
        <f t="shared" si="14"/>
        <v>42353</v>
      </c>
    </row>
    <row r="916" spans="1:5" x14ac:dyDescent="0.25">
      <c r="A916" s="2">
        <f>IF(B916="","",SUBTOTAL(3,$B$2:B916))</f>
        <v>915</v>
      </c>
      <c r="B916" s="9" t="s">
        <v>50</v>
      </c>
      <c r="C916" s="10" t="s">
        <v>54</v>
      </c>
      <c r="D916" s="11">
        <v>22.045855379188712</v>
      </c>
      <c r="E916" s="12">
        <f t="shared" si="14"/>
        <v>42354</v>
      </c>
    </row>
    <row r="917" spans="1:5" x14ac:dyDescent="0.25">
      <c r="A917" s="2">
        <f>IF(B917="","",SUBTOTAL(3,$B$2:B917))</f>
        <v>916</v>
      </c>
      <c r="B917" s="9" t="s">
        <v>48</v>
      </c>
      <c r="C917" s="10" t="s">
        <v>49</v>
      </c>
      <c r="D917" s="11">
        <v>154.03573629081947</v>
      </c>
      <c r="E917" s="12">
        <f t="shared" si="14"/>
        <v>42355</v>
      </c>
    </row>
    <row r="918" spans="1:5" x14ac:dyDescent="0.25">
      <c r="A918" s="2">
        <f>IF(B918="","",SUBTOTAL(3,$B$2:B918))</f>
        <v>917</v>
      </c>
      <c r="B918" s="9" t="s">
        <v>48</v>
      </c>
      <c r="C918" s="10" t="s">
        <v>52</v>
      </c>
      <c r="D918" s="11">
        <v>154.03573629081947</v>
      </c>
      <c r="E918" s="12">
        <f t="shared" si="14"/>
        <v>42356</v>
      </c>
    </row>
    <row r="919" spans="1:5" x14ac:dyDescent="0.25">
      <c r="A919" s="2">
        <f>IF(B919="","",SUBTOTAL(3,$B$2:B919))</f>
        <v>918</v>
      </c>
      <c r="B919" s="9" t="s">
        <v>50</v>
      </c>
      <c r="C919" s="10" t="s">
        <v>54</v>
      </c>
      <c r="D919" s="11">
        <v>154.32098765432099</v>
      </c>
      <c r="E919" s="12">
        <f t="shared" si="14"/>
        <v>42357</v>
      </c>
    </row>
    <row r="920" spans="1:5" x14ac:dyDescent="0.25">
      <c r="A920" s="2">
        <f>IF(B920="","",SUBTOTAL(3,$B$2:B920))</f>
        <v>919</v>
      </c>
      <c r="B920" s="9" t="s">
        <v>48</v>
      </c>
      <c r="C920" s="10" t="s">
        <v>54</v>
      </c>
      <c r="D920" s="11">
        <v>17.235436056532226</v>
      </c>
      <c r="E920" s="12">
        <f t="shared" si="14"/>
        <v>42358</v>
      </c>
    </row>
    <row r="921" spans="1:5" x14ac:dyDescent="0.25">
      <c r="A921" s="2">
        <f>IF(B921="","",SUBTOTAL(3,$B$2:B921))</f>
        <v>920</v>
      </c>
      <c r="B921" s="9" t="s">
        <v>50</v>
      </c>
      <c r="C921" s="10" t="s">
        <v>52</v>
      </c>
      <c r="D921" s="11">
        <v>44.091710758377424</v>
      </c>
      <c r="E921" s="12">
        <f t="shared" si="14"/>
        <v>42359</v>
      </c>
    </row>
    <row r="922" spans="1:5" x14ac:dyDescent="0.25">
      <c r="A922" s="2">
        <f>IF(B922="","",SUBTOTAL(3,$B$2:B922))</f>
        <v>921</v>
      </c>
      <c r="B922" s="9" t="s">
        <v>50</v>
      </c>
      <c r="C922" s="10" t="s">
        <v>49</v>
      </c>
      <c r="D922" s="11">
        <v>22.045855379188712</v>
      </c>
      <c r="E922" s="12">
        <f t="shared" si="14"/>
        <v>42360</v>
      </c>
    </row>
    <row r="923" spans="1:5" x14ac:dyDescent="0.25">
      <c r="A923" s="2">
        <f>IF(B923="","",SUBTOTAL(3,$B$2:B923))</f>
        <v>922</v>
      </c>
      <c r="B923" s="9" t="s">
        <v>48</v>
      </c>
      <c r="C923" s="10" t="s">
        <v>49</v>
      </c>
      <c r="D923" s="11">
        <v>7.9269718499865105</v>
      </c>
      <c r="E923" s="12">
        <f t="shared" si="14"/>
        <v>42361</v>
      </c>
    </row>
    <row r="924" spans="1:5" x14ac:dyDescent="0.25">
      <c r="A924" s="2">
        <f>IF(B924="","",SUBTOTAL(3,$B$2:B924))</f>
        <v>923</v>
      </c>
      <c r="B924" s="9" t="s">
        <v>50</v>
      </c>
      <c r="C924" s="10" t="s">
        <v>49</v>
      </c>
      <c r="D924" s="11">
        <v>4.409171075837742</v>
      </c>
      <c r="E924" s="12">
        <f t="shared" si="14"/>
        <v>42362</v>
      </c>
    </row>
    <row r="925" spans="1:5" x14ac:dyDescent="0.25">
      <c r="A925" s="2">
        <f>IF(B925="","",SUBTOTAL(3,$B$2:B925))</f>
        <v>924</v>
      </c>
      <c r="B925" s="9" t="s">
        <v>50</v>
      </c>
      <c r="C925" s="10" t="s">
        <v>49</v>
      </c>
      <c r="D925" s="11">
        <v>30.8641975308642</v>
      </c>
      <c r="E925" s="12">
        <f t="shared" si="14"/>
        <v>42363</v>
      </c>
    </row>
    <row r="926" spans="1:5" x14ac:dyDescent="0.25">
      <c r="A926" s="2">
        <f>IF(B926="","",SUBTOTAL(3,$B$2:B926))</f>
        <v>925</v>
      </c>
      <c r="B926" s="9" t="s">
        <v>55</v>
      </c>
      <c r="C926" s="10" t="s">
        <v>56</v>
      </c>
      <c r="D926" s="11">
        <v>32.904045223319756</v>
      </c>
      <c r="E926" s="12">
        <f t="shared" si="14"/>
        <v>42364</v>
      </c>
    </row>
    <row r="927" spans="1:5" x14ac:dyDescent="0.25">
      <c r="A927" s="2">
        <f>IF(B927="","",SUBTOTAL(3,$B$2:B927))</f>
        <v>926</v>
      </c>
      <c r="B927" s="9" t="s">
        <v>48</v>
      </c>
      <c r="C927" s="10" t="s">
        <v>49</v>
      </c>
      <c r="D927" s="11">
        <v>10.341261633919338</v>
      </c>
      <c r="E927" s="12">
        <f t="shared" si="14"/>
        <v>42365</v>
      </c>
    </row>
    <row r="928" spans="1:5" x14ac:dyDescent="0.25">
      <c r="A928" s="2">
        <f>IF(B928="","",SUBTOTAL(3,$B$2:B928))</f>
        <v>927</v>
      </c>
      <c r="B928" s="9" t="s">
        <v>50</v>
      </c>
      <c r="C928" s="10" t="s">
        <v>49</v>
      </c>
      <c r="D928" s="11">
        <v>178.57142857142858</v>
      </c>
      <c r="E928" s="12">
        <f t="shared" si="14"/>
        <v>42366</v>
      </c>
    </row>
    <row r="929" spans="1:5" x14ac:dyDescent="0.25">
      <c r="A929" s="2">
        <f>IF(B929="","",SUBTOTAL(3,$B$2:B929))</f>
        <v>928</v>
      </c>
      <c r="B929" s="9" t="s">
        <v>48</v>
      </c>
      <c r="C929" s="10" t="s">
        <v>49</v>
      </c>
      <c r="D929" s="11">
        <v>3.8779731127197516</v>
      </c>
      <c r="E929" s="12">
        <f t="shared" si="14"/>
        <v>42367</v>
      </c>
    </row>
    <row r="930" spans="1:5" x14ac:dyDescent="0.25">
      <c r="A930" s="2">
        <f>IF(B930="","",SUBTOTAL(3,$B$2:B930))</f>
        <v>929</v>
      </c>
      <c r="B930" s="9" t="s">
        <v>48</v>
      </c>
      <c r="C930" s="10" t="s">
        <v>49</v>
      </c>
      <c r="D930" s="11">
        <v>13.555049982764563</v>
      </c>
      <c r="E930" s="12">
        <f t="shared" si="14"/>
        <v>42368</v>
      </c>
    </row>
    <row r="931" spans="1:5" x14ac:dyDescent="0.25">
      <c r="A931" s="2">
        <f>IF(B931="","",SUBTOTAL(3,$B$2:B931))</f>
        <v>930</v>
      </c>
      <c r="B931" s="9" t="s">
        <v>48</v>
      </c>
      <c r="C931" s="10" t="s">
        <v>49</v>
      </c>
      <c r="D931" s="11">
        <v>29.046570148224749</v>
      </c>
      <c r="E931" s="12">
        <f t="shared" si="14"/>
        <v>42369</v>
      </c>
    </row>
    <row r="932" spans="1:5" x14ac:dyDescent="0.25">
      <c r="A932" s="2">
        <f>IF(B932="","",SUBTOTAL(3,$B$2:B932))</f>
        <v>931</v>
      </c>
      <c r="B932" s="9" t="s">
        <v>53</v>
      </c>
      <c r="C932" s="10" t="s">
        <v>54</v>
      </c>
      <c r="D932" s="11">
        <v>73.2687957357561</v>
      </c>
      <c r="E932" s="12">
        <f t="shared" si="14"/>
        <v>42370</v>
      </c>
    </row>
    <row r="933" spans="1:5" x14ac:dyDescent="0.25">
      <c r="A933" s="2">
        <f>IF(B933="","",SUBTOTAL(3,$B$2:B933))</f>
        <v>932</v>
      </c>
      <c r="B933" s="9" t="s">
        <v>48</v>
      </c>
      <c r="C933" s="10" t="s">
        <v>49</v>
      </c>
      <c r="D933" s="11">
        <v>20.682523267838675</v>
      </c>
      <c r="E933" s="12">
        <f t="shared" si="14"/>
        <v>42371</v>
      </c>
    </row>
    <row r="934" spans="1:5" x14ac:dyDescent="0.25">
      <c r="A934" s="2">
        <f>IF(B934="","",SUBTOTAL(3,$B$2:B934))</f>
        <v>933</v>
      </c>
      <c r="B934" s="9" t="s">
        <v>48</v>
      </c>
      <c r="C934" s="10" t="s">
        <v>49</v>
      </c>
      <c r="D934" s="11">
        <v>154.03573629081947</v>
      </c>
      <c r="E934" s="12">
        <f t="shared" si="14"/>
        <v>42372</v>
      </c>
    </row>
    <row r="935" spans="1:5" x14ac:dyDescent="0.25">
      <c r="A935" s="2">
        <f>IF(B935="","",SUBTOTAL(3,$B$2:B935))</f>
        <v>934</v>
      </c>
      <c r="B935" s="9" t="s">
        <v>48</v>
      </c>
      <c r="C935" s="10" t="s">
        <v>54</v>
      </c>
      <c r="D935" s="11">
        <v>6.1614294516327792</v>
      </c>
      <c r="E935" s="12">
        <f t="shared" si="14"/>
        <v>42373</v>
      </c>
    </row>
    <row r="936" spans="1:5" x14ac:dyDescent="0.25">
      <c r="A936" s="2">
        <f>IF(B936="","",SUBTOTAL(3,$B$2:B936))</f>
        <v>935</v>
      </c>
      <c r="B936" s="9" t="s">
        <v>53</v>
      </c>
      <c r="C936" s="10" t="s">
        <v>49</v>
      </c>
      <c r="D936" s="11">
        <v>64.110196268786581</v>
      </c>
      <c r="E936" s="12">
        <f t="shared" si="14"/>
        <v>42374</v>
      </c>
    </row>
    <row r="937" spans="1:5" x14ac:dyDescent="0.25">
      <c r="A937" s="2">
        <f>IF(B937="","",SUBTOTAL(3,$B$2:B937))</f>
        <v>936</v>
      </c>
      <c r="B937" s="9" t="s">
        <v>48</v>
      </c>
      <c r="C937" s="10" t="s">
        <v>54</v>
      </c>
      <c r="D937" s="11">
        <v>21.565003080714728</v>
      </c>
      <c r="E937" s="12">
        <f t="shared" si="14"/>
        <v>42375</v>
      </c>
    </row>
    <row r="938" spans="1:5" x14ac:dyDescent="0.25">
      <c r="A938" s="2">
        <f>IF(B938="","",SUBTOTAL(3,$B$2:B938))</f>
        <v>937</v>
      </c>
      <c r="B938" s="9" t="s">
        <v>48</v>
      </c>
      <c r="C938" s="10" t="s">
        <v>49</v>
      </c>
      <c r="D938" s="11">
        <v>15.403573629081947</v>
      </c>
      <c r="E938" s="12">
        <f t="shared" si="14"/>
        <v>42376</v>
      </c>
    </row>
    <row r="939" spans="1:5" x14ac:dyDescent="0.25">
      <c r="A939" s="2">
        <f>IF(B939="","",SUBTOTAL(3,$B$2:B939))</f>
        <v>938</v>
      </c>
      <c r="B939" s="9" t="s">
        <v>51</v>
      </c>
      <c r="C939" s="10" t="s">
        <v>52</v>
      </c>
      <c r="D939" s="11">
        <v>52.949274594938046</v>
      </c>
      <c r="E939" s="12">
        <f t="shared" si="14"/>
        <v>42377</v>
      </c>
    </row>
    <row r="940" spans="1:5" x14ac:dyDescent="0.25">
      <c r="A940" s="2">
        <f>IF(B940="","",SUBTOTAL(3,$B$2:B940))</f>
        <v>939</v>
      </c>
      <c r="B940" s="9" t="s">
        <v>51</v>
      </c>
      <c r="C940" s="10" t="s">
        <v>49</v>
      </c>
      <c r="D940" s="11">
        <v>52.949274594938046</v>
      </c>
      <c r="E940" s="12">
        <f t="shared" si="14"/>
        <v>42378</v>
      </c>
    </row>
    <row r="941" spans="1:5" x14ac:dyDescent="0.25">
      <c r="A941" s="2">
        <f>IF(B941="","",SUBTOTAL(3,$B$2:B941))</f>
        <v>940</v>
      </c>
      <c r="B941" s="9" t="s">
        <v>51</v>
      </c>
      <c r="C941" s="10" t="s">
        <v>52</v>
      </c>
      <c r="D941" s="11">
        <v>52.949274594938046</v>
      </c>
      <c r="E941" s="12">
        <f t="shared" si="14"/>
        <v>42379</v>
      </c>
    </row>
    <row r="942" spans="1:5" x14ac:dyDescent="0.25">
      <c r="A942" s="2">
        <f>IF(B942="","",SUBTOTAL(3,$B$2:B942))</f>
        <v>941</v>
      </c>
      <c r="B942" s="9" t="s">
        <v>50</v>
      </c>
      <c r="C942" s="10" t="s">
        <v>52</v>
      </c>
      <c r="D942" s="11">
        <v>110.22927689594357</v>
      </c>
      <c r="E942" s="12">
        <f t="shared" si="14"/>
        <v>42380</v>
      </c>
    </row>
    <row r="943" spans="1:5" x14ac:dyDescent="0.25">
      <c r="A943" s="2">
        <f>IF(B943="","",SUBTOTAL(3,$B$2:B943))</f>
        <v>942</v>
      </c>
      <c r="B943" s="9" t="s">
        <v>50</v>
      </c>
      <c r="C943" s="10" t="s">
        <v>52</v>
      </c>
      <c r="D943" s="11">
        <v>110.22927689594357</v>
      </c>
      <c r="E943" s="12">
        <f t="shared" si="14"/>
        <v>42381</v>
      </c>
    </row>
    <row r="944" spans="1:5" x14ac:dyDescent="0.25">
      <c r="A944" s="2">
        <f>IF(B944="","",SUBTOTAL(3,$B$2:B944))</f>
        <v>943</v>
      </c>
      <c r="B944" s="9" t="s">
        <v>51</v>
      </c>
      <c r="C944" s="10" t="s">
        <v>54</v>
      </c>
      <c r="D944" s="11">
        <v>52.949274594938046</v>
      </c>
      <c r="E944" s="12">
        <f t="shared" si="14"/>
        <v>42382</v>
      </c>
    </row>
    <row r="945" spans="1:5" x14ac:dyDescent="0.25">
      <c r="A945" s="2">
        <f>IF(B945="","",SUBTOTAL(3,$B$2:B945))</f>
        <v>944</v>
      </c>
      <c r="B945" s="9" t="s">
        <v>51</v>
      </c>
      <c r="C945" s="10" t="s">
        <v>49</v>
      </c>
      <c r="D945" s="11">
        <v>529.49274594938049</v>
      </c>
      <c r="E945" s="12">
        <f t="shared" si="14"/>
        <v>42383</v>
      </c>
    </row>
    <row r="946" spans="1:5" x14ac:dyDescent="0.25">
      <c r="A946" s="2">
        <f>IF(B946="","",SUBTOTAL(3,$B$2:B946))</f>
        <v>945</v>
      </c>
      <c r="B946" s="9" t="s">
        <v>51</v>
      </c>
      <c r="C946" s="10" t="s">
        <v>49</v>
      </c>
      <c r="D946" s="11">
        <v>148.25796886582651</v>
      </c>
      <c r="E946" s="12">
        <f t="shared" si="14"/>
        <v>42384</v>
      </c>
    </row>
    <row r="947" spans="1:5" x14ac:dyDescent="0.25">
      <c r="A947" s="2">
        <f>IF(B947="","",SUBTOTAL(3,$B$2:B947))</f>
        <v>946</v>
      </c>
      <c r="B947" s="9" t="s">
        <v>48</v>
      </c>
      <c r="C947" s="10" t="s">
        <v>49</v>
      </c>
      <c r="D947" s="11">
        <v>34.470872113064452</v>
      </c>
      <c r="E947" s="12">
        <f t="shared" si="14"/>
        <v>42385</v>
      </c>
    </row>
    <row r="948" spans="1:5" x14ac:dyDescent="0.25">
      <c r="A948" s="2">
        <f>IF(B948="","",SUBTOTAL(3,$B$2:B948))</f>
        <v>947</v>
      </c>
      <c r="B948" s="9" t="s">
        <v>51</v>
      </c>
      <c r="C948" s="10" t="s">
        <v>54</v>
      </c>
      <c r="D948" s="11">
        <v>52.949274594938046</v>
      </c>
      <c r="E948" s="12">
        <f t="shared" si="14"/>
        <v>42386</v>
      </c>
    </row>
    <row r="949" spans="1:5" x14ac:dyDescent="0.25">
      <c r="A949" s="2">
        <f>IF(B949="","",SUBTOTAL(3,$B$2:B949))</f>
        <v>948</v>
      </c>
      <c r="B949" s="9" t="s">
        <v>51</v>
      </c>
      <c r="C949" s="10" t="s">
        <v>52</v>
      </c>
      <c r="D949" s="11">
        <v>52.949274594938046</v>
      </c>
      <c r="E949" s="12">
        <f t="shared" si="14"/>
        <v>42387</v>
      </c>
    </row>
    <row r="950" spans="1:5" x14ac:dyDescent="0.25">
      <c r="A950" s="2">
        <f>IF(B950="","",SUBTOTAL(3,$B$2:B950))</f>
        <v>949</v>
      </c>
      <c r="B950" s="9" t="s">
        <v>51</v>
      </c>
      <c r="C950" s="10" t="s">
        <v>49</v>
      </c>
      <c r="D950" s="11">
        <v>52.949274594938046</v>
      </c>
      <c r="E950" s="12">
        <f t="shared" si="14"/>
        <v>42388</v>
      </c>
    </row>
    <row r="951" spans="1:5" x14ac:dyDescent="0.25">
      <c r="A951" s="2">
        <f>IF(B951="","",SUBTOTAL(3,$B$2:B951))</f>
        <v>950</v>
      </c>
      <c r="B951" s="9" t="s">
        <v>51</v>
      </c>
      <c r="C951" s="10" t="s">
        <v>52</v>
      </c>
      <c r="D951" s="11">
        <v>52.949274594938046</v>
      </c>
      <c r="E951" s="12">
        <f t="shared" si="14"/>
        <v>42389</v>
      </c>
    </row>
    <row r="952" spans="1:5" x14ac:dyDescent="0.25">
      <c r="A952" s="2">
        <f>IF(B952="","",SUBTOTAL(3,$B$2:B952))</f>
        <v>951</v>
      </c>
      <c r="B952" s="9" t="s">
        <v>48</v>
      </c>
      <c r="C952" s="10" t="s">
        <v>49</v>
      </c>
      <c r="D952" s="11">
        <v>115.37522644636594</v>
      </c>
      <c r="E952" s="12">
        <f t="shared" si="14"/>
        <v>42390</v>
      </c>
    </row>
    <row r="953" spans="1:5" x14ac:dyDescent="0.25">
      <c r="A953" s="2">
        <f>IF(B953="","",SUBTOTAL(3,$B$2:B953))</f>
        <v>952</v>
      </c>
      <c r="B953" s="9" t="s">
        <v>51</v>
      </c>
      <c r="C953" s="10" t="s">
        <v>54</v>
      </c>
      <c r="D953" s="11">
        <v>52.949274594938046</v>
      </c>
      <c r="E953" s="12">
        <f t="shared" si="14"/>
        <v>42391</v>
      </c>
    </row>
    <row r="954" spans="1:5" x14ac:dyDescent="0.25">
      <c r="A954" s="2">
        <f>IF(B954="","",SUBTOTAL(3,$B$2:B954))</f>
        <v>953</v>
      </c>
      <c r="B954" s="9" t="s">
        <v>51</v>
      </c>
      <c r="C954" s="10" t="s">
        <v>52</v>
      </c>
      <c r="D954" s="11">
        <v>52.949274594938046</v>
      </c>
      <c r="E954" s="12">
        <f t="shared" si="14"/>
        <v>42392</v>
      </c>
    </row>
    <row r="955" spans="1:5" x14ac:dyDescent="0.25">
      <c r="A955" s="2">
        <f>IF(B955="","",SUBTOTAL(3,$B$2:B955))</f>
        <v>954</v>
      </c>
      <c r="B955" s="9" t="s">
        <v>51</v>
      </c>
      <c r="C955" s="10" t="s">
        <v>49</v>
      </c>
      <c r="D955" s="11">
        <v>52.949274594938046</v>
      </c>
      <c r="E955" s="12">
        <f t="shared" si="14"/>
        <v>42393</v>
      </c>
    </row>
    <row r="956" spans="1:5" x14ac:dyDescent="0.25">
      <c r="A956" s="2">
        <f>IF(B956="","",SUBTOTAL(3,$B$2:B956))</f>
        <v>955</v>
      </c>
      <c r="B956" s="9" t="s">
        <v>51</v>
      </c>
      <c r="C956" s="10" t="s">
        <v>52</v>
      </c>
      <c r="D956" s="11">
        <v>52.949274594938046</v>
      </c>
      <c r="E956" s="12">
        <f t="shared" si="14"/>
        <v>42394</v>
      </c>
    </row>
    <row r="957" spans="1:5" x14ac:dyDescent="0.25">
      <c r="A957" s="2">
        <f>IF(B957="","",SUBTOTAL(3,$B$2:B957))</f>
        <v>956</v>
      </c>
      <c r="B957" s="9" t="s">
        <v>48</v>
      </c>
      <c r="C957" s="10" t="s">
        <v>49</v>
      </c>
      <c r="D957" s="11">
        <v>154.03573629081947</v>
      </c>
      <c r="E957" s="12">
        <f t="shared" si="14"/>
        <v>42395</v>
      </c>
    </row>
    <row r="958" spans="1:5" x14ac:dyDescent="0.25">
      <c r="A958" s="2">
        <f>IF(B958="","",SUBTOTAL(3,$B$2:B958))</f>
        <v>957</v>
      </c>
      <c r="B958" s="9" t="s">
        <v>48</v>
      </c>
      <c r="C958" s="10" t="s">
        <v>52</v>
      </c>
      <c r="D958" s="11">
        <v>92.421441774491683</v>
      </c>
      <c r="E958" s="12">
        <f t="shared" si="14"/>
        <v>42396</v>
      </c>
    </row>
    <row r="959" spans="1:5" x14ac:dyDescent="0.25">
      <c r="A959" s="2">
        <f>IF(B959="","",SUBTOTAL(3,$B$2:B959))</f>
        <v>958</v>
      </c>
      <c r="B959" s="9" t="s">
        <v>48</v>
      </c>
      <c r="C959" s="10" t="s">
        <v>49</v>
      </c>
      <c r="D959" s="11">
        <v>26.186075169439309</v>
      </c>
      <c r="E959" s="12">
        <f t="shared" si="14"/>
        <v>42397</v>
      </c>
    </row>
    <row r="960" spans="1:5" x14ac:dyDescent="0.25">
      <c r="A960" s="2">
        <f>IF(B960="","",SUBTOTAL(3,$B$2:B960))</f>
        <v>959</v>
      </c>
      <c r="B960" s="9" t="s">
        <v>48</v>
      </c>
      <c r="C960" s="10" t="s">
        <v>49</v>
      </c>
      <c r="D960" s="11">
        <v>103.41261633919338</v>
      </c>
      <c r="E960" s="12">
        <f t="shared" si="14"/>
        <v>42398</v>
      </c>
    </row>
    <row r="961" spans="1:5" x14ac:dyDescent="0.25">
      <c r="A961" s="2">
        <f>IF(B961="","",SUBTOTAL(3,$B$2:B961))</f>
        <v>960</v>
      </c>
      <c r="B961" s="9" t="s">
        <v>50</v>
      </c>
      <c r="C961" s="10" t="s">
        <v>52</v>
      </c>
      <c r="D961" s="11">
        <v>132.27513227513228</v>
      </c>
      <c r="E961" s="12">
        <f t="shared" si="14"/>
        <v>42399</v>
      </c>
    </row>
    <row r="962" spans="1:5" x14ac:dyDescent="0.25">
      <c r="A962" s="2">
        <f>IF(B962="","",SUBTOTAL(3,$B$2:B962))</f>
        <v>961</v>
      </c>
      <c r="B962" s="9" t="s">
        <v>50</v>
      </c>
      <c r="C962" s="10" t="s">
        <v>52</v>
      </c>
      <c r="D962" s="11">
        <v>110.22927689594357</v>
      </c>
      <c r="E962" s="12">
        <f t="shared" si="14"/>
        <v>42400</v>
      </c>
    </row>
    <row r="963" spans="1:5" x14ac:dyDescent="0.25">
      <c r="A963" s="2">
        <f>IF(B963="","",SUBTOTAL(3,$B$2:B963))</f>
        <v>962</v>
      </c>
      <c r="B963" s="9" t="s">
        <v>55</v>
      </c>
      <c r="C963" s="10" t="s">
        <v>52</v>
      </c>
      <c r="D963" s="11">
        <v>1148.527587632655</v>
      </c>
      <c r="E963" s="12">
        <f t="shared" si="14"/>
        <v>42401</v>
      </c>
    </row>
    <row r="964" spans="1:5" x14ac:dyDescent="0.25">
      <c r="A964" s="2">
        <f>IF(B964="","",SUBTOTAL(3,$B$2:B964))</f>
        <v>963</v>
      </c>
      <c r="B964" s="9" t="s">
        <v>48</v>
      </c>
      <c r="C964" s="10" t="s">
        <v>49</v>
      </c>
      <c r="D964" s="11">
        <v>38.54406228720466</v>
      </c>
      <c r="E964" s="12">
        <f t="shared" ref="E964:E1027" si="15">E963+1</f>
        <v>42402</v>
      </c>
    </row>
    <row r="965" spans="1:5" x14ac:dyDescent="0.25">
      <c r="A965" s="2">
        <f>IF(B965="","",SUBTOTAL(3,$B$2:B965))</f>
        <v>964</v>
      </c>
      <c r="B965" s="9" t="s">
        <v>50</v>
      </c>
      <c r="C965" s="10" t="s">
        <v>49</v>
      </c>
      <c r="D965" s="11">
        <v>330.68783068783068</v>
      </c>
      <c r="E965" s="12">
        <f t="shared" si="15"/>
        <v>42403</v>
      </c>
    </row>
    <row r="966" spans="1:5" x14ac:dyDescent="0.25">
      <c r="A966" s="2">
        <f>IF(B966="","",SUBTOTAL(3,$B$2:B966))</f>
        <v>965</v>
      </c>
      <c r="B966" s="9" t="s">
        <v>48</v>
      </c>
      <c r="C966" s="10" t="s">
        <v>49</v>
      </c>
      <c r="D966" s="11">
        <v>10.166287487073424</v>
      </c>
      <c r="E966" s="12">
        <f t="shared" si="15"/>
        <v>42404</v>
      </c>
    </row>
    <row r="967" spans="1:5" x14ac:dyDescent="0.25">
      <c r="A967" s="2">
        <f>IF(B967="","",SUBTOTAL(3,$B$2:B967))</f>
        <v>966</v>
      </c>
      <c r="B967" s="9" t="s">
        <v>48</v>
      </c>
      <c r="C967" s="10" t="s">
        <v>49</v>
      </c>
      <c r="D967" s="11">
        <v>14.523267838676318</v>
      </c>
      <c r="E967" s="12">
        <f t="shared" si="15"/>
        <v>42405</v>
      </c>
    </row>
    <row r="968" spans="1:5" x14ac:dyDescent="0.25">
      <c r="A968" s="2">
        <f>IF(B968="","",SUBTOTAL(3,$B$2:B968))</f>
        <v>967</v>
      </c>
      <c r="B968" s="9" t="s">
        <v>48</v>
      </c>
      <c r="C968" s="10" t="s">
        <v>49</v>
      </c>
      <c r="D968" s="11">
        <v>23.853843502240604</v>
      </c>
      <c r="E968" s="12">
        <f t="shared" si="15"/>
        <v>42406</v>
      </c>
    </row>
    <row r="969" spans="1:5" x14ac:dyDescent="0.25">
      <c r="A969" s="2">
        <f>IF(B969="","",SUBTOTAL(3,$B$2:B969))</f>
        <v>968</v>
      </c>
      <c r="B969" s="9" t="s">
        <v>48</v>
      </c>
      <c r="C969" s="10" t="s">
        <v>49</v>
      </c>
      <c r="D969" s="11">
        <v>10.181523612547396</v>
      </c>
      <c r="E969" s="12">
        <f t="shared" si="15"/>
        <v>42407</v>
      </c>
    </row>
    <row r="970" spans="1:5" x14ac:dyDescent="0.25">
      <c r="A970" s="2">
        <f>IF(B970="","",SUBTOTAL(3,$B$2:B970))</f>
        <v>969</v>
      </c>
      <c r="B970" s="9" t="s">
        <v>48</v>
      </c>
      <c r="C970" s="10" t="s">
        <v>49</v>
      </c>
      <c r="D970" s="11">
        <v>7.5520854877628398</v>
      </c>
      <c r="E970" s="12">
        <f t="shared" si="15"/>
        <v>42408</v>
      </c>
    </row>
    <row r="971" spans="1:5" x14ac:dyDescent="0.25">
      <c r="A971" s="2">
        <f>IF(B971="","",SUBTOTAL(3,$B$2:B971))</f>
        <v>970</v>
      </c>
      <c r="B971" s="9" t="s">
        <v>48</v>
      </c>
      <c r="C971" s="10" t="s">
        <v>54</v>
      </c>
      <c r="D971" s="11">
        <v>27.576697690451567</v>
      </c>
      <c r="E971" s="12">
        <f t="shared" si="15"/>
        <v>42409</v>
      </c>
    </row>
    <row r="972" spans="1:5" x14ac:dyDescent="0.25">
      <c r="A972" s="2">
        <f>IF(B972="","",SUBTOTAL(3,$B$2:B972))</f>
        <v>971</v>
      </c>
      <c r="B972" s="9" t="s">
        <v>50</v>
      </c>
      <c r="C972" s="10" t="s">
        <v>49</v>
      </c>
      <c r="D972" s="11">
        <v>35.273368606701936</v>
      </c>
      <c r="E972" s="12">
        <f t="shared" si="15"/>
        <v>42410</v>
      </c>
    </row>
    <row r="973" spans="1:5" x14ac:dyDescent="0.25">
      <c r="A973" s="2">
        <f>IF(B973="","",SUBTOTAL(3,$B$2:B973))</f>
        <v>972</v>
      </c>
      <c r="B973" s="9" t="s">
        <v>48</v>
      </c>
      <c r="C973" s="10" t="s">
        <v>49</v>
      </c>
      <c r="D973" s="11">
        <v>138.48329114899852</v>
      </c>
      <c r="E973" s="12">
        <f t="shared" si="15"/>
        <v>42411</v>
      </c>
    </row>
    <row r="974" spans="1:5" x14ac:dyDescent="0.25">
      <c r="A974" s="2">
        <f>IF(B974="","",SUBTOTAL(3,$B$2:B974))</f>
        <v>973</v>
      </c>
      <c r="B974" s="9" t="s">
        <v>50</v>
      </c>
      <c r="C974" s="10" t="s">
        <v>49</v>
      </c>
      <c r="D974" s="11">
        <v>66.137566137566139</v>
      </c>
      <c r="E974" s="12">
        <f t="shared" si="15"/>
        <v>42412</v>
      </c>
    </row>
    <row r="975" spans="1:5" x14ac:dyDescent="0.25">
      <c r="A975" s="2">
        <f>IF(B975="","",SUBTOTAL(3,$B$2:B975))</f>
        <v>974</v>
      </c>
      <c r="B975" s="9" t="s">
        <v>48</v>
      </c>
      <c r="C975" s="10" t="s">
        <v>49</v>
      </c>
      <c r="D975" s="11">
        <v>12.064805239572561</v>
      </c>
      <c r="E975" s="12">
        <f t="shared" si="15"/>
        <v>42413</v>
      </c>
    </row>
    <row r="976" spans="1:5" x14ac:dyDescent="0.25">
      <c r="A976" s="2">
        <f>IF(B976="","",SUBTOTAL(3,$B$2:B976))</f>
        <v>975</v>
      </c>
      <c r="B976" s="9" t="s">
        <v>50</v>
      </c>
      <c r="C976" s="10" t="s">
        <v>56</v>
      </c>
      <c r="D976" s="11">
        <v>6613.7566137566137</v>
      </c>
      <c r="E976" s="12">
        <f t="shared" si="15"/>
        <v>42414</v>
      </c>
    </row>
    <row r="977" spans="1:5" x14ac:dyDescent="0.25">
      <c r="A977" s="2">
        <f>IF(B977="","",SUBTOTAL(3,$B$2:B977))</f>
        <v>976</v>
      </c>
      <c r="B977" s="9" t="s">
        <v>48</v>
      </c>
      <c r="C977" s="10" t="s">
        <v>49</v>
      </c>
      <c r="D977" s="11">
        <v>92.421441774491683</v>
      </c>
      <c r="E977" s="12">
        <f t="shared" si="15"/>
        <v>42415</v>
      </c>
    </row>
    <row r="978" spans="1:5" x14ac:dyDescent="0.25">
      <c r="A978" s="2">
        <f>IF(B978="","",SUBTOTAL(3,$B$2:B978))</f>
        <v>977</v>
      </c>
      <c r="B978" s="9" t="s">
        <v>55</v>
      </c>
      <c r="C978" s="10" t="s">
        <v>54</v>
      </c>
      <c r="D978" s="11">
        <v>9</v>
      </c>
      <c r="E978" s="12">
        <f t="shared" si="15"/>
        <v>42416</v>
      </c>
    </row>
    <row r="979" spans="1:5" x14ac:dyDescent="0.25">
      <c r="A979" s="2">
        <f>IF(B979="","",SUBTOTAL(3,$B$2:B979))</f>
        <v>978</v>
      </c>
      <c r="B979" s="9" t="s">
        <v>55</v>
      </c>
      <c r="C979" s="10" t="s">
        <v>49</v>
      </c>
      <c r="D979" s="11">
        <v>40</v>
      </c>
      <c r="E979" s="12">
        <f t="shared" si="15"/>
        <v>42417</v>
      </c>
    </row>
    <row r="980" spans="1:5" x14ac:dyDescent="0.25">
      <c r="A980" s="2">
        <f>IF(B980="","",SUBTOTAL(3,$B$2:B980))</f>
        <v>979</v>
      </c>
      <c r="B980" s="9" t="s">
        <v>55</v>
      </c>
      <c r="C980" s="10" t="s">
        <v>49</v>
      </c>
      <c r="D980" s="11">
        <v>55</v>
      </c>
      <c r="E980" s="12">
        <f t="shared" si="15"/>
        <v>42418</v>
      </c>
    </row>
    <row r="981" spans="1:5" x14ac:dyDescent="0.25">
      <c r="A981" s="2">
        <f>IF(B981="","",SUBTOTAL(3,$B$2:B981))</f>
        <v>980</v>
      </c>
      <c r="B981" s="9" t="s">
        <v>48</v>
      </c>
      <c r="C981" s="10" t="s">
        <v>54</v>
      </c>
      <c r="D981" s="11">
        <v>172.35436056532231</v>
      </c>
      <c r="E981" s="12">
        <f t="shared" si="15"/>
        <v>42419</v>
      </c>
    </row>
    <row r="982" spans="1:5" x14ac:dyDescent="0.25">
      <c r="A982" s="2">
        <f>IF(B982="","",SUBTOTAL(3,$B$2:B982))</f>
        <v>981</v>
      </c>
      <c r="B982" s="9" t="s">
        <v>48</v>
      </c>
      <c r="C982" s="10" t="s">
        <v>54</v>
      </c>
      <c r="D982" s="11">
        <v>172.35436056532231</v>
      </c>
      <c r="E982" s="12">
        <f t="shared" si="15"/>
        <v>42420</v>
      </c>
    </row>
    <row r="983" spans="1:5" x14ac:dyDescent="0.25">
      <c r="A983" s="2">
        <f>IF(B983="","",SUBTOTAL(3,$B$2:B983))</f>
        <v>982</v>
      </c>
      <c r="B983" s="9" t="s">
        <v>51</v>
      </c>
      <c r="C983" s="10" t="s">
        <v>54</v>
      </c>
      <c r="D983" s="11">
        <v>95.308694270888495</v>
      </c>
      <c r="E983" s="12">
        <f t="shared" si="15"/>
        <v>42421</v>
      </c>
    </row>
    <row r="984" spans="1:5" x14ac:dyDescent="0.25">
      <c r="A984" s="2">
        <f>IF(B984="","",SUBTOTAL(3,$B$2:B984))</f>
        <v>983</v>
      </c>
      <c r="B984" s="9" t="s">
        <v>51</v>
      </c>
      <c r="C984" s="10" t="s">
        <v>49</v>
      </c>
      <c r="D984" s="11">
        <v>105.89854918987609</v>
      </c>
      <c r="E984" s="12">
        <f t="shared" si="15"/>
        <v>42422</v>
      </c>
    </row>
    <row r="985" spans="1:5" x14ac:dyDescent="0.25">
      <c r="A985" s="2">
        <f>IF(B985="","",SUBTOTAL(3,$B$2:B985))</f>
        <v>984</v>
      </c>
      <c r="B985" s="9" t="s">
        <v>51</v>
      </c>
      <c r="C985" s="10" t="s">
        <v>54</v>
      </c>
      <c r="D985" s="11">
        <v>52.949274594938046</v>
      </c>
      <c r="E985" s="12">
        <f t="shared" si="15"/>
        <v>42423</v>
      </c>
    </row>
    <row r="986" spans="1:5" x14ac:dyDescent="0.25">
      <c r="A986" s="2">
        <f>IF(B986="","",SUBTOTAL(3,$B$2:B986))</f>
        <v>985</v>
      </c>
      <c r="B986" s="9" t="s">
        <v>51</v>
      </c>
      <c r="C986" s="10" t="s">
        <v>52</v>
      </c>
      <c r="D986" s="11">
        <v>52.949274594938046</v>
      </c>
      <c r="E986" s="12">
        <f t="shared" si="15"/>
        <v>42424</v>
      </c>
    </row>
    <row r="987" spans="1:5" x14ac:dyDescent="0.25">
      <c r="A987" s="2">
        <f>IF(B987="","",SUBTOTAL(3,$B$2:B987))</f>
        <v>986</v>
      </c>
      <c r="B987" s="9" t="s">
        <v>51</v>
      </c>
      <c r="C987" s="10" t="s">
        <v>49</v>
      </c>
      <c r="D987" s="11">
        <v>52.949274594938046</v>
      </c>
      <c r="E987" s="12">
        <f t="shared" si="15"/>
        <v>42425</v>
      </c>
    </row>
    <row r="988" spans="1:5" x14ac:dyDescent="0.25">
      <c r="A988" s="2">
        <f>IF(B988="","",SUBTOTAL(3,$B$2:B988))</f>
        <v>987</v>
      </c>
      <c r="B988" s="9" t="s">
        <v>51</v>
      </c>
      <c r="C988" s="10" t="s">
        <v>52</v>
      </c>
      <c r="D988" s="11">
        <v>52.949274594938046</v>
      </c>
      <c r="E988" s="12">
        <f t="shared" si="15"/>
        <v>42426</v>
      </c>
    </row>
    <row r="989" spans="1:5" x14ac:dyDescent="0.25">
      <c r="A989" s="2">
        <f>IF(B989="","",SUBTOTAL(3,$B$2:B989))</f>
        <v>988</v>
      </c>
      <c r="B989" s="9" t="s">
        <v>50</v>
      </c>
      <c r="C989" s="10" t="s">
        <v>54</v>
      </c>
      <c r="D989" s="11">
        <v>6.6137566137566139</v>
      </c>
      <c r="E989" s="12">
        <f t="shared" si="15"/>
        <v>42427</v>
      </c>
    </row>
    <row r="990" spans="1:5" x14ac:dyDescent="0.25">
      <c r="A990" s="2">
        <f>IF(B990="","",SUBTOTAL(3,$B$2:B990))</f>
        <v>989</v>
      </c>
      <c r="B990" s="9" t="s">
        <v>48</v>
      </c>
      <c r="C990" s="10" t="s">
        <v>52</v>
      </c>
      <c r="D990" s="11">
        <v>2.5853154084798344</v>
      </c>
      <c r="E990" s="12">
        <f t="shared" si="15"/>
        <v>42428</v>
      </c>
    </row>
    <row r="991" spans="1:5" x14ac:dyDescent="0.25">
      <c r="A991" s="2">
        <f>IF(B991="","",SUBTOTAL(3,$B$2:B991))</f>
        <v>990</v>
      </c>
      <c r="B991" s="9" t="s">
        <v>50</v>
      </c>
      <c r="C991" s="10" t="s">
        <v>54</v>
      </c>
      <c r="D991" s="11">
        <v>6.6137566137566139</v>
      </c>
      <c r="E991" s="12">
        <f t="shared" si="15"/>
        <v>42429</v>
      </c>
    </row>
    <row r="992" spans="1:5" x14ac:dyDescent="0.25">
      <c r="A992" s="2">
        <f>IF(B992="","",SUBTOTAL(3,$B$2:B992))</f>
        <v>991</v>
      </c>
      <c r="B992" s="9" t="s">
        <v>50</v>
      </c>
      <c r="C992" s="10" t="s">
        <v>49</v>
      </c>
      <c r="D992" s="11">
        <v>132.27513227513228</v>
      </c>
      <c r="E992" s="12">
        <f t="shared" si="15"/>
        <v>42430</v>
      </c>
    </row>
    <row r="993" spans="1:5" x14ac:dyDescent="0.25">
      <c r="A993" s="2">
        <f>IF(B993="","",SUBTOTAL(3,$B$2:B993))</f>
        <v>992</v>
      </c>
      <c r="B993" s="9" t="s">
        <v>48</v>
      </c>
      <c r="C993" s="10" t="s">
        <v>49</v>
      </c>
      <c r="D993" s="11">
        <v>255.08445363667701</v>
      </c>
      <c r="E993" s="12">
        <f t="shared" si="15"/>
        <v>42431</v>
      </c>
    </row>
    <row r="994" spans="1:5" x14ac:dyDescent="0.25">
      <c r="A994" s="2">
        <f>IF(B994="","",SUBTOTAL(3,$B$2:B994))</f>
        <v>993</v>
      </c>
      <c r="B994" s="9" t="s">
        <v>48</v>
      </c>
      <c r="C994" s="10" t="s">
        <v>54</v>
      </c>
      <c r="D994" s="11">
        <v>34.470872113064452</v>
      </c>
      <c r="E994" s="12">
        <f t="shared" si="15"/>
        <v>42432</v>
      </c>
    </row>
    <row r="995" spans="1:5" x14ac:dyDescent="0.25">
      <c r="A995" s="2">
        <f>IF(B995="","",SUBTOTAL(3,$B$2:B995))</f>
        <v>994</v>
      </c>
      <c r="B995" s="9" t="s">
        <v>48</v>
      </c>
      <c r="C995" s="10" t="s">
        <v>49</v>
      </c>
      <c r="D995" s="11">
        <v>231.05360443622922</v>
      </c>
      <c r="E995" s="12">
        <f t="shared" si="15"/>
        <v>42433</v>
      </c>
    </row>
    <row r="996" spans="1:5" x14ac:dyDescent="0.25">
      <c r="A996" s="2">
        <f>IF(B996="","",SUBTOTAL(3,$B$2:B996))</f>
        <v>995</v>
      </c>
      <c r="B996" s="9" t="s">
        <v>48</v>
      </c>
      <c r="C996" s="10" t="s">
        <v>49</v>
      </c>
      <c r="D996" s="11">
        <v>277.26432532347508</v>
      </c>
      <c r="E996" s="12">
        <f t="shared" si="15"/>
        <v>42434</v>
      </c>
    </row>
    <row r="997" spans="1:5" x14ac:dyDescent="0.25">
      <c r="A997" s="2">
        <f>IF(B997="","",SUBTOTAL(3,$B$2:B997))</f>
        <v>996</v>
      </c>
      <c r="B997" s="9" t="s">
        <v>48</v>
      </c>
      <c r="C997" s="10" t="s">
        <v>49</v>
      </c>
      <c r="D997" s="11">
        <v>68.941744226128904</v>
      </c>
      <c r="E997" s="12">
        <f t="shared" si="15"/>
        <v>42435</v>
      </c>
    </row>
    <row r="998" spans="1:5" x14ac:dyDescent="0.25">
      <c r="A998" s="2">
        <f>IF(B998="","",SUBTOTAL(3,$B$2:B998))</f>
        <v>997</v>
      </c>
      <c r="B998" s="9" t="s">
        <v>48</v>
      </c>
      <c r="C998" s="10" t="s">
        <v>54</v>
      </c>
      <c r="D998" s="11">
        <v>172.35436056532231</v>
      </c>
      <c r="E998" s="12">
        <f t="shared" si="15"/>
        <v>42436</v>
      </c>
    </row>
    <row r="999" spans="1:5" x14ac:dyDescent="0.25">
      <c r="A999" s="2">
        <f>IF(B999="","",SUBTOTAL(3,$B$2:B999))</f>
        <v>998</v>
      </c>
      <c r="B999" s="9" t="s">
        <v>48</v>
      </c>
      <c r="C999" s="10" t="s">
        <v>49</v>
      </c>
      <c r="D999" s="11">
        <v>27.576697690451567</v>
      </c>
      <c r="E999" s="12">
        <f t="shared" si="15"/>
        <v>42437</v>
      </c>
    </row>
    <row r="1000" spans="1:5" x14ac:dyDescent="0.25">
      <c r="A1000" s="2">
        <f>IF(B1000="","",SUBTOTAL(3,$B$2:B1000))</f>
        <v>999</v>
      </c>
      <c r="B1000" s="9" t="s">
        <v>48</v>
      </c>
      <c r="C1000" s="10" t="s">
        <v>49</v>
      </c>
      <c r="D1000" s="11">
        <v>29.046570148224749</v>
      </c>
      <c r="E1000" s="12">
        <f t="shared" si="15"/>
        <v>42438</v>
      </c>
    </row>
    <row r="1001" spans="1:5" x14ac:dyDescent="0.25">
      <c r="A1001" s="2">
        <f>IF(B1001="","",SUBTOTAL(3,$B$2:B1001))</f>
        <v>1000</v>
      </c>
      <c r="B1001" s="9" t="s">
        <v>48</v>
      </c>
      <c r="C1001" s="10" t="s">
        <v>49</v>
      </c>
      <c r="D1001" s="11">
        <v>12.586832126852808</v>
      </c>
      <c r="E1001" s="12">
        <f t="shared" si="15"/>
        <v>42439</v>
      </c>
    </row>
    <row r="1002" spans="1:5" x14ac:dyDescent="0.25">
      <c r="A1002" s="2">
        <f>IF(B1002="","",SUBTOTAL(3,$B$2:B1002))</f>
        <v>1001</v>
      </c>
      <c r="B1002" s="9" t="s">
        <v>48</v>
      </c>
      <c r="C1002" s="10" t="s">
        <v>49</v>
      </c>
      <c r="D1002" s="11">
        <v>12.586832126852808</v>
      </c>
      <c r="E1002" s="12">
        <f t="shared" si="15"/>
        <v>42440</v>
      </c>
    </row>
    <row r="1003" spans="1:5" x14ac:dyDescent="0.25">
      <c r="A1003" s="2">
        <f>IF(B1003="","",SUBTOTAL(3,$B$2:B1003))</f>
        <v>1002</v>
      </c>
      <c r="B1003" s="9" t="s">
        <v>50</v>
      </c>
      <c r="C1003" s="10" t="s">
        <v>52</v>
      </c>
      <c r="D1003" s="11">
        <v>99.206349206349202</v>
      </c>
      <c r="E1003" s="12">
        <f t="shared" si="15"/>
        <v>42441</v>
      </c>
    </row>
    <row r="1004" spans="1:5" x14ac:dyDescent="0.25">
      <c r="A1004" s="2">
        <f>IF(B1004="","",SUBTOTAL(3,$B$2:B1004))</f>
        <v>1003</v>
      </c>
      <c r="B1004" s="9" t="s">
        <v>50</v>
      </c>
      <c r="C1004" s="10" t="s">
        <v>52</v>
      </c>
      <c r="D1004" s="11">
        <v>66.137566137566139</v>
      </c>
      <c r="E1004" s="12">
        <f t="shared" si="15"/>
        <v>42442</v>
      </c>
    </row>
    <row r="1005" spans="1:5" x14ac:dyDescent="0.25">
      <c r="A1005" s="2">
        <f>IF(B1005="","",SUBTOTAL(3,$B$2:B1005))</f>
        <v>1004</v>
      </c>
      <c r="B1005" s="9" t="s">
        <v>50</v>
      </c>
      <c r="C1005" s="10" t="s">
        <v>49</v>
      </c>
      <c r="D1005" s="11">
        <v>97.934303350970012</v>
      </c>
      <c r="E1005" s="12">
        <f t="shared" si="15"/>
        <v>42443</v>
      </c>
    </row>
    <row r="1006" spans="1:5" x14ac:dyDescent="0.25">
      <c r="A1006" s="2">
        <f>IF(B1006="","",SUBTOTAL(3,$B$2:B1006))</f>
        <v>1005</v>
      </c>
      <c r="B1006" s="9" t="s">
        <v>51</v>
      </c>
      <c r="C1006" s="10" t="s">
        <v>49</v>
      </c>
      <c r="D1006" s="11">
        <v>52.949274594938046</v>
      </c>
      <c r="E1006" s="12">
        <f t="shared" si="15"/>
        <v>42444</v>
      </c>
    </row>
    <row r="1007" spans="1:5" x14ac:dyDescent="0.25">
      <c r="A1007" s="2">
        <f>IF(B1007="","",SUBTOTAL(3,$B$2:B1007))</f>
        <v>1006</v>
      </c>
      <c r="B1007" s="9" t="s">
        <v>51</v>
      </c>
      <c r="C1007" s="10" t="s">
        <v>49</v>
      </c>
      <c r="D1007" s="11">
        <v>105.89854918987609</v>
      </c>
      <c r="E1007" s="12">
        <f t="shared" si="15"/>
        <v>42445</v>
      </c>
    </row>
    <row r="1008" spans="1:5" x14ac:dyDescent="0.25">
      <c r="A1008" s="2">
        <f>IF(B1008="","",SUBTOTAL(3,$B$2:B1008))</f>
        <v>1007</v>
      </c>
      <c r="B1008" s="9" t="s">
        <v>51</v>
      </c>
      <c r="C1008" s="10" t="s">
        <v>54</v>
      </c>
      <c r="D1008" s="11">
        <v>16.943767870380174</v>
      </c>
      <c r="E1008" s="12">
        <f t="shared" si="15"/>
        <v>42446</v>
      </c>
    </row>
    <row r="1009" spans="1:5" x14ac:dyDescent="0.25">
      <c r="A1009" s="2">
        <f>IF(B1009="","",SUBTOTAL(3,$B$2:B1009))</f>
        <v>1008</v>
      </c>
      <c r="B1009" s="9" t="s">
        <v>48</v>
      </c>
      <c r="C1009" s="10" t="s">
        <v>49</v>
      </c>
      <c r="D1009" s="11">
        <v>38.54406228720466</v>
      </c>
      <c r="E1009" s="12">
        <f t="shared" si="15"/>
        <v>42447</v>
      </c>
    </row>
    <row r="1010" spans="1:5" x14ac:dyDescent="0.25">
      <c r="A1010" s="2">
        <f>IF(B1010="","",SUBTOTAL(3,$B$2:B1010))</f>
        <v>1009</v>
      </c>
      <c r="B1010" s="9" t="s">
        <v>48</v>
      </c>
      <c r="C1010" s="10" t="s">
        <v>49</v>
      </c>
      <c r="D1010" s="11">
        <v>46.111289555843925</v>
      </c>
      <c r="E1010" s="12">
        <f t="shared" si="15"/>
        <v>42448</v>
      </c>
    </row>
    <row r="1011" spans="1:5" x14ac:dyDescent="0.25">
      <c r="A1011" s="2">
        <f>IF(B1011="","",SUBTOTAL(3,$B$2:B1011))</f>
        <v>1010</v>
      </c>
      <c r="B1011" s="9" t="s">
        <v>51</v>
      </c>
      <c r="C1011" s="10" t="s">
        <v>54</v>
      </c>
      <c r="D1011" s="11">
        <v>317.69564756962825</v>
      </c>
      <c r="E1011" s="12">
        <f t="shared" si="15"/>
        <v>42449</v>
      </c>
    </row>
    <row r="1012" spans="1:5" x14ac:dyDescent="0.25">
      <c r="A1012" s="2">
        <f>IF(B1012="","",SUBTOTAL(3,$B$2:B1012))</f>
        <v>1011</v>
      </c>
      <c r="B1012" s="9" t="s">
        <v>48</v>
      </c>
      <c r="C1012" s="10" t="s">
        <v>49</v>
      </c>
      <c r="D1012" s="11">
        <v>61.614294516327789</v>
      </c>
      <c r="E1012" s="12">
        <f t="shared" si="15"/>
        <v>42450</v>
      </c>
    </row>
    <row r="1013" spans="1:5" x14ac:dyDescent="0.25">
      <c r="A1013" s="2">
        <f>IF(B1013="","",SUBTOTAL(3,$B$2:B1013))</f>
        <v>1012</v>
      </c>
      <c r="B1013" s="9" t="s">
        <v>48</v>
      </c>
      <c r="C1013" s="10" t="s">
        <v>49</v>
      </c>
      <c r="D1013" s="11">
        <v>27.576697690451567</v>
      </c>
      <c r="E1013" s="12">
        <f t="shared" si="15"/>
        <v>42451</v>
      </c>
    </row>
    <row r="1014" spans="1:5" x14ac:dyDescent="0.25">
      <c r="A1014" s="2">
        <f>IF(B1014="","",SUBTOTAL(3,$B$2:B1014))</f>
        <v>1013</v>
      </c>
      <c r="B1014" s="9" t="s">
        <v>55</v>
      </c>
      <c r="C1014" s="10" t="s">
        <v>49</v>
      </c>
      <c r="D1014" s="11">
        <v>987.12135669959264</v>
      </c>
      <c r="E1014" s="12">
        <f t="shared" si="15"/>
        <v>42452</v>
      </c>
    </row>
    <row r="1015" spans="1:5" x14ac:dyDescent="0.25">
      <c r="A1015" s="2">
        <f>IF(B1015="","",SUBTOTAL(3,$B$2:B1015))</f>
        <v>1014</v>
      </c>
      <c r="B1015" s="9" t="s">
        <v>50</v>
      </c>
      <c r="C1015" s="10" t="s">
        <v>52</v>
      </c>
      <c r="D1015" s="11">
        <v>132.27513227513228</v>
      </c>
      <c r="E1015" s="12">
        <f t="shared" si="15"/>
        <v>42453</v>
      </c>
    </row>
    <row r="1016" spans="1:5" x14ac:dyDescent="0.25">
      <c r="A1016" s="2">
        <f>IF(B1016="","",SUBTOTAL(3,$B$2:B1016))</f>
        <v>1015</v>
      </c>
      <c r="B1016" s="9" t="s">
        <v>50</v>
      </c>
      <c r="C1016" s="10" t="s">
        <v>52</v>
      </c>
      <c r="D1016" s="11">
        <v>66.137566137566139</v>
      </c>
      <c r="E1016" s="12">
        <f t="shared" si="15"/>
        <v>42454</v>
      </c>
    </row>
    <row r="1017" spans="1:5" x14ac:dyDescent="0.25">
      <c r="A1017" s="2">
        <f>IF(B1017="","",SUBTOTAL(3,$B$2:B1017))</f>
        <v>1016</v>
      </c>
      <c r="B1017" s="9" t="s">
        <v>50</v>
      </c>
      <c r="C1017" s="10" t="s">
        <v>49</v>
      </c>
      <c r="D1017" s="11">
        <v>23.886155202821868</v>
      </c>
      <c r="E1017" s="12">
        <f t="shared" si="15"/>
        <v>42455</v>
      </c>
    </row>
    <row r="1018" spans="1:5" x14ac:dyDescent="0.25">
      <c r="A1018" s="2">
        <f>IF(B1018="","",SUBTOTAL(3,$B$2:B1018))</f>
        <v>1017</v>
      </c>
      <c r="B1018" s="9" t="s">
        <v>48</v>
      </c>
      <c r="C1018" s="10" t="s">
        <v>49</v>
      </c>
      <c r="D1018" s="11">
        <v>73.777960505184183</v>
      </c>
      <c r="E1018" s="12">
        <f t="shared" si="15"/>
        <v>42456</v>
      </c>
    </row>
    <row r="1019" spans="1:5" x14ac:dyDescent="0.25">
      <c r="A1019" s="2">
        <f>IF(B1019="","",SUBTOTAL(3,$B$2:B1019))</f>
        <v>1018</v>
      </c>
      <c r="B1019" s="9" t="s">
        <v>55</v>
      </c>
      <c r="C1019" s="10" t="s">
        <v>49</v>
      </c>
      <c r="D1019" s="11">
        <v>308.17292231359397</v>
      </c>
      <c r="E1019" s="12">
        <f t="shared" si="15"/>
        <v>42457</v>
      </c>
    </row>
    <row r="1020" spans="1:5" x14ac:dyDescent="0.25">
      <c r="A1020" s="2">
        <f>IF(B1020="","",SUBTOTAL(3,$B$2:B1020))</f>
        <v>1019</v>
      </c>
      <c r="B1020" s="9" t="s">
        <v>48</v>
      </c>
      <c r="C1020" s="10" t="s">
        <v>52</v>
      </c>
      <c r="D1020" s="11">
        <v>103.41261633919338</v>
      </c>
      <c r="E1020" s="12">
        <f t="shared" si="15"/>
        <v>42458</v>
      </c>
    </row>
    <row r="1021" spans="1:5" x14ac:dyDescent="0.25">
      <c r="A1021" s="2">
        <f>IF(B1021="","",SUBTOTAL(3,$B$2:B1021))</f>
        <v>1020</v>
      </c>
      <c r="B1021" s="9" t="s">
        <v>51</v>
      </c>
      <c r="C1021" s="10" t="s">
        <v>49</v>
      </c>
      <c r="D1021" s="11">
        <v>52.949274594938046</v>
      </c>
      <c r="E1021" s="12">
        <f t="shared" si="15"/>
        <v>42459</v>
      </c>
    </row>
    <row r="1022" spans="1:5" x14ac:dyDescent="0.25">
      <c r="A1022" s="2">
        <f>IF(B1022="","",SUBTOTAL(3,$B$2:B1022))</f>
        <v>1021</v>
      </c>
      <c r="B1022" s="9" t="s">
        <v>48</v>
      </c>
      <c r="C1022" s="10" t="s">
        <v>49</v>
      </c>
      <c r="D1022" s="11">
        <v>261.86075169439312</v>
      </c>
      <c r="E1022" s="12">
        <f t="shared" si="15"/>
        <v>42460</v>
      </c>
    </row>
    <row r="1023" spans="1:5" x14ac:dyDescent="0.25">
      <c r="A1023" s="2">
        <f>IF(B1023="","",SUBTOTAL(3,$B$2:B1023))</f>
        <v>1022</v>
      </c>
      <c r="B1023" s="9" t="s">
        <v>48</v>
      </c>
      <c r="C1023" s="10" t="s">
        <v>52</v>
      </c>
      <c r="D1023" s="11">
        <v>77.017868145409736</v>
      </c>
      <c r="E1023" s="12">
        <f t="shared" si="15"/>
        <v>42461</v>
      </c>
    </row>
    <row r="1024" spans="1:5" x14ac:dyDescent="0.25">
      <c r="A1024" s="2">
        <f>IF(B1024="","",SUBTOTAL(3,$B$2:B1024))</f>
        <v>1023</v>
      </c>
      <c r="B1024" s="9" t="s">
        <v>48</v>
      </c>
      <c r="C1024" s="10" t="s">
        <v>49</v>
      </c>
      <c r="D1024" s="11">
        <v>15.403573629081947</v>
      </c>
      <c r="E1024" s="12">
        <f t="shared" si="15"/>
        <v>42462</v>
      </c>
    </row>
    <row r="1025" spans="1:5" x14ac:dyDescent="0.25">
      <c r="A1025" s="2">
        <f>IF(B1025="","",SUBTOTAL(3,$B$2:B1025))</f>
        <v>1024</v>
      </c>
      <c r="B1025" s="9" t="s">
        <v>53</v>
      </c>
      <c r="C1025" s="10" t="s">
        <v>49</v>
      </c>
      <c r="D1025" s="11">
        <v>45.792997334847563</v>
      </c>
      <c r="E1025" s="12">
        <f t="shared" si="15"/>
        <v>42463</v>
      </c>
    </row>
    <row r="1026" spans="1:5" x14ac:dyDescent="0.25">
      <c r="A1026" s="2">
        <f>IF(B1026="","",SUBTOTAL(3,$B$2:B1026))</f>
        <v>1025</v>
      </c>
      <c r="B1026" s="9" t="s">
        <v>53</v>
      </c>
      <c r="C1026" s="10" t="s">
        <v>49</v>
      </c>
      <c r="D1026" s="11">
        <v>91.585994669695125</v>
      </c>
      <c r="E1026" s="12">
        <f t="shared" si="15"/>
        <v>42464</v>
      </c>
    </row>
    <row r="1027" spans="1:5" x14ac:dyDescent="0.25">
      <c r="A1027" s="2">
        <f>IF(B1027="","",SUBTOTAL(3,$B$2:B1027))</f>
        <v>1026</v>
      </c>
      <c r="B1027" s="9" t="s">
        <v>53</v>
      </c>
      <c r="C1027" s="10" t="s">
        <v>49</v>
      </c>
      <c r="D1027" s="11">
        <v>36.63439786787805</v>
      </c>
      <c r="E1027" s="12">
        <f t="shared" si="15"/>
        <v>42465</v>
      </c>
    </row>
    <row r="1028" spans="1:5" x14ac:dyDescent="0.25">
      <c r="A1028" s="2">
        <f>IF(B1028="","",SUBTOTAL(3,$B$2:B1028))</f>
        <v>1027</v>
      </c>
      <c r="B1028" s="9" t="s">
        <v>48</v>
      </c>
      <c r="C1028" s="10" t="s">
        <v>49</v>
      </c>
      <c r="D1028" s="11">
        <v>3.0807147258163896</v>
      </c>
      <c r="E1028" s="12">
        <f t="shared" ref="E1028:E1091" si="16">E1027+1</f>
        <v>42466</v>
      </c>
    </row>
    <row r="1029" spans="1:5" x14ac:dyDescent="0.25">
      <c r="A1029" s="2">
        <f>IF(B1029="","",SUBTOTAL(3,$B$2:B1029))</f>
        <v>1028</v>
      </c>
      <c r="B1029" s="9" t="s">
        <v>48</v>
      </c>
      <c r="C1029" s="10" t="s">
        <v>49</v>
      </c>
      <c r="D1029" s="11">
        <v>77.017868145409736</v>
      </c>
      <c r="E1029" s="12">
        <f t="shared" si="16"/>
        <v>42467</v>
      </c>
    </row>
    <row r="1030" spans="1:5" x14ac:dyDescent="0.25">
      <c r="A1030" s="2">
        <f>IF(B1030="","",SUBTOTAL(3,$B$2:B1030))</f>
        <v>1029</v>
      </c>
      <c r="B1030" s="9" t="s">
        <v>48</v>
      </c>
      <c r="C1030" s="10" t="s">
        <v>49</v>
      </c>
      <c r="D1030" s="11">
        <v>77.017868145409736</v>
      </c>
      <c r="E1030" s="12">
        <f t="shared" si="16"/>
        <v>42468</v>
      </c>
    </row>
    <row r="1031" spans="1:5" x14ac:dyDescent="0.25">
      <c r="A1031" s="2">
        <f>IF(B1031="","",SUBTOTAL(3,$B$2:B1031))</f>
        <v>1030</v>
      </c>
      <c r="B1031" s="9" t="s">
        <v>48</v>
      </c>
      <c r="C1031" s="10" t="s">
        <v>54</v>
      </c>
      <c r="D1031" s="11">
        <v>77.017868145409736</v>
      </c>
      <c r="E1031" s="12">
        <f t="shared" si="16"/>
        <v>42469</v>
      </c>
    </row>
    <row r="1032" spans="1:5" x14ac:dyDescent="0.25">
      <c r="A1032" s="2">
        <f>IF(B1032="","",SUBTOTAL(3,$B$2:B1032))</f>
        <v>1031</v>
      </c>
      <c r="B1032" s="9" t="s">
        <v>48</v>
      </c>
      <c r="C1032" s="10" t="s">
        <v>52</v>
      </c>
      <c r="D1032" s="11">
        <v>154.03573629081947</v>
      </c>
      <c r="E1032" s="12">
        <f t="shared" si="16"/>
        <v>42470</v>
      </c>
    </row>
    <row r="1033" spans="1:5" x14ac:dyDescent="0.25">
      <c r="A1033" s="2">
        <f>IF(B1033="","",SUBTOTAL(3,$B$2:B1033))</f>
        <v>1032</v>
      </c>
      <c r="B1033" s="9" t="s">
        <v>48</v>
      </c>
      <c r="C1033" s="10" t="s">
        <v>52</v>
      </c>
      <c r="D1033" s="11">
        <v>3.0807147258163896</v>
      </c>
      <c r="E1033" s="12">
        <f t="shared" si="16"/>
        <v>42471</v>
      </c>
    </row>
    <row r="1034" spans="1:5" x14ac:dyDescent="0.25">
      <c r="A1034" s="2">
        <f>IF(B1034="","",SUBTOTAL(3,$B$2:B1034))</f>
        <v>1033</v>
      </c>
      <c r="B1034" s="9" t="s">
        <v>48</v>
      </c>
      <c r="C1034" s="10" t="s">
        <v>52</v>
      </c>
      <c r="D1034" s="11">
        <v>462.10720887245844</v>
      </c>
      <c r="E1034" s="12">
        <f t="shared" si="16"/>
        <v>42472</v>
      </c>
    </row>
    <row r="1035" spans="1:5" x14ac:dyDescent="0.25">
      <c r="A1035" s="2">
        <f>IF(B1035="","",SUBTOTAL(3,$B$2:B1035))</f>
        <v>1034</v>
      </c>
      <c r="B1035" s="9" t="s">
        <v>48</v>
      </c>
      <c r="C1035" s="10" t="s">
        <v>49</v>
      </c>
      <c r="D1035" s="11">
        <v>15.403573629081947</v>
      </c>
      <c r="E1035" s="12">
        <f t="shared" si="16"/>
        <v>42473</v>
      </c>
    </row>
    <row r="1036" spans="1:5" x14ac:dyDescent="0.25">
      <c r="A1036" s="2">
        <f>IF(B1036="","",SUBTOTAL(3,$B$2:B1036))</f>
        <v>1035</v>
      </c>
      <c r="B1036" s="9" t="s">
        <v>53</v>
      </c>
      <c r="C1036" s="10" t="s">
        <v>54</v>
      </c>
      <c r="D1036" s="11">
        <v>10.074459413666464</v>
      </c>
      <c r="E1036" s="12">
        <f t="shared" si="16"/>
        <v>42474</v>
      </c>
    </row>
    <row r="1037" spans="1:5" x14ac:dyDescent="0.25">
      <c r="A1037" s="2">
        <f>IF(B1037="","",SUBTOTAL(3,$B$2:B1037))</f>
        <v>1036</v>
      </c>
      <c r="B1037" s="9" t="s">
        <v>53</v>
      </c>
      <c r="C1037" s="10" t="s">
        <v>49</v>
      </c>
      <c r="D1037" s="11">
        <v>59.485103537966978</v>
      </c>
      <c r="E1037" s="12">
        <f t="shared" si="16"/>
        <v>42475</v>
      </c>
    </row>
    <row r="1038" spans="1:5" x14ac:dyDescent="0.25">
      <c r="A1038" s="2">
        <f>IF(B1038="","",SUBTOTAL(3,$B$2:B1038))</f>
        <v>1037</v>
      </c>
      <c r="B1038" s="9" t="s">
        <v>48</v>
      </c>
      <c r="C1038" s="10" t="s">
        <v>49</v>
      </c>
      <c r="D1038" s="11">
        <v>3.4470872113064459</v>
      </c>
      <c r="E1038" s="12">
        <f t="shared" si="16"/>
        <v>42476</v>
      </c>
    </row>
    <row r="1039" spans="1:5" x14ac:dyDescent="0.25">
      <c r="A1039" s="2">
        <f>IF(B1039="","",SUBTOTAL(3,$B$2:B1039))</f>
        <v>1038</v>
      </c>
      <c r="B1039" s="9" t="s">
        <v>48</v>
      </c>
      <c r="C1039" s="10" t="s">
        <v>49</v>
      </c>
      <c r="D1039" s="11">
        <v>34.470872113064452</v>
      </c>
      <c r="E1039" s="12">
        <f t="shared" si="16"/>
        <v>42477</v>
      </c>
    </row>
    <row r="1040" spans="1:5" x14ac:dyDescent="0.25">
      <c r="A1040" s="2">
        <f>IF(B1040="","",SUBTOTAL(3,$B$2:B1040))</f>
        <v>1039</v>
      </c>
      <c r="B1040" s="9" t="s">
        <v>53</v>
      </c>
      <c r="C1040" s="10" t="s">
        <v>49</v>
      </c>
      <c r="D1040" s="11">
        <v>91.585994669695125</v>
      </c>
      <c r="E1040" s="12">
        <f t="shared" si="16"/>
        <v>42478</v>
      </c>
    </row>
    <row r="1041" spans="1:5" x14ac:dyDescent="0.25">
      <c r="A1041" s="2">
        <f>IF(B1041="","",SUBTOTAL(3,$B$2:B1041))</f>
        <v>1040</v>
      </c>
      <c r="B1041" s="9" t="s">
        <v>48</v>
      </c>
      <c r="C1041" s="10" t="s">
        <v>49</v>
      </c>
      <c r="D1041" s="11">
        <v>41.365046535677351</v>
      </c>
      <c r="E1041" s="12">
        <f t="shared" si="16"/>
        <v>42479</v>
      </c>
    </row>
    <row r="1042" spans="1:5" x14ac:dyDescent="0.25">
      <c r="A1042" s="2">
        <f>IF(B1042="","",SUBTOTAL(3,$B$2:B1042))</f>
        <v>1041</v>
      </c>
      <c r="B1042" s="9" t="s">
        <v>48</v>
      </c>
      <c r="C1042" s="10" t="s">
        <v>49</v>
      </c>
      <c r="D1042" s="11">
        <v>126.47373319544984</v>
      </c>
      <c r="E1042" s="12">
        <f t="shared" si="16"/>
        <v>42480</v>
      </c>
    </row>
    <row r="1043" spans="1:5" x14ac:dyDescent="0.25">
      <c r="A1043" s="2">
        <f>IF(B1043="","",SUBTOTAL(3,$B$2:B1043))</f>
        <v>1042</v>
      </c>
      <c r="B1043" s="9" t="s">
        <v>48</v>
      </c>
      <c r="C1043" s="10" t="s">
        <v>49</v>
      </c>
      <c r="D1043" s="11">
        <v>79.283005860048263</v>
      </c>
      <c r="E1043" s="12">
        <f t="shared" si="16"/>
        <v>42481</v>
      </c>
    </row>
    <row r="1044" spans="1:5" x14ac:dyDescent="0.25">
      <c r="A1044" s="2">
        <f>IF(B1044="","",SUBTOTAL(3,$B$2:B1044))</f>
        <v>1043</v>
      </c>
      <c r="B1044" s="9" t="s">
        <v>50</v>
      </c>
      <c r="C1044" s="10" t="s">
        <v>52</v>
      </c>
      <c r="D1044" s="11">
        <v>55.114638447971785</v>
      </c>
      <c r="E1044" s="12">
        <f t="shared" si="16"/>
        <v>42482</v>
      </c>
    </row>
    <row r="1045" spans="1:5" x14ac:dyDescent="0.25">
      <c r="A1045" s="2">
        <f>IF(B1045="","",SUBTOTAL(3,$B$2:B1045))</f>
        <v>1044</v>
      </c>
      <c r="B1045" s="9" t="s">
        <v>50</v>
      </c>
      <c r="C1045" s="10" t="s">
        <v>49</v>
      </c>
      <c r="D1045" s="11">
        <v>110.22927689594357</v>
      </c>
      <c r="E1045" s="12">
        <f t="shared" si="16"/>
        <v>42483</v>
      </c>
    </row>
    <row r="1046" spans="1:5" x14ac:dyDescent="0.25">
      <c r="A1046" s="2">
        <f>IF(B1046="","",SUBTOTAL(3,$B$2:B1046))</f>
        <v>1045</v>
      </c>
      <c r="B1046" s="9" t="s">
        <v>50</v>
      </c>
      <c r="C1046" s="10" t="s">
        <v>52</v>
      </c>
      <c r="D1046" s="11">
        <v>132.27513227513228</v>
      </c>
      <c r="E1046" s="12">
        <f t="shared" si="16"/>
        <v>42484</v>
      </c>
    </row>
    <row r="1047" spans="1:5" x14ac:dyDescent="0.25">
      <c r="A1047" s="2">
        <f>IF(B1047="","",SUBTOTAL(3,$B$2:B1047))</f>
        <v>1046</v>
      </c>
      <c r="B1047" s="9" t="s">
        <v>50</v>
      </c>
      <c r="C1047" s="10" t="s">
        <v>49</v>
      </c>
      <c r="D1047" s="11">
        <v>22.045855379188712</v>
      </c>
      <c r="E1047" s="12">
        <f t="shared" si="16"/>
        <v>42485</v>
      </c>
    </row>
    <row r="1048" spans="1:5" x14ac:dyDescent="0.25">
      <c r="A1048" s="2">
        <f>IF(B1048="","",SUBTOTAL(3,$B$2:B1048))</f>
        <v>1047</v>
      </c>
      <c r="B1048" s="9" t="s">
        <v>50</v>
      </c>
      <c r="C1048" s="10" t="s">
        <v>49</v>
      </c>
      <c r="D1048" s="11">
        <v>154.32098765432099</v>
      </c>
      <c r="E1048" s="12">
        <f t="shared" si="16"/>
        <v>42486</v>
      </c>
    </row>
    <row r="1049" spans="1:5" x14ac:dyDescent="0.25">
      <c r="A1049" s="2">
        <f>IF(B1049="","",SUBTOTAL(3,$B$2:B1049))</f>
        <v>1048</v>
      </c>
      <c r="B1049" s="9" t="s">
        <v>55</v>
      </c>
      <c r="C1049" s="10" t="s">
        <v>49</v>
      </c>
      <c r="D1049" s="11">
        <v>61.56</v>
      </c>
      <c r="E1049" s="12">
        <f t="shared" si="16"/>
        <v>42487</v>
      </c>
    </row>
    <row r="1050" spans="1:5" x14ac:dyDescent="0.25">
      <c r="A1050" s="2">
        <f>IF(B1050="","",SUBTOTAL(3,$B$2:B1050))</f>
        <v>1049</v>
      </c>
      <c r="B1050" s="9" t="s">
        <v>51</v>
      </c>
      <c r="C1050" s="10" t="s">
        <v>54</v>
      </c>
      <c r="D1050" s="11">
        <v>105.89854918987609</v>
      </c>
      <c r="E1050" s="12">
        <f t="shared" si="16"/>
        <v>42488</v>
      </c>
    </row>
    <row r="1051" spans="1:5" x14ac:dyDescent="0.25">
      <c r="A1051" s="2">
        <f>IF(B1051="","",SUBTOTAL(3,$B$2:B1051))</f>
        <v>1050</v>
      </c>
      <c r="B1051" s="9" t="s">
        <v>55</v>
      </c>
      <c r="C1051" s="10" t="s">
        <v>49</v>
      </c>
      <c r="D1051" s="11">
        <v>61.56</v>
      </c>
      <c r="E1051" s="12">
        <f t="shared" si="16"/>
        <v>42489</v>
      </c>
    </row>
    <row r="1052" spans="1:5" x14ac:dyDescent="0.25">
      <c r="A1052" s="2">
        <f>IF(B1052="","",SUBTOTAL(3,$B$2:B1052))</f>
        <v>1051</v>
      </c>
      <c r="B1052" s="9" t="s">
        <v>50</v>
      </c>
      <c r="C1052" s="10" t="s">
        <v>54</v>
      </c>
      <c r="D1052" s="11">
        <v>22.045855379188712</v>
      </c>
      <c r="E1052" s="12">
        <f t="shared" si="16"/>
        <v>42490</v>
      </c>
    </row>
    <row r="1053" spans="1:5" x14ac:dyDescent="0.25">
      <c r="A1053" s="2">
        <f>IF(B1053="","",SUBTOTAL(3,$B$2:B1053))</f>
        <v>1052</v>
      </c>
      <c r="B1053" s="9" t="s">
        <v>55</v>
      </c>
      <c r="C1053" s="10" t="s">
        <v>49</v>
      </c>
      <c r="D1053" s="11">
        <v>60</v>
      </c>
      <c r="E1053" s="12">
        <f t="shared" si="16"/>
        <v>42491</v>
      </c>
    </row>
    <row r="1054" spans="1:5" x14ac:dyDescent="0.25">
      <c r="A1054" s="2">
        <f>IF(B1054="","",SUBTOTAL(3,$B$2:B1054))</f>
        <v>1053</v>
      </c>
      <c r="B1054" s="9" t="s">
        <v>51</v>
      </c>
      <c r="C1054" s="10" t="s">
        <v>49</v>
      </c>
      <c r="D1054" s="11">
        <v>370.64492216456637</v>
      </c>
      <c r="E1054" s="12">
        <f t="shared" si="16"/>
        <v>42492</v>
      </c>
    </row>
    <row r="1055" spans="1:5" x14ac:dyDescent="0.25">
      <c r="A1055" s="2">
        <f>IF(B1055="","",SUBTOTAL(3,$B$2:B1055))</f>
        <v>1054</v>
      </c>
      <c r="B1055" s="9" t="s">
        <v>55</v>
      </c>
      <c r="C1055" s="10" t="s">
        <v>49</v>
      </c>
      <c r="D1055" s="11">
        <v>61.56</v>
      </c>
      <c r="E1055" s="12">
        <f t="shared" si="16"/>
        <v>42493</v>
      </c>
    </row>
    <row r="1056" spans="1:5" x14ac:dyDescent="0.25">
      <c r="A1056" s="2">
        <f>IF(B1056="","",SUBTOTAL(3,$B$2:B1056))</f>
        <v>1055</v>
      </c>
      <c r="B1056" s="9" t="s">
        <v>48</v>
      </c>
      <c r="C1056" s="10" t="s">
        <v>49</v>
      </c>
      <c r="D1056" s="11">
        <v>34.470872113064452</v>
      </c>
      <c r="E1056" s="12">
        <f t="shared" si="16"/>
        <v>42494</v>
      </c>
    </row>
    <row r="1057" spans="1:5" x14ac:dyDescent="0.25">
      <c r="A1057" s="2">
        <f>IF(B1057="","",SUBTOTAL(3,$B$2:B1057))</f>
        <v>1056</v>
      </c>
      <c r="B1057" s="9" t="s">
        <v>50</v>
      </c>
      <c r="C1057" s="10" t="s">
        <v>52</v>
      </c>
      <c r="D1057" s="11">
        <v>34.722222222222229</v>
      </c>
      <c r="E1057" s="12">
        <f t="shared" si="16"/>
        <v>42495</v>
      </c>
    </row>
    <row r="1058" spans="1:5" x14ac:dyDescent="0.25">
      <c r="A1058" s="2">
        <f>IF(B1058="","",SUBTOTAL(3,$B$2:B1058))</f>
        <v>1057</v>
      </c>
      <c r="B1058" s="9" t="s">
        <v>55</v>
      </c>
      <c r="C1058" s="10" t="s">
        <v>49</v>
      </c>
      <c r="D1058" s="11">
        <v>987.12135669959264</v>
      </c>
      <c r="E1058" s="12">
        <f t="shared" si="16"/>
        <v>42496</v>
      </c>
    </row>
    <row r="1059" spans="1:5" x14ac:dyDescent="0.25">
      <c r="A1059" s="2">
        <f>IF(B1059="","",SUBTOTAL(3,$B$2:B1059))</f>
        <v>1058</v>
      </c>
      <c r="B1059" s="9" t="s">
        <v>50</v>
      </c>
      <c r="C1059" s="10" t="s">
        <v>52</v>
      </c>
      <c r="D1059" s="11">
        <v>132.27513227513228</v>
      </c>
      <c r="E1059" s="12">
        <f t="shared" si="16"/>
        <v>42497</v>
      </c>
    </row>
    <row r="1060" spans="1:5" x14ac:dyDescent="0.25">
      <c r="A1060" s="2">
        <f>IF(B1060="","",SUBTOTAL(3,$B$2:B1060))</f>
        <v>1059</v>
      </c>
      <c r="B1060" s="9" t="s">
        <v>50</v>
      </c>
      <c r="C1060" s="10" t="s">
        <v>52</v>
      </c>
      <c r="D1060" s="11">
        <v>88.183421516754848</v>
      </c>
      <c r="E1060" s="12">
        <f t="shared" si="16"/>
        <v>42498</v>
      </c>
    </row>
    <row r="1061" spans="1:5" x14ac:dyDescent="0.25">
      <c r="A1061" s="2">
        <f>IF(B1061="","",SUBTOTAL(3,$B$2:B1061))</f>
        <v>1060</v>
      </c>
      <c r="B1061" s="9" t="s">
        <v>50</v>
      </c>
      <c r="C1061" s="10" t="s">
        <v>49</v>
      </c>
      <c r="D1061" s="11">
        <v>110.22927689594357</v>
      </c>
      <c r="E1061" s="12">
        <f t="shared" si="16"/>
        <v>42499</v>
      </c>
    </row>
    <row r="1062" spans="1:5" x14ac:dyDescent="0.25">
      <c r="A1062" s="2">
        <f>IF(B1062="","",SUBTOTAL(3,$B$2:B1062))</f>
        <v>1061</v>
      </c>
      <c r="B1062" s="9" t="s">
        <v>48</v>
      </c>
      <c r="C1062" s="10" t="s">
        <v>49</v>
      </c>
      <c r="D1062" s="11">
        <v>11.030679076180625</v>
      </c>
      <c r="E1062" s="12">
        <f t="shared" si="16"/>
        <v>42500</v>
      </c>
    </row>
    <row r="1063" spans="1:5" x14ac:dyDescent="0.25">
      <c r="A1063" s="2">
        <f>IF(B1063="","",SUBTOTAL(3,$B$2:B1063))</f>
        <v>1062</v>
      </c>
      <c r="B1063" s="9" t="s">
        <v>48</v>
      </c>
      <c r="C1063" s="10" t="s">
        <v>49</v>
      </c>
      <c r="D1063" s="11">
        <v>38.54406228720466</v>
      </c>
      <c r="E1063" s="12">
        <f t="shared" si="16"/>
        <v>42501</v>
      </c>
    </row>
    <row r="1064" spans="1:5" x14ac:dyDescent="0.25">
      <c r="A1064" s="2">
        <f>IF(B1064="","",SUBTOTAL(3,$B$2:B1064))</f>
        <v>1063</v>
      </c>
      <c r="B1064" s="9" t="s">
        <v>48</v>
      </c>
      <c r="C1064" s="10" t="s">
        <v>52</v>
      </c>
      <c r="D1064" s="11">
        <v>308.07147258163894</v>
      </c>
      <c r="E1064" s="12">
        <f t="shared" si="16"/>
        <v>42502</v>
      </c>
    </row>
    <row r="1065" spans="1:5" x14ac:dyDescent="0.25">
      <c r="A1065" s="2">
        <f>IF(B1065="","",SUBTOTAL(3,$B$2:B1065))</f>
        <v>1064</v>
      </c>
      <c r="B1065" s="9" t="s">
        <v>48</v>
      </c>
      <c r="C1065" s="10" t="s">
        <v>54</v>
      </c>
      <c r="D1065" s="11">
        <v>308.07147258163894</v>
      </c>
      <c r="E1065" s="12">
        <f t="shared" si="16"/>
        <v>42503</v>
      </c>
    </row>
    <row r="1066" spans="1:5" x14ac:dyDescent="0.25">
      <c r="A1066" s="2">
        <f>IF(B1066="","",SUBTOTAL(3,$B$2:B1066))</f>
        <v>1065</v>
      </c>
      <c r="B1066" s="9" t="s">
        <v>48</v>
      </c>
      <c r="C1066" s="10" t="s">
        <v>49</v>
      </c>
      <c r="D1066" s="11">
        <v>46.210720887245841</v>
      </c>
      <c r="E1066" s="12">
        <f t="shared" si="16"/>
        <v>42504</v>
      </c>
    </row>
    <row r="1067" spans="1:5" x14ac:dyDescent="0.25">
      <c r="A1067" s="2">
        <f>IF(B1067="","",SUBTOTAL(3,$B$2:B1067))</f>
        <v>1066</v>
      </c>
      <c r="B1067" s="9" t="s">
        <v>50</v>
      </c>
      <c r="C1067" s="10" t="s">
        <v>52</v>
      </c>
      <c r="D1067" s="11">
        <v>66.137566137566139</v>
      </c>
      <c r="E1067" s="12">
        <f t="shared" si="16"/>
        <v>42505</v>
      </c>
    </row>
    <row r="1068" spans="1:5" x14ac:dyDescent="0.25">
      <c r="A1068" s="2">
        <f>IF(B1068="","",SUBTOTAL(3,$B$2:B1068))</f>
        <v>1067</v>
      </c>
      <c r="B1068" s="9" t="s">
        <v>48</v>
      </c>
      <c r="C1068" s="10" t="s">
        <v>49</v>
      </c>
      <c r="D1068" s="11">
        <v>61.614294516327789</v>
      </c>
      <c r="E1068" s="12">
        <f t="shared" si="16"/>
        <v>42506</v>
      </c>
    </row>
    <row r="1069" spans="1:5" x14ac:dyDescent="0.25">
      <c r="A1069" s="2">
        <f>IF(B1069="","",SUBTOTAL(3,$B$2:B1069))</f>
        <v>1068</v>
      </c>
      <c r="B1069" s="9" t="s">
        <v>51</v>
      </c>
      <c r="C1069" s="10" t="s">
        <v>49</v>
      </c>
      <c r="D1069" s="11">
        <v>529.49274594938049</v>
      </c>
      <c r="E1069" s="12">
        <f t="shared" si="16"/>
        <v>42507</v>
      </c>
    </row>
    <row r="1070" spans="1:5" x14ac:dyDescent="0.25">
      <c r="A1070" s="2">
        <f>IF(B1070="","",SUBTOTAL(3,$B$2:B1070))</f>
        <v>1069</v>
      </c>
      <c r="B1070" s="9" t="s">
        <v>51</v>
      </c>
      <c r="C1070" s="10" t="s">
        <v>49</v>
      </c>
      <c r="D1070" s="11">
        <v>158.84782378481412</v>
      </c>
      <c r="E1070" s="12">
        <f t="shared" si="16"/>
        <v>42508</v>
      </c>
    </row>
    <row r="1071" spans="1:5" x14ac:dyDescent="0.25">
      <c r="A1071" s="2">
        <f>IF(B1071="","",SUBTOTAL(3,$B$2:B1071))</f>
        <v>1070</v>
      </c>
      <c r="B1071" s="9" t="s">
        <v>50</v>
      </c>
      <c r="C1071" s="10" t="s">
        <v>57</v>
      </c>
      <c r="D1071" s="11">
        <v>132.27513227513228</v>
      </c>
      <c r="E1071" s="12">
        <f t="shared" si="16"/>
        <v>42509</v>
      </c>
    </row>
    <row r="1072" spans="1:5" x14ac:dyDescent="0.25">
      <c r="A1072" s="2">
        <f>IF(B1072="","",SUBTOTAL(3,$B$2:B1072))</f>
        <v>1071</v>
      </c>
      <c r="B1072" s="9" t="s">
        <v>51</v>
      </c>
      <c r="C1072" s="10" t="s">
        <v>57</v>
      </c>
      <c r="D1072" s="11">
        <v>52.949274594938046</v>
      </c>
      <c r="E1072" s="12">
        <f t="shared" si="16"/>
        <v>42510</v>
      </c>
    </row>
    <row r="1073" spans="1:5" x14ac:dyDescent="0.25">
      <c r="A1073" s="2">
        <f>IF(B1073="","",SUBTOTAL(3,$B$2:B1073))</f>
        <v>1072</v>
      </c>
      <c r="B1073" s="9" t="s">
        <v>51</v>
      </c>
      <c r="C1073" s="10" t="s">
        <v>49</v>
      </c>
      <c r="D1073" s="11">
        <v>79.423911892407062</v>
      </c>
      <c r="E1073" s="12">
        <f t="shared" si="16"/>
        <v>42511</v>
      </c>
    </row>
    <row r="1074" spans="1:5" x14ac:dyDescent="0.25">
      <c r="A1074" s="2">
        <f>IF(B1074="","",SUBTOTAL(3,$B$2:B1074))</f>
        <v>1073</v>
      </c>
      <c r="B1074" s="9" t="s">
        <v>48</v>
      </c>
      <c r="C1074" s="10" t="s">
        <v>49</v>
      </c>
      <c r="D1074" s="11">
        <v>62.047569803516026</v>
      </c>
      <c r="E1074" s="12">
        <f t="shared" si="16"/>
        <v>42512</v>
      </c>
    </row>
    <row r="1075" spans="1:5" x14ac:dyDescent="0.25">
      <c r="A1075" s="2">
        <f>IF(B1075="","",SUBTOTAL(3,$B$2:B1075))</f>
        <v>1074</v>
      </c>
      <c r="B1075" s="9" t="s">
        <v>48</v>
      </c>
      <c r="C1075" s="10" t="s">
        <v>49</v>
      </c>
      <c r="D1075" s="11">
        <v>25.696041524803107</v>
      </c>
      <c r="E1075" s="12">
        <f t="shared" si="16"/>
        <v>42513</v>
      </c>
    </row>
    <row r="1076" spans="1:5" x14ac:dyDescent="0.25">
      <c r="A1076" s="2">
        <f>IF(B1076="","",SUBTOTAL(3,$B$2:B1076))</f>
        <v>1075</v>
      </c>
      <c r="B1076" s="9" t="s">
        <v>48</v>
      </c>
      <c r="C1076" s="10" t="s">
        <v>49</v>
      </c>
      <c r="D1076" s="11">
        <v>25.696041524803107</v>
      </c>
      <c r="E1076" s="12">
        <f t="shared" si="16"/>
        <v>42514</v>
      </c>
    </row>
    <row r="1077" spans="1:5" x14ac:dyDescent="0.25">
      <c r="A1077" s="2">
        <f>IF(B1077="","",SUBTOTAL(3,$B$2:B1077))</f>
        <v>1076</v>
      </c>
      <c r="B1077" s="9" t="s">
        <v>48</v>
      </c>
      <c r="C1077" s="10" t="s">
        <v>49</v>
      </c>
      <c r="D1077" s="11">
        <v>30.807147258163894</v>
      </c>
      <c r="E1077" s="12">
        <f t="shared" si="16"/>
        <v>42515</v>
      </c>
    </row>
    <row r="1078" spans="1:5" x14ac:dyDescent="0.25">
      <c r="A1078" s="2">
        <f>IF(B1078="","",SUBTOTAL(3,$B$2:B1078))</f>
        <v>1077</v>
      </c>
      <c r="B1078" s="9" t="s">
        <v>50</v>
      </c>
      <c r="C1078" s="10" t="s">
        <v>52</v>
      </c>
      <c r="D1078" s="11">
        <v>66.137566137566139</v>
      </c>
      <c r="E1078" s="12">
        <f t="shared" si="16"/>
        <v>42516</v>
      </c>
    </row>
    <row r="1079" spans="1:5" x14ac:dyDescent="0.25">
      <c r="A1079" s="2">
        <f>IF(B1079="","",SUBTOTAL(3,$B$2:B1079))</f>
        <v>1078</v>
      </c>
      <c r="B1079" s="9" t="s">
        <v>50</v>
      </c>
      <c r="C1079" s="10" t="s">
        <v>52</v>
      </c>
      <c r="D1079" s="11">
        <v>66.137566137566139</v>
      </c>
      <c r="E1079" s="12">
        <f t="shared" si="16"/>
        <v>42517</v>
      </c>
    </row>
    <row r="1080" spans="1:5" x14ac:dyDescent="0.25">
      <c r="A1080" s="2">
        <f>IF(B1080="","",SUBTOTAL(3,$B$2:B1080))</f>
        <v>1079</v>
      </c>
      <c r="B1080" s="9" t="s">
        <v>50</v>
      </c>
      <c r="C1080" s="10" t="s">
        <v>49</v>
      </c>
      <c r="D1080" s="11">
        <v>146.90132275132277</v>
      </c>
      <c r="E1080" s="12">
        <f t="shared" si="16"/>
        <v>42518</v>
      </c>
    </row>
    <row r="1081" spans="1:5" x14ac:dyDescent="0.25">
      <c r="A1081" s="2">
        <f>IF(B1081="","",SUBTOTAL(3,$B$2:B1081))</f>
        <v>1080</v>
      </c>
      <c r="B1081" s="9" t="s">
        <v>50</v>
      </c>
      <c r="C1081" s="10" t="s">
        <v>52</v>
      </c>
      <c r="D1081" s="11">
        <v>44.091710758377424</v>
      </c>
      <c r="E1081" s="12">
        <f t="shared" si="16"/>
        <v>42519</v>
      </c>
    </row>
    <row r="1082" spans="1:5" x14ac:dyDescent="0.25">
      <c r="A1082" s="2">
        <f>IF(B1082="","",SUBTOTAL(3,$B$2:B1082))</f>
        <v>1081</v>
      </c>
      <c r="B1082" s="9" t="s">
        <v>50</v>
      </c>
      <c r="C1082" s="10" t="s">
        <v>54</v>
      </c>
      <c r="D1082" s="11">
        <v>55.114638447971785</v>
      </c>
      <c r="E1082" s="12">
        <f t="shared" si="16"/>
        <v>42520</v>
      </c>
    </row>
    <row r="1083" spans="1:5" x14ac:dyDescent="0.25">
      <c r="A1083" s="2">
        <f>IF(B1083="","",SUBTOTAL(3,$B$2:B1083))</f>
        <v>1082</v>
      </c>
      <c r="B1083" s="9" t="s">
        <v>50</v>
      </c>
      <c r="C1083" s="10" t="s">
        <v>52</v>
      </c>
      <c r="D1083" s="11">
        <v>132.27513227513228</v>
      </c>
      <c r="E1083" s="12">
        <f t="shared" si="16"/>
        <v>42521</v>
      </c>
    </row>
    <row r="1084" spans="1:5" x14ac:dyDescent="0.25">
      <c r="A1084" s="2">
        <f>IF(B1084="","",SUBTOTAL(3,$B$2:B1084))</f>
        <v>1083</v>
      </c>
      <c r="B1084" s="9" t="s">
        <v>51</v>
      </c>
      <c r="C1084" s="10" t="s">
        <v>54</v>
      </c>
      <c r="D1084" s="11">
        <v>158.84782378481412</v>
      </c>
      <c r="E1084" s="12">
        <f t="shared" si="16"/>
        <v>42522</v>
      </c>
    </row>
    <row r="1085" spans="1:5" x14ac:dyDescent="0.25">
      <c r="A1085" s="2">
        <f>IF(B1085="","",SUBTOTAL(3,$B$2:B1085))</f>
        <v>1084</v>
      </c>
      <c r="B1085" s="9" t="s">
        <v>51</v>
      </c>
      <c r="C1085" s="10" t="s">
        <v>52</v>
      </c>
      <c r="D1085" s="11">
        <v>105.89854918987609</v>
      </c>
      <c r="E1085" s="12">
        <f t="shared" si="16"/>
        <v>42523</v>
      </c>
    </row>
    <row r="1086" spans="1:5" x14ac:dyDescent="0.25">
      <c r="A1086" s="2">
        <f>IF(B1086="","",SUBTOTAL(3,$B$2:B1086))</f>
        <v>1085</v>
      </c>
      <c r="B1086" s="9" t="s">
        <v>51</v>
      </c>
      <c r="C1086" s="10" t="s">
        <v>52</v>
      </c>
      <c r="D1086" s="11">
        <v>264.74637297469025</v>
      </c>
      <c r="E1086" s="12">
        <f t="shared" si="16"/>
        <v>42524</v>
      </c>
    </row>
    <row r="1087" spans="1:5" x14ac:dyDescent="0.25">
      <c r="A1087" s="2">
        <f>IF(B1087="","",SUBTOTAL(3,$B$2:B1087))</f>
        <v>1086</v>
      </c>
      <c r="B1087" s="9" t="s">
        <v>51</v>
      </c>
      <c r="C1087" s="10" t="s">
        <v>52</v>
      </c>
      <c r="D1087" s="11">
        <v>211.79709837975219</v>
      </c>
      <c r="E1087" s="12">
        <f t="shared" si="16"/>
        <v>42525</v>
      </c>
    </row>
    <row r="1088" spans="1:5" x14ac:dyDescent="0.25">
      <c r="A1088" s="2">
        <f>IF(B1088="","",SUBTOTAL(3,$B$2:B1088))</f>
        <v>1087</v>
      </c>
      <c r="B1088" s="9" t="s">
        <v>48</v>
      </c>
      <c r="C1088" s="10" t="s">
        <v>52</v>
      </c>
      <c r="D1088" s="11">
        <v>689.41744226128924</v>
      </c>
      <c r="E1088" s="12">
        <f t="shared" si="16"/>
        <v>42526</v>
      </c>
    </row>
    <row r="1089" spans="1:5" x14ac:dyDescent="0.25">
      <c r="A1089" s="2">
        <f>IF(B1089="","",SUBTOTAL(3,$B$2:B1089))</f>
        <v>1088</v>
      </c>
      <c r="B1089" s="9" t="s">
        <v>48</v>
      </c>
      <c r="C1089" s="10" t="s">
        <v>49</v>
      </c>
      <c r="D1089" s="11">
        <v>34.470872113064452</v>
      </c>
      <c r="E1089" s="12">
        <f t="shared" si="16"/>
        <v>42527</v>
      </c>
    </row>
    <row r="1090" spans="1:5" x14ac:dyDescent="0.25">
      <c r="A1090" s="2">
        <f>IF(B1090="","",SUBTOTAL(3,$B$2:B1090))</f>
        <v>1089</v>
      </c>
      <c r="B1090" s="9" t="s">
        <v>48</v>
      </c>
      <c r="C1090" s="10" t="s">
        <v>52</v>
      </c>
      <c r="D1090" s="11">
        <v>25.696041524803107</v>
      </c>
      <c r="E1090" s="12">
        <f t="shared" si="16"/>
        <v>42528</v>
      </c>
    </row>
    <row r="1091" spans="1:5" x14ac:dyDescent="0.25">
      <c r="A1091" s="2">
        <f>IF(B1091="","",SUBTOTAL(3,$B$2:B1091))</f>
        <v>1090</v>
      </c>
      <c r="B1091" s="9" t="s">
        <v>51</v>
      </c>
      <c r="C1091" s="10" t="s">
        <v>52</v>
      </c>
      <c r="D1091" s="11">
        <v>105.89854918987609</v>
      </c>
      <c r="E1091" s="12">
        <f t="shared" si="16"/>
        <v>42529</v>
      </c>
    </row>
    <row r="1092" spans="1:5" x14ac:dyDescent="0.25">
      <c r="A1092" s="2">
        <f>IF(B1092="","",SUBTOTAL(3,$B$2:B1092))</f>
        <v>1091</v>
      </c>
      <c r="B1092" s="9" t="s">
        <v>50</v>
      </c>
      <c r="C1092" s="10" t="s">
        <v>49</v>
      </c>
      <c r="D1092" s="11">
        <v>26.455026455026456</v>
      </c>
      <c r="E1092" s="12">
        <f t="shared" ref="E1092:E1155" si="17">E1091+1</f>
        <v>42530</v>
      </c>
    </row>
    <row r="1093" spans="1:5" x14ac:dyDescent="0.25">
      <c r="A1093" s="2">
        <f>IF(B1093="","",SUBTOTAL(3,$B$2:B1093))</f>
        <v>1092</v>
      </c>
      <c r="B1093" s="9" t="s">
        <v>50</v>
      </c>
      <c r="C1093" s="10" t="s">
        <v>52</v>
      </c>
      <c r="D1093" s="11">
        <v>132.27513227513228</v>
      </c>
      <c r="E1093" s="12">
        <f t="shared" si="17"/>
        <v>42531</v>
      </c>
    </row>
    <row r="1094" spans="1:5" x14ac:dyDescent="0.25">
      <c r="A1094" s="2">
        <f>IF(B1094="","",SUBTOTAL(3,$B$2:B1094))</f>
        <v>1093</v>
      </c>
      <c r="B1094" s="9" t="s">
        <v>50</v>
      </c>
      <c r="C1094" s="10" t="s">
        <v>54</v>
      </c>
      <c r="D1094" s="11">
        <v>132.27513227513228</v>
      </c>
      <c r="E1094" s="12">
        <f t="shared" si="17"/>
        <v>42532</v>
      </c>
    </row>
    <row r="1095" spans="1:5" x14ac:dyDescent="0.25">
      <c r="A1095" s="2">
        <f>IF(B1095="","",SUBTOTAL(3,$B$2:B1095))</f>
        <v>1094</v>
      </c>
      <c r="B1095" s="9" t="s">
        <v>50</v>
      </c>
      <c r="C1095" s="10" t="s">
        <v>54</v>
      </c>
      <c r="D1095" s="11">
        <v>132.27513227513228</v>
      </c>
      <c r="E1095" s="12">
        <f t="shared" si="17"/>
        <v>42533</v>
      </c>
    </row>
    <row r="1096" spans="1:5" x14ac:dyDescent="0.25">
      <c r="A1096" s="2">
        <f>IF(B1096="","",SUBTOTAL(3,$B$2:B1096))</f>
        <v>1095</v>
      </c>
      <c r="B1096" s="9" t="s">
        <v>51</v>
      </c>
      <c r="C1096" s="10" t="s">
        <v>52</v>
      </c>
      <c r="D1096" s="11">
        <v>582.44202054431844</v>
      </c>
      <c r="E1096" s="12">
        <f t="shared" si="17"/>
        <v>42534</v>
      </c>
    </row>
    <row r="1097" spans="1:5" x14ac:dyDescent="0.25">
      <c r="A1097" s="2">
        <f>IF(B1097="","",SUBTOTAL(3,$B$2:B1097))</f>
        <v>1096</v>
      </c>
      <c r="B1097" s="9" t="s">
        <v>51</v>
      </c>
      <c r="C1097" s="10" t="s">
        <v>52</v>
      </c>
      <c r="D1097" s="11">
        <v>264.74637297469025</v>
      </c>
      <c r="E1097" s="12">
        <f t="shared" si="17"/>
        <v>42535</v>
      </c>
    </row>
    <row r="1098" spans="1:5" x14ac:dyDescent="0.25">
      <c r="A1098" s="2">
        <f>IF(B1098="","",SUBTOTAL(3,$B$2:B1098))</f>
        <v>1097</v>
      </c>
      <c r="B1098" s="9" t="s">
        <v>51</v>
      </c>
      <c r="C1098" s="10" t="s">
        <v>52</v>
      </c>
      <c r="D1098" s="11">
        <v>529.49274594938049</v>
      </c>
      <c r="E1098" s="12">
        <f t="shared" si="17"/>
        <v>42536</v>
      </c>
    </row>
    <row r="1099" spans="1:5" x14ac:dyDescent="0.25">
      <c r="A1099" s="2">
        <f>IF(B1099="","",SUBTOTAL(3,$B$2:B1099))</f>
        <v>1098</v>
      </c>
      <c r="B1099" s="9" t="s">
        <v>51</v>
      </c>
      <c r="C1099" s="10" t="s">
        <v>54</v>
      </c>
      <c r="D1099" s="11">
        <v>158.84782378481412</v>
      </c>
      <c r="E1099" s="12">
        <f t="shared" si="17"/>
        <v>42537</v>
      </c>
    </row>
    <row r="1100" spans="1:5" x14ac:dyDescent="0.25">
      <c r="A1100" s="2">
        <f>IF(B1100="","",SUBTOTAL(3,$B$2:B1100))</f>
        <v>1099</v>
      </c>
      <c r="B1100" s="9" t="s">
        <v>51</v>
      </c>
      <c r="C1100" s="10" t="s">
        <v>52</v>
      </c>
      <c r="D1100" s="11">
        <v>211.79709837975219</v>
      </c>
      <c r="E1100" s="12">
        <f t="shared" si="17"/>
        <v>42538</v>
      </c>
    </row>
    <row r="1101" spans="1:5" x14ac:dyDescent="0.25">
      <c r="A1101" s="2">
        <f>IF(B1101="","",SUBTOTAL(3,$B$2:B1101))</f>
        <v>1100</v>
      </c>
      <c r="B1101" s="9" t="s">
        <v>51</v>
      </c>
      <c r="C1101" s="10" t="s">
        <v>52</v>
      </c>
      <c r="D1101" s="11">
        <v>105.89854918987609</v>
      </c>
      <c r="E1101" s="12">
        <f t="shared" si="17"/>
        <v>42539</v>
      </c>
    </row>
    <row r="1102" spans="1:5" x14ac:dyDescent="0.25">
      <c r="A1102" s="2">
        <f>IF(B1102="","",SUBTOTAL(3,$B$2:B1102))</f>
        <v>1101</v>
      </c>
      <c r="B1102" s="9" t="s">
        <v>51</v>
      </c>
      <c r="C1102" s="10" t="s">
        <v>54</v>
      </c>
      <c r="D1102" s="11">
        <v>158.84782378481412</v>
      </c>
      <c r="E1102" s="12">
        <f t="shared" si="17"/>
        <v>42540</v>
      </c>
    </row>
    <row r="1103" spans="1:5" x14ac:dyDescent="0.25">
      <c r="A1103" s="2">
        <f>IF(B1103="","",SUBTOTAL(3,$B$2:B1103))</f>
        <v>1102</v>
      </c>
      <c r="B1103" s="9" t="s">
        <v>51</v>
      </c>
      <c r="C1103" s="10" t="s">
        <v>52</v>
      </c>
      <c r="D1103" s="11">
        <v>317.69564756962825</v>
      </c>
      <c r="E1103" s="12">
        <f t="shared" si="17"/>
        <v>42541</v>
      </c>
    </row>
    <row r="1104" spans="1:5" x14ac:dyDescent="0.25">
      <c r="A1104" s="2">
        <f>IF(B1104="","",SUBTOTAL(3,$B$2:B1104))</f>
        <v>1103</v>
      </c>
      <c r="B1104" s="9" t="s">
        <v>50</v>
      </c>
      <c r="C1104" s="10" t="s">
        <v>49</v>
      </c>
      <c r="D1104" s="11">
        <v>74.95590828924162</v>
      </c>
      <c r="E1104" s="12">
        <f t="shared" si="17"/>
        <v>42542</v>
      </c>
    </row>
    <row r="1105" spans="1:5" x14ac:dyDescent="0.25">
      <c r="A1105" s="2">
        <f>IF(B1105="","",SUBTOTAL(3,$B$2:B1105))</f>
        <v>1104</v>
      </c>
      <c r="B1105" s="9" t="s">
        <v>48</v>
      </c>
      <c r="C1105" s="10" t="s">
        <v>49</v>
      </c>
      <c r="D1105" s="11">
        <v>185.01149897858235</v>
      </c>
      <c r="E1105" s="12">
        <f t="shared" si="17"/>
        <v>42543</v>
      </c>
    </row>
    <row r="1106" spans="1:5" x14ac:dyDescent="0.25">
      <c r="A1106" s="2">
        <f>IF(B1106="","",SUBTOTAL(3,$B$2:B1106))</f>
        <v>1105</v>
      </c>
      <c r="B1106" s="9" t="s">
        <v>55</v>
      </c>
      <c r="C1106" s="10" t="s">
        <v>49</v>
      </c>
      <c r="D1106" s="11">
        <v>123.5</v>
      </c>
      <c r="E1106" s="12">
        <f t="shared" si="17"/>
        <v>42544</v>
      </c>
    </row>
    <row r="1107" spans="1:5" x14ac:dyDescent="0.25">
      <c r="A1107" s="2">
        <f>IF(B1107="","",SUBTOTAL(3,$B$2:B1107))</f>
        <v>1106</v>
      </c>
      <c r="B1107" s="9" t="s">
        <v>48</v>
      </c>
      <c r="C1107" s="10" t="s">
        <v>52</v>
      </c>
      <c r="D1107" s="11">
        <v>275.76697690451562</v>
      </c>
      <c r="E1107" s="12">
        <f t="shared" si="17"/>
        <v>42545</v>
      </c>
    </row>
    <row r="1108" spans="1:5" x14ac:dyDescent="0.25">
      <c r="A1108" s="2">
        <f>IF(B1108="","",SUBTOTAL(3,$B$2:B1108))</f>
        <v>1107</v>
      </c>
      <c r="B1108" s="9" t="s">
        <v>51</v>
      </c>
      <c r="C1108" s="10" t="s">
        <v>54</v>
      </c>
      <c r="D1108" s="11">
        <v>264.74637297469025</v>
      </c>
      <c r="E1108" s="12">
        <f t="shared" si="17"/>
        <v>42546</v>
      </c>
    </row>
    <row r="1109" spans="1:5" x14ac:dyDescent="0.25">
      <c r="A1109" s="2">
        <f>IF(B1109="","",SUBTOTAL(3,$B$2:B1109))</f>
        <v>1108</v>
      </c>
      <c r="B1109" s="9" t="s">
        <v>48</v>
      </c>
      <c r="C1109" s="10" t="s">
        <v>52</v>
      </c>
      <c r="D1109" s="11">
        <v>128.48020762401552</v>
      </c>
      <c r="E1109" s="12">
        <f t="shared" si="17"/>
        <v>42547</v>
      </c>
    </row>
    <row r="1110" spans="1:5" x14ac:dyDescent="0.25">
      <c r="A1110" s="2">
        <f>IF(B1110="","",SUBTOTAL(3,$B$2:B1110))</f>
        <v>1109</v>
      </c>
      <c r="B1110" s="9" t="s">
        <v>48</v>
      </c>
      <c r="C1110" s="10" t="s">
        <v>52</v>
      </c>
      <c r="D1110" s="11">
        <v>38.54406228720466</v>
      </c>
      <c r="E1110" s="12">
        <f t="shared" si="17"/>
        <v>42548</v>
      </c>
    </row>
    <row r="1111" spans="1:5" x14ac:dyDescent="0.25">
      <c r="A1111" s="2">
        <f>IF(B1111="","",SUBTOTAL(3,$B$2:B1111))</f>
        <v>1110</v>
      </c>
      <c r="B1111" s="9" t="s">
        <v>48</v>
      </c>
      <c r="C1111" s="10" t="s">
        <v>52</v>
      </c>
      <c r="D1111" s="11">
        <v>12.848020762401553</v>
      </c>
      <c r="E1111" s="12">
        <f t="shared" si="17"/>
        <v>42549</v>
      </c>
    </row>
    <row r="1112" spans="1:5" x14ac:dyDescent="0.25">
      <c r="A1112" s="2">
        <f>IF(B1112="","",SUBTOTAL(3,$B$2:B1112))</f>
        <v>1111</v>
      </c>
      <c r="B1112" s="9" t="s">
        <v>48</v>
      </c>
      <c r="C1112" s="10" t="s">
        <v>49</v>
      </c>
      <c r="D1112" s="11">
        <v>30.807147258163894</v>
      </c>
      <c r="E1112" s="12">
        <f t="shared" si="17"/>
        <v>42550</v>
      </c>
    </row>
    <row r="1113" spans="1:5" x14ac:dyDescent="0.25">
      <c r="A1113" s="2">
        <f>IF(B1113="","",SUBTOTAL(3,$B$2:B1113))</f>
        <v>1112</v>
      </c>
      <c r="B1113" s="9" t="s">
        <v>55</v>
      </c>
      <c r="C1113" s="10" t="s">
        <v>49</v>
      </c>
      <c r="D1113" s="11">
        <v>34</v>
      </c>
      <c r="E1113" s="12">
        <f t="shared" si="17"/>
        <v>42551</v>
      </c>
    </row>
    <row r="1114" spans="1:5" x14ac:dyDescent="0.25">
      <c r="A1114" s="2">
        <f>IF(B1114="","",SUBTOTAL(3,$B$2:B1114))</f>
        <v>1113</v>
      </c>
      <c r="B1114" s="9" t="s">
        <v>48</v>
      </c>
      <c r="C1114" s="10" t="s">
        <v>49</v>
      </c>
      <c r="D1114" s="11">
        <v>123.22858903265558</v>
      </c>
      <c r="E1114" s="12">
        <f t="shared" si="17"/>
        <v>42552</v>
      </c>
    </row>
    <row r="1115" spans="1:5" x14ac:dyDescent="0.25">
      <c r="A1115" s="2">
        <f>IF(B1115="","",SUBTOTAL(3,$B$2:B1115))</f>
        <v>1114</v>
      </c>
      <c r="B1115" s="9" t="s">
        <v>48</v>
      </c>
      <c r="C1115" s="10" t="s">
        <v>49</v>
      </c>
      <c r="D1115" s="11">
        <v>38.508934072704868</v>
      </c>
      <c r="E1115" s="12">
        <f t="shared" si="17"/>
        <v>42553</v>
      </c>
    </row>
    <row r="1116" spans="1:5" x14ac:dyDescent="0.25">
      <c r="A1116" s="2">
        <f>IF(B1116="","",SUBTOTAL(3,$B$2:B1116))</f>
        <v>1115</v>
      </c>
      <c r="B1116" s="9" t="s">
        <v>48</v>
      </c>
      <c r="C1116" s="10" t="s">
        <v>54</v>
      </c>
      <c r="D1116" s="11">
        <v>10.341261633919338</v>
      </c>
      <c r="E1116" s="12">
        <f t="shared" si="17"/>
        <v>42554</v>
      </c>
    </row>
    <row r="1117" spans="1:5" x14ac:dyDescent="0.25">
      <c r="A1117" s="2">
        <f>IF(B1117="","",SUBTOTAL(3,$B$2:B1117))</f>
        <v>1116</v>
      </c>
      <c r="B1117" s="9" t="s">
        <v>48</v>
      </c>
      <c r="C1117" s="10" t="s">
        <v>49</v>
      </c>
      <c r="D1117" s="11">
        <v>22.652345406190175</v>
      </c>
      <c r="E1117" s="12">
        <f t="shared" si="17"/>
        <v>42555</v>
      </c>
    </row>
    <row r="1118" spans="1:5" x14ac:dyDescent="0.25">
      <c r="A1118" s="2">
        <f>IF(B1118="","",SUBTOTAL(3,$B$2:B1118))</f>
        <v>1117</v>
      </c>
      <c r="B1118" s="9" t="s">
        <v>48</v>
      </c>
      <c r="C1118" s="10" t="s">
        <v>49</v>
      </c>
      <c r="D1118" s="11">
        <v>73.777960505184183</v>
      </c>
      <c r="E1118" s="12">
        <f t="shared" si="17"/>
        <v>42556</v>
      </c>
    </row>
    <row r="1119" spans="1:5" x14ac:dyDescent="0.25">
      <c r="A1119" s="2">
        <f>IF(B1119="","",SUBTOTAL(3,$B$2:B1119))</f>
        <v>1118</v>
      </c>
      <c r="B1119" s="9" t="s">
        <v>48</v>
      </c>
      <c r="C1119" s="10" t="s">
        <v>52</v>
      </c>
      <c r="D1119" s="11">
        <v>82.563154651879231</v>
      </c>
      <c r="E1119" s="12">
        <f t="shared" si="17"/>
        <v>42557</v>
      </c>
    </row>
    <row r="1120" spans="1:5" x14ac:dyDescent="0.25">
      <c r="A1120" s="2">
        <f>IF(B1120="","",SUBTOTAL(3,$B$2:B1120))</f>
        <v>1119</v>
      </c>
      <c r="B1120" s="9" t="s">
        <v>48</v>
      </c>
      <c r="C1120" s="10" t="s">
        <v>52</v>
      </c>
      <c r="D1120" s="11">
        <v>82.563154651879231</v>
      </c>
      <c r="E1120" s="12">
        <f t="shared" si="17"/>
        <v>42558</v>
      </c>
    </row>
    <row r="1121" spans="1:5" x14ac:dyDescent="0.25">
      <c r="A1121" s="2">
        <f>IF(B1121="","",SUBTOTAL(3,$B$2:B1121))</f>
        <v>1120</v>
      </c>
      <c r="B1121" s="9" t="s">
        <v>51</v>
      </c>
      <c r="C1121" s="10" t="s">
        <v>49</v>
      </c>
      <c r="D1121" s="11">
        <v>40.515355319666149</v>
      </c>
      <c r="E1121" s="12">
        <f t="shared" si="17"/>
        <v>42559</v>
      </c>
    </row>
    <row r="1122" spans="1:5" x14ac:dyDescent="0.25">
      <c r="A1122" s="2">
        <f>IF(B1122="","",SUBTOTAL(3,$B$2:B1122))</f>
        <v>1121</v>
      </c>
      <c r="B1122" s="9" t="s">
        <v>51</v>
      </c>
      <c r="C1122" s="10" t="s">
        <v>54</v>
      </c>
      <c r="D1122" s="11">
        <v>52.949274594938046</v>
      </c>
      <c r="E1122" s="12">
        <f t="shared" si="17"/>
        <v>42560</v>
      </c>
    </row>
    <row r="1123" spans="1:5" x14ac:dyDescent="0.25">
      <c r="A1123" s="2">
        <f>IF(B1123="","",SUBTOTAL(3,$B$2:B1123))</f>
        <v>1122</v>
      </c>
      <c r="B1123" s="9" t="s">
        <v>50</v>
      </c>
      <c r="C1123" s="10" t="s">
        <v>49</v>
      </c>
      <c r="D1123" s="11">
        <v>391.73686067019401</v>
      </c>
      <c r="E1123" s="12">
        <f t="shared" si="17"/>
        <v>42561</v>
      </c>
    </row>
    <row r="1124" spans="1:5" x14ac:dyDescent="0.25">
      <c r="A1124" s="2">
        <f>IF(B1124="","",SUBTOTAL(3,$B$2:B1124))</f>
        <v>1123</v>
      </c>
      <c r="B1124" s="9" t="s">
        <v>50</v>
      </c>
      <c r="C1124" s="10" t="s">
        <v>52</v>
      </c>
      <c r="D1124" s="11">
        <v>132.27513227513228</v>
      </c>
      <c r="E1124" s="12">
        <f t="shared" si="17"/>
        <v>42562</v>
      </c>
    </row>
    <row r="1125" spans="1:5" x14ac:dyDescent="0.25">
      <c r="A1125" s="2">
        <f>IF(B1125="","",SUBTOTAL(3,$B$2:B1125))</f>
        <v>1124</v>
      </c>
      <c r="B1125" s="9" t="s">
        <v>51</v>
      </c>
      <c r="C1125" s="10" t="s">
        <v>52</v>
      </c>
      <c r="D1125" s="11">
        <v>52.949274594938046</v>
      </c>
      <c r="E1125" s="12">
        <f t="shared" si="17"/>
        <v>42563</v>
      </c>
    </row>
    <row r="1126" spans="1:5" x14ac:dyDescent="0.25">
      <c r="A1126" s="2">
        <f>IF(B1126="","",SUBTOTAL(3,$B$2:B1126))</f>
        <v>1125</v>
      </c>
      <c r="B1126" s="9" t="s">
        <v>48</v>
      </c>
      <c r="C1126" s="10" t="s">
        <v>52</v>
      </c>
      <c r="D1126" s="11">
        <v>25.696041524803107</v>
      </c>
      <c r="E1126" s="12">
        <f t="shared" si="17"/>
        <v>42564</v>
      </c>
    </row>
    <row r="1127" spans="1:5" x14ac:dyDescent="0.25">
      <c r="A1127" s="2">
        <f>IF(B1127="","",SUBTOTAL(3,$B$2:B1127))</f>
        <v>1126</v>
      </c>
      <c r="B1127" s="9" t="s">
        <v>48</v>
      </c>
      <c r="C1127" s="10" t="s">
        <v>49</v>
      </c>
      <c r="D1127" s="11">
        <v>462.10720887245844</v>
      </c>
      <c r="E1127" s="12">
        <f t="shared" si="17"/>
        <v>42565</v>
      </c>
    </row>
    <row r="1128" spans="1:5" x14ac:dyDescent="0.25">
      <c r="A1128" s="2">
        <f>IF(B1128="","",SUBTOTAL(3,$B$2:B1128))</f>
        <v>1127</v>
      </c>
      <c r="B1128" s="9" t="s">
        <v>48</v>
      </c>
      <c r="C1128" s="10" t="s">
        <v>49</v>
      </c>
      <c r="D1128" s="11">
        <v>26.197862805928988</v>
      </c>
      <c r="E1128" s="12">
        <f t="shared" si="17"/>
        <v>42566</v>
      </c>
    </row>
    <row r="1129" spans="1:5" x14ac:dyDescent="0.25">
      <c r="A1129" s="2">
        <f>IF(B1129="","",SUBTOTAL(3,$B$2:B1129))</f>
        <v>1128</v>
      </c>
      <c r="B1129" s="9" t="s">
        <v>48</v>
      </c>
      <c r="C1129" s="10" t="s">
        <v>49</v>
      </c>
      <c r="D1129" s="11">
        <v>15.403573629081947</v>
      </c>
      <c r="E1129" s="12">
        <f t="shared" si="17"/>
        <v>42567</v>
      </c>
    </row>
    <row r="1130" spans="1:5" x14ac:dyDescent="0.25">
      <c r="A1130" s="2">
        <f>IF(B1130="","",SUBTOTAL(3,$B$2:B1130))</f>
        <v>1129</v>
      </c>
      <c r="B1130" s="9" t="s">
        <v>51</v>
      </c>
      <c r="C1130" s="10" t="s">
        <v>49</v>
      </c>
      <c r="D1130" s="11">
        <v>20.257677659833075</v>
      </c>
      <c r="E1130" s="12">
        <f t="shared" si="17"/>
        <v>42568</v>
      </c>
    </row>
    <row r="1131" spans="1:5" x14ac:dyDescent="0.25">
      <c r="A1131" s="2">
        <f>IF(B1131="","",SUBTOTAL(3,$B$2:B1131))</f>
        <v>1130</v>
      </c>
      <c r="B1131" s="9" t="s">
        <v>53</v>
      </c>
      <c r="C1131" s="10" t="s">
        <v>49</v>
      </c>
      <c r="D1131" s="11">
        <v>228.96498667423779</v>
      </c>
      <c r="E1131" s="12">
        <f t="shared" si="17"/>
        <v>42569</v>
      </c>
    </row>
    <row r="1132" spans="1:5" x14ac:dyDescent="0.25">
      <c r="A1132" s="2">
        <f>IF(B1132="","",SUBTOTAL(3,$B$2:B1132))</f>
        <v>1131</v>
      </c>
      <c r="B1132" s="9" t="s">
        <v>53</v>
      </c>
      <c r="C1132" s="10" t="s">
        <v>49</v>
      </c>
      <c r="D1132" s="11">
        <v>30.223378240999391</v>
      </c>
      <c r="E1132" s="12">
        <f t="shared" si="17"/>
        <v>42570</v>
      </c>
    </row>
    <row r="1133" spans="1:5" x14ac:dyDescent="0.25">
      <c r="A1133" s="2">
        <f>IF(B1133="","",SUBTOTAL(3,$B$2:B1133))</f>
        <v>1132</v>
      </c>
      <c r="B1133" s="9" t="s">
        <v>53</v>
      </c>
      <c r="C1133" s="10" t="s">
        <v>49</v>
      </c>
      <c r="D1133" s="11">
        <v>320.5509813439329</v>
      </c>
      <c r="E1133" s="12">
        <f t="shared" si="17"/>
        <v>42571</v>
      </c>
    </row>
    <row r="1134" spans="1:5" x14ac:dyDescent="0.25">
      <c r="A1134" s="2">
        <f>IF(B1134="","",SUBTOTAL(3,$B$2:B1134))</f>
        <v>1133</v>
      </c>
      <c r="B1134" s="9" t="s">
        <v>53</v>
      </c>
      <c r="C1134" s="10" t="s">
        <v>49</v>
      </c>
      <c r="D1134" s="11">
        <v>18.317198933939025</v>
      </c>
      <c r="E1134" s="12">
        <f t="shared" si="17"/>
        <v>42572</v>
      </c>
    </row>
    <row r="1135" spans="1:5" x14ac:dyDescent="0.25">
      <c r="A1135" s="2">
        <f>IF(B1135="","",SUBTOTAL(3,$B$2:B1135))</f>
        <v>1134</v>
      </c>
      <c r="B1135" s="9" t="s">
        <v>53</v>
      </c>
      <c r="C1135" s="10" t="s">
        <v>49</v>
      </c>
      <c r="D1135" s="11">
        <v>274.75798400908536</v>
      </c>
      <c r="E1135" s="12">
        <f t="shared" si="17"/>
        <v>42573</v>
      </c>
    </row>
    <row r="1136" spans="1:5" x14ac:dyDescent="0.25">
      <c r="A1136" s="2">
        <f>IF(B1136="","",SUBTOTAL(3,$B$2:B1136))</f>
        <v>1135</v>
      </c>
      <c r="B1136" s="9" t="s">
        <v>53</v>
      </c>
      <c r="C1136" s="10" t="s">
        <v>49</v>
      </c>
      <c r="D1136" s="11">
        <v>27.475798400908538</v>
      </c>
      <c r="E1136" s="12">
        <f t="shared" si="17"/>
        <v>42574</v>
      </c>
    </row>
    <row r="1137" spans="1:5" x14ac:dyDescent="0.25">
      <c r="A1137" s="2">
        <f>IF(B1137="","",SUBTOTAL(3,$B$2:B1137))</f>
        <v>1136</v>
      </c>
      <c r="B1137" s="9" t="s">
        <v>53</v>
      </c>
      <c r="C1137" s="10" t="s">
        <v>49</v>
      </c>
      <c r="D1137" s="11">
        <v>36.63439786787805</v>
      </c>
      <c r="E1137" s="12">
        <f t="shared" si="17"/>
        <v>42575</v>
      </c>
    </row>
    <row r="1138" spans="1:5" x14ac:dyDescent="0.25">
      <c r="A1138" s="2">
        <f>IF(B1138="","",SUBTOTAL(3,$B$2:B1138))</f>
        <v>1137</v>
      </c>
      <c r="B1138" s="9" t="s">
        <v>53</v>
      </c>
      <c r="C1138" s="10" t="s">
        <v>49</v>
      </c>
      <c r="D1138" s="11">
        <v>128.22039253757316</v>
      </c>
      <c r="E1138" s="12">
        <f t="shared" si="17"/>
        <v>42576</v>
      </c>
    </row>
    <row r="1139" spans="1:5" x14ac:dyDescent="0.25">
      <c r="A1139" s="2">
        <f>IF(B1139="","",SUBTOTAL(3,$B$2:B1139))</f>
        <v>1138</v>
      </c>
      <c r="B1139" s="9" t="s">
        <v>48</v>
      </c>
      <c r="C1139" s="10" t="s">
        <v>57</v>
      </c>
      <c r="D1139" s="11">
        <v>144.77766287487074</v>
      </c>
      <c r="E1139" s="12">
        <f t="shared" si="17"/>
        <v>42577</v>
      </c>
    </row>
    <row r="1140" spans="1:5" x14ac:dyDescent="0.25">
      <c r="A1140" s="2">
        <f>IF(B1140="","",SUBTOTAL(3,$B$2:B1140))</f>
        <v>1139</v>
      </c>
      <c r="B1140" s="9" t="s">
        <v>48</v>
      </c>
      <c r="C1140" s="10" t="s">
        <v>49</v>
      </c>
      <c r="D1140" s="11">
        <v>137.88348845225781</v>
      </c>
      <c r="E1140" s="12">
        <f t="shared" si="17"/>
        <v>42578</v>
      </c>
    </row>
    <row r="1141" spans="1:5" x14ac:dyDescent="0.25">
      <c r="A1141" s="2">
        <f>IF(B1141="","",SUBTOTAL(3,$B$2:B1141))</f>
        <v>1140</v>
      </c>
      <c r="B1141" s="9" t="s">
        <v>48</v>
      </c>
      <c r="C1141" s="10" t="s">
        <v>49</v>
      </c>
      <c r="D1141" s="11">
        <v>1.723543605653223</v>
      </c>
      <c r="E1141" s="12">
        <f t="shared" si="17"/>
        <v>42579</v>
      </c>
    </row>
    <row r="1142" spans="1:5" x14ac:dyDescent="0.25">
      <c r="A1142" s="2">
        <f>IF(B1142="","",SUBTOTAL(3,$B$2:B1142))</f>
        <v>1141</v>
      </c>
      <c r="B1142" s="9" t="s">
        <v>48</v>
      </c>
      <c r="C1142" s="10" t="s">
        <v>49</v>
      </c>
      <c r="D1142" s="11">
        <v>7.5835918648741805</v>
      </c>
      <c r="E1142" s="12">
        <f t="shared" si="17"/>
        <v>42580</v>
      </c>
    </row>
    <row r="1143" spans="1:5" x14ac:dyDescent="0.25">
      <c r="A1143" s="2">
        <f>IF(B1143="","",SUBTOTAL(3,$B$2:B1143))</f>
        <v>1142</v>
      </c>
      <c r="B1143" s="9" t="s">
        <v>53</v>
      </c>
      <c r="C1143" s="10" t="s">
        <v>54</v>
      </c>
      <c r="D1143" s="11">
        <v>109.90319360363415</v>
      </c>
      <c r="E1143" s="12">
        <f t="shared" si="17"/>
        <v>42581</v>
      </c>
    </row>
    <row r="1144" spans="1:5" x14ac:dyDescent="0.25">
      <c r="A1144" s="2">
        <f>IF(B1144="","",SUBTOTAL(3,$B$2:B1144))</f>
        <v>1143</v>
      </c>
      <c r="B1144" s="9" t="s">
        <v>53</v>
      </c>
      <c r="C1144" s="10" t="s">
        <v>49</v>
      </c>
      <c r="D1144" s="11">
        <v>119.06179307060366</v>
      </c>
      <c r="E1144" s="12">
        <f t="shared" si="17"/>
        <v>42582</v>
      </c>
    </row>
    <row r="1145" spans="1:5" x14ac:dyDescent="0.25">
      <c r="A1145" s="2">
        <f>IF(B1145="","",SUBTOTAL(3,$B$2:B1145))</f>
        <v>1144</v>
      </c>
      <c r="B1145" s="9" t="s">
        <v>53</v>
      </c>
      <c r="C1145" s="10" t="s">
        <v>49</v>
      </c>
      <c r="D1145" s="11">
        <v>21.797466731387438</v>
      </c>
      <c r="E1145" s="12">
        <f t="shared" si="17"/>
        <v>42583</v>
      </c>
    </row>
    <row r="1146" spans="1:5" x14ac:dyDescent="0.25">
      <c r="A1146" s="2">
        <f>IF(B1146="","",SUBTOTAL(3,$B$2:B1146))</f>
        <v>1145</v>
      </c>
      <c r="B1146" s="9" t="s">
        <v>53</v>
      </c>
      <c r="C1146" s="10" t="s">
        <v>54</v>
      </c>
      <c r="D1146" s="11">
        <v>549.51596801817072</v>
      </c>
      <c r="E1146" s="12">
        <f t="shared" si="17"/>
        <v>42584</v>
      </c>
    </row>
    <row r="1147" spans="1:5" x14ac:dyDescent="0.25">
      <c r="A1147" s="2">
        <f>IF(B1147="","",SUBTOTAL(3,$B$2:B1147))</f>
        <v>1146</v>
      </c>
      <c r="B1147" s="9" t="s">
        <v>53</v>
      </c>
      <c r="C1147" s="10" t="s">
        <v>49</v>
      </c>
      <c r="D1147" s="11">
        <v>59.875259875259879</v>
      </c>
      <c r="E1147" s="12">
        <f t="shared" si="17"/>
        <v>42585</v>
      </c>
    </row>
    <row r="1148" spans="1:5" x14ac:dyDescent="0.25">
      <c r="A1148" s="2">
        <f>IF(B1148="","",SUBTOTAL(3,$B$2:B1148))</f>
        <v>1147</v>
      </c>
      <c r="B1148" s="9" t="s">
        <v>48</v>
      </c>
      <c r="C1148" s="10" t="s">
        <v>49</v>
      </c>
      <c r="D1148" s="11">
        <v>13.788348845225784</v>
      </c>
      <c r="E1148" s="12">
        <f t="shared" si="17"/>
        <v>42586</v>
      </c>
    </row>
    <row r="1149" spans="1:5" x14ac:dyDescent="0.25">
      <c r="A1149" s="2">
        <f>IF(B1149="","",SUBTOTAL(3,$B$2:B1149))</f>
        <v>1148</v>
      </c>
      <c r="B1149" s="9" t="s">
        <v>48</v>
      </c>
      <c r="C1149" s="10" t="s">
        <v>57</v>
      </c>
      <c r="D1149" s="11">
        <v>103.41261633919338</v>
      </c>
      <c r="E1149" s="12">
        <f t="shared" si="17"/>
        <v>42587</v>
      </c>
    </row>
    <row r="1150" spans="1:5" x14ac:dyDescent="0.25">
      <c r="A1150" s="2">
        <f>IF(B1150="","",SUBTOTAL(3,$B$2:B1150))</f>
        <v>1149</v>
      </c>
      <c r="B1150" s="9" t="s">
        <v>48</v>
      </c>
      <c r="C1150" s="10" t="s">
        <v>57</v>
      </c>
      <c r="D1150" s="11">
        <v>103.41261633919338</v>
      </c>
      <c r="E1150" s="12">
        <f t="shared" si="17"/>
        <v>42588</v>
      </c>
    </row>
    <row r="1151" spans="1:5" x14ac:dyDescent="0.25">
      <c r="A1151" s="2">
        <f>IF(B1151="","",SUBTOTAL(3,$B$2:B1151))</f>
        <v>1150</v>
      </c>
      <c r="B1151" s="9" t="s">
        <v>48</v>
      </c>
      <c r="C1151" s="10" t="s">
        <v>57</v>
      </c>
      <c r="D1151" s="11">
        <v>68.941744226128904</v>
      </c>
      <c r="E1151" s="12">
        <f t="shared" si="17"/>
        <v>42589</v>
      </c>
    </row>
    <row r="1152" spans="1:5" x14ac:dyDescent="0.25">
      <c r="A1152" s="2">
        <f>IF(B1152="","",SUBTOTAL(3,$B$2:B1152))</f>
        <v>1151</v>
      </c>
      <c r="B1152" s="9" t="s">
        <v>48</v>
      </c>
      <c r="C1152" s="10" t="s">
        <v>49</v>
      </c>
      <c r="D1152" s="11">
        <v>24.129610479145121</v>
      </c>
      <c r="E1152" s="12">
        <f t="shared" si="17"/>
        <v>42590</v>
      </c>
    </row>
    <row r="1153" spans="1:5" x14ac:dyDescent="0.25">
      <c r="A1153" s="2">
        <f>IF(B1153="","",SUBTOTAL(3,$B$2:B1153))</f>
        <v>1152</v>
      </c>
      <c r="B1153" s="9" t="s">
        <v>48</v>
      </c>
      <c r="C1153" s="10" t="s">
        <v>54</v>
      </c>
      <c r="D1153" s="11">
        <v>120.64805239572561</v>
      </c>
      <c r="E1153" s="12">
        <f t="shared" si="17"/>
        <v>42591</v>
      </c>
    </row>
    <row r="1154" spans="1:5" x14ac:dyDescent="0.25">
      <c r="A1154" s="2">
        <f>IF(B1154="","",SUBTOTAL(3,$B$2:B1154))</f>
        <v>1153</v>
      </c>
      <c r="B1154" s="9" t="s">
        <v>48</v>
      </c>
      <c r="C1154" s="10" t="s">
        <v>49</v>
      </c>
      <c r="D1154" s="11">
        <v>15.403573629081947</v>
      </c>
      <c r="E1154" s="12">
        <f t="shared" si="17"/>
        <v>42592</v>
      </c>
    </row>
    <row r="1155" spans="1:5" x14ac:dyDescent="0.25">
      <c r="A1155" s="2">
        <f>IF(B1155="","",SUBTOTAL(3,$B$2:B1155))</f>
        <v>1154</v>
      </c>
      <c r="B1155" s="9" t="s">
        <v>48</v>
      </c>
      <c r="C1155" s="10" t="s">
        <v>52</v>
      </c>
      <c r="D1155" s="11">
        <v>105.08317929759704</v>
      </c>
      <c r="E1155" s="12">
        <f t="shared" si="17"/>
        <v>42593</v>
      </c>
    </row>
    <row r="1156" spans="1:5" x14ac:dyDescent="0.25">
      <c r="A1156" s="2">
        <f>IF(B1156="","",SUBTOTAL(3,$B$2:B1156))</f>
        <v>1155</v>
      </c>
      <c r="B1156" s="9" t="s">
        <v>48</v>
      </c>
      <c r="C1156" s="10" t="s">
        <v>52</v>
      </c>
      <c r="D1156" s="11">
        <v>154.03573629081947</v>
      </c>
      <c r="E1156" s="12">
        <f t="shared" ref="E1156:E1219" si="18">E1155+1</f>
        <v>42594</v>
      </c>
    </row>
    <row r="1157" spans="1:5" x14ac:dyDescent="0.25">
      <c r="A1157" s="2">
        <f>IF(B1157="","",SUBTOTAL(3,$B$2:B1157))</f>
        <v>1156</v>
      </c>
      <c r="B1157" s="9" t="s">
        <v>48</v>
      </c>
      <c r="C1157" s="10" t="s">
        <v>52</v>
      </c>
      <c r="D1157" s="11">
        <v>105.08317929759704</v>
      </c>
      <c r="E1157" s="12">
        <f t="shared" si="18"/>
        <v>42595</v>
      </c>
    </row>
    <row r="1158" spans="1:5" x14ac:dyDescent="0.25">
      <c r="A1158" s="2">
        <f>IF(B1158="","",SUBTOTAL(3,$B$2:B1158))</f>
        <v>1157</v>
      </c>
      <c r="B1158" s="9" t="s">
        <v>51</v>
      </c>
      <c r="C1158" s="10" t="s">
        <v>52</v>
      </c>
      <c r="D1158" s="11">
        <v>21.179709837975221</v>
      </c>
      <c r="E1158" s="12">
        <f t="shared" si="18"/>
        <v>42596</v>
      </c>
    </row>
    <row r="1159" spans="1:5" x14ac:dyDescent="0.25">
      <c r="A1159" s="2">
        <f>IF(B1159="","",SUBTOTAL(3,$B$2:B1159))</f>
        <v>1158</v>
      </c>
      <c r="B1159" s="9" t="s">
        <v>48</v>
      </c>
      <c r="C1159" s="10" t="s">
        <v>52</v>
      </c>
      <c r="D1159" s="11">
        <v>12.848020762401553</v>
      </c>
      <c r="E1159" s="12">
        <f t="shared" si="18"/>
        <v>42597</v>
      </c>
    </row>
    <row r="1160" spans="1:5" x14ac:dyDescent="0.25">
      <c r="A1160" s="2">
        <f>IF(B1160="","",SUBTOTAL(3,$B$2:B1160))</f>
        <v>1159</v>
      </c>
      <c r="B1160" s="9" t="s">
        <v>55</v>
      </c>
      <c r="C1160" s="10" t="s">
        <v>52</v>
      </c>
      <c r="D1160" s="11">
        <v>423.65976861658794</v>
      </c>
      <c r="E1160" s="12">
        <f t="shared" si="18"/>
        <v>42598</v>
      </c>
    </row>
    <row r="1161" spans="1:5" x14ac:dyDescent="0.25">
      <c r="A1161" s="2">
        <f>IF(B1161="","",SUBTOTAL(3,$B$2:B1161))</f>
        <v>1160</v>
      </c>
      <c r="B1161" s="9" t="s">
        <v>51</v>
      </c>
      <c r="C1161" s="10" t="s">
        <v>54</v>
      </c>
      <c r="D1161" s="11">
        <v>158.84782378481412</v>
      </c>
      <c r="E1161" s="12">
        <f t="shared" si="18"/>
        <v>42599</v>
      </c>
    </row>
    <row r="1162" spans="1:5" x14ac:dyDescent="0.25">
      <c r="A1162" s="2">
        <f>IF(B1162="","",SUBTOTAL(3,$B$2:B1162))</f>
        <v>1161</v>
      </c>
      <c r="B1162" s="9" t="s">
        <v>55</v>
      </c>
      <c r="C1162" s="10" t="s">
        <v>52</v>
      </c>
      <c r="D1162" s="11">
        <v>114.06224539677368</v>
      </c>
      <c r="E1162" s="12">
        <f t="shared" si="18"/>
        <v>42600</v>
      </c>
    </row>
    <row r="1163" spans="1:5" x14ac:dyDescent="0.25">
      <c r="A1163" s="2">
        <f>IF(B1163="","",SUBTOTAL(3,$B$2:B1163))</f>
        <v>1162</v>
      </c>
      <c r="B1163" s="9" t="s">
        <v>48</v>
      </c>
      <c r="C1163" s="10" t="s">
        <v>49</v>
      </c>
      <c r="D1163" s="11">
        <v>30.807147258163894</v>
      </c>
      <c r="E1163" s="12">
        <f t="shared" si="18"/>
        <v>42601</v>
      </c>
    </row>
    <row r="1164" spans="1:5" x14ac:dyDescent="0.25">
      <c r="A1164" s="2">
        <f>IF(B1164="","",SUBTOTAL(3,$B$2:B1164))</f>
        <v>1163</v>
      </c>
      <c r="B1164" s="9" t="s">
        <v>48</v>
      </c>
      <c r="C1164" s="10" t="s">
        <v>49</v>
      </c>
      <c r="D1164" s="11">
        <v>30.807147258163894</v>
      </c>
      <c r="E1164" s="12">
        <f t="shared" si="18"/>
        <v>42602</v>
      </c>
    </row>
    <row r="1165" spans="1:5" x14ac:dyDescent="0.25">
      <c r="A1165" s="2">
        <f>IF(B1165="","",SUBTOTAL(3,$B$2:B1165))</f>
        <v>1164</v>
      </c>
      <c r="B1165" s="9" t="s">
        <v>48</v>
      </c>
      <c r="C1165" s="10" t="s">
        <v>52</v>
      </c>
      <c r="D1165" s="11">
        <v>30.807147258163894</v>
      </c>
      <c r="E1165" s="12">
        <f t="shared" si="18"/>
        <v>42603</v>
      </c>
    </row>
    <row r="1166" spans="1:5" x14ac:dyDescent="0.25">
      <c r="A1166" s="2">
        <f>IF(B1166="","",SUBTOTAL(3,$B$2:B1166))</f>
        <v>1165</v>
      </c>
      <c r="B1166" s="9" t="s">
        <v>48</v>
      </c>
      <c r="C1166" s="10" t="s">
        <v>52</v>
      </c>
      <c r="D1166" s="11">
        <v>13.038354898336415</v>
      </c>
      <c r="E1166" s="12">
        <f t="shared" si="18"/>
        <v>42604</v>
      </c>
    </row>
    <row r="1167" spans="1:5" x14ac:dyDescent="0.25">
      <c r="A1167" s="2">
        <f>IF(B1167="","",SUBTOTAL(3,$B$2:B1167))</f>
        <v>1166</v>
      </c>
      <c r="B1167" s="9" t="s">
        <v>48</v>
      </c>
      <c r="C1167" s="10" t="s">
        <v>49</v>
      </c>
      <c r="D1167" s="11">
        <v>92.421441774491683</v>
      </c>
      <c r="E1167" s="12">
        <f t="shared" si="18"/>
        <v>42605</v>
      </c>
    </row>
    <row r="1168" spans="1:5" x14ac:dyDescent="0.25">
      <c r="A1168" s="2">
        <f>IF(B1168="","",SUBTOTAL(3,$B$2:B1168))</f>
        <v>1167</v>
      </c>
      <c r="B1168" s="9" t="s">
        <v>48</v>
      </c>
      <c r="C1168" s="10" t="s">
        <v>52</v>
      </c>
      <c r="D1168" s="11">
        <v>63.049907578558226</v>
      </c>
      <c r="E1168" s="12">
        <f t="shared" si="18"/>
        <v>42606</v>
      </c>
    </row>
    <row r="1169" spans="1:5" x14ac:dyDescent="0.25">
      <c r="A1169" s="2">
        <f>IF(B1169="","",SUBTOTAL(3,$B$2:B1169))</f>
        <v>1168</v>
      </c>
      <c r="B1169" s="9" t="s">
        <v>48</v>
      </c>
      <c r="C1169" s="10" t="s">
        <v>52</v>
      </c>
      <c r="D1169" s="11">
        <v>840.66543438077633</v>
      </c>
      <c r="E1169" s="12">
        <f t="shared" si="18"/>
        <v>42607</v>
      </c>
    </row>
    <row r="1170" spans="1:5" x14ac:dyDescent="0.25">
      <c r="A1170" s="2">
        <f>IF(B1170="","",SUBTOTAL(3,$B$2:B1170))</f>
        <v>1169</v>
      </c>
      <c r="B1170" s="9" t="s">
        <v>48</v>
      </c>
      <c r="C1170" s="10" t="s">
        <v>52</v>
      </c>
      <c r="D1170" s="11">
        <v>525.41589648798515</v>
      </c>
      <c r="E1170" s="12">
        <f t="shared" si="18"/>
        <v>42608</v>
      </c>
    </row>
    <row r="1171" spans="1:5" x14ac:dyDescent="0.25">
      <c r="A1171" s="2">
        <f>IF(B1171="","",SUBTOTAL(3,$B$2:B1171))</f>
        <v>1170</v>
      </c>
      <c r="B1171" s="9" t="s">
        <v>48</v>
      </c>
      <c r="C1171" s="10" t="s">
        <v>52</v>
      </c>
      <c r="D1171" s="11">
        <v>105.08317929759704</v>
      </c>
      <c r="E1171" s="12">
        <f t="shared" si="18"/>
        <v>42609</v>
      </c>
    </row>
    <row r="1172" spans="1:5" x14ac:dyDescent="0.25">
      <c r="A1172" s="2">
        <f>IF(B1172="","",SUBTOTAL(3,$B$2:B1172))</f>
        <v>1171</v>
      </c>
      <c r="B1172" s="9" t="s">
        <v>48</v>
      </c>
      <c r="C1172" s="10" t="s">
        <v>52</v>
      </c>
      <c r="D1172" s="11">
        <v>104.74430067775724</v>
      </c>
      <c r="E1172" s="12">
        <f t="shared" si="18"/>
        <v>42610</v>
      </c>
    </row>
    <row r="1173" spans="1:5" x14ac:dyDescent="0.25">
      <c r="A1173" s="2">
        <f>IF(B1173="","",SUBTOTAL(3,$B$2:B1173))</f>
        <v>1172</v>
      </c>
      <c r="B1173" s="9" t="s">
        <v>48</v>
      </c>
      <c r="C1173" s="10" t="s">
        <v>52</v>
      </c>
      <c r="D1173" s="11">
        <v>770.17868145409739</v>
      </c>
      <c r="E1173" s="12">
        <f t="shared" si="18"/>
        <v>42611</v>
      </c>
    </row>
    <row r="1174" spans="1:5" x14ac:dyDescent="0.25">
      <c r="A1174" s="2">
        <f>IF(B1174="","",SUBTOTAL(3,$B$2:B1174))</f>
        <v>1173</v>
      </c>
      <c r="B1174" s="9" t="s">
        <v>48</v>
      </c>
      <c r="C1174" s="10" t="s">
        <v>52</v>
      </c>
      <c r="D1174" s="11">
        <v>46.210720887245841</v>
      </c>
      <c r="E1174" s="12">
        <f t="shared" si="18"/>
        <v>42612</v>
      </c>
    </row>
    <row r="1175" spans="1:5" x14ac:dyDescent="0.25">
      <c r="A1175" s="2">
        <f>IF(B1175="","",SUBTOTAL(3,$B$2:B1175))</f>
        <v>1174</v>
      </c>
      <c r="B1175" s="9" t="s">
        <v>50</v>
      </c>
      <c r="C1175" s="10" t="s">
        <v>49</v>
      </c>
      <c r="D1175" s="11">
        <v>97.934215167548501</v>
      </c>
      <c r="E1175" s="12">
        <f t="shared" si="18"/>
        <v>42613</v>
      </c>
    </row>
    <row r="1176" spans="1:5" x14ac:dyDescent="0.25">
      <c r="A1176" s="2">
        <f>IF(B1176="","",SUBTOTAL(3,$B$2:B1176))</f>
        <v>1175</v>
      </c>
      <c r="B1176" s="9" t="s">
        <v>48</v>
      </c>
      <c r="C1176" s="10" t="s">
        <v>54</v>
      </c>
      <c r="D1176" s="11">
        <v>462.10720887245844</v>
      </c>
      <c r="E1176" s="12">
        <f t="shared" si="18"/>
        <v>42614</v>
      </c>
    </row>
    <row r="1177" spans="1:5" x14ac:dyDescent="0.25">
      <c r="A1177" s="2">
        <f>IF(B1177="","",SUBTOTAL(3,$B$2:B1177))</f>
        <v>1176</v>
      </c>
      <c r="B1177" s="9" t="s">
        <v>55</v>
      </c>
      <c r="C1177" s="10" t="s">
        <v>52</v>
      </c>
      <c r="D1177" s="11">
        <v>80</v>
      </c>
      <c r="E1177" s="12">
        <f t="shared" si="18"/>
        <v>42615</v>
      </c>
    </row>
    <row r="1178" spans="1:5" x14ac:dyDescent="0.25">
      <c r="A1178" s="2">
        <f>IF(B1178="","",SUBTOTAL(3,$B$2:B1178))</f>
        <v>1177</v>
      </c>
      <c r="B1178" s="9" t="s">
        <v>48</v>
      </c>
      <c r="C1178" s="10" t="s">
        <v>54</v>
      </c>
      <c r="D1178" s="11">
        <v>34.012409513960705</v>
      </c>
      <c r="E1178" s="12">
        <f t="shared" si="18"/>
        <v>42616</v>
      </c>
    </row>
    <row r="1179" spans="1:5" x14ac:dyDescent="0.25">
      <c r="A1179" s="2">
        <f>IF(B1179="","",SUBTOTAL(3,$B$2:B1179))</f>
        <v>1178</v>
      </c>
      <c r="B1179" s="9" t="s">
        <v>51</v>
      </c>
      <c r="C1179" s="10" t="s">
        <v>52</v>
      </c>
      <c r="D1179" s="11">
        <v>4.529616724738676</v>
      </c>
      <c r="E1179" s="12">
        <f t="shared" si="18"/>
        <v>42617</v>
      </c>
    </row>
    <row r="1180" spans="1:5" x14ac:dyDescent="0.25">
      <c r="A1180" s="2">
        <f>IF(B1180="","",SUBTOTAL(3,$B$2:B1180))</f>
        <v>1179</v>
      </c>
      <c r="B1180" s="9" t="s">
        <v>55</v>
      </c>
      <c r="C1180" s="10" t="s">
        <v>49</v>
      </c>
      <c r="D1180" s="11">
        <v>1.5</v>
      </c>
      <c r="E1180" s="12">
        <f t="shared" si="18"/>
        <v>42618</v>
      </c>
    </row>
    <row r="1181" spans="1:5" x14ac:dyDescent="0.25">
      <c r="A1181" s="2">
        <f>IF(B1181="","",SUBTOTAL(3,$B$2:B1181))</f>
        <v>1180</v>
      </c>
      <c r="B1181" s="9" t="s">
        <v>51</v>
      </c>
      <c r="C1181" s="10" t="s">
        <v>52</v>
      </c>
      <c r="D1181" s="11">
        <v>405.15355319666151</v>
      </c>
      <c r="E1181" s="12">
        <f t="shared" si="18"/>
        <v>42619</v>
      </c>
    </row>
    <row r="1182" spans="1:5" x14ac:dyDescent="0.25">
      <c r="A1182" s="2">
        <f>IF(B1182="","",SUBTOTAL(3,$B$2:B1182))</f>
        <v>1181</v>
      </c>
      <c r="B1182" s="9" t="s">
        <v>51</v>
      </c>
      <c r="C1182" s="10" t="s">
        <v>49</v>
      </c>
      <c r="D1182" s="11">
        <v>105.89854918987609</v>
      </c>
      <c r="E1182" s="12">
        <f t="shared" si="18"/>
        <v>42620</v>
      </c>
    </row>
    <row r="1183" spans="1:5" x14ac:dyDescent="0.25">
      <c r="A1183" s="2">
        <f>IF(B1183="","",SUBTOTAL(3,$B$2:B1183))</f>
        <v>1182</v>
      </c>
      <c r="B1183" s="9" t="s">
        <v>55</v>
      </c>
      <c r="C1183" s="10" t="s">
        <v>54</v>
      </c>
      <c r="D1183" s="11">
        <v>8.0243941582410532</v>
      </c>
      <c r="E1183" s="12">
        <f t="shared" si="18"/>
        <v>42621</v>
      </c>
    </row>
    <row r="1184" spans="1:5" x14ac:dyDescent="0.25">
      <c r="A1184" s="2">
        <f>IF(B1184="","",SUBTOTAL(3,$B$2:B1184))</f>
        <v>1183</v>
      </c>
      <c r="B1184" s="9" t="s">
        <v>55</v>
      </c>
      <c r="C1184" s="10" t="s">
        <v>49</v>
      </c>
      <c r="D1184" s="11">
        <v>8.0243941582410532</v>
      </c>
      <c r="E1184" s="12">
        <f t="shared" si="18"/>
        <v>42622</v>
      </c>
    </row>
    <row r="1185" spans="1:5" x14ac:dyDescent="0.25">
      <c r="A1185" s="2">
        <f>IF(B1185="","",SUBTOTAL(3,$B$2:B1185))</f>
        <v>1184</v>
      </c>
      <c r="B1185" s="9" t="s">
        <v>51</v>
      </c>
      <c r="C1185" s="10" t="s">
        <v>49</v>
      </c>
      <c r="D1185" s="11">
        <v>42.359419675950441</v>
      </c>
      <c r="E1185" s="12">
        <f t="shared" si="18"/>
        <v>42623</v>
      </c>
    </row>
    <row r="1186" spans="1:5" x14ac:dyDescent="0.25">
      <c r="A1186" s="2">
        <f>IF(B1186="","",SUBTOTAL(3,$B$2:B1186))</f>
        <v>1185</v>
      </c>
      <c r="B1186" s="9" t="s">
        <v>48</v>
      </c>
      <c r="C1186" s="10" t="s">
        <v>52</v>
      </c>
      <c r="D1186" s="11">
        <v>128.48020762401552</v>
      </c>
      <c r="E1186" s="12">
        <f t="shared" si="18"/>
        <v>42624</v>
      </c>
    </row>
    <row r="1187" spans="1:5" x14ac:dyDescent="0.25">
      <c r="A1187" s="2">
        <f>IF(B1187="","",SUBTOTAL(3,$B$2:B1187))</f>
        <v>1186</v>
      </c>
      <c r="B1187" s="9" t="s">
        <v>50</v>
      </c>
      <c r="C1187" s="10" t="s">
        <v>49</v>
      </c>
      <c r="D1187" s="11">
        <v>900.67791005291008</v>
      </c>
      <c r="E1187" s="12">
        <f t="shared" si="18"/>
        <v>42625</v>
      </c>
    </row>
    <row r="1188" spans="1:5" x14ac:dyDescent="0.25">
      <c r="A1188" s="2">
        <f>IF(B1188="","",SUBTOTAL(3,$B$2:B1188))</f>
        <v>1187</v>
      </c>
      <c r="B1188" s="9" t="s">
        <v>50</v>
      </c>
      <c r="C1188" s="10" t="s">
        <v>54</v>
      </c>
      <c r="D1188" s="11">
        <v>44.091710758377424</v>
      </c>
      <c r="E1188" s="12">
        <f t="shared" si="18"/>
        <v>42626</v>
      </c>
    </row>
    <row r="1189" spans="1:5" x14ac:dyDescent="0.25">
      <c r="A1189" s="2">
        <f>IF(B1189="","",SUBTOTAL(3,$B$2:B1189))</f>
        <v>1188</v>
      </c>
      <c r="B1189" s="9" t="s">
        <v>50</v>
      </c>
      <c r="C1189" s="10" t="s">
        <v>49</v>
      </c>
      <c r="D1189" s="11">
        <v>293.80257936507934</v>
      </c>
      <c r="E1189" s="12">
        <f t="shared" si="18"/>
        <v>42627</v>
      </c>
    </row>
    <row r="1190" spans="1:5" x14ac:dyDescent="0.25">
      <c r="A1190" s="2">
        <f>IF(B1190="","",SUBTOTAL(3,$B$2:B1190))</f>
        <v>1189</v>
      </c>
      <c r="B1190" s="9" t="s">
        <v>50</v>
      </c>
      <c r="C1190" s="10" t="s">
        <v>49</v>
      </c>
      <c r="D1190" s="11">
        <v>97.934193121693127</v>
      </c>
      <c r="E1190" s="12">
        <f t="shared" si="18"/>
        <v>42628</v>
      </c>
    </row>
    <row r="1191" spans="1:5" x14ac:dyDescent="0.25">
      <c r="A1191" s="2">
        <f>IF(B1191="","",SUBTOTAL(3,$B$2:B1191))</f>
        <v>1190</v>
      </c>
      <c r="B1191" s="9" t="s">
        <v>51</v>
      </c>
      <c r="C1191" s="10" t="s">
        <v>49</v>
      </c>
      <c r="D1191" s="11">
        <v>5.2949274594938052</v>
      </c>
      <c r="E1191" s="12">
        <f t="shared" si="18"/>
        <v>42629</v>
      </c>
    </row>
    <row r="1192" spans="1:5" x14ac:dyDescent="0.25">
      <c r="A1192" s="2">
        <f>IF(B1192="","",SUBTOTAL(3,$B$2:B1192))</f>
        <v>1191</v>
      </c>
      <c r="B1192" s="9" t="s">
        <v>51</v>
      </c>
      <c r="C1192" s="10" t="s">
        <v>54</v>
      </c>
      <c r="D1192" s="11">
        <v>211.79709837975219</v>
      </c>
      <c r="E1192" s="12">
        <f t="shared" si="18"/>
        <v>42630</v>
      </c>
    </row>
    <row r="1193" spans="1:5" x14ac:dyDescent="0.25">
      <c r="A1193" s="2">
        <f>IF(B1193="","",SUBTOTAL(3,$B$2:B1193))</f>
        <v>1192</v>
      </c>
      <c r="B1193" s="9" t="s">
        <v>50</v>
      </c>
      <c r="C1193" s="10" t="s">
        <v>49</v>
      </c>
      <c r="D1193" s="11">
        <v>44.091710758377424</v>
      </c>
      <c r="E1193" s="12">
        <f t="shared" si="18"/>
        <v>42631</v>
      </c>
    </row>
    <row r="1194" spans="1:5" x14ac:dyDescent="0.25">
      <c r="A1194" s="2">
        <f>IF(B1194="","",SUBTOTAL(3,$B$2:B1194))</f>
        <v>1193</v>
      </c>
      <c r="B1194" s="9" t="s">
        <v>48</v>
      </c>
      <c r="C1194" s="10" t="s">
        <v>52</v>
      </c>
      <c r="D1194" s="11">
        <v>92.421441774491683</v>
      </c>
      <c r="E1194" s="12">
        <f t="shared" si="18"/>
        <v>42632</v>
      </c>
    </row>
    <row r="1195" spans="1:5" x14ac:dyDescent="0.25">
      <c r="A1195" s="2">
        <f>IF(B1195="","",SUBTOTAL(3,$B$2:B1195))</f>
        <v>1194</v>
      </c>
      <c r="B1195" s="9" t="s">
        <v>50</v>
      </c>
      <c r="C1195" s="10" t="s">
        <v>52</v>
      </c>
      <c r="D1195" s="11">
        <v>48.500881834215171</v>
      </c>
      <c r="E1195" s="12">
        <f t="shared" si="18"/>
        <v>42633</v>
      </c>
    </row>
    <row r="1196" spans="1:5" x14ac:dyDescent="0.25">
      <c r="A1196" s="2">
        <f>IF(B1196="","",SUBTOTAL(3,$B$2:B1196))</f>
        <v>1195</v>
      </c>
      <c r="B1196" s="9" t="s">
        <v>55</v>
      </c>
      <c r="C1196" s="10" t="s">
        <v>49</v>
      </c>
      <c r="D1196" s="11">
        <v>987.12135669959264</v>
      </c>
      <c r="E1196" s="12">
        <f t="shared" si="18"/>
        <v>42634</v>
      </c>
    </row>
    <row r="1197" spans="1:5" x14ac:dyDescent="0.25">
      <c r="A1197" s="2">
        <f>IF(B1197="","",SUBTOTAL(3,$B$2:B1197))</f>
        <v>1196</v>
      </c>
      <c r="B1197" s="9" t="s">
        <v>50</v>
      </c>
      <c r="C1197" s="10" t="s">
        <v>49</v>
      </c>
      <c r="D1197" s="11">
        <v>238.0952380952381</v>
      </c>
      <c r="E1197" s="12">
        <f t="shared" si="18"/>
        <v>42635</v>
      </c>
    </row>
    <row r="1198" spans="1:5" x14ac:dyDescent="0.25">
      <c r="A1198" s="2">
        <f>IF(B1198="","",SUBTOTAL(3,$B$2:B1198))</f>
        <v>1197</v>
      </c>
      <c r="B1198" s="9" t="s">
        <v>50</v>
      </c>
      <c r="C1198" s="10" t="s">
        <v>52</v>
      </c>
      <c r="D1198" s="11">
        <v>55.114638447971785</v>
      </c>
      <c r="E1198" s="12">
        <f t="shared" si="18"/>
        <v>42636</v>
      </c>
    </row>
    <row r="1199" spans="1:5" x14ac:dyDescent="0.25">
      <c r="A1199" s="2">
        <f>IF(B1199="","",SUBTOTAL(3,$B$2:B1199))</f>
        <v>1198</v>
      </c>
      <c r="B1199" s="9" t="s">
        <v>51</v>
      </c>
      <c r="C1199" s="10" t="s">
        <v>52</v>
      </c>
      <c r="D1199" s="11">
        <v>48.618426383599385</v>
      </c>
      <c r="E1199" s="12">
        <f t="shared" si="18"/>
        <v>42637</v>
      </c>
    </row>
    <row r="1200" spans="1:5" x14ac:dyDescent="0.25">
      <c r="A1200" s="2">
        <f>IF(B1200="","",SUBTOTAL(3,$B$2:B1200))</f>
        <v>1199</v>
      </c>
      <c r="B1200" s="9" t="s">
        <v>50</v>
      </c>
      <c r="C1200" s="10" t="s">
        <v>49</v>
      </c>
      <c r="D1200" s="11">
        <v>36.081128747795418</v>
      </c>
      <c r="E1200" s="12">
        <f t="shared" si="18"/>
        <v>42638</v>
      </c>
    </row>
    <row r="1201" spans="1:5" x14ac:dyDescent="0.25">
      <c r="A1201" s="2">
        <f>IF(B1201="","",SUBTOTAL(3,$B$2:B1201))</f>
        <v>1200</v>
      </c>
      <c r="B1201" s="9" t="s">
        <v>50</v>
      </c>
      <c r="C1201" s="10" t="s">
        <v>52</v>
      </c>
      <c r="D1201" s="11">
        <v>317.46031746031747</v>
      </c>
      <c r="E1201" s="12">
        <f t="shared" si="18"/>
        <v>42639</v>
      </c>
    </row>
    <row r="1202" spans="1:5" x14ac:dyDescent="0.25">
      <c r="A1202" s="2">
        <f>IF(B1202="","",SUBTOTAL(3,$B$2:B1202))</f>
        <v>1201</v>
      </c>
      <c r="B1202" s="9" t="s">
        <v>50</v>
      </c>
      <c r="C1202" s="10" t="s">
        <v>49</v>
      </c>
      <c r="D1202" s="11">
        <v>16.534391534391535</v>
      </c>
      <c r="E1202" s="12">
        <f t="shared" si="18"/>
        <v>42640</v>
      </c>
    </row>
    <row r="1203" spans="1:5" x14ac:dyDescent="0.25">
      <c r="A1203" s="2">
        <f>IF(B1203="","",SUBTOTAL(3,$B$2:B1203))</f>
        <v>1202</v>
      </c>
      <c r="B1203" s="9" t="s">
        <v>48</v>
      </c>
      <c r="C1203" s="10" t="s">
        <v>52</v>
      </c>
      <c r="D1203" s="11">
        <v>642.4010381200776</v>
      </c>
      <c r="E1203" s="12">
        <f t="shared" si="18"/>
        <v>42641</v>
      </c>
    </row>
    <row r="1204" spans="1:5" x14ac:dyDescent="0.25">
      <c r="A1204" s="2">
        <f>IF(B1204="","",SUBTOTAL(3,$B$2:B1204))</f>
        <v>1203</v>
      </c>
      <c r="B1204" s="9" t="s">
        <v>48</v>
      </c>
      <c r="C1204" s="10" t="s">
        <v>54</v>
      </c>
      <c r="D1204" s="11">
        <v>12.848020762401553</v>
      </c>
      <c r="E1204" s="12">
        <f t="shared" si="18"/>
        <v>42642</v>
      </c>
    </row>
    <row r="1205" spans="1:5" x14ac:dyDescent="0.25">
      <c r="A1205" s="2">
        <f>IF(B1205="","",SUBTOTAL(3,$B$2:B1205))</f>
        <v>1204</v>
      </c>
      <c r="B1205" s="9" t="s">
        <v>48</v>
      </c>
      <c r="C1205" s="10" t="s">
        <v>54</v>
      </c>
      <c r="D1205" s="11">
        <v>12.848020762401553</v>
      </c>
      <c r="E1205" s="12">
        <f t="shared" si="18"/>
        <v>42643</v>
      </c>
    </row>
    <row r="1206" spans="1:5" x14ac:dyDescent="0.25">
      <c r="A1206" s="2">
        <f>IF(B1206="","",SUBTOTAL(3,$B$2:B1206))</f>
        <v>1205</v>
      </c>
      <c r="B1206" s="9" t="s">
        <v>55</v>
      </c>
      <c r="C1206" s="10" t="s">
        <v>52</v>
      </c>
      <c r="D1206" s="11">
        <v>24.873432259842879</v>
      </c>
      <c r="E1206" s="12">
        <f t="shared" si="18"/>
        <v>42644</v>
      </c>
    </row>
    <row r="1207" spans="1:5" x14ac:dyDescent="0.25">
      <c r="A1207" s="2">
        <f>IF(B1207="","",SUBTOTAL(3,$B$2:B1207))</f>
        <v>1206</v>
      </c>
      <c r="B1207" s="9" t="s">
        <v>55</v>
      </c>
      <c r="C1207" s="10" t="s">
        <v>49</v>
      </c>
      <c r="D1207" s="11">
        <v>98.712135669959252</v>
      </c>
      <c r="E1207" s="12">
        <f t="shared" si="18"/>
        <v>42645</v>
      </c>
    </row>
    <row r="1208" spans="1:5" x14ac:dyDescent="0.25">
      <c r="A1208" s="2">
        <f>IF(B1208="","",SUBTOTAL(3,$B$2:B1208))</f>
        <v>1207</v>
      </c>
      <c r="B1208" s="9" t="s">
        <v>50</v>
      </c>
      <c r="C1208" s="10" t="s">
        <v>52</v>
      </c>
      <c r="D1208" s="11">
        <v>110.22927689594357</v>
      </c>
      <c r="E1208" s="12">
        <f t="shared" si="18"/>
        <v>42646</v>
      </c>
    </row>
    <row r="1209" spans="1:5" x14ac:dyDescent="0.25">
      <c r="A1209" s="2">
        <f>IF(B1209="","",SUBTOTAL(3,$B$2:B1209))</f>
        <v>1208</v>
      </c>
      <c r="B1209" s="9" t="s">
        <v>48</v>
      </c>
      <c r="C1209" s="10" t="s">
        <v>54</v>
      </c>
      <c r="D1209" s="11">
        <v>123.22858903265558</v>
      </c>
      <c r="E1209" s="12">
        <f t="shared" si="18"/>
        <v>42647</v>
      </c>
    </row>
    <row r="1210" spans="1:5" x14ac:dyDescent="0.25">
      <c r="A1210" s="2">
        <f>IF(B1210="","",SUBTOTAL(3,$B$2:B1210))</f>
        <v>1209</v>
      </c>
      <c r="B1210" s="9" t="s">
        <v>48</v>
      </c>
      <c r="C1210" s="10" t="s">
        <v>52</v>
      </c>
      <c r="D1210" s="11">
        <v>77.017868145409736</v>
      </c>
      <c r="E1210" s="12">
        <f t="shared" si="18"/>
        <v>42648</v>
      </c>
    </row>
    <row r="1211" spans="1:5" x14ac:dyDescent="0.25">
      <c r="A1211" s="2">
        <f>IF(B1211="","",SUBTOTAL(3,$B$2:B1211))</f>
        <v>1210</v>
      </c>
      <c r="B1211" s="9" t="s">
        <v>48</v>
      </c>
      <c r="C1211" s="10" t="s">
        <v>52</v>
      </c>
      <c r="D1211" s="11">
        <v>138.63216266173754</v>
      </c>
      <c r="E1211" s="12">
        <f t="shared" si="18"/>
        <v>42649</v>
      </c>
    </row>
    <row r="1212" spans="1:5" x14ac:dyDescent="0.25">
      <c r="A1212" s="2">
        <f>IF(B1212="","",SUBTOTAL(3,$B$2:B1212))</f>
        <v>1211</v>
      </c>
      <c r="B1212" s="9" t="s">
        <v>48</v>
      </c>
      <c r="C1212" s="10" t="s">
        <v>52</v>
      </c>
      <c r="D1212" s="11">
        <v>154.03573629081947</v>
      </c>
      <c r="E1212" s="12">
        <f t="shared" si="18"/>
        <v>42650</v>
      </c>
    </row>
    <row r="1213" spans="1:5" x14ac:dyDescent="0.25">
      <c r="A1213" s="2">
        <f>IF(B1213="","",SUBTOTAL(3,$B$2:B1213))</f>
        <v>1212</v>
      </c>
      <c r="B1213" s="9" t="s">
        <v>48</v>
      </c>
      <c r="C1213" s="10" t="s">
        <v>52</v>
      </c>
      <c r="D1213" s="11">
        <v>123.22858903265558</v>
      </c>
      <c r="E1213" s="12">
        <f t="shared" si="18"/>
        <v>42651</v>
      </c>
    </row>
    <row r="1214" spans="1:5" x14ac:dyDescent="0.25">
      <c r="A1214" s="2">
        <f>IF(B1214="","",SUBTOTAL(3,$B$2:B1214))</f>
        <v>1213</v>
      </c>
      <c r="B1214" s="9" t="s">
        <v>53</v>
      </c>
      <c r="C1214" s="10" t="s">
        <v>49</v>
      </c>
      <c r="D1214" s="11">
        <v>18.317198933939025</v>
      </c>
      <c r="E1214" s="12">
        <f t="shared" si="18"/>
        <v>42652</v>
      </c>
    </row>
    <row r="1215" spans="1:5" x14ac:dyDescent="0.25">
      <c r="A1215" s="2">
        <f>IF(B1215="","",SUBTOTAL(3,$B$2:B1215))</f>
        <v>1214</v>
      </c>
      <c r="B1215" s="9" t="s">
        <v>53</v>
      </c>
      <c r="C1215" s="10" t="s">
        <v>49</v>
      </c>
      <c r="D1215" s="11">
        <v>18.317198933939025</v>
      </c>
      <c r="E1215" s="12">
        <f t="shared" si="18"/>
        <v>42653</v>
      </c>
    </row>
    <row r="1216" spans="1:5" x14ac:dyDescent="0.25">
      <c r="A1216" s="2">
        <f>IF(B1216="","",SUBTOTAL(3,$B$2:B1216))</f>
        <v>1215</v>
      </c>
      <c r="B1216" s="9" t="s">
        <v>48</v>
      </c>
      <c r="C1216" s="10" t="s">
        <v>52</v>
      </c>
      <c r="D1216" s="11">
        <v>77.017868145409736</v>
      </c>
      <c r="E1216" s="12">
        <f t="shared" si="18"/>
        <v>42654</v>
      </c>
    </row>
    <row r="1217" spans="1:5" x14ac:dyDescent="0.25">
      <c r="A1217" s="2">
        <f>IF(B1217="","",SUBTOTAL(3,$B$2:B1217))</f>
        <v>1216</v>
      </c>
      <c r="B1217" s="9" t="s">
        <v>48</v>
      </c>
      <c r="C1217" s="10" t="s">
        <v>52</v>
      </c>
      <c r="D1217" s="11">
        <v>77.017868145409736</v>
      </c>
      <c r="E1217" s="12">
        <f t="shared" si="18"/>
        <v>42655</v>
      </c>
    </row>
    <row r="1218" spans="1:5" x14ac:dyDescent="0.25">
      <c r="A1218" s="2">
        <f>IF(B1218="","",SUBTOTAL(3,$B$2:B1218))</f>
        <v>1217</v>
      </c>
      <c r="B1218" s="9" t="s">
        <v>51</v>
      </c>
      <c r="C1218" s="10" t="s">
        <v>54</v>
      </c>
      <c r="D1218" s="11">
        <v>52.949274594938046</v>
      </c>
      <c r="E1218" s="12">
        <f t="shared" si="18"/>
        <v>42656</v>
      </c>
    </row>
    <row r="1219" spans="1:5" x14ac:dyDescent="0.25">
      <c r="A1219" s="2">
        <f>IF(B1219="","",SUBTOTAL(3,$B$2:B1219))</f>
        <v>1218</v>
      </c>
      <c r="B1219" s="9" t="s">
        <v>55</v>
      </c>
      <c r="C1219" s="10" t="s">
        <v>49</v>
      </c>
      <c r="D1219" s="11">
        <v>30</v>
      </c>
      <c r="E1219" s="12">
        <f t="shared" si="18"/>
        <v>42657</v>
      </c>
    </row>
    <row r="1220" spans="1:5" x14ac:dyDescent="0.25">
      <c r="A1220" s="2">
        <f>IF(B1220="","",SUBTOTAL(3,$B$2:B1220))</f>
        <v>1219</v>
      </c>
      <c r="B1220" s="9" t="s">
        <v>48</v>
      </c>
      <c r="C1220" s="10" t="s">
        <v>52</v>
      </c>
      <c r="D1220" s="11">
        <v>17.235436056532226</v>
      </c>
      <c r="E1220" s="12">
        <f t="shared" ref="E1220:E1283" si="19">E1219+1</f>
        <v>42658</v>
      </c>
    </row>
    <row r="1221" spans="1:5" x14ac:dyDescent="0.25">
      <c r="A1221" s="2">
        <f>IF(B1221="","",SUBTOTAL(3,$B$2:B1221))</f>
        <v>1220</v>
      </c>
      <c r="B1221" s="9" t="s">
        <v>50</v>
      </c>
      <c r="C1221" s="10" t="s">
        <v>52</v>
      </c>
      <c r="D1221" s="11">
        <v>110.22927689594357</v>
      </c>
      <c r="E1221" s="12">
        <f t="shared" si="19"/>
        <v>42659</v>
      </c>
    </row>
    <row r="1222" spans="1:5" x14ac:dyDescent="0.25">
      <c r="A1222" s="2">
        <f>IF(B1222="","",SUBTOTAL(3,$B$2:B1222))</f>
        <v>1221</v>
      </c>
      <c r="B1222" s="9" t="s">
        <v>50</v>
      </c>
      <c r="C1222" s="10" t="s">
        <v>52</v>
      </c>
      <c r="D1222" s="11">
        <v>110.22927689594357</v>
      </c>
      <c r="E1222" s="12">
        <f t="shared" si="19"/>
        <v>42660</v>
      </c>
    </row>
    <row r="1223" spans="1:5" x14ac:dyDescent="0.25">
      <c r="A1223" s="2">
        <f>IF(B1223="","",SUBTOTAL(3,$B$2:B1223))</f>
        <v>1222</v>
      </c>
      <c r="B1223" s="9" t="s">
        <v>50</v>
      </c>
      <c r="C1223" s="10" t="s">
        <v>49</v>
      </c>
      <c r="D1223" s="11">
        <v>36.0810405643739</v>
      </c>
      <c r="E1223" s="12">
        <f t="shared" si="19"/>
        <v>42661</v>
      </c>
    </row>
    <row r="1224" spans="1:5" x14ac:dyDescent="0.25">
      <c r="A1224" s="2">
        <f>IF(B1224="","",SUBTOTAL(3,$B$2:B1224))</f>
        <v>1223</v>
      </c>
      <c r="B1224" s="9" t="s">
        <v>48</v>
      </c>
      <c r="C1224" s="10" t="s">
        <v>49</v>
      </c>
      <c r="D1224" s="11">
        <v>77.017868145409736</v>
      </c>
      <c r="E1224" s="12">
        <f t="shared" si="19"/>
        <v>42662</v>
      </c>
    </row>
    <row r="1225" spans="1:5" x14ac:dyDescent="0.25">
      <c r="A1225" s="2">
        <f>IF(B1225="","",SUBTOTAL(3,$B$2:B1225))</f>
        <v>1224</v>
      </c>
      <c r="B1225" s="9" t="s">
        <v>51</v>
      </c>
      <c r="C1225" s="10" t="s">
        <v>57</v>
      </c>
      <c r="D1225" s="11">
        <v>1058.985491898761</v>
      </c>
      <c r="E1225" s="12">
        <f t="shared" si="19"/>
        <v>42663</v>
      </c>
    </row>
    <row r="1226" spans="1:5" x14ac:dyDescent="0.25">
      <c r="A1226" s="2">
        <f>IF(B1226="","",SUBTOTAL(3,$B$2:B1226))</f>
        <v>1225</v>
      </c>
      <c r="B1226" s="9" t="s">
        <v>48</v>
      </c>
      <c r="C1226" s="10" t="s">
        <v>52</v>
      </c>
      <c r="D1226" s="11">
        <v>103.41261633919338</v>
      </c>
      <c r="E1226" s="12">
        <f t="shared" si="19"/>
        <v>42664</v>
      </c>
    </row>
    <row r="1227" spans="1:5" x14ac:dyDescent="0.25">
      <c r="A1227" s="2">
        <f>IF(B1227="","",SUBTOTAL(3,$B$2:B1227))</f>
        <v>1226</v>
      </c>
      <c r="B1227" s="9" t="s">
        <v>48</v>
      </c>
      <c r="C1227" s="10" t="s">
        <v>52</v>
      </c>
      <c r="D1227" s="11">
        <v>68.941744226128904</v>
      </c>
      <c r="E1227" s="12">
        <f t="shared" si="19"/>
        <v>42665</v>
      </c>
    </row>
    <row r="1228" spans="1:5" x14ac:dyDescent="0.25">
      <c r="A1228" s="2">
        <f>IF(B1228="","",SUBTOTAL(3,$B$2:B1228))</f>
        <v>1227</v>
      </c>
      <c r="B1228" s="9" t="s">
        <v>48</v>
      </c>
      <c r="C1228" s="10" t="s">
        <v>52</v>
      </c>
      <c r="D1228" s="11">
        <v>68.941744226128904</v>
      </c>
      <c r="E1228" s="12">
        <f t="shared" si="19"/>
        <v>42666</v>
      </c>
    </row>
    <row r="1229" spans="1:5" x14ac:dyDescent="0.25">
      <c r="A1229" s="2">
        <f>IF(B1229="","",SUBTOTAL(3,$B$2:B1229))</f>
        <v>1228</v>
      </c>
      <c r="B1229" s="9" t="s">
        <v>48</v>
      </c>
      <c r="C1229" s="10" t="s">
        <v>54</v>
      </c>
      <c r="D1229" s="11">
        <v>34.470872113064452</v>
      </c>
      <c r="E1229" s="12">
        <f t="shared" si="19"/>
        <v>42667</v>
      </c>
    </row>
    <row r="1230" spans="1:5" x14ac:dyDescent="0.25">
      <c r="A1230" s="2">
        <f>IF(B1230="","",SUBTOTAL(3,$B$2:B1230))</f>
        <v>1229</v>
      </c>
      <c r="B1230" s="9" t="s">
        <v>48</v>
      </c>
      <c r="C1230" s="10" t="s">
        <v>49</v>
      </c>
      <c r="D1230" s="11">
        <v>98.088262476894641</v>
      </c>
      <c r="E1230" s="12">
        <f t="shared" si="19"/>
        <v>42668</v>
      </c>
    </row>
    <row r="1231" spans="1:5" x14ac:dyDescent="0.25">
      <c r="A1231" s="2">
        <f>IF(B1231="","",SUBTOTAL(3,$B$2:B1231))</f>
        <v>1230</v>
      </c>
      <c r="B1231" s="9" t="s">
        <v>48</v>
      </c>
      <c r="C1231" s="10" t="s">
        <v>54</v>
      </c>
      <c r="D1231" s="11">
        <v>123.22858903265558</v>
      </c>
      <c r="E1231" s="12">
        <f t="shared" si="19"/>
        <v>42669</v>
      </c>
    </row>
    <row r="1232" spans="1:5" x14ac:dyDescent="0.25">
      <c r="A1232" s="2">
        <f>IF(B1232="","",SUBTOTAL(3,$B$2:B1232))</f>
        <v>1231</v>
      </c>
      <c r="B1232" s="9" t="s">
        <v>48</v>
      </c>
      <c r="C1232" s="10" t="s">
        <v>54</v>
      </c>
      <c r="D1232" s="11">
        <v>23.105360443622921</v>
      </c>
      <c r="E1232" s="12">
        <f t="shared" si="19"/>
        <v>42670</v>
      </c>
    </row>
    <row r="1233" spans="1:5" x14ac:dyDescent="0.25">
      <c r="A1233" s="2">
        <f>IF(B1233="","",SUBTOTAL(3,$B$2:B1233))</f>
        <v>1232</v>
      </c>
      <c r="B1233" s="9" t="s">
        <v>48</v>
      </c>
      <c r="C1233" s="10" t="s">
        <v>49</v>
      </c>
      <c r="D1233" s="11">
        <v>27.726432532347506</v>
      </c>
      <c r="E1233" s="12">
        <f t="shared" si="19"/>
        <v>42671</v>
      </c>
    </row>
    <row r="1234" spans="1:5" x14ac:dyDescent="0.25">
      <c r="A1234" s="2">
        <f>IF(B1234="","",SUBTOTAL(3,$B$2:B1234))</f>
        <v>1233</v>
      </c>
      <c r="B1234" s="9" t="s">
        <v>48</v>
      </c>
      <c r="C1234" s="10" t="s">
        <v>54</v>
      </c>
      <c r="D1234" s="11">
        <v>15.403573629081947</v>
      </c>
      <c r="E1234" s="12">
        <f t="shared" si="19"/>
        <v>42672</v>
      </c>
    </row>
    <row r="1235" spans="1:5" x14ac:dyDescent="0.25">
      <c r="A1235" s="2">
        <f>IF(B1235="","",SUBTOTAL(3,$B$2:B1235))</f>
        <v>1234</v>
      </c>
      <c r="B1235" s="9" t="s">
        <v>48</v>
      </c>
      <c r="C1235" s="10" t="s">
        <v>52</v>
      </c>
      <c r="D1235" s="11">
        <v>770.17868145409739</v>
      </c>
      <c r="E1235" s="12">
        <f t="shared" si="19"/>
        <v>42673</v>
      </c>
    </row>
    <row r="1236" spans="1:5" x14ac:dyDescent="0.25">
      <c r="A1236" s="2">
        <f>IF(B1236="","",SUBTOTAL(3,$B$2:B1236))</f>
        <v>1235</v>
      </c>
      <c r="B1236" s="9" t="s">
        <v>48</v>
      </c>
      <c r="C1236" s="10" t="s">
        <v>52</v>
      </c>
      <c r="D1236" s="11">
        <v>123.22858903265558</v>
      </c>
      <c r="E1236" s="12">
        <f t="shared" si="19"/>
        <v>42674</v>
      </c>
    </row>
    <row r="1237" spans="1:5" x14ac:dyDescent="0.25">
      <c r="A1237" s="2">
        <f>IF(B1237="","",SUBTOTAL(3,$B$2:B1237))</f>
        <v>1236</v>
      </c>
      <c r="B1237" s="9" t="s">
        <v>48</v>
      </c>
      <c r="C1237" s="10" t="s">
        <v>52</v>
      </c>
      <c r="D1237" s="11">
        <v>123.22858903265558</v>
      </c>
      <c r="E1237" s="12">
        <f t="shared" si="19"/>
        <v>42675</v>
      </c>
    </row>
    <row r="1238" spans="1:5" x14ac:dyDescent="0.25">
      <c r="A1238" s="2">
        <f>IF(B1238="","",SUBTOTAL(3,$B$2:B1238))</f>
        <v>1237</v>
      </c>
      <c r="B1238" s="9" t="s">
        <v>48</v>
      </c>
      <c r="C1238" s="10" t="s">
        <v>54</v>
      </c>
      <c r="D1238" s="11">
        <v>23.105360443622921</v>
      </c>
      <c r="E1238" s="12">
        <f t="shared" si="19"/>
        <v>42676</v>
      </c>
    </row>
    <row r="1239" spans="1:5" x14ac:dyDescent="0.25">
      <c r="A1239" s="2">
        <f>IF(B1239="","",SUBTOTAL(3,$B$2:B1239))</f>
        <v>1238</v>
      </c>
      <c r="B1239" s="9" t="s">
        <v>48</v>
      </c>
      <c r="C1239" s="10" t="s">
        <v>49</v>
      </c>
      <c r="D1239" s="11">
        <v>46.210720887245841</v>
      </c>
      <c r="E1239" s="12">
        <f t="shared" si="19"/>
        <v>42677</v>
      </c>
    </row>
    <row r="1240" spans="1:5" x14ac:dyDescent="0.25">
      <c r="A1240" s="2">
        <f>IF(B1240="","",SUBTOTAL(3,$B$2:B1240))</f>
        <v>1239</v>
      </c>
      <c r="B1240" s="9" t="s">
        <v>48</v>
      </c>
      <c r="C1240" s="10" t="s">
        <v>52</v>
      </c>
      <c r="D1240" s="11">
        <v>107.82501540357363</v>
      </c>
      <c r="E1240" s="12">
        <f t="shared" si="19"/>
        <v>42678</v>
      </c>
    </row>
    <row r="1241" spans="1:5" x14ac:dyDescent="0.25">
      <c r="A1241" s="2">
        <f>IF(B1241="","",SUBTOTAL(3,$B$2:B1241))</f>
        <v>1240</v>
      </c>
      <c r="B1241" s="9" t="s">
        <v>48</v>
      </c>
      <c r="C1241" s="10" t="s">
        <v>52</v>
      </c>
      <c r="D1241" s="11">
        <v>38.508934072704868</v>
      </c>
      <c r="E1241" s="12">
        <f t="shared" si="19"/>
        <v>42679</v>
      </c>
    </row>
    <row r="1242" spans="1:5" x14ac:dyDescent="0.25">
      <c r="A1242" s="2">
        <f>IF(B1242="","",SUBTOTAL(3,$B$2:B1242))</f>
        <v>1241</v>
      </c>
      <c r="B1242" s="9" t="s">
        <v>53</v>
      </c>
      <c r="C1242" s="10" t="s">
        <v>49</v>
      </c>
      <c r="D1242" s="11">
        <v>274.75798400908536</v>
      </c>
      <c r="E1242" s="12">
        <f t="shared" si="19"/>
        <v>42680</v>
      </c>
    </row>
    <row r="1243" spans="1:5" x14ac:dyDescent="0.25">
      <c r="A1243" s="2">
        <f>IF(B1243="","",SUBTOTAL(3,$B$2:B1243))</f>
        <v>1242</v>
      </c>
      <c r="B1243" s="9" t="s">
        <v>53</v>
      </c>
      <c r="C1243" s="10" t="s">
        <v>49</v>
      </c>
      <c r="D1243" s="11">
        <v>26.823248188886957</v>
      </c>
      <c r="E1243" s="12">
        <f t="shared" si="19"/>
        <v>42681</v>
      </c>
    </row>
    <row r="1244" spans="1:5" x14ac:dyDescent="0.25">
      <c r="A1244" s="2">
        <f>IF(B1244="","",SUBTOTAL(3,$B$2:B1244))</f>
        <v>1243</v>
      </c>
      <c r="B1244" s="9" t="s">
        <v>48</v>
      </c>
      <c r="C1244" s="10" t="s">
        <v>52</v>
      </c>
      <c r="D1244" s="11">
        <v>308.07147258163894</v>
      </c>
      <c r="E1244" s="12">
        <f t="shared" si="19"/>
        <v>42682</v>
      </c>
    </row>
    <row r="1245" spans="1:5" x14ac:dyDescent="0.25">
      <c r="A1245" s="2">
        <f>IF(B1245="","",SUBTOTAL(3,$B$2:B1245))</f>
        <v>1244</v>
      </c>
      <c r="B1245" s="9" t="s">
        <v>48</v>
      </c>
      <c r="C1245" s="10" t="s">
        <v>52</v>
      </c>
      <c r="D1245" s="11">
        <v>1232.2858903265558</v>
      </c>
      <c r="E1245" s="12">
        <f t="shared" si="19"/>
        <v>42683</v>
      </c>
    </row>
    <row r="1246" spans="1:5" x14ac:dyDescent="0.25">
      <c r="A1246" s="2">
        <f>IF(B1246="","",SUBTOTAL(3,$B$2:B1246))</f>
        <v>1245</v>
      </c>
      <c r="B1246" s="9" t="s">
        <v>48</v>
      </c>
      <c r="C1246" s="10" t="s">
        <v>49</v>
      </c>
      <c r="D1246" s="11">
        <v>27.726432532347506</v>
      </c>
      <c r="E1246" s="12">
        <f t="shared" si="19"/>
        <v>42684</v>
      </c>
    </row>
    <row r="1247" spans="1:5" x14ac:dyDescent="0.25">
      <c r="A1247" s="2">
        <f>IF(B1247="","",SUBTOTAL(3,$B$2:B1247))</f>
        <v>1246</v>
      </c>
      <c r="B1247" s="9" t="s">
        <v>48</v>
      </c>
      <c r="C1247" s="10" t="s">
        <v>54</v>
      </c>
      <c r="D1247" s="11">
        <v>38.508934072704868</v>
      </c>
      <c r="E1247" s="12">
        <f t="shared" si="19"/>
        <v>42685</v>
      </c>
    </row>
    <row r="1248" spans="1:5" x14ac:dyDescent="0.25">
      <c r="A1248" s="2">
        <f>IF(B1248="","",SUBTOTAL(3,$B$2:B1248))</f>
        <v>1247</v>
      </c>
      <c r="B1248" s="9" t="s">
        <v>48</v>
      </c>
      <c r="C1248" s="10" t="s">
        <v>49</v>
      </c>
      <c r="D1248" s="11">
        <v>231.05360443622922</v>
      </c>
      <c r="E1248" s="12">
        <f t="shared" si="19"/>
        <v>42686</v>
      </c>
    </row>
    <row r="1249" spans="1:5" x14ac:dyDescent="0.25">
      <c r="A1249" s="2">
        <f>IF(B1249="","",SUBTOTAL(3,$B$2:B1249))</f>
        <v>1248</v>
      </c>
      <c r="B1249" s="9" t="s">
        <v>48</v>
      </c>
      <c r="C1249" s="10" t="s">
        <v>49</v>
      </c>
      <c r="D1249" s="11">
        <v>115.52680221811461</v>
      </c>
      <c r="E1249" s="12">
        <f t="shared" si="19"/>
        <v>42687</v>
      </c>
    </row>
    <row r="1250" spans="1:5" x14ac:dyDescent="0.25">
      <c r="A1250" s="2">
        <f>IF(B1250="","",SUBTOTAL(3,$B$2:B1250))</f>
        <v>1249</v>
      </c>
      <c r="B1250" s="9" t="s">
        <v>48</v>
      </c>
      <c r="C1250" s="10" t="s">
        <v>49</v>
      </c>
      <c r="D1250" s="11">
        <v>61.614294516327789</v>
      </c>
      <c r="E1250" s="12">
        <f t="shared" si="19"/>
        <v>42688</v>
      </c>
    </row>
    <row r="1251" spans="1:5" x14ac:dyDescent="0.25">
      <c r="A1251" s="2">
        <f>IF(B1251="","",SUBTOTAL(3,$B$2:B1251))</f>
        <v>1250</v>
      </c>
      <c r="B1251" s="9" t="s">
        <v>48</v>
      </c>
      <c r="C1251" s="10" t="s">
        <v>49</v>
      </c>
      <c r="D1251" s="11">
        <v>46.210720887245841</v>
      </c>
      <c r="E1251" s="12">
        <f t="shared" si="19"/>
        <v>42689</v>
      </c>
    </row>
    <row r="1252" spans="1:5" x14ac:dyDescent="0.25">
      <c r="A1252" s="2">
        <f>IF(B1252="","",SUBTOTAL(3,$B$2:B1252))</f>
        <v>1251</v>
      </c>
      <c r="B1252" s="9" t="s">
        <v>50</v>
      </c>
      <c r="C1252" s="10" t="s">
        <v>52</v>
      </c>
      <c r="D1252" s="11">
        <v>44.091710758377424</v>
      </c>
      <c r="E1252" s="12">
        <f t="shared" si="19"/>
        <v>42690</v>
      </c>
    </row>
    <row r="1253" spans="1:5" x14ac:dyDescent="0.25">
      <c r="A1253" s="2">
        <f>IF(B1253="","",SUBTOTAL(3,$B$2:B1253))</f>
        <v>1252</v>
      </c>
      <c r="B1253" s="9" t="s">
        <v>50</v>
      </c>
      <c r="C1253" s="10" t="s">
        <v>52</v>
      </c>
      <c r="D1253" s="11">
        <v>22.045855379188712</v>
      </c>
      <c r="E1253" s="12">
        <f t="shared" si="19"/>
        <v>42691</v>
      </c>
    </row>
    <row r="1254" spans="1:5" x14ac:dyDescent="0.25">
      <c r="A1254" s="2">
        <f>IF(B1254="","",SUBTOTAL(3,$B$2:B1254))</f>
        <v>1253</v>
      </c>
      <c r="B1254" s="9" t="s">
        <v>48</v>
      </c>
      <c r="C1254" s="10" t="s">
        <v>54</v>
      </c>
      <c r="D1254" s="11">
        <v>123.22858903265558</v>
      </c>
      <c r="E1254" s="12">
        <f t="shared" si="19"/>
        <v>42692</v>
      </c>
    </row>
    <row r="1255" spans="1:5" x14ac:dyDescent="0.25">
      <c r="A1255" s="2">
        <f>IF(B1255="","",SUBTOTAL(3,$B$2:B1255))</f>
        <v>1254</v>
      </c>
      <c r="B1255" s="9" t="s">
        <v>48</v>
      </c>
      <c r="C1255" s="10" t="s">
        <v>52</v>
      </c>
      <c r="D1255" s="11">
        <v>128.48020762401552</v>
      </c>
      <c r="E1255" s="12">
        <f t="shared" si="19"/>
        <v>42693</v>
      </c>
    </row>
    <row r="1256" spans="1:5" x14ac:dyDescent="0.25">
      <c r="A1256" s="2">
        <f>IF(B1256="","",SUBTOTAL(3,$B$2:B1256))</f>
        <v>1255</v>
      </c>
      <c r="B1256" s="9" t="s">
        <v>48</v>
      </c>
      <c r="C1256" s="10" t="s">
        <v>49</v>
      </c>
      <c r="D1256" s="11">
        <v>30.742487119859188</v>
      </c>
      <c r="E1256" s="12">
        <f t="shared" si="19"/>
        <v>42694</v>
      </c>
    </row>
    <row r="1257" spans="1:5" x14ac:dyDescent="0.25">
      <c r="A1257" s="2">
        <f>IF(B1257="","",SUBTOTAL(3,$B$2:B1257))</f>
        <v>1256</v>
      </c>
      <c r="B1257" s="9" t="s">
        <v>51</v>
      </c>
      <c r="C1257" s="10" t="s">
        <v>52</v>
      </c>
      <c r="D1257" s="11">
        <v>42.359419675950441</v>
      </c>
      <c r="E1257" s="12">
        <f t="shared" si="19"/>
        <v>42695</v>
      </c>
    </row>
    <row r="1258" spans="1:5" x14ac:dyDescent="0.25">
      <c r="A1258" s="2">
        <f>IF(B1258="","",SUBTOTAL(3,$B$2:B1258))</f>
        <v>1257</v>
      </c>
      <c r="B1258" s="9" t="s">
        <v>48</v>
      </c>
      <c r="C1258" s="10" t="s">
        <v>52</v>
      </c>
      <c r="D1258" s="11">
        <v>0</v>
      </c>
      <c r="E1258" s="12">
        <f t="shared" si="19"/>
        <v>42696</v>
      </c>
    </row>
    <row r="1259" spans="1:5" x14ac:dyDescent="0.25">
      <c r="A1259" s="2">
        <f>IF(B1259="","",SUBTOTAL(3,$B$2:B1259))</f>
        <v>1258</v>
      </c>
      <c r="B1259" s="9" t="s">
        <v>50</v>
      </c>
      <c r="C1259" s="10" t="s">
        <v>49</v>
      </c>
      <c r="D1259" s="11">
        <v>48.967151675485006</v>
      </c>
      <c r="E1259" s="12">
        <f t="shared" si="19"/>
        <v>42697</v>
      </c>
    </row>
    <row r="1260" spans="1:5" x14ac:dyDescent="0.25">
      <c r="A1260" s="2">
        <f>IF(B1260="","",SUBTOTAL(3,$B$2:B1260))</f>
        <v>1259</v>
      </c>
      <c r="B1260" s="9" t="s">
        <v>50</v>
      </c>
      <c r="C1260" s="10" t="s">
        <v>49</v>
      </c>
      <c r="D1260" s="11">
        <v>225.37940917107585</v>
      </c>
      <c r="E1260" s="12">
        <f t="shared" si="19"/>
        <v>42698</v>
      </c>
    </row>
    <row r="1261" spans="1:5" x14ac:dyDescent="0.25">
      <c r="A1261" s="2">
        <f>IF(B1261="","",SUBTOTAL(3,$B$2:B1261))</f>
        <v>1260</v>
      </c>
      <c r="B1261" s="9" t="s">
        <v>50</v>
      </c>
      <c r="C1261" s="10" t="s">
        <v>49</v>
      </c>
      <c r="D1261" s="11">
        <v>764.6701940035274</v>
      </c>
      <c r="E1261" s="12">
        <f t="shared" si="19"/>
        <v>42699</v>
      </c>
    </row>
    <row r="1262" spans="1:5" x14ac:dyDescent="0.25">
      <c r="A1262" s="2">
        <f>IF(B1262="","",SUBTOTAL(3,$B$2:B1262))</f>
        <v>1261</v>
      </c>
      <c r="B1262" s="9" t="s">
        <v>50</v>
      </c>
      <c r="C1262" s="10" t="s">
        <v>49</v>
      </c>
      <c r="D1262" s="11">
        <v>247.85961199294533</v>
      </c>
      <c r="E1262" s="12">
        <f t="shared" si="19"/>
        <v>42700</v>
      </c>
    </row>
    <row r="1263" spans="1:5" x14ac:dyDescent="0.25">
      <c r="A1263" s="2">
        <f>IF(B1263="","",SUBTOTAL(3,$B$2:B1263))</f>
        <v>1262</v>
      </c>
      <c r="B1263" s="9" t="s">
        <v>50</v>
      </c>
      <c r="C1263" s="10" t="s">
        <v>54</v>
      </c>
      <c r="D1263" s="11">
        <v>22.045855379188712</v>
      </c>
      <c r="E1263" s="12">
        <f t="shared" si="19"/>
        <v>42701</v>
      </c>
    </row>
    <row r="1264" spans="1:5" x14ac:dyDescent="0.25">
      <c r="A1264" s="2">
        <f>IF(B1264="","",SUBTOTAL(3,$B$2:B1264))</f>
        <v>1263</v>
      </c>
      <c r="B1264" s="9" t="s">
        <v>48</v>
      </c>
      <c r="C1264" s="10" t="s">
        <v>49</v>
      </c>
      <c r="D1264" s="11">
        <v>69.316081330868769</v>
      </c>
      <c r="E1264" s="12">
        <f t="shared" si="19"/>
        <v>42702</v>
      </c>
    </row>
    <row r="1265" spans="1:5" x14ac:dyDescent="0.25">
      <c r="A1265" s="2">
        <f>IF(B1265="","",SUBTOTAL(3,$B$2:B1265))</f>
        <v>1264</v>
      </c>
      <c r="B1265" s="9" t="s">
        <v>48</v>
      </c>
      <c r="C1265" s="10" t="s">
        <v>49</v>
      </c>
      <c r="D1265" s="11">
        <v>107.82501540357363</v>
      </c>
      <c r="E1265" s="12">
        <f t="shared" si="19"/>
        <v>42703</v>
      </c>
    </row>
    <row r="1266" spans="1:5" x14ac:dyDescent="0.25">
      <c r="A1266" s="2">
        <f>IF(B1266="","",SUBTOTAL(3,$B$2:B1266))</f>
        <v>1265</v>
      </c>
      <c r="B1266" s="9" t="s">
        <v>50</v>
      </c>
      <c r="C1266" s="10" t="s">
        <v>49</v>
      </c>
      <c r="D1266" s="11">
        <v>35.273368606701936</v>
      </c>
      <c r="E1266" s="12">
        <f t="shared" si="19"/>
        <v>42704</v>
      </c>
    </row>
    <row r="1267" spans="1:5" x14ac:dyDescent="0.25">
      <c r="A1267" s="2">
        <f>IF(B1267="","",SUBTOTAL(3,$B$2:B1267))</f>
        <v>1266</v>
      </c>
      <c r="B1267" s="9" t="s">
        <v>50</v>
      </c>
      <c r="C1267" s="10" t="s">
        <v>49</v>
      </c>
      <c r="D1267" s="11">
        <v>48.967096560846564</v>
      </c>
      <c r="E1267" s="12">
        <f t="shared" si="19"/>
        <v>42705</v>
      </c>
    </row>
    <row r="1268" spans="1:5" x14ac:dyDescent="0.25">
      <c r="A1268" s="2">
        <f>IF(B1268="","",SUBTOTAL(3,$B$2:B1268))</f>
        <v>1267</v>
      </c>
      <c r="B1268" s="9" t="s">
        <v>50</v>
      </c>
      <c r="C1268" s="10" t="s">
        <v>52</v>
      </c>
      <c r="D1268" s="11">
        <v>50</v>
      </c>
      <c r="E1268" s="12">
        <f t="shared" si="19"/>
        <v>42706</v>
      </c>
    </row>
    <row r="1269" spans="1:5" x14ac:dyDescent="0.25">
      <c r="A1269" s="2">
        <f>IF(B1269="","",SUBTOTAL(3,$B$2:B1269))</f>
        <v>1268</v>
      </c>
      <c r="B1269" s="9" t="s">
        <v>51</v>
      </c>
      <c r="C1269" s="10" t="s">
        <v>54</v>
      </c>
      <c r="D1269" s="11">
        <v>529.49274594938049</v>
      </c>
      <c r="E1269" s="12">
        <f t="shared" si="19"/>
        <v>42707</v>
      </c>
    </row>
    <row r="1270" spans="1:5" x14ac:dyDescent="0.25">
      <c r="A1270" s="2">
        <f>IF(B1270="","",SUBTOTAL(3,$B$2:B1270))</f>
        <v>1269</v>
      </c>
      <c r="B1270" s="9" t="s">
        <v>48</v>
      </c>
      <c r="C1270" s="10" t="s">
        <v>57</v>
      </c>
      <c r="D1270" s="11">
        <v>123.22858903265558</v>
      </c>
      <c r="E1270" s="12">
        <f t="shared" si="19"/>
        <v>42708</v>
      </c>
    </row>
    <row r="1271" spans="1:5" x14ac:dyDescent="0.25">
      <c r="A1271" s="2">
        <f>IF(B1271="","",SUBTOTAL(3,$B$2:B1271))</f>
        <v>1270</v>
      </c>
      <c r="B1271" s="9" t="s">
        <v>55</v>
      </c>
      <c r="C1271" s="10" t="s">
        <v>56</v>
      </c>
      <c r="D1271" s="11">
        <v>32.904045223319756</v>
      </c>
      <c r="E1271" s="12">
        <f t="shared" si="19"/>
        <v>42709</v>
      </c>
    </row>
    <row r="1272" spans="1:5" x14ac:dyDescent="0.25">
      <c r="A1272" s="2">
        <f>IF(B1272="","",SUBTOTAL(3,$B$2:B1272))</f>
        <v>1271</v>
      </c>
      <c r="B1272" s="9" t="s">
        <v>51</v>
      </c>
      <c r="C1272" s="10" t="s">
        <v>56</v>
      </c>
      <c r="D1272" s="11">
        <v>185.32246108228318</v>
      </c>
      <c r="E1272" s="12">
        <f t="shared" si="19"/>
        <v>42710</v>
      </c>
    </row>
    <row r="1273" spans="1:5" x14ac:dyDescent="0.25">
      <c r="A1273" s="2">
        <f>IF(B1273="","",SUBTOTAL(3,$B$2:B1273))</f>
        <v>1272</v>
      </c>
      <c r="B1273" s="9" t="s">
        <v>51</v>
      </c>
      <c r="C1273" s="10" t="s">
        <v>56</v>
      </c>
      <c r="D1273" s="11">
        <v>476.54347135444243</v>
      </c>
      <c r="E1273" s="12">
        <f t="shared" si="19"/>
        <v>42711</v>
      </c>
    </row>
    <row r="1274" spans="1:5" x14ac:dyDescent="0.25">
      <c r="A1274" s="2">
        <f>IF(B1274="","",SUBTOTAL(3,$B$2:B1274))</f>
        <v>1273</v>
      </c>
      <c r="B1274" s="9" t="s">
        <v>53</v>
      </c>
      <c r="C1274" s="10" t="s">
        <v>49</v>
      </c>
      <c r="D1274" s="11">
        <v>91.585994669695125</v>
      </c>
      <c r="E1274" s="12">
        <f t="shared" si="19"/>
        <v>42712</v>
      </c>
    </row>
    <row r="1275" spans="1:5" x14ac:dyDescent="0.25">
      <c r="A1275" s="2">
        <f>IF(B1275="","",SUBTOTAL(3,$B$2:B1275))</f>
        <v>1274</v>
      </c>
      <c r="B1275" s="9" t="s">
        <v>48</v>
      </c>
      <c r="C1275" s="10" t="s">
        <v>49</v>
      </c>
      <c r="D1275" s="11">
        <v>77.017868145409736</v>
      </c>
      <c r="E1275" s="12">
        <f t="shared" si="19"/>
        <v>42713</v>
      </c>
    </row>
    <row r="1276" spans="1:5" x14ac:dyDescent="0.25">
      <c r="A1276" s="2">
        <f>IF(B1276="","",SUBTOTAL(3,$B$2:B1276))</f>
        <v>1275</v>
      </c>
      <c r="B1276" s="9" t="s">
        <v>53</v>
      </c>
      <c r="C1276" s="10" t="s">
        <v>54</v>
      </c>
      <c r="D1276" s="11">
        <v>288.15042083764553</v>
      </c>
      <c r="E1276" s="12">
        <f t="shared" si="19"/>
        <v>42714</v>
      </c>
    </row>
    <row r="1277" spans="1:5" x14ac:dyDescent="0.25">
      <c r="A1277" s="2">
        <f>IF(B1277="","",SUBTOTAL(3,$B$2:B1277))</f>
        <v>1276</v>
      </c>
      <c r="B1277" s="9" t="s">
        <v>53</v>
      </c>
      <c r="C1277" s="10" t="s">
        <v>52</v>
      </c>
      <c r="D1277" s="11">
        <v>64.110196268786581</v>
      </c>
      <c r="E1277" s="12">
        <f t="shared" si="19"/>
        <v>42715</v>
      </c>
    </row>
    <row r="1278" spans="1:5" x14ac:dyDescent="0.25">
      <c r="A1278" s="2">
        <f>IF(B1278="","",SUBTOTAL(3,$B$2:B1278))</f>
        <v>1277</v>
      </c>
      <c r="B1278" s="9" t="s">
        <v>50</v>
      </c>
      <c r="C1278" s="10" t="s">
        <v>52</v>
      </c>
      <c r="D1278" s="11">
        <v>110.22927689594357</v>
      </c>
      <c r="E1278" s="12">
        <f t="shared" si="19"/>
        <v>42716</v>
      </c>
    </row>
    <row r="1279" spans="1:5" x14ac:dyDescent="0.25">
      <c r="A1279" s="2">
        <f>IF(B1279="","",SUBTOTAL(3,$B$2:B1279))</f>
        <v>1278</v>
      </c>
      <c r="B1279" s="9" t="s">
        <v>50</v>
      </c>
      <c r="C1279" s="10" t="s">
        <v>52</v>
      </c>
      <c r="D1279" s="11">
        <v>110.22927689594357</v>
      </c>
      <c r="E1279" s="12">
        <f t="shared" si="19"/>
        <v>42717</v>
      </c>
    </row>
    <row r="1280" spans="1:5" x14ac:dyDescent="0.25">
      <c r="A1280" s="2">
        <f>IF(B1280="","",SUBTOTAL(3,$B$2:B1280))</f>
        <v>1279</v>
      </c>
      <c r="B1280" s="9" t="s">
        <v>50</v>
      </c>
      <c r="C1280" s="10" t="s">
        <v>52</v>
      </c>
      <c r="D1280" s="11">
        <v>110.22927689594357</v>
      </c>
      <c r="E1280" s="12">
        <f t="shared" si="19"/>
        <v>42718</v>
      </c>
    </row>
    <row r="1281" spans="1:5" x14ac:dyDescent="0.25">
      <c r="A1281" s="2">
        <f>IF(B1281="","",SUBTOTAL(3,$B$2:B1281))</f>
        <v>1280</v>
      </c>
      <c r="B1281" s="9" t="s">
        <v>50</v>
      </c>
      <c r="C1281" s="10" t="s">
        <v>49</v>
      </c>
      <c r="D1281" s="11">
        <v>108.24305555555556</v>
      </c>
      <c r="E1281" s="12">
        <f t="shared" si="19"/>
        <v>42719</v>
      </c>
    </row>
    <row r="1282" spans="1:5" x14ac:dyDescent="0.25">
      <c r="A1282" s="2">
        <f>IF(B1282="","",SUBTOTAL(3,$B$2:B1282))</f>
        <v>1281</v>
      </c>
      <c r="B1282" s="9" t="s">
        <v>48</v>
      </c>
      <c r="C1282" s="10" t="s">
        <v>49</v>
      </c>
      <c r="D1282" s="11">
        <v>9.0264941466420208</v>
      </c>
      <c r="E1282" s="12">
        <f t="shared" si="19"/>
        <v>42720</v>
      </c>
    </row>
    <row r="1283" spans="1:5" x14ac:dyDescent="0.25">
      <c r="A1283" s="2">
        <f>IF(B1283="","",SUBTOTAL(3,$B$2:B1283))</f>
        <v>1282</v>
      </c>
      <c r="B1283" s="9" t="s">
        <v>55</v>
      </c>
      <c r="C1283" s="10" t="s">
        <v>52</v>
      </c>
      <c r="D1283" s="11">
        <v>29.330291673456088</v>
      </c>
      <c r="E1283" s="12">
        <f t="shared" si="19"/>
        <v>42721</v>
      </c>
    </row>
    <row r="1284" spans="1:5" x14ac:dyDescent="0.25">
      <c r="A1284" s="2">
        <f>IF(B1284="","",SUBTOTAL(3,$B$2:B1284))</f>
        <v>1283</v>
      </c>
      <c r="B1284" s="9" t="s">
        <v>53</v>
      </c>
      <c r="C1284" s="10" t="s">
        <v>54</v>
      </c>
      <c r="D1284" s="11">
        <v>137.37899200454268</v>
      </c>
      <c r="E1284" s="12">
        <f t="shared" ref="E1284:E1347" si="20">E1283+1</f>
        <v>42722</v>
      </c>
    </row>
    <row r="1285" spans="1:5" x14ac:dyDescent="0.25">
      <c r="A1285" s="2">
        <f>IF(B1285="","",SUBTOTAL(3,$B$2:B1285))</f>
        <v>1284</v>
      </c>
      <c r="B1285" s="9" t="s">
        <v>50</v>
      </c>
      <c r="C1285" s="10" t="s">
        <v>52</v>
      </c>
      <c r="D1285" s="11">
        <v>33.06878306878307</v>
      </c>
      <c r="E1285" s="12">
        <f t="shared" si="20"/>
        <v>42723</v>
      </c>
    </row>
    <row r="1286" spans="1:5" x14ac:dyDescent="0.25">
      <c r="A1286" s="2">
        <f>IF(B1286="","",SUBTOTAL(3,$B$2:B1286))</f>
        <v>1285</v>
      </c>
      <c r="B1286" s="9" t="s">
        <v>53</v>
      </c>
      <c r="C1286" s="10" t="s">
        <v>54</v>
      </c>
      <c r="D1286" s="11">
        <v>128.22039253757316</v>
      </c>
      <c r="E1286" s="12">
        <f t="shared" si="20"/>
        <v>42724</v>
      </c>
    </row>
    <row r="1287" spans="1:5" x14ac:dyDescent="0.25">
      <c r="A1287" s="2">
        <f>IF(B1287="","",SUBTOTAL(3,$B$2:B1287))</f>
        <v>1286</v>
      </c>
      <c r="B1287" s="9" t="s">
        <v>50</v>
      </c>
      <c r="C1287" s="10" t="s">
        <v>54</v>
      </c>
      <c r="D1287" s="11">
        <v>30.8641975308642</v>
      </c>
      <c r="E1287" s="12">
        <f t="shared" si="20"/>
        <v>42725</v>
      </c>
    </row>
    <row r="1288" spans="1:5" x14ac:dyDescent="0.25">
      <c r="A1288" s="2">
        <f>IF(B1288="","",SUBTOTAL(3,$B$2:B1288))</f>
        <v>1287</v>
      </c>
      <c r="B1288" s="9" t="s">
        <v>51</v>
      </c>
      <c r="C1288" s="10" t="s">
        <v>49</v>
      </c>
      <c r="D1288" s="11">
        <v>29.651593773165306</v>
      </c>
      <c r="E1288" s="12">
        <f t="shared" si="20"/>
        <v>42726</v>
      </c>
    </row>
    <row r="1289" spans="1:5" x14ac:dyDescent="0.25">
      <c r="A1289" s="2">
        <f>IF(B1289="","",SUBTOTAL(3,$B$2:B1289))</f>
        <v>1288</v>
      </c>
      <c r="B1289" s="9" t="s">
        <v>50</v>
      </c>
      <c r="C1289" s="10" t="s">
        <v>49</v>
      </c>
      <c r="D1289" s="11">
        <v>66.137566137566139</v>
      </c>
      <c r="E1289" s="12">
        <f t="shared" si="20"/>
        <v>42727</v>
      </c>
    </row>
    <row r="1290" spans="1:5" x14ac:dyDescent="0.25">
      <c r="A1290" s="2">
        <f>IF(B1290="","",SUBTOTAL(3,$B$2:B1290))</f>
        <v>1289</v>
      </c>
      <c r="B1290" s="9" t="s">
        <v>50</v>
      </c>
      <c r="C1290" s="10" t="s">
        <v>54</v>
      </c>
      <c r="D1290" s="11">
        <v>35.273368606701936</v>
      </c>
      <c r="E1290" s="12">
        <f t="shared" si="20"/>
        <v>42728</v>
      </c>
    </row>
    <row r="1291" spans="1:5" x14ac:dyDescent="0.25">
      <c r="A1291" s="2">
        <f>IF(B1291="","",SUBTOTAL(3,$B$2:B1291))</f>
        <v>1290</v>
      </c>
      <c r="B1291" s="9" t="s">
        <v>50</v>
      </c>
      <c r="C1291" s="10" t="s">
        <v>54</v>
      </c>
      <c r="D1291" s="11">
        <v>661.37566137566137</v>
      </c>
      <c r="E1291" s="12">
        <f t="shared" si="20"/>
        <v>42729</v>
      </c>
    </row>
    <row r="1292" spans="1:5" x14ac:dyDescent="0.25">
      <c r="A1292" s="2">
        <f>IF(B1292="","",SUBTOTAL(3,$B$2:B1292))</f>
        <v>1291</v>
      </c>
      <c r="B1292" s="9" t="s">
        <v>50</v>
      </c>
      <c r="C1292" s="10" t="s">
        <v>49</v>
      </c>
      <c r="D1292" s="11">
        <v>385.80246913580248</v>
      </c>
      <c r="E1292" s="12">
        <f t="shared" si="20"/>
        <v>42730</v>
      </c>
    </row>
    <row r="1293" spans="1:5" x14ac:dyDescent="0.25">
      <c r="A1293" s="2">
        <f>IF(B1293="","",SUBTOTAL(3,$B$2:B1293))</f>
        <v>1292</v>
      </c>
      <c r="B1293" s="9" t="s">
        <v>48</v>
      </c>
      <c r="C1293" s="10" t="s">
        <v>49</v>
      </c>
      <c r="D1293" s="11">
        <v>77.017868145409736</v>
      </c>
      <c r="E1293" s="12">
        <f t="shared" si="20"/>
        <v>42731</v>
      </c>
    </row>
    <row r="1294" spans="1:5" x14ac:dyDescent="0.25">
      <c r="A1294" s="2">
        <f>IF(B1294="","",SUBTOTAL(3,$B$2:B1294))</f>
        <v>1293</v>
      </c>
      <c r="B1294" s="9" t="s">
        <v>50</v>
      </c>
      <c r="C1294" s="10" t="s">
        <v>54</v>
      </c>
      <c r="D1294" s="11">
        <v>881.83421516754856</v>
      </c>
      <c r="E1294" s="12">
        <f t="shared" si="20"/>
        <v>42732</v>
      </c>
    </row>
    <row r="1295" spans="1:5" x14ac:dyDescent="0.25">
      <c r="A1295" s="2">
        <f>IF(B1295="","",SUBTOTAL(3,$B$2:B1295))</f>
        <v>1294</v>
      </c>
      <c r="B1295" s="9" t="s">
        <v>50</v>
      </c>
      <c r="C1295" s="10" t="s">
        <v>52</v>
      </c>
      <c r="D1295" s="11">
        <v>44.091710758377424</v>
      </c>
      <c r="E1295" s="12">
        <f t="shared" si="20"/>
        <v>42733</v>
      </c>
    </row>
    <row r="1296" spans="1:5" x14ac:dyDescent="0.25">
      <c r="A1296" s="2">
        <f>IF(B1296="","",SUBTOTAL(3,$B$2:B1296))</f>
        <v>1295</v>
      </c>
      <c r="B1296" s="9" t="s">
        <v>51</v>
      </c>
      <c r="C1296" s="10" t="s">
        <v>49</v>
      </c>
      <c r="D1296" s="11">
        <v>635.3912951392565</v>
      </c>
      <c r="E1296" s="12">
        <f t="shared" si="20"/>
        <v>42734</v>
      </c>
    </row>
    <row r="1297" spans="1:5" x14ac:dyDescent="0.25">
      <c r="A1297" s="2">
        <f>IF(B1297="","",SUBTOTAL(3,$B$2:B1297))</f>
        <v>1296</v>
      </c>
      <c r="B1297" s="9" t="s">
        <v>51</v>
      </c>
      <c r="C1297" s="10" t="s">
        <v>49</v>
      </c>
      <c r="D1297" s="11">
        <v>423.59419675950437</v>
      </c>
      <c r="E1297" s="12">
        <f t="shared" si="20"/>
        <v>42735</v>
      </c>
    </row>
    <row r="1298" spans="1:5" x14ac:dyDescent="0.25">
      <c r="A1298" s="2">
        <f>IF(B1298="","",SUBTOTAL(3,$B$2:B1298))</f>
        <v>1297</v>
      </c>
      <c r="B1298" s="9" t="s">
        <v>51</v>
      </c>
      <c r="C1298" s="10" t="s">
        <v>49</v>
      </c>
      <c r="D1298" s="11">
        <v>423.59419675950437</v>
      </c>
      <c r="E1298" s="12">
        <f t="shared" si="20"/>
        <v>42736</v>
      </c>
    </row>
    <row r="1299" spans="1:5" x14ac:dyDescent="0.25">
      <c r="A1299" s="2">
        <f>IF(B1299="","",SUBTOTAL(3,$B$2:B1299))</f>
        <v>1298</v>
      </c>
      <c r="B1299" s="9" t="s">
        <v>55</v>
      </c>
      <c r="C1299" s="10" t="s">
        <v>52</v>
      </c>
      <c r="D1299" s="11">
        <v>62.82985674792662</v>
      </c>
      <c r="E1299" s="12">
        <f t="shared" si="20"/>
        <v>42737</v>
      </c>
    </row>
    <row r="1300" spans="1:5" x14ac:dyDescent="0.25">
      <c r="A1300" s="2">
        <f>IF(B1300="","",SUBTOTAL(3,$B$2:B1300))</f>
        <v>1299</v>
      </c>
      <c r="B1300" s="9" t="s">
        <v>53</v>
      </c>
      <c r="C1300" s="10" t="s">
        <v>54</v>
      </c>
      <c r="D1300" s="11">
        <v>288.15042083764553</v>
      </c>
      <c r="E1300" s="12">
        <f t="shared" si="20"/>
        <v>42738</v>
      </c>
    </row>
    <row r="1301" spans="1:5" x14ac:dyDescent="0.25">
      <c r="A1301" s="2">
        <f>IF(B1301="","",SUBTOTAL(3,$B$2:B1301))</f>
        <v>1300</v>
      </c>
      <c r="B1301" s="9" t="s">
        <v>50</v>
      </c>
      <c r="C1301" s="10" t="s">
        <v>49</v>
      </c>
      <c r="D1301" s="11">
        <v>27</v>
      </c>
      <c r="E1301" s="12">
        <f t="shared" si="20"/>
        <v>42739</v>
      </c>
    </row>
    <row r="1302" spans="1:5" x14ac:dyDescent="0.25">
      <c r="A1302" s="2">
        <f>IF(B1302="","",SUBTOTAL(3,$B$2:B1302))</f>
        <v>1301</v>
      </c>
      <c r="B1302" s="9" t="s">
        <v>50</v>
      </c>
      <c r="C1302" s="10" t="s">
        <v>49</v>
      </c>
      <c r="D1302" s="11">
        <v>881.40773809523807</v>
      </c>
      <c r="E1302" s="12">
        <f t="shared" si="20"/>
        <v>42740</v>
      </c>
    </row>
    <row r="1303" spans="1:5" x14ac:dyDescent="0.25">
      <c r="A1303" s="2">
        <f>IF(B1303="","",SUBTOTAL(3,$B$2:B1303))</f>
        <v>1302</v>
      </c>
      <c r="B1303" s="9" t="s">
        <v>50</v>
      </c>
      <c r="C1303" s="10" t="s">
        <v>49</v>
      </c>
      <c r="D1303" s="11">
        <v>116.33132716049383</v>
      </c>
      <c r="E1303" s="12">
        <f t="shared" si="20"/>
        <v>42741</v>
      </c>
    </row>
    <row r="1304" spans="1:5" x14ac:dyDescent="0.25">
      <c r="A1304" s="2">
        <f>IF(B1304="","",SUBTOTAL(3,$B$2:B1304))</f>
        <v>1303</v>
      </c>
      <c r="B1304" s="9" t="s">
        <v>53</v>
      </c>
      <c r="C1304" s="10" t="s">
        <v>49</v>
      </c>
      <c r="D1304" s="11">
        <v>77.84809546924086</v>
      </c>
      <c r="E1304" s="12">
        <f t="shared" si="20"/>
        <v>42742</v>
      </c>
    </row>
    <row r="1305" spans="1:5" x14ac:dyDescent="0.25">
      <c r="A1305" s="2">
        <f>IF(B1305="","",SUBTOTAL(3,$B$2:B1305))</f>
        <v>1304</v>
      </c>
      <c r="B1305" s="9" t="s">
        <v>50</v>
      </c>
      <c r="C1305" s="10" t="s">
        <v>52</v>
      </c>
      <c r="D1305" s="11">
        <v>33.06878306878307</v>
      </c>
      <c r="E1305" s="12">
        <f t="shared" si="20"/>
        <v>42743</v>
      </c>
    </row>
    <row r="1306" spans="1:5" x14ac:dyDescent="0.25">
      <c r="A1306" s="2">
        <f>IF(B1306="","",SUBTOTAL(3,$B$2:B1306))</f>
        <v>1305</v>
      </c>
      <c r="B1306" s="9" t="s">
        <v>50</v>
      </c>
      <c r="C1306" s="10" t="s">
        <v>49</v>
      </c>
      <c r="D1306" s="11">
        <v>44.888668430335102</v>
      </c>
      <c r="E1306" s="12">
        <f t="shared" si="20"/>
        <v>42744</v>
      </c>
    </row>
    <row r="1307" spans="1:5" x14ac:dyDescent="0.25">
      <c r="A1307" s="2">
        <f>IF(B1307="","",SUBTOTAL(3,$B$2:B1307))</f>
        <v>1306</v>
      </c>
      <c r="B1307" s="9" t="s">
        <v>50</v>
      </c>
      <c r="C1307" s="10" t="s">
        <v>49</v>
      </c>
      <c r="D1307" s="11">
        <v>551.14638447971777</v>
      </c>
      <c r="E1307" s="12">
        <f t="shared" si="20"/>
        <v>42745</v>
      </c>
    </row>
    <row r="1308" spans="1:5" x14ac:dyDescent="0.25">
      <c r="A1308" s="2">
        <f>IF(B1308="","",SUBTOTAL(3,$B$2:B1308))</f>
        <v>1307</v>
      </c>
      <c r="B1308" s="9" t="s">
        <v>53</v>
      </c>
      <c r="C1308" s="10" t="s">
        <v>49</v>
      </c>
      <c r="D1308" s="11">
        <v>50.729299275554787</v>
      </c>
      <c r="E1308" s="12">
        <f t="shared" si="20"/>
        <v>42746</v>
      </c>
    </row>
    <row r="1309" spans="1:5" x14ac:dyDescent="0.25">
      <c r="A1309" s="2">
        <f>IF(B1309="","",SUBTOTAL(3,$B$2:B1309))</f>
        <v>1308</v>
      </c>
      <c r="B1309" s="9" t="s">
        <v>51</v>
      </c>
      <c r="C1309" s="10" t="s">
        <v>52</v>
      </c>
      <c r="D1309" s="11">
        <v>2117.970983797522</v>
      </c>
      <c r="E1309" s="12">
        <f t="shared" si="20"/>
        <v>42747</v>
      </c>
    </row>
    <row r="1310" spans="1:5" x14ac:dyDescent="0.25">
      <c r="A1310" s="2">
        <f>IF(B1310="","",SUBTOTAL(3,$B$2:B1310))</f>
        <v>1309</v>
      </c>
      <c r="B1310" s="9" t="s">
        <v>50</v>
      </c>
      <c r="C1310" s="10" t="s">
        <v>54</v>
      </c>
      <c r="D1310" s="11">
        <v>88.183421516754848</v>
      </c>
      <c r="E1310" s="12">
        <f t="shared" si="20"/>
        <v>42748</v>
      </c>
    </row>
    <row r="1311" spans="1:5" x14ac:dyDescent="0.25">
      <c r="A1311" s="2">
        <f>IF(B1311="","",SUBTOTAL(3,$B$2:B1311))</f>
        <v>1310</v>
      </c>
      <c r="B1311" s="9" t="s">
        <v>50</v>
      </c>
      <c r="C1311" s="10" t="s">
        <v>49</v>
      </c>
      <c r="D1311" s="11">
        <v>40</v>
      </c>
      <c r="E1311" s="12">
        <f t="shared" si="20"/>
        <v>42749</v>
      </c>
    </row>
    <row r="1312" spans="1:5" x14ac:dyDescent="0.25">
      <c r="A1312" s="2">
        <f>IF(B1312="","",SUBTOTAL(3,$B$2:B1312))</f>
        <v>1311</v>
      </c>
      <c r="B1312" s="9" t="s">
        <v>50</v>
      </c>
      <c r="C1312" s="10" t="s">
        <v>49</v>
      </c>
      <c r="D1312" s="11">
        <v>30</v>
      </c>
      <c r="E1312" s="12">
        <f t="shared" si="20"/>
        <v>42750</v>
      </c>
    </row>
    <row r="1313" spans="1:5" x14ac:dyDescent="0.25">
      <c r="A1313" s="2">
        <f>IF(B1313="","",SUBTOTAL(3,$B$2:B1313))</f>
        <v>1312</v>
      </c>
      <c r="B1313" s="9" t="s">
        <v>50</v>
      </c>
      <c r="C1313" s="10" t="s">
        <v>49</v>
      </c>
      <c r="D1313" s="11">
        <v>3.5273368606701943</v>
      </c>
      <c r="E1313" s="12">
        <f t="shared" si="20"/>
        <v>42751</v>
      </c>
    </row>
    <row r="1314" spans="1:5" x14ac:dyDescent="0.25">
      <c r="A1314" s="2">
        <f>IF(B1314="","",SUBTOTAL(3,$B$2:B1314))</f>
        <v>1313</v>
      </c>
      <c r="B1314" s="9" t="s">
        <v>50</v>
      </c>
      <c r="C1314" s="10" t="s">
        <v>52</v>
      </c>
      <c r="D1314" s="11">
        <v>55.114638447971785</v>
      </c>
      <c r="E1314" s="12">
        <f t="shared" si="20"/>
        <v>42752</v>
      </c>
    </row>
    <row r="1315" spans="1:5" x14ac:dyDescent="0.25">
      <c r="A1315" s="2">
        <f>IF(B1315="","",SUBTOTAL(3,$B$2:B1315))</f>
        <v>1314</v>
      </c>
      <c r="B1315" s="9" t="s">
        <v>55</v>
      </c>
      <c r="C1315" s="10" t="s">
        <v>52</v>
      </c>
      <c r="D1315" s="11">
        <v>68.911655257959296</v>
      </c>
      <c r="E1315" s="12">
        <f t="shared" si="20"/>
        <v>42753</v>
      </c>
    </row>
    <row r="1316" spans="1:5" x14ac:dyDescent="0.25">
      <c r="A1316" s="2">
        <f>IF(B1316="","",SUBTOTAL(3,$B$2:B1316))</f>
        <v>1315</v>
      </c>
      <c r="B1316" s="9" t="s">
        <v>50</v>
      </c>
      <c r="C1316" s="10" t="s">
        <v>49</v>
      </c>
      <c r="D1316" s="11">
        <v>66.137566137566139</v>
      </c>
      <c r="E1316" s="12">
        <f t="shared" si="20"/>
        <v>42754</v>
      </c>
    </row>
    <row r="1317" spans="1:5" x14ac:dyDescent="0.25">
      <c r="A1317" s="2">
        <f>IF(B1317="","",SUBTOTAL(3,$B$2:B1317))</f>
        <v>1316</v>
      </c>
      <c r="B1317" s="9" t="s">
        <v>50</v>
      </c>
      <c r="C1317" s="10" t="s">
        <v>52</v>
      </c>
      <c r="D1317" s="11">
        <v>198.4126984126984</v>
      </c>
      <c r="E1317" s="12">
        <f t="shared" si="20"/>
        <v>42755</v>
      </c>
    </row>
    <row r="1318" spans="1:5" x14ac:dyDescent="0.25">
      <c r="A1318" s="2">
        <f>IF(B1318="","",SUBTOTAL(3,$B$2:B1318))</f>
        <v>1317</v>
      </c>
      <c r="B1318" s="9" t="s">
        <v>50</v>
      </c>
      <c r="C1318" s="10" t="s">
        <v>54</v>
      </c>
      <c r="D1318" s="11">
        <v>110.22927689594357</v>
      </c>
      <c r="E1318" s="12">
        <f t="shared" si="20"/>
        <v>42756</v>
      </c>
    </row>
    <row r="1319" spans="1:5" x14ac:dyDescent="0.25">
      <c r="A1319" s="2">
        <f>IF(B1319="","",SUBTOTAL(3,$B$2:B1319))</f>
        <v>1318</v>
      </c>
      <c r="B1319" s="9" t="s">
        <v>50</v>
      </c>
      <c r="C1319" s="10" t="s">
        <v>52</v>
      </c>
      <c r="D1319" s="11">
        <v>148.80952380952382</v>
      </c>
      <c r="E1319" s="12">
        <f t="shared" si="20"/>
        <v>42757</v>
      </c>
    </row>
    <row r="1320" spans="1:5" x14ac:dyDescent="0.25">
      <c r="A1320" s="2">
        <f>IF(B1320="","",SUBTOTAL(3,$B$2:B1320))</f>
        <v>1319</v>
      </c>
      <c r="B1320" s="9" t="s">
        <v>50</v>
      </c>
      <c r="C1320" s="10" t="s">
        <v>52</v>
      </c>
      <c r="D1320" s="11">
        <v>39.682539682539684</v>
      </c>
      <c r="E1320" s="12">
        <f t="shared" si="20"/>
        <v>42758</v>
      </c>
    </row>
    <row r="1321" spans="1:5" x14ac:dyDescent="0.25">
      <c r="A1321" s="2">
        <f>IF(B1321="","",SUBTOTAL(3,$B$2:B1321))</f>
        <v>1320</v>
      </c>
      <c r="B1321" s="9" t="s">
        <v>50</v>
      </c>
      <c r="C1321" s="10" t="s">
        <v>52</v>
      </c>
      <c r="D1321" s="11">
        <v>220.45855379188714</v>
      </c>
      <c r="E1321" s="12">
        <f t="shared" si="20"/>
        <v>42759</v>
      </c>
    </row>
    <row r="1322" spans="1:5" x14ac:dyDescent="0.25">
      <c r="A1322" s="2">
        <f>IF(B1322="","",SUBTOTAL(3,$B$2:B1322))</f>
        <v>1321</v>
      </c>
      <c r="B1322" s="9" t="s">
        <v>55</v>
      </c>
      <c r="C1322" s="10" t="s">
        <v>49</v>
      </c>
      <c r="D1322" s="11">
        <v>11.6</v>
      </c>
      <c r="E1322" s="12">
        <f t="shared" si="20"/>
        <v>42760</v>
      </c>
    </row>
    <row r="1323" spans="1:5" x14ac:dyDescent="0.25">
      <c r="A1323" s="2">
        <f>IF(B1323="","",SUBTOTAL(3,$B$2:B1323))</f>
        <v>1322</v>
      </c>
      <c r="B1323" s="9" t="s">
        <v>55</v>
      </c>
      <c r="C1323" s="10" t="s">
        <v>49</v>
      </c>
      <c r="D1323" s="11">
        <v>114</v>
      </c>
      <c r="E1323" s="12">
        <f t="shared" si="20"/>
        <v>42761</v>
      </c>
    </row>
    <row r="1324" spans="1:5" x14ac:dyDescent="0.25">
      <c r="A1324" s="2">
        <f>IF(B1324="","",SUBTOTAL(3,$B$2:B1324))</f>
        <v>1323</v>
      </c>
      <c r="B1324" s="9" t="s">
        <v>53</v>
      </c>
      <c r="C1324" s="10" t="s">
        <v>49</v>
      </c>
      <c r="D1324" s="11">
        <v>29.307518294302437</v>
      </c>
      <c r="E1324" s="12">
        <f t="shared" si="20"/>
        <v>42762</v>
      </c>
    </row>
    <row r="1325" spans="1:5" x14ac:dyDescent="0.25">
      <c r="A1325" s="2">
        <f>IF(B1325="","",SUBTOTAL(3,$B$2:B1325))</f>
        <v>1324</v>
      </c>
      <c r="B1325" s="9" t="s">
        <v>55</v>
      </c>
      <c r="C1325" s="10" t="s">
        <v>52</v>
      </c>
      <c r="D1325" s="11">
        <v>22.975000000000001</v>
      </c>
      <c r="E1325" s="12">
        <f t="shared" si="20"/>
        <v>42763</v>
      </c>
    </row>
    <row r="1326" spans="1:5" x14ac:dyDescent="0.25">
      <c r="A1326" s="2">
        <f>IF(B1326="","",SUBTOTAL(3,$B$2:B1326))</f>
        <v>1325</v>
      </c>
      <c r="B1326" s="9" t="s">
        <v>51</v>
      </c>
      <c r="C1326" s="10" t="s">
        <v>52</v>
      </c>
      <c r="D1326" s="11">
        <v>5.2949274594938052</v>
      </c>
      <c r="E1326" s="12">
        <f t="shared" si="20"/>
        <v>42764</v>
      </c>
    </row>
    <row r="1327" spans="1:5" x14ac:dyDescent="0.25">
      <c r="A1327" s="2">
        <f>IF(B1327="","",SUBTOTAL(3,$B$2:B1327))</f>
        <v>1326</v>
      </c>
      <c r="B1327" s="9" t="s">
        <v>50</v>
      </c>
      <c r="C1327" s="10" t="s">
        <v>52</v>
      </c>
      <c r="D1327" s="11">
        <v>110.22927689594357</v>
      </c>
      <c r="E1327" s="12">
        <f t="shared" si="20"/>
        <v>42765</v>
      </c>
    </row>
    <row r="1328" spans="1:5" x14ac:dyDescent="0.25">
      <c r="A1328" s="2">
        <f>IF(B1328="","",SUBTOTAL(3,$B$2:B1328))</f>
        <v>1327</v>
      </c>
      <c r="B1328" s="9" t="s">
        <v>55</v>
      </c>
      <c r="C1328" s="10" t="s">
        <v>54</v>
      </c>
      <c r="D1328" s="11">
        <v>68.911655257959296</v>
      </c>
      <c r="E1328" s="12">
        <f t="shared" si="20"/>
        <v>42766</v>
      </c>
    </row>
    <row r="1329" spans="1:5" x14ac:dyDescent="0.25">
      <c r="A1329" s="2">
        <f>IF(B1329="","",SUBTOTAL(3,$B$2:B1329))</f>
        <v>1328</v>
      </c>
      <c r="B1329" s="9" t="s">
        <v>50</v>
      </c>
      <c r="C1329" s="10" t="s">
        <v>54</v>
      </c>
      <c r="D1329" s="11">
        <v>440.91710758377428</v>
      </c>
      <c r="E1329" s="12">
        <f t="shared" si="20"/>
        <v>42767</v>
      </c>
    </row>
    <row r="1330" spans="1:5" x14ac:dyDescent="0.25">
      <c r="A1330" s="2">
        <f>IF(B1330="","",SUBTOTAL(3,$B$2:B1330))</f>
        <v>1329</v>
      </c>
      <c r="B1330" s="9" t="s">
        <v>50</v>
      </c>
      <c r="C1330" s="10" t="s">
        <v>49</v>
      </c>
      <c r="D1330" s="11">
        <v>352.73368606701939</v>
      </c>
      <c r="E1330" s="12">
        <f t="shared" si="20"/>
        <v>42768</v>
      </c>
    </row>
    <row r="1331" spans="1:5" x14ac:dyDescent="0.25">
      <c r="A1331" s="2">
        <f>IF(B1331="","",SUBTOTAL(3,$B$2:B1331))</f>
        <v>1330</v>
      </c>
      <c r="B1331" s="9" t="s">
        <v>48</v>
      </c>
      <c r="C1331" s="10" t="s">
        <v>49</v>
      </c>
      <c r="D1331" s="11">
        <v>18.155422057917438</v>
      </c>
      <c r="E1331" s="12">
        <f t="shared" si="20"/>
        <v>42769</v>
      </c>
    </row>
    <row r="1332" spans="1:5" x14ac:dyDescent="0.25">
      <c r="A1332" s="2">
        <f>IF(B1332="","",SUBTOTAL(3,$B$2:B1332))</f>
        <v>1331</v>
      </c>
      <c r="B1332" s="9" t="s">
        <v>55</v>
      </c>
      <c r="C1332" s="10" t="s">
        <v>52</v>
      </c>
      <c r="D1332" s="11">
        <v>44.091710758377424</v>
      </c>
      <c r="E1332" s="12">
        <f t="shared" si="20"/>
        <v>42770</v>
      </c>
    </row>
    <row r="1333" spans="1:5" x14ac:dyDescent="0.25">
      <c r="A1333" s="2">
        <f>IF(B1333="","",SUBTOTAL(3,$B$2:B1333))</f>
        <v>1332</v>
      </c>
      <c r="B1333" s="9" t="s">
        <v>50</v>
      </c>
      <c r="C1333" s="10" t="s">
        <v>49</v>
      </c>
      <c r="D1333" s="11">
        <v>142.19576719576719</v>
      </c>
      <c r="E1333" s="12">
        <f t="shared" si="20"/>
        <v>42771</v>
      </c>
    </row>
    <row r="1334" spans="1:5" x14ac:dyDescent="0.25">
      <c r="A1334" s="2">
        <f>IF(B1334="","",SUBTOTAL(3,$B$2:B1334))</f>
        <v>1333</v>
      </c>
      <c r="B1334" s="9" t="s">
        <v>50</v>
      </c>
      <c r="C1334" s="10" t="s">
        <v>49</v>
      </c>
      <c r="D1334" s="11">
        <v>1653.4391534391534</v>
      </c>
      <c r="E1334" s="12">
        <f t="shared" si="20"/>
        <v>42772</v>
      </c>
    </row>
    <row r="1335" spans="1:5" x14ac:dyDescent="0.25">
      <c r="A1335" s="2">
        <f>IF(B1335="","",SUBTOTAL(3,$B$2:B1335))</f>
        <v>1334</v>
      </c>
      <c r="B1335" s="9" t="s">
        <v>55</v>
      </c>
      <c r="C1335" s="10" t="s">
        <v>49</v>
      </c>
      <c r="D1335" s="11">
        <v>6.5466072495061338</v>
      </c>
      <c r="E1335" s="12">
        <f t="shared" si="20"/>
        <v>42773</v>
      </c>
    </row>
    <row r="1336" spans="1:5" x14ac:dyDescent="0.25">
      <c r="A1336" s="2">
        <f>IF(B1336="","",SUBTOTAL(3,$B$2:B1336))</f>
        <v>1335</v>
      </c>
      <c r="B1336" s="9" t="s">
        <v>51</v>
      </c>
      <c r="C1336" s="10" t="s">
        <v>52</v>
      </c>
      <c r="D1336" s="11">
        <v>127.0782590278513</v>
      </c>
      <c r="E1336" s="12">
        <f t="shared" si="20"/>
        <v>42774</v>
      </c>
    </row>
    <row r="1337" spans="1:5" x14ac:dyDescent="0.25">
      <c r="A1337" s="2">
        <f>IF(B1337="","",SUBTOTAL(3,$B$2:B1337))</f>
        <v>1336</v>
      </c>
      <c r="B1337" s="9" t="s">
        <v>51</v>
      </c>
      <c r="C1337" s="10" t="s">
        <v>52</v>
      </c>
      <c r="D1337" s="11">
        <v>127.0782590278513</v>
      </c>
      <c r="E1337" s="12">
        <f t="shared" si="20"/>
        <v>42775</v>
      </c>
    </row>
    <row r="1338" spans="1:5" x14ac:dyDescent="0.25">
      <c r="A1338" s="2">
        <f>IF(B1338="","",SUBTOTAL(3,$B$2:B1338))</f>
        <v>1337</v>
      </c>
      <c r="B1338" s="9" t="s">
        <v>51</v>
      </c>
      <c r="C1338" s="10" t="s">
        <v>52</v>
      </c>
      <c r="D1338" s="11">
        <v>158.84782378481412</v>
      </c>
      <c r="E1338" s="12">
        <f t="shared" si="20"/>
        <v>42776</v>
      </c>
    </row>
    <row r="1339" spans="1:5" x14ac:dyDescent="0.25">
      <c r="A1339" s="2">
        <f>IF(B1339="","",SUBTOTAL(3,$B$2:B1339))</f>
        <v>1338</v>
      </c>
      <c r="B1339" s="9" t="s">
        <v>50</v>
      </c>
      <c r="C1339" s="10" t="s">
        <v>49</v>
      </c>
      <c r="D1339" s="11">
        <v>30</v>
      </c>
      <c r="E1339" s="12">
        <f t="shared" si="20"/>
        <v>42777</v>
      </c>
    </row>
    <row r="1340" spans="1:5" x14ac:dyDescent="0.25">
      <c r="A1340" s="2">
        <f>IF(B1340="","",SUBTOTAL(3,$B$2:B1340))</f>
        <v>1339</v>
      </c>
      <c r="B1340" s="9" t="s">
        <v>51</v>
      </c>
      <c r="C1340" s="10" t="s">
        <v>54</v>
      </c>
      <c r="D1340" s="11">
        <v>264.74637297469025</v>
      </c>
      <c r="E1340" s="12">
        <f t="shared" si="20"/>
        <v>42778</v>
      </c>
    </row>
    <row r="1341" spans="1:5" x14ac:dyDescent="0.25">
      <c r="A1341" s="2">
        <f>IF(B1341="","",SUBTOTAL(3,$B$2:B1341))</f>
        <v>1340</v>
      </c>
      <c r="B1341" s="9" t="s">
        <v>51</v>
      </c>
      <c r="C1341" s="10" t="s">
        <v>49</v>
      </c>
      <c r="D1341" s="11">
        <v>10.58985491898761</v>
      </c>
      <c r="E1341" s="12">
        <f t="shared" si="20"/>
        <v>42779</v>
      </c>
    </row>
    <row r="1342" spans="1:5" x14ac:dyDescent="0.25">
      <c r="A1342" s="2">
        <f>IF(B1342="","",SUBTOTAL(3,$B$2:B1342))</f>
        <v>1341</v>
      </c>
      <c r="B1342" s="9" t="s">
        <v>51</v>
      </c>
      <c r="C1342" s="10" t="s">
        <v>49</v>
      </c>
      <c r="D1342" s="11">
        <v>26.474637297469023</v>
      </c>
      <c r="E1342" s="12">
        <f t="shared" si="20"/>
        <v>42780</v>
      </c>
    </row>
    <row r="1343" spans="1:5" x14ac:dyDescent="0.25">
      <c r="A1343" s="2">
        <f>IF(B1343="","",SUBTOTAL(3,$B$2:B1343))</f>
        <v>1342</v>
      </c>
      <c r="B1343" s="9" t="s">
        <v>51</v>
      </c>
      <c r="C1343" s="10" t="s">
        <v>49</v>
      </c>
      <c r="D1343" s="11">
        <v>21.179709837975221</v>
      </c>
      <c r="E1343" s="12">
        <f t="shared" si="20"/>
        <v>42781</v>
      </c>
    </row>
    <row r="1344" spans="1:5" x14ac:dyDescent="0.25">
      <c r="A1344" s="2">
        <f>IF(B1344="","",SUBTOTAL(3,$B$2:B1344))</f>
        <v>1343</v>
      </c>
      <c r="B1344" s="9" t="s">
        <v>51</v>
      </c>
      <c r="C1344" s="10" t="s">
        <v>49</v>
      </c>
      <c r="D1344" s="11">
        <v>14.825796886582653</v>
      </c>
      <c r="E1344" s="12">
        <f t="shared" si="20"/>
        <v>42782</v>
      </c>
    </row>
    <row r="1345" spans="1:5" x14ac:dyDescent="0.25">
      <c r="A1345" s="2">
        <f>IF(B1345="","",SUBTOTAL(3,$B$2:B1345))</f>
        <v>1344</v>
      </c>
      <c r="B1345" s="9" t="s">
        <v>51</v>
      </c>
      <c r="C1345" s="10" t="s">
        <v>49</v>
      </c>
      <c r="D1345" s="11">
        <v>14.825796886582653</v>
      </c>
      <c r="E1345" s="12">
        <f t="shared" si="20"/>
        <v>42783</v>
      </c>
    </row>
    <row r="1346" spans="1:5" x14ac:dyDescent="0.25">
      <c r="A1346" s="2">
        <f>IF(B1346="","",SUBTOTAL(3,$B$2:B1346))</f>
        <v>1345</v>
      </c>
      <c r="B1346" s="9" t="s">
        <v>50</v>
      </c>
      <c r="C1346" s="10" t="s">
        <v>49</v>
      </c>
      <c r="D1346" s="11">
        <v>27.557319223985893</v>
      </c>
      <c r="E1346" s="12">
        <f t="shared" si="20"/>
        <v>42784</v>
      </c>
    </row>
    <row r="1347" spans="1:5" x14ac:dyDescent="0.25">
      <c r="A1347" s="2">
        <f>IF(B1347="","",SUBTOTAL(3,$B$2:B1347))</f>
        <v>1346</v>
      </c>
      <c r="B1347" s="9" t="s">
        <v>50</v>
      </c>
      <c r="C1347" s="10" t="s">
        <v>52</v>
      </c>
      <c r="D1347" s="11">
        <v>380.29100529100532</v>
      </c>
      <c r="E1347" s="12">
        <f t="shared" si="20"/>
        <v>42785</v>
      </c>
    </row>
    <row r="1348" spans="1:5" x14ac:dyDescent="0.25">
      <c r="A1348" s="2">
        <f>IF(B1348="","",SUBTOTAL(3,$B$2:B1348))</f>
        <v>1347</v>
      </c>
      <c r="B1348" s="9" t="s">
        <v>50</v>
      </c>
      <c r="C1348" s="10" t="s">
        <v>54</v>
      </c>
      <c r="D1348" s="11">
        <v>35.273368606701936</v>
      </c>
      <c r="E1348" s="12">
        <f t="shared" ref="E1348:E1411" si="21">E1347+1</f>
        <v>42786</v>
      </c>
    </row>
    <row r="1349" spans="1:5" x14ac:dyDescent="0.25">
      <c r="A1349" s="2">
        <f>IF(B1349="","",SUBTOTAL(3,$B$2:B1349))</f>
        <v>1348</v>
      </c>
      <c r="B1349" s="9" t="s">
        <v>50</v>
      </c>
      <c r="C1349" s="10" t="s">
        <v>49</v>
      </c>
      <c r="D1349" s="11">
        <v>318.70617283950617</v>
      </c>
      <c r="E1349" s="12">
        <f t="shared" si="21"/>
        <v>42787</v>
      </c>
    </row>
    <row r="1350" spans="1:5" x14ac:dyDescent="0.25">
      <c r="A1350" s="2">
        <f>IF(B1350="","",SUBTOTAL(3,$B$2:B1350))</f>
        <v>1349</v>
      </c>
      <c r="B1350" s="9" t="s">
        <v>55</v>
      </c>
      <c r="C1350" s="10" t="s">
        <v>52</v>
      </c>
      <c r="D1350" s="11">
        <v>11.485275876326551</v>
      </c>
      <c r="E1350" s="12">
        <f t="shared" si="21"/>
        <v>42788</v>
      </c>
    </row>
    <row r="1351" spans="1:5" x14ac:dyDescent="0.25">
      <c r="A1351" s="2">
        <f>IF(B1351="","",SUBTOTAL(3,$B$2:B1351))</f>
        <v>1350</v>
      </c>
      <c r="B1351" s="9" t="s">
        <v>51</v>
      </c>
      <c r="C1351" s="10" t="s">
        <v>54</v>
      </c>
      <c r="D1351" s="11">
        <v>105.89854918987609</v>
      </c>
      <c r="E1351" s="12">
        <f t="shared" si="21"/>
        <v>42789</v>
      </c>
    </row>
    <row r="1352" spans="1:5" x14ac:dyDescent="0.25">
      <c r="A1352" s="2">
        <f>IF(B1352="","",SUBTOTAL(3,$B$2:B1352))</f>
        <v>1351</v>
      </c>
      <c r="B1352" s="9" t="s">
        <v>51</v>
      </c>
      <c r="C1352" s="10" t="s">
        <v>54</v>
      </c>
      <c r="D1352" s="11">
        <v>105.89854918987609</v>
      </c>
      <c r="E1352" s="12">
        <f t="shared" si="21"/>
        <v>42790</v>
      </c>
    </row>
    <row r="1353" spans="1:5" x14ac:dyDescent="0.25">
      <c r="A1353" s="2">
        <f>IF(B1353="","",SUBTOTAL(3,$B$2:B1353))</f>
        <v>1352</v>
      </c>
      <c r="B1353" s="9" t="s">
        <v>51</v>
      </c>
      <c r="C1353" s="10" t="s">
        <v>52</v>
      </c>
      <c r="D1353" s="11">
        <v>105.89854918987609</v>
      </c>
      <c r="E1353" s="12">
        <f t="shared" si="21"/>
        <v>42791</v>
      </c>
    </row>
    <row r="1354" spans="1:5" x14ac:dyDescent="0.25">
      <c r="A1354" s="2">
        <f>IF(B1354="","",SUBTOTAL(3,$B$2:B1354))</f>
        <v>1353</v>
      </c>
      <c r="B1354" s="9" t="s">
        <v>51</v>
      </c>
      <c r="C1354" s="10" t="s">
        <v>52</v>
      </c>
      <c r="D1354" s="11">
        <v>52.949274594938046</v>
      </c>
      <c r="E1354" s="12">
        <f t="shared" si="21"/>
        <v>42792</v>
      </c>
    </row>
    <row r="1355" spans="1:5" x14ac:dyDescent="0.25">
      <c r="A1355" s="2">
        <f>IF(B1355="","",SUBTOTAL(3,$B$2:B1355))</f>
        <v>1354</v>
      </c>
      <c r="B1355" s="9" t="s">
        <v>50</v>
      </c>
      <c r="C1355" s="10" t="s">
        <v>52</v>
      </c>
      <c r="D1355" s="11">
        <v>99.206349206349202</v>
      </c>
      <c r="E1355" s="12">
        <f t="shared" si="21"/>
        <v>42793</v>
      </c>
    </row>
    <row r="1356" spans="1:5" x14ac:dyDescent="0.25">
      <c r="A1356" s="2">
        <f>IF(B1356="","",SUBTOTAL(3,$B$2:B1356))</f>
        <v>1355</v>
      </c>
      <c r="B1356" s="9" t="s">
        <v>50</v>
      </c>
      <c r="C1356" s="10" t="s">
        <v>52</v>
      </c>
      <c r="D1356" s="11">
        <v>22.045855379188712</v>
      </c>
      <c r="E1356" s="12">
        <f t="shared" si="21"/>
        <v>42794</v>
      </c>
    </row>
    <row r="1357" spans="1:5" x14ac:dyDescent="0.25">
      <c r="A1357" s="2">
        <f>IF(B1357="","",SUBTOTAL(3,$B$2:B1357))</f>
        <v>1356</v>
      </c>
      <c r="B1357" s="9" t="s">
        <v>48</v>
      </c>
      <c r="C1357" s="10" t="s">
        <v>52</v>
      </c>
      <c r="D1357" s="11">
        <v>64.24010381200776</v>
      </c>
      <c r="E1357" s="12">
        <f t="shared" si="21"/>
        <v>42795</v>
      </c>
    </row>
    <row r="1358" spans="1:5" x14ac:dyDescent="0.25">
      <c r="A1358" s="2">
        <f>IF(B1358="","",SUBTOTAL(3,$B$2:B1358))</f>
        <v>1357</v>
      </c>
      <c r="B1358" s="9" t="s">
        <v>50</v>
      </c>
      <c r="C1358" s="10" t="s">
        <v>52</v>
      </c>
      <c r="D1358" s="11">
        <v>11.022927689594356</v>
      </c>
      <c r="E1358" s="12">
        <f t="shared" si="21"/>
        <v>42796</v>
      </c>
    </row>
    <row r="1359" spans="1:5" x14ac:dyDescent="0.25">
      <c r="A1359" s="2">
        <f>IF(B1359="","",SUBTOTAL(3,$B$2:B1359))</f>
        <v>1358</v>
      </c>
      <c r="B1359" s="9" t="s">
        <v>50</v>
      </c>
      <c r="C1359" s="10" t="s">
        <v>54</v>
      </c>
      <c r="D1359" s="11">
        <v>55.114638447971785</v>
      </c>
      <c r="E1359" s="12">
        <f t="shared" si="21"/>
        <v>42797</v>
      </c>
    </row>
    <row r="1360" spans="1:5" x14ac:dyDescent="0.25">
      <c r="A1360" s="2">
        <f>IF(B1360="","",SUBTOTAL(3,$B$2:B1360))</f>
        <v>1359</v>
      </c>
      <c r="B1360" s="9" t="s">
        <v>53</v>
      </c>
      <c r="C1360" s="10" t="s">
        <v>54</v>
      </c>
      <c r="D1360" s="11">
        <v>36.63439786787805</v>
      </c>
      <c r="E1360" s="12">
        <f t="shared" si="21"/>
        <v>42798</v>
      </c>
    </row>
    <row r="1361" spans="1:5" x14ac:dyDescent="0.25">
      <c r="A1361" s="2">
        <f>IF(B1361="","",SUBTOTAL(3,$B$2:B1361))</f>
        <v>1360</v>
      </c>
      <c r="B1361" s="9" t="s">
        <v>51</v>
      </c>
      <c r="C1361" s="10" t="s">
        <v>54</v>
      </c>
      <c r="D1361" s="11">
        <v>40.515355319666149</v>
      </c>
      <c r="E1361" s="12">
        <f t="shared" si="21"/>
        <v>42799</v>
      </c>
    </row>
    <row r="1362" spans="1:5" x14ac:dyDescent="0.25">
      <c r="A1362" s="2">
        <f>IF(B1362="","",SUBTOTAL(3,$B$2:B1362))</f>
        <v>1361</v>
      </c>
      <c r="B1362" s="9" t="s">
        <v>55</v>
      </c>
      <c r="C1362" s="10" t="s">
        <v>49</v>
      </c>
      <c r="D1362" s="11">
        <v>70</v>
      </c>
      <c r="E1362" s="12">
        <f t="shared" si="21"/>
        <v>42800</v>
      </c>
    </row>
    <row r="1363" spans="1:5" x14ac:dyDescent="0.25">
      <c r="A1363" s="2">
        <f>IF(B1363="","",SUBTOTAL(3,$B$2:B1363))</f>
        <v>1362</v>
      </c>
      <c r="B1363" s="9" t="s">
        <v>55</v>
      </c>
      <c r="C1363" s="10" t="s">
        <v>49</v>
      </c>
      <c r="D1363" s="11">
        <v>70</v>
      </c>
      <c r="E1363" s="12">
        <f t="shared" si="21"/>
        <v>42801</v>
      </c>
    </row>
    <row r="1364" spans="1:5" x14ac:dyDescent="0.25">
      <c r="A1364" s="2">
        <f>IF(B1364="","",SUBTOTAL(3,$B$2:B1364))</f>
        <v>1363</v>
      </c>
      <c r="B1364" s="9" t="s">
        <v>55</v>
      </c>
      <c r="C1364" s="10" t="s">
        <v>52</v>
      </c>
      <c r="D1364" s="11">
        <v>131.93733633481878</v>
      </c>
      <c r="E1364" s="12">
        <f t="shared" si="21"/>
        <v>42802</v>
      </c>
    </row>
    <row r="1365" spans="1:5" x14ac:dyDescent="0.25">
      <c r="A1365" s="2">
        <f>IF(B1365="","",SUBTOTAL(3,$B$2:B1365))</f>
        <v>1364</v>
      </c>
      <c r="B1365" s="9" t="s">
        <v>48</v>
      </c>
      <c r="C1365" s="10" t="s">
        <v>52</v>
      </c>
      <c r="D1365" s="11">
        <v>256.96041524803104</v>
      </c>
      <c r="E1365" s="12">
        <f t="shared" si="21"/>
        <v>42803</v>
      </c>
    </row>
    <row r="1366" spans="1:5" x14ac:dyDescent="0.25">
      <c r="A1366" s="2">
        <f>IF(B1366="","",SUBTOTAL(3,$B$2:B1366))</f>
        <v>1365</v>
      </c>
      <c r="B1366" s="9" t="s">
        <v>48</v>
      </c>
      <c r="C1366" s="10" t="s">
        <v>52</v>
      </c>
      <c r="D1366" s="11">
        <v>256.96041524803104</v>
      </c>
      <c r="E1366" s="12">
        <f t="shared" si="21"/>
        <v>42804</v>
      </c>
    </row>
    <row r="1367" spans="1:5" x14ac:dyDescent="0.25">
      <c r="A1367" s="2">
        <f>IF(B1367="","",SUBTOTAL(3,$B$2:B1367))</f>
        <v>1366</v>
      </c>
      <c r="B1367" s="9" t="s">
        <v>48</v>
      </c>
      <c r="C1367" s="10" t="s">
        <v>52</v>
      </c>
      <c r="D1367" s="11">
        <v>256.96041524803104</v>
      </c>
      <c r="E1367" s="12">
        <f t="shared" si="21"/>
        <v>42805</v>
      </c>
    </row>
    <row r="1368" spans="1:5" x14ac:dyDescent="0.25">
      <c r="A1368" s="2">
        <f>IF(B1368="","",SUBTOTAL(3,$B$2:B1368))</f>
        <v>1367</v>
      </c>
      <c r="B1368" s="9" t="s">
        <v>48</v>
      </c>
      <c r="C1368" s="10" t="s">
        <v>52</v>
      </c>
      <c r="D1368" s="11">
        <v>256.96041524803104</v>
      </c>
      <c r="E1368" s="12">
        <f t="shared" si="21"/>
        <v>42806</v>
      </c>
    </row>
    <row r="1369" spans="1:5" x14ac:dyDescent="0.25">
      <c r="A1369" s="2">
        <f>IF(B1369="","",SUBTOTAL(3,$B$2:B1369))</f>
        <v>1368</v>
      </c>
      <c r="B1369" s="9" t="s">
        <v>48</v>
      </c>
      <c r="C1369" s="10" t="s">
        <v>52</v>
      </c>
      <c r="D1369" s="11">
        <v>256.96041524803104</v>
      </c>
      <c r="E1369" s="12">
        <f t="shared" si="21"/>
        <v>42807</v>
      </c>
    </row>
    <row r="1370" spans="1:5" x14ac:dyDescent="0.25">
      <c r="A1370" s="2">
        <f>IF(B1370="","",SUBTOTAL(3,$B$2:B1370))</f>
        <v>1369</v>
      </c>
      <c r="B1370" s="9" t="s">
        <v>48</v>
      </c>
      <c r="C1370" s="10" t="s">
        <v>52</v>
      </c>
      <c r="D1370" s="11">
        <v>256.96041524803104</v>
      </c>
      <c r="E1370" s="12">
        <f t="shared" si="21"/>
        <v>42808</v>
      </c>
    </row>
    <row r="1371" spans="1:5" x14ac:dyDescent="0.25">
      <c r="A1371" s="2">
        <f>IF(B1371="","",SUBTOTAL(3,$B$2:B1371))</f>
        <v>1370</v>
      </c>
      <c r="B1371" s="9" t="s">
        <v>48</v>
      </c>
      <c r="C1371" s="10" t="s">
        <v>52</v>
      </c>
      <c r="D1371" s="11">
        <v>256.96041524803104</v>
      </c>
      <c r="E1371" s="12">
        <f t="shared" si="21"/>
        <v>42809</v>
      </c>
    </row>
    <row r="1372" spans="1:5" x14ac:dyDescent="0.25">
      <c r="A1372" s="2">
        <f>IF(B1372="","",SUBTOTAL(3,$B$2:B1372))</f>
        <v>1371</v>
      </c>
      <c r="B1372" s="9" t="s">
        <v>48</v>
      </c>
      <c r="C1372" s="10" t="s">
        <v>52</v>
      </c>
      <c r="D1372" s="11">
        <v>256.96041524803104</v>
      </c>
      <c r="E1372" s="12">
        <f t="shared" si="21"/>
        <v>42810</v>
      </c>
    </row>
    <row r="1373" spans="1:5" x14ac:dyDescent="0.25">
      <c r="A1373" s="2">
        <f>IF(B1373="","",SUBTOTAL(3,$B$2:B1373))</f>
        <v>1372</v>
      </c>
      <c r="B1373" s="9" t="s">
        <v>48</v>
      </c>
      <c r="C1373" s="10" t="s">
        <v>56</v>
      </c>
      <c r="D1373" s="11">
        <v>19.27203114360233</v>
      </c>
      <c r="E1373" s="12">
        <f t="shared" si="21"/>
        <v>42811</v>
      </c>
    </row>
    <row r="1374" spans="1:5" x14ac:dyDescent="0.25">
      <c r="A1374" s="2">
        <f>IF(B1374="","",SUBTOTAL(3,$B$2:B1374))</f>
        <v>1373</v>
      </c>
      <c r="B1374" s="9" t="s">
        <v>48</v>
      </c>
      <c r="C1374" s="10" t="s">
        <v>49</v>
      </c>
      <c r="D1374" s="11">
        <v>84.719654959950716</v>
      </c>
      <c r="E1374" s="12">
        <f t="shared" si="21"/>
        <v>42812</v>
      </c>
    </row>
    <row r="1375" spans="1:5" x14ac:dyDescent="0.25">
      <c r="A1375" s="2">
        <f>IF(B1375="","",SUBTOTAL(3,$B$2:B1375))</f>
        <v>1374</v>
      </c>
      <c r="B1375" s="9" t="s">
        <v>50</v>
      </c>
      <c r="C1375" s="10" t="s">
        <v>49</v>
      </c>
      <c r="D1375" s="11">
        <v>55.114638447971785</v>
      </c>
      <c r="E1375" s="12">
        <f t="shared" si="21"/>
        <v>42813</v>
      </c>
    </row>
    <row r="1376" spans="1:5" x14ac:dyDescent="0.25">
      <c r="A1376" s="2">
        <f>IF(B1376="","",SUBTOTAL(3,$B$2:B1376))</f>
        <v>1375</v>
      </c>
      <c r="B1376" s="9" t="s">
        <v>50</v>
      </c>
      <c r="C1376" s="10" t="s">
        <v>49</v>
      </c>
      <c r="D1376" s="11">
        <v>2.204585537918871</v>
      </c>
      <c r="E1376" s="12">
        <f t="shared" si="21"/>
        <v>42814</v>
      </c>
    </row>
    <row r="1377" spans="1:5" x14ac:dyDescent="0.25">
      <c r="A1377" s="2">
        <f>IF(B1377="","",SUBTOTAL(3,$B$2:B1377))</f>
        <v>1376</v>
      </c>
      <c r="B1377" s="9" t="s">
        <v>51</v>
      </c>
      <c r="C1377" s="10" t="s">
        <v>49</v>
      </c>
      <c r="D1377" s="11">
        <v>12.154606595899846</v>
      </c>
      <c r="E1377" s="12">
        <f t="shared" si="21"/>
        <v>42815</v>
      </c>
    </row>
    <row r="1378" spans="1:5" x14ac:dyDescent="0.25">
      <c r="A1378" s="2">
        <f>IF(B1378="","",SUBTOTAL(3,$B$2:B1378))</f>
        <v>1377</v>
      </c>
      <c r="B1378" s="9" t="s">
        <v>48</v>
      </c>
      <c r="C1378" s="10" t="s">
        <v>54</v>
      </c>
      <c r="D1378" s="11">
        <v>308.07147258163894</v>
      </c>
      <c r="E1378" s="12">
        <f t="shared" si="21"/>
        <v>42816</v>
      </c>
    </row>
    <row r="1379" spans="1:5" x14ac:dyDescent="0.25">
      <c r="A1379" s="2">
        <f>IF(B1379="","",SUBTOTAL(3,$B$2:B1379))</f>
        <v>1378</v>
      </c>
      <c r="B1379" s="9" t="s">
        <v>48</v>
      </c>
      <c r="C1379" s="10" t="s">
        <v>54</v>
      </c>
      <c r="D1379" s="11">
        <v>154.03573629081947</v>
      </c>
      <c r="E1379" s="12">
        <f t="shared" si="21"/>
        <v>42817</v>
      </c>
    </row>
    <row r="1380" spans="1:5" x14ac:dyDescent="0.25">
      <c r="A1380" s="2">
        <f>IF(B1380="","",SUBTOTAL(3,$B$2:B1380))</f>
        <v>1379</v>
      </c>
      <c r="B1380" s="9" t="s">
        <v>48</v>
      </c>
      <c r="C1380" s="10" t="s">
        <v>49</v>
      </c>
      <c r="D1380" s="11">
        <v>30.807147258163894</v>
      </c>
      <c r="E1380" s="12">
        <f t="shared" si="21"/>
        <v>42818</v>
      </c>
    </row>
    <row r="1381" spans="1:5" x14ac:dyDescent="0.25">
      <c r="A1381" s="2">
        <f>IF(B1381="","",SUBTOTAL(3,$B$2:B1381))</f>
        <v>1380</v>
      </c>
      <c r="B1381" s="9" t="s">
        <v>48</v>
      </c>
      <c r="C1381" s="10" t="s">
        <v>54</v>
      </c>
      <c r="D1381" s="11">
        <v>33.887861983980287</v>
      </c>
      <c r="E1381" s="12">
        <f t="shared" si="21"/>
        <v>42819</v>
      </c>
    </row>
    <row r="1382" spans="1:5" x14ac:dyDescent="0.25">
      <c r="A1382" s="2">
        <f>IF(B1382="","",SUBTOTAL(3,$B$2:B1382))</f>
        <v>1381</v>
      </c>
      <c r="B1382" s="9" t="s">
        <v>50</v>
      </c>
      <c r="C1382" s="10" t="s">
        <v>49</v>
      </c>
      <c r="D1382" s="11">
        <v>24.250440917107586</v>
      </c>
      <c r="E1382" s="12">
        <f t="shared" si="21"/>
        <v>42820</v>
      </c>
    </row>
    <row r="1383" spans="1:5" x14ac:dyDescent="0.25">
      <c r="A1383" s="2">
        <f>IF(B1383="","",SUBTOTAL(3,$B$2:B1383))</f>
        <v>1382</v>
      </c>
      <c r="B1383" s="9" t="s">
        <v>53</v>
      </c>
      <c r="C1383" s="10" t="s">
        <v>49</v>
      </c>
      <c r="D1383" s="11">
        <v>3.0910007601637561</v>
      </c>
      <c r="E1383" s="12">
        <f t="shared" si="21"/>
        <v>42821</v>
      </c>
    </row>
    <row r="1384" spans="1:5" x14ac:dyDescent="0.25">
      <c r="A1384" s="2">
        <f>IF(B1384="","",SUBTOTAL(3,$B$2:B1384))</f>
        <v>1383</v>
      </c>
      <c r="B1384" s="9" t="s">
        <v>55</v>
      </c>
      <c r="C1384" s="10" t="s">
        <v>49</v>
      </c>
      <c r="D1384" s="11">
        <v>70</v>
      </c>
      <c r="E1384" s="12">
        <f t="shared" si="21"/>
        <v>42822</v>
      </c>
    </row>
    <row r="1385" spans="1:5" x14ac:dyDescent="0.25">
      <c r="A1385" s="2">
        <f>IF(B1385="","",SUBTOTAL(3,$B$2:B1385))</f>
        <v>1384</v>
      </c>
      <c r="B1385" s="9" t="s">
        <v>48</v>
      </c>
      <c r="C1385" s="10" t="s">
        <v>49</v>
      </c>
      <c r="D1385" s="11">
        <v>17.235436056532226</v>
      </c>
      <c r="E1385" s="12">
        <f t="shared" si="21"/>
        <v>42823</v>
      </c>
    </row>
    <row r="1386" spans="1:5" x14ac:dyDescent="0.25">
      <c r="A1386" s="2">
        <f>IF(B1386="","",SUBTOTAL(3,$B$2:B1386))</f>
        <v>1385</v>
      </c>
      <c r="B1386" s="9" t="s">
        <v>55</v>
      </c>
      <c r="C1386" s="10" t="s">
        <v>49</v>
      </c>
      <c r="D1386" s="11">
        <v>259.04828339596071</v>
      </c>
      <c r="E1386" s="12">
        <f t="shared" si="21"/>
        <v>42824</v>
      </c>
    </row>
    <row r="1387" spans="1:5" x14ac:dyDescent="0.25">
      <c r="A1387" s="2">
        <f>IF(B1387="","",SUBTOTAL(3,$B$2:B1387))</f>
        <v>1386</v>
      </c>
      <c r="B1387" s="9" t="s">
        <v>55</v>
      </c>
      <c r="C1387" s="10" t="s">
        <v>52</v>
      </c>
      <c r="D1387" s="11">
        <v>68.911655257959296</v>
      </c>
      <c r="E1387" s="12">
        <f t="shared" si="21"/>
        <v>42825</v>
      </c>
    </row>
    <row r="1388" spans="1:5" x14ac:dyDescent="0.25">
      <c r="A1388" s="2">
        <f>IF(B1388="","",SUBTOTAL(3,$B$2:B1388))</f>
        <v>1387</v>
      </c>
      <c r="B1388" s="9" t="s">
        <v>50</v>
      </c>
      <c r="C1388" s="10" t="s">
        <v>49</v>
      </c>
      <c r="D1388" s="11">
        <v>992.06349206349205</v>
      </c>
      <c r="E1388" s="12">
        <f t="shared" si="21"/>
        <v>42826</v>
      </c>
    </row>
    <row r="1389" spans="1:5" x14ac:dyDescent="0.25">
      <c r="A1389" s="2">
        <f>IF(B1389="","",SUBTOTAL(3,$B$2:B1389))</f>
        <v>1388</v>
      </c>
      <c r="B1389" s="9" t="s">
        <v>48</v>
      </c>
      <c r="C1389" s="10" t="s">
        <v>52</v>
      </c>
      <c r="D1389" s="11">
        <v>123.22858903265558</v>
      </c>
      <c r="E1389" s="12">
        <f t="shared" si="21"/>
        <v>42827</v>
      </c>
    </row>
    <row r="1390" spans="1:5" x14ac:dyDescent="0.25">
      <c r="A1390" s="2">
        <f>IF(B1390="","",SUBTOTAL(3,$B$2:B1390))</f>
        <v>1389</v>
      </c>
      <c r="B1390" s="9" t="s">
        <v>50</v>
      </c>
      <c r="C1390" s="10" t="s">
        <v>52</v>
      </c>
      <c r="D1390" s="11">
        <v>132.27513227513228</v>
      </c>
      <c r="E1390" s="12">
        <f t="shared" si="21"/>
        <v>42828</v>
      </c>
    </row>
    <row r="1391" spans="1:5" x14ac:dyDescent="0.25">
      <c r="A1391" s="2">
        <f>IF(B1391="","",SUBTOTAL(3,$B$2:B1391))</f>
        <v>1390</v>
      </c>
      <c r="B1391" s="9" t="s">
        <v>50</v>
      </c>
      <c r="C1391" s="10" t="s">
        <v>52</v>
      </c>
      <c r="D1391" s="11">
        <v>132.27513227513228</v>
      </c>
      <c r="E1391" s="12">
        <f t="shared" si="21"/>
        <v>42829</v>
      </c>
    </row>
    <row r="1392" spans="1:5" x14ac:dyDescent="0.25">
      <c r="A1392" s="2">
        <f>IF(B1392="","",SUBTOTAL(3,$B$2:B1392))</f>
        <v>1391</v>
      </c>
      <c r="B1392" s="9" t="s">
        <v>55</v>
      </c>
      <c r="C1392" s="10" t="s">
        <v>52</v>
      </c>
      <c r="D1392" s="11">
        <v>329.04045223319753</v>
      </c>
      <c r="E1392" s="12">
        <f t="shared" si="21"/>
        <v>42830</v>
      </c>
    </row>
    <row r="1393" spans="1:5" x14ac:dyDescent="0.25">
      <c r="A1393" s="2">
        <f>IF(B1393="","",SUBTOTAL(3,$B$2:B1393))</f>
        <v>1392</v>
      </c>
      <c r="B1393" s="9" t="s">
        <v>55</v>
      </c>
      <c r="C1393" s="10" t="s">
        <v>52</v>
      </c>
      <c r="D1393" s="11">
        <v>164.52022611659876</v>
      </c>
      <c r="E1393" s="12">
        <f t="shared" si="21"/>
        <v>42831</v>
      </c>
    </row>
    <row r="1394" spans="1:5" x14ac:dyDescent="0.25">
      <c r="A1394" s="2">
        <f>IF(B1394="","",SUBTOTAL(3,$B$2:B1394))</f>
        <v>1393</v>
      </c>
      <c r="B1394" s="9" t="s">
        <v>55</v>
      </c>
      <c r="C1394" s="10" t="s">
        <v>52</v>
      </c>
      <c r="D1394" s="11">
        <v>20</v>
      </c>
      <c r="E1394" s="12">
        <f t="shared" si="21"/>
        <v>42832</v>
      </c>
    </row>
    <row r="1395" spans="1:5" x14ac:dyDescent="0.25">
      <c r="A1395" s="2">
        <f>IF(B1395="","",SUBTOTAL(3,$B$2:B1395))</f>
        <v>1394</v>
      </c>
      <c r="B1395" s="9" t="s">
        <v>55</v>
      </c>
      <c r="C1395" s="10" t="s">
        <v>52</v>
      </c>
      <c r="D1395" s="11">
        <v>20</v>
      </c>
      <c r="E1395" s="12">
        <f t="shared" si="21"/>
        <v>42833</v>
      </c>
    </row>
    <row r="1396" spans="1:5" x14ac:dyDescent="0.25">
      <c r="A1396" s="2">
        <f>IF(B1396="","",SUBTOTAL(3,$B$2:B1396))</f>
        <v>1395</v>
      </c>
      <c r="B1396" s="9" t="s">
        <v>51</v>
      </c>
      <c r="C1396" s="10" t="s">
        <v>52</v>
      </c>
      <c r="D1396" s="11">
        <v>211.79709837975219</v>
      </c>
      <c r="E1396" s="12">
        <f t="shared" si="21"/>
        <v>42834</v>
      </c>
    </row>
    <row r="1397" spans="1:5" x14ac:dyDescent="0.25">
      <c r="A1397" s="2">
        <f>IF(B1397="","",SUBTOTAL(3,$B$2:B1397))</f>
        <v>1396</v>
      </c>
      <c r="B1397" s="9" t="s">
        <v>48</v>
      </c>
      <c r="C1397" s="10" t="s">
        <v>49</v>
      </c>
      <c r="D1397" s="11">
        <v>172.35436056532231</v>
      </c>
      <c r="E1397" s="12">
        <f t="shared" si="21"/>
        <v>42835</v>
      </c>
    </row>
    <row r="1398" spans="1:5" x14ac:dyDescent="0.25">
      <c r="A1398" s="2">
        <f>IF(B1398="","",SUBTOTAL(3,$B$2:B1398))</f>
        <v>1397</v>
      </c>
      <c r="B1398" s="9" t="s">
        <v>50</v>
      </c>
      <c r="C1398" s="10" t="s">
        <v>49</v>
      </c>
      <c r="D1398" s="11">
        <v>88.183421516754848</v>
      </c>
      <c r="E1398" s="12">
        <f t="shared" si="21"/>
        <v>42836</v>
      </c>
    </row>
    <row r="1399" spans="1:5" x14ac:dyDescent="0.25">
      <c r="A1399" s="2">
        <f>IF(B1399="","",SUBTOTAL(3,$B$2:B1399))</f>
        <v>1398</v>
      </c>
      <c r="B1399" s="9" t="s">
        <v>51</v>
      </c>
      <c r="C1399" s="10" t="s">
        <v>52</v>
      </c>
      <c r="D1399" s="11">
        <v>158.84782378481412</v>
      </c>
      <c r="E1399" s="12">
        <f t="shared" si="21"/>
        <v>42837</v>
      </c>
    </row>
    <row r="1400" spans="1:5" x14ac:dyDescent="0.25">
      <c r="A1400" s="2">
        <f>IF(B1400="","",SUBTOTAL(3,$B$2:B1400))</f>
        <v>1399</v>
      </c>
      <c r="B1400" s="9" t="s">
        <v>50</v>
      </c>
      <c r="C1400" s="10" t="s">
        <v>49</v>
      </c>
      <c r="D1400" s="11">
        <v>293.80257936507934</v>
      </c>
      <c r="E1400" s="12">
        <f t="shared" si="21"/>
        <v>42838</v>
      </c>
    </row>
    <row r="1401" spans="1:5" x14ac:dyDescent="0.25">
      <c r="A1401" s="2">
        <f>IF(B1401="","",SUBTOTAL(3,$B$2:B1401))</f>
        <v>1400</v>
      </c>
      <c r="B1401" s="9" t="s">
        <v>51</v>
      </c>
      <c r="C1401" s="10" t="s">
        <v>52</v>
      </c>
      <c r="D1401" s="11">
        <v>158.84782378481412</v>
      </c>
      <c r="E1401" s="12">
        <f t="shared" si="21"/>
        <v>42839</v>
      </c>
    </row>
    <row r="1402" spans="1:5" x14ac:dyDescent="0.25">
      <c r="A1402" s="2">
        <f>IF(B1402="","",SUBTOTAL(3,$B$2:B1402))</f>
        <v>1401</v>
      </c>
      <c r="B1402" s="9" t="s">
        <v>51</v>
      </c>
      <c r="C1402" s="10" t="s">
        <v>52</v>
      </c>
      <c r="D1402" s="11">
        <v>105.89854918987609</v>
      </c>
      <c r="E1402" s="12">
        <f t="shared" si="21"/>
        <v>42840</v>
      </c>
    </row>
    <row r="1403" spans="1:5" x14ac:dyDescent="0.25">
      <c r="A1403" s="2">
        <f>IF(B1403="","",SUBTOTAL(3,$B$2:B1403))</f>
        <v>1402</v>
      </c>
      <c r="B1403" s="9" t="s">
        <v>50</v>
      </c>
      <c r="C1403" s="10" t="s">
        <v>49</v>
      </c>
      <c r="D1403" s="11">
        <v>176.3668430335097</v>
      </c>
      <c r="E1403" s="12">
        <f t="shared" si="21"/>
        <v>42841</v>
      </c>
    </row>
    <row r="1404" spans="1:5" x14ac:dyDescent="0.25">
      <c r="A1404" s="2">
        <f>IF(B1404="","",SUBTOTAL(3,$B$2:B1404))</f>
        <v>1403</v>
      </c>
      <c r="B1404" s="9" t="s">
        <v>50</v>
      </c>
      <c r="C1404" s="10" t="s">
        <v>49</v>
      </c>
      <c r="D1404" s="11">
        <v>6.6137566137566139</v>
      </c>
      <c r="E1404" s="12">
        <f t="shared" si="21"/>
        <v>42842</v>
      </c>
    </row>
    <row r="1405" spans="1:5" x14ac:dyDescent="0.25">
      <c r="A1405" s="2">
        <f>IF(B1405="","",SUBTOTAL(3,$B$2:B1405))</f>
        <v>1404</v>
      </c>
      <c r="B1405" s="9" t="s">
        <v>50</v>
      </c>
      <c r="C1405" s="10" t="s">
        <v>49</v>
      </c>
      <c r="D1405" s="11">
        <v>110.22927689594357</v>
      </c>
      <c r="E1405" s="12">
        <f t="shared" si="21"/>
        <v>42843</v>
      </c>
    </row>
    <row r="1406" spans="1:5" x14ac:dyDescent="0.25">
      <c r="A1406" s="2">
        <f>IF(B1406="","",SUBTOTAL(3,$B$2:B1406))</f>
        <v>1405</v>
      </c>
      <c r="B1406" s="9" t="s">
        <v>55</v>
      </c>
      <c r="C1406" s="10" t="s">
        <v>49</v>
      </c>
      <c r="D1406" s="11">
        <v>107.93678474831697</v>
      </c>
      <c r="E1406" s="12">
        <f t="shared" si="21"/>
        <v>42844</v>
      </c>
    </row>
    <row r="1407" spans="1:5" x14ac:dyDescent="0.25">
      <c r="A1407" s="2">
        <f>IF(B1407="","",SUBTOTAL(3,$B$2:B1407))</f>
        <v>1406</v>
      </c>
      <c r="B1407" s="9" t="s">
        <v>51</v>
      </c>
      <c r="C1407" s="10" t="s">
        <v>49</v>
      </c>
      <c r="D1407" s="11">
        <v>486.18426383599382</v>
      </c>
      <c r="E1407" s="12">
        <f t="shared" si="21"/>
        <v>42845</v>
      </c>
    </row>
    <row r="1408" spans="1:5" x14ac:dyDescent="0.25">
      <c r="A1408" s="2">
        <f>IF(B1408="","",SUBTOTAL(3,$B$2:B1408))</f>
        <v>1407</v>
      </c>
      <c r="B1408" s="9" t="s">
        <v>53</v>
      </c>
      <c r="C1408" s="10" t="s">
        <v>49</v>
      </c>
      <c r="D1408" s="11">
        <v>137.37899200454268</v>
      </c>
      <c r="E1408" s="12">
        <f t="shared" si="21"/>
        <v>42846</v>
      </c>
    </row>
    <row r="1409" spans="1:5" x14ac:dyDescent="0.25">
      <c r="A1409" s="2">
        <f>IF(B1409="","",SUBTOTAL(3,$B$2:B1409))</f>
        <v>1408</v>
      </c>
      <c r="B1409" s="9" t="s">
        <v>51</v>
      </c>
      <c r="C1409" s="10" t="s">
        <v>52</v>
      </c>
      <c r="D1409" s="11">
        <v>32.412284255732921</v>
      </c>
      <c r="E1409" s="12">
        <f t="shared" si="21"/>
        <v>42847</v>
      </c>
    </row>
    <row r="1410" spans="1:5" x14ac:dyDescent="0.25">
      <c r="A1410" s="2">
        <f>IF(B1410="","",SUBTOTAL(3,$B$2:B1410))</f>
        <v>1409</v>
      </c>
      <c r="B1410" s="9" t="s">
        <v>53</v>
      </c>
      <c r="C1410" s="10" t="s">
        <v>49</v>
      </c>
      <c r="D1410" s="11">
        <v>91.585994669695125</v>
      </c>
      <c r="E1410" s="12">
        <f t="shared" si="21"/>
        <v>42848</v>
      </c>
    </row>
    <row r="1411" spans="1:5" x14ac:dyDescent="0.25">
      <c r="A1411" s="2">
        <f>IF(B1411="","",SUBTOTAL(3,$B$2:B1411))</f>
        <v>1410</v>
      </c>
      <c r="B1411" s="9" t="s">
        <v>48</v>
      </c>
      <c r="C1411" s="10" t="s">
        <v>49</v>
      </c>
      <c r="D1411" s="11">
        <v>64.24010381200776</v>
      </c>
      <c r="E1411" s="12">
        <f t="shared" si="21"/>
        <v>42849</v>
      </c>
    </row>
    <row r="1412" spans="1:5" x14ac:dyDescent="0.25">
      <c r="A1412" s="2">
        <f>IF(B1412="","",SUBTOTAL(3,$B$2:B1412))</f>
        <v>1411</v>
      </c>
      <c r="B1412" s="9" t="s">
        <v>48</v>
      </c>
      <c r="C1412" s="10" t="s">
        <v>52</v>
      </c>
      <c r="D1412" s="11">
        <v>20</v>
      </c>
      <c r="E1412" s="12">
        <f t="shared" ref="E1412:E1475" si="22">E1411+1</f>
        <v>42850</v>
      </c>
    </row>
    <row r="1413" spans="1:5" x14ac:dyDescent="0.25">
      <c r="A1413" s="2">
        <f>IF(B1413="","",SUBTOTAL(3,$B$2:B1413))</f>
        <v>1412</v>
      </c>
      <c r="B1413" s="9" t="s">
        <v>55</v>
      </c>
      <c r="C1413" s="10" t="s">
        <v>52</v>
      </c>
      <c r="D1413" s="11">
        <v>50</v>
      </c>
      <c r="E1413" s="12">
        <f t="shared" si="22"/>
        <v>42851</v>
      </c>
    </row>
    <row r="1414" spans="1:5" x14ac:dyDescent="0.25">
      <c r="A1414" s="2">
        <f>IF(B1414="","",SUBTOTAL(3,$B$2:B1414))</f>
        <v>1413</v>
      </c>
      <c r="B1414" s="9" t="s">
        <v>55</v>
      </c>
      <c r="C1414" s="10" t="s">
        <v>52</v>
      </c>
      <c r="D1414" s="11">
        <v>50</v>
      </c>
      <c r="E1414" s="12">
        <f t="shared" si="22"/>
        <v>42852</v>
      </c>
    </row>
    <row r="1415" spans="1:5" x14ac:dyDescent="0.25">
      <c r="A1415" s="2">
        <f>IF(B1415="","",SUBTOTAL(3,$B$2:B1415))</f>
        <v>1414</v>
      </c>
      <c r="B1415" s="9" t="s">
        <v>53</v>
      </c>
      <c r="C1415" s="10" t="s">
        <v>49</v>
      </c>
      <c r="D1415" s="11">
        <v>64.110196268786581</v>
      </c>
      <c r="E1415" s="12">
        <f t="shared" si="22"/>
        <v>42853</v>
      </c>
    </row>
    <row r="1416" spans="1:5" x14ac:dyDescent="0.25">
      <c r="A1416" s="2">
        <f>IF(B1416="","",SUBTOTAL(3,$B$2:B1416))</f>
        <v>1415</v>
      </c>
      <c r="B1416" s="9" t="s">
        <v>53</v>
      </c>
      <c r="C1416" s="10" t="s">
        <v>49</v>
      </c>
      <c r="D1416" s="11">
        <v>183.17198933939025</v>
      </c>
      <c r="E1416" s="12">
        <f t="shared" si="22"/>
        <v>42854</v>
      </c>
    </row>
    <row r="1417" spans="1:5" x14ac:dyDescent="0.25">
      <c r="A1417" s="2">
        <f>IF(B1417="","",SUBTOTAL(3,$B$2:B1417))</f>
        <v>1416</v>
      </c>
      <c r="B1417" s="9" t="s">
        <v>55</v>
      </c>
      <c r="C1417" s="10" t="s">
        <v>49</v>
      </c>
      <c r="D1417" s="11">
        <v>10</v>
      </c>
      <c r="E1417" s="12">
        <f t="shared" si="22"/>
        <v>42855</v>
      </c>
    </row>
    <row r="1418" spans="1:5" x14ac:dyDescent="0.25">
      <c r="A1418" s="2">
        <f>IF(B1418="","",SUBTOTAL(3,$B$2:B1418))</f>
        <v>1417</v>
      </c>
      <c r="B1418" s="9" t="s">
        <v>50</v>
      </c>
      <c r="C1418" s="10" t="s">
        <v>54</v>
      </c>
      <c r="D1418" s="11">
        <v>26.455026455026456</v>
      </c>
      <c r="E1418" s="12">
        <f t="shared" si="22"/>
        <v>42856</v>
      </c>
    </row>
    <row r="1419" spans="1:5" x14ac:dyDescent="0.25">
      <c r="A1419" s="2">
        <f>IF(B1419="","",SUBTOTAL(3,$B$2:B1419))</f>
        <v>1418</v>
      </c>
      <c r="B1419" s="9" t="s">
        <v>55</v>
      </c>
      <c r="C1419" s="10" t="s">
        <v>49</v>
      </c>
      <c r="D1419" s="11">
        <v>47.5</v>
      </c>
      <c r="E1419" s="12">
        <f t="shared" si="22"/>
        <v>42857</v>
      </c>
    </row>
    <row r="1420" spans="1:5" x14ac:dyDescent="0.25">
      <c r="A1420" s="2">
        <f>IF(B1420="","",SUBTOTAL(3,$B$2:B1420))</f>
        <v>1419</v>
      </c>
      <c r="B1420" s="9" t="s">
        <v>55</v>
      </c>
      <c r="C1420" s="10" t="s">
        <v>49</v>
      </c>
      <c r="D1420" s="11">
        <v>47.5</v>
      </c>
      <c r="E1420" s="12">
        <f t="shared" si="22"/>
        <v>42858</v>
      </c>
    </row>
    <row r="1421" spans="1:5" x14ac:dyDescent="0.25">
      <c r="A1421" s="2">
        <f>IF(B1421="","",SUBTOTAL(3,$B$2:B1421))</f>
        <v>1420</v>
      </c>
      <c r="B1421" s="9" t="s">
        <v>51</v>
      </c>
      <c r="C1421" s="10" t="s">
        <v>52</v>
      </c>
      <c r="D1421" s="11">
        <v>50</v>
      </c>
      <c r="E1421" s="12">
        <f t="shared" si="22"/>
        <v>42859</v>
      </c>
    </row>
    <row r="1422" spans="1:5" x14ac:dyDescent="0.25">
      <c r="A1422" s="2">
        <f>IF(B1422="","",SUBTOTAL(3,$B$2:B1422))</f>
        <v>1421</v>
      </c>
      <c r="B1422" s="9" t="s">
        <v>53</v>
      </c>
      <c r="C1422" s="10" t="s">
        <v>49</v>
      </c>
      <c r="D1422" s="11">
        <v>27.475798400908538</v>
      </c>
      <c r="E1422" s="12">
        <f t="shared" si="22"/>
        <v>42860</v>
      </c>
    </row>
    <row r="1423" spans="1:5" x14ac:dyDescent="0.25">
      <c r="A1423" s="2">
        <f>IF(B1423="","",SUBTOTAL(3,$B$2:B1423))</f>
        <v>1422</v>
      </c>
      <c r="B1423" s="9" t="s">
        <v>50</v>
      </c>
      <c r="C1423" s="10" t="s">
        <v>49</v>
      </c>
      <c r="D1423" s="11">
        <v>22.045855379188712</v>
      </c>
      <c r="E1423" s="12">
        <f t="shared" si="22"/>
        <v>42861</v>
      </c>
    </row>
    <row r="1424" spans="1:5" x14ac:dyDescent="0.25">
      <c r="A1424" s="2">
        <f>IF(B1424="","",SUBTOTAL(3,$B$2:B1424))</f>
        <v>1423</v>
      </c>
      <c r="B1424" s="9" t="s">
        <v>48</v>
      </c>
      <c r="C1424" s="10" t="s">
        <v>49</v>
      </c>
      <c r="D1424" s="11">
        <v>1.1324245499980727</v>
      </c>
      <c r="E1424" s="12">
        <f t="shared" si="22"/>
        <v>42862</v>
      </c>
    </row>
    <row r="1425" spans="1:5" x14ac:dyDescent="0.25">
      <c r="A1425" s="2">
        <f>IF(B1425="","",SUBTOTAL(3,$B$2:B1425))</f>
        <v>1424</v>
      </c>
      <c r="B1425" s="9" t="s">
        <v>55</v>
      </c>
      <c r="C1425" s="10" t="s">
        <v>52</v>
      </c>
      <c r="D1425" s="11">
        <v>29.330291673456088</v>
      </c>
      <c r="E1425" s="12">
        <f t="shared" si="22"/>
        <v>42863</v>
      </c>
    </row>
    <row r="1426" spans="1:5" x14ac:dyDescent="0.25">
      <c r="A1426" s="2">
        <f>IF(B1426="","",SUBTOTAL(3,$B$2:B1426))</f>
        <v>1425</v>
      </c>
      <c r="B1426" s="9" t="s">
        <v>55</v>
      </c>
      <c r="C1426" s="10" t="s">
        <v>52</v>
      </c>
      <c r="D1426" s="11">
        <v>66.964285714285708</v>
      </c>
      <c r="E1426" s="12">
        <f t="shared" si="22"/>
        <v>42864</v>
      </c>
    </row>
    <row r="1427" spans="1:5" x14ac:dyDescent="0.25">
      <c r="A1427" s="2">
        <f>IF(B1427="","",SUBTOTAL(3,$B$2:B1427))</f>
        <v>1426</v>
      </c>
      <c r="B1427" s="9" t="s">
        <v>50</v>
      </c>
      <c r="C1427" s="10" t="s">
        <v>49</v>
      </c>
      <c r="D1427" s="11">
        <v>240.18077601410934</v>
      </c>
      <c r="E1427" s="12">
        <f t="shared" si="22"/>
        <v>42865</v>
      </c>
    </row>
    <row r="1428" spans="1:5" x14ac:dyDescent="0.25">
      <c r="A1428" s="2">
        <f>IF(B1428="","",SUBTOTAL(3,$B$2:B1428))</f>
        <v>1427</v>
      </c>
      <c r="B1428" s="9" t="s">
        <v>50</v>
      </c>
      <c r="C1428" s="10" t="s">
        <v>54</v>
      </c>
      <c r="D1428" s="11">
        <v>52.910052910052912</v>
      </c>
      <c r="E1428" s="12">
        <f t="shared" si="22"/>
        <v>42866</v>
      </c>
    </row>
    <row r="1429" spans="1:5" x14ac:dyDescent="0.25">
      <c r="A1429" s="2">
        <f>IF(B1429="","",SUBTOTAL(3,$B$2:B1429))</f>
        <v>1428</v>
      </c>
      <c r="B1429" s="9" t="s">
        <v>55</v>
      </c>
      <c r="C1429" s="10" t="s">
        <v>49</v>
      </c>
      <c r="D1429" s="11">
        <v>50</v>
      </c>
      <c r="E1429" s="12">
        <f t="shared" si="22"/>
        <v>42867</v>
      </c>
    </row>
    <row r="1430" spans="1:5" x14ac:dyDescent="0.25">
      <c r="A1430" s="2">
        <f>IF(B1430="","",SUBTOTAL(3,$B$2:B1430))</f>
        <v>1429</v>
      </c>
      <c r="B1430" s="9" t="s">
        <v>48</v>
      </c>
      <c r="C1430" s="10" t="s">
        <v>49</v>
      </c>
      <c r="D1430" s="11">
        <v>770.17868145409739</v>
      </c>
      <c r="E1430" s="12">
        <f t="shared" si="22"/>
        <v>42868</v>
      </c>
    </row>
    <row r="1431" spans="1:5" x14ac:dyDescent="0.25">
      <c r="A1431" s="2">
        <f>IF(B1431="","",SUBTOTAL(3,$B$2:B1431))</f>
        <v>1430</v>
      </c>
      <c r="B1431" s="9" t="s">
        <v>48</v>
      </c>
      <c r="C1431" s="10" t="s">
        <v>49</v>
      </c>
      <c r="D1431" s="11">
        <v>61.614294516327789</v>
      </c>
      <c r="E1431" s="12">
        <f t="shared" si="22"/>
        <v>42869</v>
      </c>
    </row>
    <row r="1432" spans="1:5" x14ac:dyDescent="0.25">
      <c r="A1432" s="2">
        <f>IF(B1432="","",SUBTOTAL(3,$B$2:B1432))</f>
        <v>1431</v>
      </c>
      <c r="B1432" s="9" t="s">
        <v>48</v>
      </c>
      <c r="C1432" s="10" t="s">
        <v>52</v>
      </c>
      <c r="D1432" s="11">
        <v>123.22858903265558</v>
      </c>
      <c r="E1432" s="12">
        <f t="shared" si="22"/>
        <v>42870</v>
      </c>
    </row>
    <row r="1433" spans="1:5" x14ac:dyDescent="0.25">
      <c r="A1433" s="2">
        <f>IF(B1433="","",SUBTOTAL(3,$B$2:B1433))</f>
        <v>1432</v>
      </c>
      <c r="B1433" s="9" t="s">
        <v>50</v>
      </c>
      <c r="C1433" s="10" t="s">
        <v>49</v>
      </c>
      <c r="D1433" s="11">
        <v>195.868430335097</v>
      </c>
      <c r="E1433" s="12">
        <f t="shared" si="22"/>
        <v>42871</v>
      </c>
    </row>
    <row r="1434" spans="1:5" x14ac:dyDescent="0.25">
      <c r="A1434" s="2">
        <f>IF(B1434="","",SUBTOTAL(3,$B$2:B1434))</f>
        <v>1433</v>
      </c>
      <c r="B1434" s="9" t="s">
        <v>48</v>
      </c>
      <c r="C1434" s="10" t="s">
        <v>49</v>
      </c>
      <c r="D1434" s="11">
        <v>30.742487119859188</v>
      </c>
      <c r="E1434" s="12">
        <f t="shared" si="22"/>
        <v>42872</v>
      </c>
    </row>
    <row r="1435" spans="1:5" x14ac:dyDescent="0.25">
      <c r="A1435" s="2">
        <f>IF(B1435="","",SUBTOTAL(3,$B$2:B1435))</f>
        <v>1434</v>
      </c>
      <c r="B1435" s="9" t="s">
        <v>53</v>
      </c>
      <c r="C1435" s="10" t="s">
        <v>49</v>
      </c>
      <c r="D1435" s="11">
        <v>183.17198933939025</v>
      </c>
      <c r="E1435" s="12">
        <f t="shared" si="22"/>
        <v>42873</v>
      </c>
    </row>
    <row r="1436" spans="1:5" x14ac:dyDescent="0.25">
      <c r="A1436" s="2">
        <f>IF(B1436="","",SUBTOTAL(3,$B$2:B1436))</f>
        <v>1435</v>
      </c>
      <c r="B1436" s="9" t="s">
        <v>55</v>
      </c>
      <c r="C1436" s="10" t="s">
        <v>52</v>
      </c>
      <c r="D1436" s="11">
        <v>0</v>
      </c>
      <c r="E1436" s="12">
        <f t="shared" si="22"/>
        <v>42874</v>
      </c>
    </row>
    <row r="1437" spans="1:5" x14ac:dyDescent="0.25">
      <c r="A1437" s="2">
        <f>IF(B1437="","",SUBTOTAL(3,$B$2:B1437))</f>
        <v>1436</v>
      </c>
      <c r="B1437" s="9" t="s">
        <v>48</v>
      </c>
      <c r="C1437" s="10" t="s">
        <v>49</v>
      </c>
      <c r="D1437" s="11">
        <v>21.565003080714728</v>
      </c>
      <c r="E1437" s="12">
        <f t="shared" si="22"/>
        <v>42875</v>
      </c>
    </row>
    <row r="1438" spans="1:5" x14ac:dyDescent="0.25">
      <c r="A1438" s="2">
        <f>IF(B1438="","",SUBTOTAL(3,$B$2:B1438))</f>
        <v>1437</v>
      </c>
      <c r="B1438" s="9" t="s">
        <v>55</v>
      </c>
      <c r="C1438" s="10" t="s">
        <v>49</v>
      </c>
      <c r="D1438" s="11">
        <v>39.766183854643089</v>
      </c>
      <c r="E1438" s="12">
        <f t="shared" si="22"/>
        <v>42876</v>
      </c>
    </row>
    <row r="1439" spans="1:5" x14ac:dyDescent="0.25">
      <c r="A1439" s="2">
        <f>IF(B1439="","",SUBTOTAL(3,$B$2:B1439))</f>
        <v>1438</v>
      </c>
      <c r="B1439" s="9" t="s">
        <v>50</v>
      </c>
      <c r="C1439" s="10" t="s">
        <v>49</v>
      </c>
      <c r="D1439" s="11">
        <v>330.68783068783068</v>
      </c>
      <c r="E1439" s="12">
        <f t="shared" si="22"/>
        <v>42877</v>
      </c>
    </row>
    <row r="1440" spans="1:5" x14ac:dyDescent="0.25">
      <c r="A1440" s="2">
        <f>IF(B1440="","",SUBTOTAL(3,$B$2:B1440))</f>
        <v>1439</v>
      </c>
      <c r="B1440" s="9" t="s">
        <v>55</v>
      </c>
      <c r="C1440" s="10" t="s">
        <v>52</v>
      </c>
      <c r="D1440" s="11">
        <v>30.195</v>
      </c>
      <c r="E1440" s="12">
        <f t="shared" si="22"/>
        <v>42878</v>
      </c>
    </row>
    <row r="1441" spans="1:5" x14ac:dyDescent="0.25">
      <c r="A1441" s="2">
        <f>IF(B1441="","",SUBTOTAL(3,$B$2:B1441))</f>
        <v>1440</v>
      </c>
      <c r="B1441" s="9" t="s">
        <v>51</v>
      </c>
      <c r="C1441" s="10" t="s">
        <v>52</v>
      </c>
      <c r="D1441" s="11">
        <v>148.25796886582651</v>
      </c>
      <c r="E1441" s="12">
        <f t="shared" si="22"/>
        <v>42879</v>
      </c>
    </row>
    <row r="1442" spans="1:5" x14ac:dyDescent="0.25">
      <c r="A1442" s="2">
        <f>IF(B1442="","",SUBTOTAL(3,$B$2:B1442))</f>
        <v>1441</v>
      </c>
      <c r="B1442" s="9" t="s">
        <v>51</v>
      </c>
      <c r="C1442" s="10" t="s">
        <v>54</v>
      </c>
      <c r="D1442" s="11">
        <v>195.91231600127077</v>
      </c>
      <c r="E1442" s="12">
        <f t="shared" si="22"/>
        <v>42880</v>
      </c>
    </row>
    <row r="1443" spans="1:5" x14ac:dyDescent="0.25">
      <c r="A1443" s="2">
        <f>IF(B1443="","",SUBTOTAL(3,$B$2:B1443))</f>
        <v>1442</v>
      </c>
      <c r="B1443" s="9" t="s">
        <v>55</v>
      </c>
      <c r="C1443" s="10" t="s">
        <v>52</v>
      </c>
      <c r="D1443" s="11">
        <v>4.2</v>
      </c>
      <c r="E1443" s="12">
        <f t="shared" si="22"/>
        <v>42881</v>
      </c>
    </row>
    <row r="1444" spans="1:5" x14ac:dyDescent="0.25">
      <c r="A1444" s="2">
        <f>IF(B1444="","",SUBTOTAL(3,$B$2:B1444))</f>
        <v>1443</v>
      </c>
      <c r="B1444" s="9" t="s">
        <v>51</v>
      </c>
      <c r="C1444" s="10" t="s">
        <v>54</v>
      </c>
      <c r="D1444" s="11">
        <v>445.83289208937839</v>
      </c>
      <c r="E1444" s="12">
        <f t="shared" si="22"/>
        <v>42882</v>
      </c>
    </row>
    <row r="1445" spans="1:5" x14ac:dyDescent="0.25">
      <c r="A1445" s="2">
        <f>IF(B1445="","",SUBTOTAL(3,$B$2:B1445))</f>
        <v>1444</v>
      </c>
      <c r="B1445" s="9" t="s">
        <v>51</v>
      </c>
      <c r="C1445" s="10" t="s">
        <v>52</v>
      </c>
      <c r="D1445" s="11">
        <v>52.949274594938046</v>
      </c>
      <c r="E1445" s="12">
        <f t="shared" si="22"/>
        <v>42883</v>
      </c>
    </row>
    <row r="1446" spans="1:5" x14ac:dyDescent="0.25">
      <c r="A1446" s="2">
        <f>IF(B1446="","",SUBTOTAL(3,$B$2:B1446))</f>
        <v>1445</v>
      </c>
      <c r="B1446" s="9" t="s">
        <v>55</v>
      </c>
      <c r="C1446" s="10" t="s">
        <v>49</v>
      </c>
      <c r="D1446" s="11">
        <v>4</v>
      </c>
      <c r="E1446" s="12">
        <f t="shared" si="22"/>
        <v>42884</v>
      </c>
    </row>
    <row r="1447" spans="1:5" x14ac:dyDescent="0.25">
      <c r="A1447" s="2">
        <f>IF(B1447="","",SUBTOTAL(3,$B$2:B1447))</f>
        <v>1446</v>
      </c>
      <c r="B1447" s="9" t="s">
        <v>48</v>
      </c>
      <c r="C1447" s="10" t="s">
        <v>54</v>
      </c>
      <c r="D1447" s="11">
        <v>154.03573629081947</v>
      </c>
      <c r="E1447" s="12">
        <f t="shared" si="22"/>
        <v>42885</v>
      </c>
    </row>
    <row r="1448" spans="1:5" x14ac:dyDescent="0.25">
      <c r="A1448" s="2">
        <f>IF(B1448="","",SUBTOTAL(3,$B$2:B1448))</f>
        <v>1447</v>
      </c>
      <c r="B1448" s="9" t="s">
        <v>55</v>
      </c>
      <c r="C1448" s="10" t="s">
        <v>52</v>
      </c>
      <c r="D1448" s="11">
        <v>20</v>
      </c>
      <c r="E1448" s="12">
        <f t="shared" si="22"/>
        <v>42886</v>
      </c>
    </row>
    <row r="1449" spans="1:5" x14ac:dyDescent="0.25">
      <c r="A1449" s="2">
        <f>IF(B1449="","",SUBTOTAL(3,$B$2:B1449))</f>
        <v>1448</v>
      </c>
      <c r="B1449" s="9" t="s">
        <v>48</v>
      </c>
      <c r="C1449" s="10" t="s">
        <v>52</v>
      </c>
      <c r="D1449" s="11">
        <v>154.03573629081947</v>
      </c>
      <c r="E1449" s="12">
        <f t="shared" si="22"/>
        <v>42887</v>
      </c>
    </row>
    <row r="1450" spans="1:5" x14ac:dyDescent="0.25">
      <c r="A1450" s="2">
        <f>IF(B1450="","",SUBTOTAL(3,$B$2:B1450))</f>
        <v>1449</v>
      </c>
      <c r="B1450" s="9" t="s">
        <v>50</v>
      </c>
      <c r="C1450" s="10" t="s">
        <v>52</v>
      </c>
      <c r="D1450" s="11">
        <v>110.22927689594357</v>
      </c>
      <c r="E1450" s="12">
        <f t="shared" si="22"/>
        <v>42888</v>
      </c>
    </row>
    <row r="1451" spans="1:5" x14ac:dyDescent="0.25">
      <c r="A1451" s="2">
        <f>IF(B1451="","",SUBTOTAL(3,$B$2:B1451))</f>
        <v>1450</v>
      </c>
      <c r="B1451" s="9" t="s">
        <v>50</v>
      </c>
      <c r="C1451" s="10" t="s">
        <v>54</v>
      </c>
      <c r="D1451" s="11">
        <v>66.137566137566139</v>
      </c>
      <c r="E1451" s="12">
        <f t="shared" si="22"/>
        <v>42889</v>
      </c>
    </row>
    <row r="1452" spans="1:5" x14ac:dyDescent="0.25">
      <c r="A1452" s="2">
        <f>IF(B1452="","",SUBTOTAL(3,$B$2:B1452))</f>
        <v>1451</v>
      </c>
      <c r="B1452" s="9" t="s">
        <v>51</v>
      </c>
      <c r="C1452" s="10" t="s">
        <v>52</v>
      </c>
      <c r="D1452" s="11">
        <v>3.6690705777489669</v>
      </c>
      <c r="E1452" s="12">
        <f t="shared" si="22"/>
        <v>42890</v>
      </c>
    </row>
    <row r="1453" spans="1:5" x14ac:dyDescent="0.25">
      <c r="A1453" s="2">
        <f>IF(B1453="","",SUBTOTAL(3,$B$2:B1453))</f>
        <v>1452</v>
      </c>
      <c r="B1453" s="9" t="s">
        <v>51</v>
      </c>
      <c r="C1453" s="10" t="s">
        <v>54</v>
      </c>
      <c r="D1453" s="11">
        <v>105.89854918987609</v>
      </c>
      <c r="E1453" s="12">
        <f t="shared" si="22"/>
        <v>42891</v>
      </c>
    </row>
    <row r="1454" spans="1:5" x14ac:dyDescent="0.25">
      <c r="A1454" s="2">
        <f>IF(B1454="","",SUBTOTAL(3,$B$2:B1454))</f>
        <v>1453</v>
      </c>
      <c r="B1454" s="9" t="s">
        <v>51</v>
      </c>
      <c r="C1454" s="10" t="s">
        <v>54</v>
      </c>
      <c r="D1454" s="11">
        <v>52.949274594938046</v>
      </c>
      <c r="E1454" s="12">
        <f t="shared" si="22"/>
        <v>42892</v>
      </c>
    </row>
    <row r="1455" spans="1:5" x14ac:dyDescent="0.25">
      <c r="A1455" s="2">
        <f>IF(B1455="","",SUBTOTAL(3,$B$2:B1455))</f>
        <v>1454</v>
      </c>
      <c r="B1455" s="9" t="s">
        <v>48</v>
      </c>
      <c r="C1455" s="10" t="s">
        <v>49</v>
      </c>
      <c r="D1455" s="11">
        <v>7.5076124523017231</v>
      </c>
      <c r="E1455" s="12">
        <f t="shared" si="22"/>
        <v>42893</v>
      </c>
    </row>
    <row r="1456" spans="1:5" x14ac:dyDescent="0.25">
      <c r="A1456" s="2">
        <f>IF(B1456="","",SUBTOTAL(3,$B$2:B1456))</f>
        <v>1455</v>
      </c>
      <c r="B1456" s="9" t="s">
        <v>48</v>
      </c>
      <c r="C1456" s="10" t="s">
        <v>49</v>
      </c>
      <c r="D1456" s="11">
        <v>1540.3573629081948</v>
      </c>
      <c r="E1456" s="12">
        <f t="shared" si="22"/>
        <v>42894</v>
      </c>
    </row>
    <row r="1457" spans="1:5" x14ac:dyDescent="0.25">
      <c r="A1457" s="2">
        <f>IF(B1457="","",SUBTOTAL(3,$B$2:B1457))</f>
        <v>1456</v>
      </c>
      <c r="B1457" s="9" t="s">
        <v>50</v>
      </c>
      <c r="C1457" s="10" t="s">
        <v>54</v>
      </c>
      <c r="D1457" s="11">
        <v>79.365079365079367</v>
      </c>
      <c r="E1457" s="12">
        <f t="shared" si="22"/>
        <v>42895</v>
      </c>
    </row>
    <row r="1458" spans="1:5" x14ac:dyDescent="0.25">
      <c r="A1458" s="2">
        <f>IF(B1458="","",SUBTOTAL(3,$B$2:B1458))</f>
        <v>1457</v>
      </c>
      <c r="B1458" s="9" t="s">
        <v>51</v>
      </c>
      <c r="C1458" s="10" t="s">
        <v>54</v>
      </c>
      <c r="D1458" s="11">
        <v>356.87811076988243</v>
      </c>
      <c r="E1458" s="12">
        <f t="shared" si="22"/>
        <v>42896</v>
      </c>
    </row>
    <row r="1459" spans="1:5" x14ac:dyDescent="0.25">
      <c r="A1459" s="2">
        <f>IF(B1459="","",SUBTOTAL(3,$B$2:B1459))</f>
        <v>1458</v>
      </c>
      <c r="B1459" s="9" t="s">
        <v>50</v>
      </c>
      <c r="C1459" s="10" t="s">
        <v>49</v>
      </c>
      <c r="D1459" s="11">
        <v>12.786596119929454</v>
      </c>
      <c r="E1459" s="12">
        <f t="shared" si="22"/>
        <v>42897</v>
      </c>
    </row>
    <row r="1460" spans="1:5" x14ac:dyDescent="0.25">
      <c r="A1460" s="2">
        <f>IF(B1460="","",SUBTOTAL(3,$B$2:B1460))</f>
        <v>1459</v>
      </c>
      <c r="B1460" s="9" t="s">
        <v>55</v>
      </c>
      <c r="C1460" s="10" t="s">
        <v>52</v>
      </c>
      <c r="D1460" s="11">
        <v>100</v>
      </c>
      <c r="E1460" s="12">
        <f t="shared" si="22"/>
        <v>42898</v>
      </c>
    </row>
    <row r="1461" spans="1:5" x14ac:dyDescent="0.25">
      <c r="A1461" s="2">
        <f>IF(B1461="","",SUBTOTAL(3,$B$2:B1461))</f>
        <v>1460</v>
      </c>
      <c r="B1461" s="9" t="s">
        <v>48</v>
      </c>
      <c r="C1461" s="10" t="s">
        <v>52</v>
      </c>
      <c r="D1461" s="11">
        <v>154.03573629081947</v>
      </c>
      <c r="E1461" s="12">
        <f t="shared" si="22"/>
        <v>42899</v>
      </c>
    </row>
    <row r="1462" spans="1:5" x14ac:dyDescent="0.25">
      <c r="A1462" s="2">
        <f>IF(B1462="","",SUBTOTAL(3,$B$2:B1462))</f>
        <v>1461</v>
      </c>
      <c r="B1462" s="9" t="s">
        <v>50</v>
      </c>
      <c r="C1462" s="10" t="s">
        <v>49</v>
      </c>
      <c r="D1462" s="11">
        <v>97.927689594356252</v>
      </c>
      <c r="E1462" s="12">
        <f t="shared" si="22"/>
        <v>42900</v>
      </c>
    </row>
    <row r="1463" spans="1:5" x14ac:dyDescent="0.25">
      <c r="A1463" s="2">
        <f>IF(B1463="","",SUBTOTAL(3,$B$2:B1463))</f>
        <v>1462</v>
      </c>
      <c r="B1463" s="9" t="s">
        <v>53</v>
      </c>
      <c r="C1463" s="10" t="s">
        <v>49</v>
      </c>
      <c r="D1463" s="11">
        <v>136.81573813732405</v>
      </c>
      <c r="E1463" s="12">
        <f t="shared" si="22"/>
        <v>42901</v>
      </c>
    </row>
    <row r="1464" spans="1:5" x14ac:dyDescent="0.25">
      <c r="A1464" s="2">
        <f>IF(B1464="","",SUBTOTAL(3,$B$2:B1464))</f>
        <v>1463</v>
      </c>
      <c r="B1464" s="9" t="s">
        <v>55</v>
      </c>
      <c r="C1464" s="10" t="s">
        <v>49</v>
      </c>
      <c r="D1464" s="11">
        <v>100</v>
      </c>
      <c r="E1464" s="12">
        <f t="shared" si="22"/>
        <v>42902</v>
      </c>
    </row>
    <row r="1465" spans="1:5" x14ac:dyDescent="0.25">
      <c r="A1465" s="2">
        <f>IF(B1465="","",SUBTOTAL(3,$B$2:B1465))</f>
        <v>1464</v>
      </c>
      <c r="B1465" s="9" t="s">
        <v>51</v>
      </c>
      <c r="C1465" s="10" t="s">
        <v>54</v>
      </c>
      <c r="D1465" s="11">
        <v>293.33898125595681</v>
      </c>
      <c r="E1465" s="12">
        <f t="shared" si="22"/>
        <v>42903</v>
      </c>
    </row>
    <row r="1466" spans="1:5" x14ac:dyDescent="0.25">
      <c r="A1466" s="2">
        <f>IF(B1466="","",SUBTOTAL(3,$B$2:B1466))</f>
        <v>1465</v>
      </c>
      <c r="B1466" s="9" t="s">
        <v>48</v>
      </c>
      <c r="C1466" s="10" t="s">
        <v>52</v>
      </c>
      <c r="D1466" s="11">
        <v>107.82501540357363</v>
      </c>
      <c r="E1466" s="12">
        <f t="shared" si="22"/>
        <v>42904</v>
      </c>
    </row>
    <row r="1467" spans="1:5" x14ac:dyDescent="0.25">
      <c r="A1467" s="2">
        <f>IF(B1467="","",SUBTOTAL(3,$B$2:B1467))</f>
        <v>1466</v>
      </c>
      <c r="B1467" s="9" t="s">
        <v>55</v>
      </c>
      <c r="C1467" s="10" t="s">
        <v>49</v>
      </c>
      <c r="D1467" s="11">
        <v>650</v>
      </c>
      <c r="E1467" s="12">
        <f t="shared" si="22"/>
        <v>42905</v>
      </c>
    </row>
    <row r="1468" spans="1:5" x14ac:dyDescent="0.25">
      <c r="A1468" s="2">
        <f>IF(B1468="","",SUBTOTAL(3,$B$2:B1468))</f>
        <v>1467</v>
      </c>
      <c r="B1468" s="9" t="s">
        <v>50</v>
      </c>
      <c r="C1468" s="10" t="s">
        <v>52</v>
      </c>
      <c r="D1468" s="11">
        <v>44.091710758377424</v>
      </c>
      <c r="E1468" s="12">
        <f t="shared" si="22"/>
        <v>42906</v>
      </c>
    </row>
    <row r="1469" spans="1:5" x14ac:dyDescent="0.25">
      <c r="A1469" s="2">
        <f>IF(B1469="","",SUBTOTAL(3,$B$2:B1469))</f>
        <v>1468</v>
      </c>
      <c r="B1469" s="9" t="s">
        <v>53</v>
      </c>
      <c r="C1469" s="10" t="s">
        <v>49</v>
      </c>
      <c r="D1469" s="11">
        <v>82.427395202725606</v>
      </c>
      <c r="E1469" s="12">
        <f t="shared" si="22"/>
        <v>42907</v>
      </c>
    </row>
    <row r="1470" spans="1:5" x14ac:dyDescent="0.25">
      <c r="A1470" s="2">
        <f>IF(B1470="","",SUBTOTAL(3,$B$2:B1470))</f>
        <v>1469</v>
      </c>
      <c r="B1470" s="9" t="s">
        <v>48</v>
      </c>
      <c r="C1470" s="10" t="s">
        <v>54</v>
      </c>
      <c r="D1470" s="11">
        <v>20.682523267838675</v>
      </c>
      <c r="E1470" s="12">
        <f t="shared" si="22"/>
        <v>42908</v>
      </c>
    </row>
    <row r="1471" spans="1:5" x14ac:dyDescent="0.25">
      <c r="A1471" s="2">
        <f>IF(B1471="","",SUBTOTAL(3,$B$2:B1471))</f>
        <v>1470</v>
      </c>
      <c r="B1471" s="9" t="s">
        <v>48</v>
      </c>
      <c r="C1471" s="10" t="s">
        <v>49</v>
      </c>
      <c r="D1471" s="11">
        <v>86.177180282661155</v>
      </c>
      <c r="E1471" s="12">
        <f t="shared" si="22"/>
        <v>42909</v>
      </c>
    </row>
    <row r="1472" spans="1:5" x14ac:dyDescent="0.25">
      <c r="A1472" s="2">
        <f>IF(B1472="","",SUBTOTAL(3,$B$2:B1472))</f>
        <v>1471</v>
      </c>
      <c r="B1472" s="9" t="s">
        <v>48</v>
      </c>
      <c r="C1472" s="10" t="s">
        <v>49</v>
      </c>
      <c r="D1472" s="11">
        <v>68.941744226128904</v>
      </c>
      <c r="E1472" s="12">
        <f t="shared" si="22"/>
        <v>42910</v>
      </c>
    </row>
    <row r="1473" spans="1:5" x14ac:dyDescent="0.25">
      <c r="A1473" s="2">
        <f>IF(B1473="","",SUBTOTAL(3,$B$2:B1473))</f>
        <v>1472</v>
      </c>
      <c r="B1473" s="9" t="s">
        <v>48</v>
      </c>
      <c r="C1473" s="10" t="s">
        <v>49</v>
      </c>
      <c r="D1473" s="11">
        <v>31.023784901758013</v>
      </c>
      <c r="E1473" s="12">
        <f t="shared" si="22"/>
        <v>42911</v>
      </c>
    </row>
    <row r="1474" spans="1:5" x14ac:dyDescent="0.25">
      <c r="A1474" s="2">
        <f>IF(B1474="","",SUBTOTAL(3,$B$2:B1474))</f>
        <v>1473</v>
      </c>
      <c r="B1474" s="9" t="s">
        <v>48</v>
      </c>
      <c r="C1474" s="10" t="s">
        <v>49</v>
      </c>
      <c r="D1474" s="11">
        <v>41.365046535677351</v>
      </c>
      <c r="E1474" s="12">
        <f t="shared" si="22"/>
        <v>42912</v>
      </c>
    </row>
    <row r="1475" spans="1:5" x14ac:dyDescent="0.25">
      <c r="A1475" s="2">
        <f>IF(B1475="","",SUBTOTAL(3,$B$2:B1475))</f>
        <v>1474</v>
      </c>
      <c r="B1475" s="9" t="s">
        <v>55</v>
      </c>
      <c r="C1475" s="10" t="s">
        <v>54</v>
      </c>
      <c r="D1475" s="11">
        <v>340.85300446836936</v>
      </c>
      <c r="E1475" s="12">
        <f t="shared" si="22"/>
        <v>42913</v>
      </c>
    </row>
    <row r="1476" spans="1:5" x14ac:dyDescent="0.25">
      <c r="A1476" s="2">
        <f>IF(B1476="","",SUBTOTAL(3,$B$2:B1476))</f>
        <v>1475</v>
      </c>
      <c r="B1476" s="9" t="s">
        <v>51</v>
      </c>
      <c r="C1476" s="10" t="s">
        <v>49</v>
      </c>
      <c r="D1476" s="11">
        <v>211.79709837975219</v>
      </c>
      <c r="E1476" s="12">
        <f t="shared" ref="E1476:E1539" si="23">E1475+1</f>
        <v>42914</v>
      </c>
    </row>
    <row r="1477" spans="1:5" x14ac:dyDescent="0.25">
      <c r="A1477" s="2">
        <f>IF(B1477="","",SUBTOTAL(3,$B$2:B1477))</f>
        <v>1476</v>
      </c>
      <c r="B1477" s="9" t="s">
        <v>48</v>
      </c>
      <c r="C1477" s="10" t="s">
        <v>49</v>
      </c>
      <c r="D1477" s="11">
        <v>3.8779731127197516</v>
      </c>
      <c r="E1477" s="12">
        <f t="shared" si="23"/>
        <v>42915</v>
      </c>
    </row>
    <row r="1478" spans="1:5" x14ac:dyDescent="0.25">
      <c r="A1478" s="2">
        <f>IF(B1478="","",SUBTOTAL(3,$B$2:B1478))</f>
        <v>1477</v>
      </c>
      <c r="B1478" s="9" t="s">
        <v>55</v>
      </c>
      <c r="C1478" s="10" t="s">
        <v>54</v>
      </c>
      <c r="D1478" s="11">
        <v>4.5</v>
      </c>
      <c r="E1478" s="12">
        <f t="shared" si="23"/>
        <v>42916</v>
      </c>
    </row>
    <row r="1479" spans="1:5" x14ac:dyDescent="0.25">
      <c r="A1479" s="2">
        <f>IF(B1479="","",SUBTOTAL(3,$B$2:B1479))</f>
        <v>1478</v>
      </c>
      <c r="B1479" s="9" t="s">
        <v>55</v>
      </c>
      <c r="C1479" s="10" t="s">
        <v>49</v>
      </c>
      <c r="D1479" s="11">
        <v>200</v>
      </c>
      <c r="E1479" s="12">
        <f t="shared" si="23"/>
        <v>42917</v>
      </c>
    </row>
    <row r="1480" spans="1:5" x14ac:dyDescent="0.25">
      <c r="A1480" s="2">
        <f>IF(B1480="","",SUBTOTAL(3,$B$2:B1480))</f>
        <v>1479</v>
      </c>
      <c r="B1480" s="9" t="s">
        <v>48</v>
      </c>
      <c r="C1480" s="10" t="s">
        <v>49</v>
      </c>
      <c r="D1480" s="11">
        <v>49.095348120764015</v>
      </c>
      <c r="E1480" s="12">
        <f t="shared" si="23"/>
        <v>42918</v>
      </c>
    </row>
    <row r="1481" spans="1:5" x14ac:dyDescent="0.25">
      <c r="A1481" s="2">
        <f>IF(B1481="","",SUBTOTAL(3,$B$2:B1481))</f>
        <v>1480</v>
      </c>
      <c r="B1481" s="9" t="s">
        <v>55</v>
      </c>
      <c r="C1481" s="10" t="s">
        <v>49</v>
      </c>
      <c r="D1481" s="11">
        <v>57</v>
      </c>
      <c r="E1481" s="12">
        <f t="shared" si="23"/>
        <v>42919</v>
      </c>
    </row>
    <row r="1482" spans="1:5" x14ac:dyDescent="0.25">
      <c r="A1482" s="2">
        <f>IF(B1482="","",SUBTOTAL(3,$B$2:B1482))</f>
        <v>1481</v>
      </c>
      <c r="B1482" s="9" t="s">
        <v>48</v>
      </c>
      <c r="C1482" s="10" t="s">
        <v>52</v>
      </c>
      <c r="D1482" s="11">
        <v>10.782501540357364</v>
      </c>
      <c r="E1482" s="12">
        <f t="shared" si="23"/>
        <v>42920</v>
      </c>
    </row>
    <row r="1483" spans="1:5" x14ac:dyDescent="0.25">
      <c r="A1483" s="2">
        <f>IF(B1483="","",SUBTOTAL(3,$B$2:B1483))</f>
        <v>1482</v>
      </c>
      <c r="B1483" s="9" t="s">
        <v>51</v>
      </c>
      <c r="C1483" s="10" t="s">
        <v>49</v>
      </c>
      <c r="D1483" s="11">
        <v>59.303187546330612</v>
      </c>
      <c r="E1483" s="12">
        <f t="shared" si="23"/>
        <v>42921</v>
      </c>
    </row>
    <row r="1484" spans="1:5" x14ac:dyDescent="0.25">
      <c r="A1484" s="2">
        <f>IF(B1484="","",SUBTOTAL(3,$B$2:B1484))</f>
        <v>1483</v>
      </c>
      <c r="B1484" s="9" t="s">
        <v>55</v>
      </c>
      <c r="C1484" s="10" t="s">
        <v>52</v>
      </c>
      <c r="D1484" s="11">
        <v>67</v>
      </c>
      <c r="E1484" s="12">
        <f t="shared" si="23"/>
        <v>42922</v>
      </c>
    </row>
    <row r="1485" spans="1:5" x14ac:dyDescent="0.25">
      <c r="A1485" s="2">
        <f>IF(B1485="","",SUBTOTAL(3,$B$2:B1485))</f>
        <v>1484</v>
      </c>
      <c r="B1485" s="9" t="s">
        <v>48</v>
      </c>
      <c r="C1485" s="10" t="s">
        <v>49</v>
      </c>
      <c r="D1485" s="11">
        <v>29.30024129610479</v>
      </c>
      <c r="E1485" s="12">
        <f t="shared" si="23"/>
        <v>42923</v>
      </c>
    </row>
    <row r="1486" spans="1:5" x14ac:dyDescent="0.25">
      <c r="A1486" s="2">
        <f>IF(B1486="","",SUBTOTAL(3,$B$2:B1486))</f>
        <v>1485</v>
      </c>
      <c r="B1486" s="9" t="s">
        <v>48</v>
      </c>
      <c r="C1486" s="10" t="s">
        <v>49</v>
      </c>
      <c r="D1486" s="11">
        <v>78.593588417786961</v>
      </c>
      <c r="E1486" s="12">
        <f t="shared" si="23"/>
        <v>42924</v>
      </c>
    </row>
    <row r="1487" spans="1:5" x14ac:dyDescent="0.25">
      <c r="A1487" s="2">
        <f>IF(B1487="","",SUBTOTAL(3,$B$2:B1487))</f>
        <v>1486</v>
      </c>
      <c r="B1487" s="9" t="s">
        <v>50</v>
      </c>
      <c r="C1487" s="10" t="s">
        <v>52</v>
      </c>
      <c r="D1487" s="11">
        <v>44.091710758377424</v>
      </c>
      <c r="E1487" s="12">
        <f t="shared" si="23"/>
        <v>42925</v>
      </c>
    </row>
    <row r="1488" spans="1:5" x14ac:dyDescent="0.25">
      <c r="A1488" s="2">
        <f>IF(B1488="","",SUBTOTAL(3,$B$2:B1488))</f>
        <v>1487</v>
      </c>
      <c r="B1488" s="9" t="s">
        <v>50</v>
      </c>
      <c r="C1488" s="10" t="s">
        <v>54</v>
      </c>
      <c r="D1488" s="11">
        <v>22.045855379188712</v>
      </c>
      <c r="E1488" s="12">
        <f t="shared" si="23"/>
        <v>42926</v>
      </c>
    </row>
    <row r="1489" spans="1:5" x14ac:dyDescent="0.25">
      <c r="A1489" s="2">
        <f>IF(B1489="","",SUBTOTAL(3,$B$2:B1489))</f>
        <v>1488</v>
      </c>
      <c r="B1489" s="9" t="s">
        <v>55</v>
      </c>
      <c r="C1489" s="10" t="s">
        <v>49</v>
      </c>
      <c r="D1489" s="11">
        <v>900</v>
      </c>
      <c r="E1489" s="12">
        <f t="shared" si="23"/>
        <v>42927</v>
      </c>
    </row>
    <row r="1490" spans="1:5" x14ac:dyDescent="0.25">
      <c r="A1490" s="2">
        <f>IF(B1490="","",SUBTOTAL(3,$B$2:B1490))</f>
        <v>1489</v>
      </c>
      <c r="B1490" s="9" t="s">
        <v>48</v>
      </c>
      <c r="C1490" s="10" t="s">
        <v>54</v>
      </c>
      <c r="D1490" s="11">
        <v>17.235436056532226</v>
      </c>
      <c r="E1490" s="12">
        <f t="shared" si="23"/>
        <v>42928</v>
      </c>
    </row>
    <row r="1491" spans="1:5" x14ac:dyDescent="0.25">
      <c r="A1491" s="2">
        <f>IF(B1491="","",SUBTOTAL(3,$B$2:B1491))</f>
        <v>1490</v>
      </c>
      <c r="B1491" s="9" t="s">
        <v>48</v>
      </c>
      <c r="C1491" s="10" t="s">
        <v>49</v>
      </c>
      <c r="D1491" s="11">
        <v>17.235436056532226</v>
      </c>
      <c r="E1491" s="12">
        <f t="shared" si="23"/>
        <v>42929</v>
      </c>
    </row>
    <row r="1492" spans="1:5" x14ac:dyDescent="0.25">
      <c r="A1492" s="2">
        <f>IF(B1492="","",SUBTOTAL(3,$B$2:B1492))</f>
        <v>1491</v>
      </c>
      <c r="B1492" s="9" t="s">
        <v>50</v>
      </c>
      <c r="C1492" s="10" t="s">
        <v>49</v>
      </c>
      <c r="D1492" s="11">
        <v>97.934215167548501</v>
      </c>
      <c r="E1492" s="12">
        <f t="shared" si="23"/>
        <v>42930</v>
      </c>
    </row>
    <row r="1493" spans="1:5" x14ac:dyDescent="0.25">
      <c r="A1493" s="2">
        <f>IF(B1493="","",SUBTOTAL(3,$B$2:B1493))</f>
        <v>1492</v>
      </c>
      <c r="B1493" s="9" t="s">
        <v>51</v>
      </c>
      <c r="C1493" s="10" t="s">
        <v>52</v>
      </c>
      <c r="D1493" s="11">
        <v>16.20614212786646</v>
      </c>
      <c r="E1493" s="12">
        <f t="shared" si="23"/>
        <v>42931</v>
      </c>
    </row>
    <row r="1494" spans="1:5" x14ac:dyDescent="0.25">
      <c r="A1494" s="2">
        <f>IF(B1494="","",SUBTOTAL(3,$B$2:B1494))</f>
        <v>1493</v>
      </c>
      <c r="B1494" s="9" t="s">
        <v>48</v>
      </c>
      <c r="C1494" s="10" t="s">
        <v>52</v>
      </c>
      <c r="D1494" s="11">
        <v>77.017868145409736</v>
      </c>
      <c r="E1494" s="12">
        <f t="shared" si="23"/>
        <v>42932</v>
      </c>
    </row>
    <row r="1495" spans="1:5" x14ac:dyDescent="0.25">
      <c r="A1495" s="2">
        <f>IF(B1495="","",SUBTOTAL(3,$B$2:B1495))</f>
        <v>1494</v>
      </c>
      <c r="B1495" s="9" t="s">
        <v>55</v>
      </c>
      <c r="C1495" s="10" t="s">
        <v>52</v>
      </c>
      <c r="D1495" s="11">
        <v>4.125</v>
      </c>
      <c r="E1495" s="12">
        <f t="shared" si="23"/>
        <v>42933</v>
      </c>
    </row>
    <row r="1496" spans="1:5" x14ac:dyDescent="0.25">
      <c r="A1496" s="2">
        <f>IF(B1496="","",SUBTOTAL(3,$B$2:B1496))</f>
        <v>1495</v>
      </c>
      <c r="B1496" s="9" t="s">
        <v>50</v>
      </c>
      <c r="C1496" s="10" t="s">
        <v>52</v>
      </c>
      <c r="D1496" s="11">
        <v>65.035273368606695</v>
      </c>
      <c r="E1496" s="12">
        <f t="shared" si="23"/>
        <v>42934</v>
      </c>
    </row>
    <row r="1497" spans="1:5" x14ac:dyDescent="0.25">
      <c r="A1497" s="2">
        <f>IF(B1497="","",SUBTOTAL(3,$B$2:B1497))</f>
        <v>1496</v>
      </c>
      <c r="B1497" s="9" t="s">
        <v>50</v>
      </c>
      <c r="C1497" s="10" t="s">
        <v>49</v>
      </c>
      <c r="D1497" s="11">
        <v>36.081128747795418</v>
      </c>
      <c r="E1497" s="12">
        <f t="shared" si="23"/>
        <v>42935</v>
      </c>
    </row>
    <row r="1498" spans="1:5" x14ac:dyDescent="0.25">
      <c r="A1498" s="2">
        <f>IF(B1498="","",SUBTOTAL(3,$B$2:B1498))</f>
        <v>1497</v>
      </c>
      <c r="B1498" s="9" t="s">
        <v>50</v>
      </c>
      <c r="C1498" s="10" t="s">
        <v>49</v>
      </c>
      <c r="D1498" s="11">
        <v>22.045855379188712</v>
      </c>
      <c r="E1498" s="12">
        <f t="shared" si="23"/>
        <v>42936</v>
      </c>
    </row>
    <row r="1499" spans="1:5" x14ac:dyDescent="0.25">
      <c r="A1499" s="2">
        <f>IF(B1499="","",SUBTOTAL(3,$B$2:B1499))</f>
        <v>1498</v>
      </c>
      <c r="B1499" s="9" t="s">
        <v>50</v>
      </c>
      <c r="C1499" s="10" t="s">
        <v>54</v>
      </c>
      <c r="D1499" s="11">
        <v>66.137566137566139</v>
      </c>
      <c r="E1499" s="12">
        <f t="shared" si="23"/>
        <v>42937</v>
      </c>
    </row>
    <row r="1500" spans="1:5" x14ac:dyDescent="0.25">
      <c r="A1500" s="2">
        <f>IF(B1500="","",SUBTOTAL(3,$B$2:B1500))</f>
        <v>1499</v>
      </c>
      <c r="B1500" s="9" t="s">
        <v>48</v>
      </c>
      <c r="C1500" s="10" t="s">
        <v>49</v>
      </c>
      <c r="D1500" s="11">
        <v>26.956253850893408</v>
      </c>
      <c r="E1500" s="12">
        <f t="shared" si="23"/>
        <v>42938</v>
      </c>
    </row>
    <row r="1501" spans="1:5" x14ac:dyDescent="0.25">
      <c r="A1501" s="2">
        <f>IF(B1501="","",SUBTOTAL(3,$B$2:B1501))</f>
        <v>1500</v>
      </c>
      <c r="B1501" s="9" t="s">
        <v>48</v>
      </c>
      <c r="C1501" s="10" t="s">
        <v>54</v>
      </c>
      <c r="D1501" s="11">
        <v>46.210720887245841</v>
      </c>
      <c r="E1501" s="12">
        <f t="shared" si="23"/>
        <v>42939</v>
      </c>
    </row>
    <row r="1502" spans="1:5" x14ac:dyDescent="0.25">
      <c r="A1502" s="2">
        <f>IF(B1502="","",SUBTOTAL(3,$B$2:B1502))</f>
        <v>1501</v>
      </c>
      <c r="B1502" s="9" t="s">
        <v>50</v>
      </c>
      <c r="C1502" s="10" t="s">
        <v>49</v>
      </c>
      <c r="D1502" s="11">
        <v>5.511463844797178</v>
      </c>
      <c r="E1502" s="12">
        <f t="shared" si="23"/>
        <v>42940</v>
      </c>
    </row>
    <row r="1503" spans="1:5" x14ac:dyDescent="0.25">
      <c r="A1503" s="2">
        <f>IF(B1503="","",SUBTOTAL(3,$B$2:B1503))</f>
        <v>1502</v>
      </c>
      <c r="B1503" s="9" t="s">
        <v>50</v>
      </c>
      <c r="C1503" s="10" t="s">
        <v>54</v>
      </c>
      <c r="D1503" s="11">
        <v>237.103835978836</v>
      </c>
      <c r="E1503" s="12">
        <f t="shared" si="23"/>
        <v>42941</v>
      </c>
    </row>
    <row r="1504" spans="1:5" x14ac:dyDescent="0.25">
      <c r="A1504" s="2">
        <f>IF(B1504="","",SUBTOTAL(3,$B$2:B1504))</f>
        <v>1503</v>
      </c>
      <c r="B1504" s="9" t="s">
        <v>50</v>
      </c>
      <c r="C1504" s="10" t="s">
        <v>49</v>
      </c>
      <c r="D1504" s="11">
        <v>41.235449735449734</v>
      </c>
      <c r="E1504" s="12">
        <f t="shared" si="23"/>
        <v>42942</v>
      </c>
    </row>
    <row r="1505" spans="1:5" x14ac:dyDescent="0.25">
      <c r="A1505" s="2">
        <f>IF(B1505="","",SUBTOTAL(3,$B$2:B1505))</f>
        <v>1504</v>
      </c>
      <c r="B1505" s="9" t="s">
        <v>48</v>
      </c>
      <c r="C1505" s="10" t="s">
        <v>49</v>
      </c>
      <c r="D1505" s="11">
        <v>265.49368453481208</v>
      </c>
      <c r="E1505" s="12">
        <f t="shared" si="23"/>
        <v>42943</v>
      </c>
    </row>
    <row r="1506" spans="1:5" x14ac:dyDescent="0.25">
      <c r="A1506" s="2">
        <f>IF(B1506="","",SUBTOTAL(3,$B$2:B1506))</f>
        <v>1505</v>
      </c>
      <c r="B1506" s="9" t="s">
        <v>48</v>
      </c>
      <c r="C1506" s="10" t="s">
        <v>49</v>
      </c>
      <c r="D1506" s="11">
        <v>61.614294516327789</v>
      </c>
      <c r="E1506" s="12">
        <f t="shared" si="23"/>
        <v>42944</v>
      </c>
    </row>
    <row r="1507" spans="1:5" x14ac:dyDescent="0.25">
      <c r="A1507" s="2">
        <f>IF(B1507="","",SUBTOTAL(3,$B$2:B1507))</f>
        <v>1506</v>
      </c>
      <c r="B1507" s="9" t="s">
        <v>48</v>
      </c>
      <c r="C1507" s="10" t="s">
        <v>49</v>
      </c>
      <c r="D1507" s="11">
        <v>25.853154084798344</v>
      </c>
      <c r="E1507" s="12">
        <f t="shared" si="23"/>
        <v>42945</v>
      </c>
    </row>
    <row r="1508" spans="1:5" x14ac:dyDescent="0.25">
      <c r="A1508" s="2">
        <f>IF(B1508="","",SUBTOTAL(3,$B$2:B1508))</f>
        <v>1507</v>
      </c>
      <c r="B1508" s="9" t="s">
        <v>55</v>
      </c>
      <c r="C1508" s="10" t="s">
        <v>49</v>
      </c>
      <c r="D1508" s="11">
        <v>15</v>
      </c>
      <c r="E1508" s="12">
        <f t="shared" si="23"/>
        <v>42946</v>
      </c>
    </row>
    <row r="1509" spans="1:5" x14ac:dyDescent="0.25">
      <c r="A1509" s="2">
        <f>IF(B1509="","",SUBTOTAL(3,$B$2:B1509))</f>
        <v>1508</v>
      </c>
      <c r="B1509" s="9" t="s">
        <v>48</v>
      </c>
      <c r="C1509" s="10" t="s">
        <v>49</v>
      </c>
      <c r="D1509" s="11">
        <v>1.9303688383316095</v>
      </c>
      <c r="E1509" s="12">
        <f t="shared" si="23"/>
        <v>42947</v>
      </c>
    </row>
    <row r="1510" spans="1:5" x14ac:dyDescent="0.25">
      <c r="A1510" s="2">
        <f>IF(B1510="","",SUBTOTAL(3,$B$2:B1510))</f>
        <v>1509</v>
      </c>
      <c r="B1510" s="9" t="s">
        <v>50</v>
      </c>
      <c r="C1510" s="10" t="s">
        <v>54</v>
      </c>
      <c r="D1510" s="11">
        <v>771.60493827160496</v>
      </c>
      <c r="E1510" s="12">
        <f t="shared" si="23"/>
        <v>42948</v>
      </c>
    </row>
    <row r="1511" spans="1:5" x14ac:dyDescent="0.25">
      <c r="A1511" s="2">
        <f>IF(B1511="","",SUBTOTAL(3,$B$2:B1511))</f>
        <v>1510</v>
      </c>
      <c r="B1511" s="9" t="s">
        <v>48</v>
      </c>
      <c r="C1511" s="10" t="s">
        <v>54</v>
      </c>
      <c r="D1511" s="11">
        <v>188.4039986211651</v>
      </c>
      <c r="E1511" s="12">
        <f t="shared" si="23"/>
        <v>42949</v>
      </c>
    </row>
    <row r="1512" spans="1:5" x14ac:dyDescent="0.25">
      <c r="A1512" s="2">
        <f>IF(B1512="","",SUBTOTAL(3,$B$2:B1512))</f>
        <v>1511</v>
      </c>
      <c r="B1512" s="9" t="s">
        <v>55</v>
      </c>
      <c r="C1512" s="10" t="s">
        <v>54</v>
      </c>
      <c r="D1512" s="11">
        <v>579.76927683489407</v>
      </c>
      <c r="E1512" s="12">
        <f t="shared" si="23"/>
        <v>42950</v>
      </c>
    </row>
    <row r="1513" spans="1:5" x14ac:dyDescent="0.25">
      <c r="A1513" s="2">
        <f>IF(B1513="","",SUBTOTAL(3,$B$2:B1513))</f>
        <v>1512</v>
      </c>
      <c r="B1513" s="9" t="s">
        <v>55</v>
      </c>
      <c r="C1513" s="10" t="s">
        <v>49</v>
      </c>
      <c r="D1513" s="11">
        <v>1.1000000000000001</v>
      </c>
      <c r="E1513" s="12">
        <f t="shared" si="23"/>
        <v>42951</v>
      </c>
    </row>
    <row r="1514" spans="1:5" x14ac:dyDescent="0.25">
      <c r="A1514" s="2">
        <f>IF(B1514="","",SUBTOTAL(3,$B$2:B1514))</f>
        <v>1513</v>
      </c>
      <c r="B1514" s="9" t="s">
        <v>51</v>
      </c>
      <c r="C1514" s="10" t="s">
        <v>52</v>
      </c>
      <c r="D1514" s="11">
        <v>21.179709837975221</v>
      </c>
      <c r="E1514" s="12">
        <f t="shared" si="23"/>
        <v>42952</v>
      </c>
    </row>
    <row r="1515" spans="1:5" x14ac:dyDescent="0.25">
      <c r="A1515" s="2">
        <f>IF(B1515="","",SUBTOTAL(3,$B$2:B1515))</f>
        <v>1514</v>
      </c>
      <c r="B1515" s="9" t="s">
        <v>55</v>
      </c>
      <c r="C1515" s="10" t="s">
        <v>49</v>
      </c>
      <c r="D1515" s="11">
        <v>20</v>
      </c>
      <c r="E1515" s="12">
        <f t="shared" si="23"/>
        <v>42953</v>
      </c>
    </row>
    <row r="1516" spans="1:5" x14ac:dyDescent="0.25">
      <c r="A1516" s="2">
        <f>IF(B1516="","",SUBTOTAL(3,$B$2:B1516))</f>
        <v>1515</v>
      </c>
      <c r="B1516" s="9" t="s">
        <v>51</v>
      </c>
      <c r="C1516" s="10" t="s">
        <v>52</v>
      </c>
      <c r="D1516" s="11">
        <v>52.949274594938046</v>
      </c>
      <c r="E1516" s="12">
        <f t="shared" si="23"/>
        <v>42954</v>
      </c>
    </row>
    <row r="1517" spans="1:5" x14ac:dyDescent="0.25">
      <c r="A1517" s="2">
        <f>IF(B1517="","",SUBTOTAL(3,$B$2:B1517))</f>
        <v>1516</v>
      </c>
      <c r="B1517" s="9" t="s">
        <v>51</v>
      </c>
      <c r="C1517" s="10" t="s">
        <v>52</v>
      </c>
      <c r="D1517" s="11">
        <v>52.949274594938046</v>
      </c>
      <c r="E1517" s="12">
        <f t="shared" si="23"/>
        <v>42955</v>
      </c>
    </row>
    <row r="1518" spans="1:5" x14ac:dyDescent="0.25">
      <c r="A1518" s="2">
        <f>IF(B1518="","",SUBTOTAL(3,$B$2:B1518))</f>
        <v>1517</v>
      </c>
      <c r="B1518" s="9" t="s">
        <v>50</v>
      </c>
      <c r="C1518" s="10" t="s">
        <v>52</v>
      </c>
      <c r="D1518" s="11">
        <v>132.27513227513228</v>
      </c>
      <c r="E1518" s="12">
        <f t="shared" si="23"/>
        <v>42956</v>
      </c>
    </row>
    <row r="1519" spans="1:5" x14ac:dyDescent="0.25">
      <c r="A1519" s="2">
        <f>IF(B1519="","",SUBTOTAL(3,$B$2:B1519))</f>
        <v>1518</v>
      </c>
      <c r="B1519" s="9" t="s">
        <v>51</v>
      </c>
      <c r="C1519" s="10" t="s">
        <v>49</v>
      </c>
      <c r="D1519" s="11">
        <v>52.949274594938046</v>
      </c>
      <c r="E1519" s="12">
        <f t="shared" si="23"/>
        <v>42957</v>
      </c>
    </row>
    <row r="1520" spans="1:5" x14ac:dyDescent="0.25">
      <c r="A1520" s="2">
        <f>IF(B1520="","",SUBTOTAL(3,$B$2:B1520))</f>
        <v>1519</v>
      </c>
      <c r="B1520" s="9" t="s">
        <v>48</v>
      </c>
      <c r="C1520" s="10" t="s">
        <v>52</v>
      </c>
      <c r="D1520" s="11">
        <v>137.88348845225781</v>
      </c>
      <c r="E1520" s="12">
        <f t="shared" si="23"/>
        <v>42958</v>
      </c>
    </row>
    <row r="1521" spans="1:5" x14ac:dyDescent="0.25">
      <c r="A1521" s="2">
        <f>IF(B1521="","",SUBTOTAL(3,$B$2:B1521))</f>
        <v>1520</v>
      </c>
      <c r="B1521" s="9" t="s">
        <v>51</v>
      </c>
      <c r="C1521" s="10" t="s">
        <v>54</v>
      </c>
      <c r="D1521" s="11">
        <v>52.949274594938046</v>
      </c>
      <c r="E1521" s="12">
        <f t="shared" si="23"/>
        <v>42959</v>
      </c>
    </row>
    <row r="1522" spans="1:5" x14ac:dyDescent="0.25">
      <c r="A1522" s="2">
        <f>IF(B1522="","",SUBTOTAL(3,$B$2:B1522))</f>
        <v>1521</v>
      </c>
      <c r="B1522" s="9" t="s">
        <v>48</v>
      </c>
      <c r="C1522" s="10" t="s">
        <v>49</v>
      </c>
      <c r="D1522" s="11">
        <v>34.470872113064452</v>
      </c>
      <c r="E1522" s="12">
        <f t="shared" si="23"/>
        <v>42960</v>
      </c>
    </row>
    <row r="1523" spans="1:5" x14ac:dyDescent="0.25">
      <c r="A1523" s="2">
        <f>IF(B1523="","",SUBTOTAL(3,$B$2:B1523))</f>
        <v>1522</v>
      </c>
      <c r="B1523" s="9" t="s">
        <v>48</v>
      </c>
      <c r="C1523" s="10" t="s">
        <v>49</v>
      </c>
      <c r="D1523" s="11">
        <v>34.470872113064452</v>
      </c>
      <c r="E1523" s="12">
        <f t="shared" si="23"/>
        <v>42961</v>
      </c>
    </row>
    <row r="1524" spans="1:5" x14ac:dyDescent="0.25">
      <c r="A1524" s="2">
        <f>IF(B1524="","",SUBTOTAL(3,$B$2:B1524))</f>
        <v>1523</v>
      </c>
      <c r="B1524" s="9" t="s">
        <v>48</v>
      </c>
      <c r="C1524" s="10" t="s">
        <v>49</v>
      </c>
      <c r="D1524" s="11">
        <v>20.682523267838675</v>
      </c>
      <c r="E1524" s="12">
        <f t="shared" si="23"/>
        <v>42962</v>
      </c>
    </row>
    <row r="1525" spans="1:5" x14ac:dyDescent="0.25">
      <c r="A1525" s="2">
        <f>IF(B1525="","",SUBTOTAL(3,$B$2:B1525))</f>
        <v>1524</v>
      </c>
      <c r="B1525" s="9" t="s">
        <v>50</v>
      </c>
      <c r="C1525" s="10" t="s">
        <v>49</v>
      </c>
      <c r="D1525" s="11">
        <v>80.821516754850094</v>
      </c>
      <c r="E1525" s="12">
        <f t="shared" si="23"/>
        <v>42963</v>
      </c>
    </row>
    <row r="1526" spans="1:5" x14ac:dyDescent="0.25">
      <c r="A1526" s="2">
        <f>IF(B1526="","",SUBTOTAL(3,$B$2:B1526))</f>
        <v>1525</v>
      </c>
      <c r="B1526" s="9" t="s">
        <v>48</v>
      </c>
      <c r="C1526" s="10" t="s">
        <v>49</v>
      </c>
      <c r="D1526" s="11">
        <v>4.8822478897125903</v>
      </c>
      <c r="E1526" s="12">
        <f t="shared" si="23"/>
        <v>42964</v>
      </c>
    </row>
    <row r="1527" spans="1:5" x14ac:dyDescent="0.25">
      <c r="A1527" s="2">
        <f>IF(B1527="","",SUBTOTAL(3,$B$2:B1527))</f>
        <v>1526</v>
      </c>
      <c r="B1527" s="9" t="s">
        <v>51</v>
      </c>
      <c r="C1527" s="10" t="s">
        <v>49</v>
      </c>
      <c r="D1527" s="11">
        <v>52.949274594938046</v>
      </c>
      <c r="E1527" s="12">
        <f t="shared" si="23"/>
        <v>42965</v>
      </c>
    </row>
    <row r="1528" spans="1:5" x14ac:dyDescent="0.25">
      <c r="A1528" s="2">
        <f>IF(B1528="","",SUBTOTAL(3,$B$2:B1528))</f>
        <v>1527</v>
      </c>
      <c r="B1528" s="9" t="s">
        <v>48</v>
      </c>
      <c r="C1528" s="10" t="s">
        <v>52</v>
      </c>
      <c r="D1528" s="11">
        <v>23.105360443622921</v>
      </c>
      <c r="E1528" s="12">
        <f t="shared" si="23"/>
        <v>42966</v>
      </c>
    </row>
    <row r="1529" spans="1:5" x14ac:dyDescent="0.25">
      <c r="A1529" s="2">
        <f>IF(B1529="","",SUBTOTAL(3,$B$2:B1529))</f>
        <v>1528</v>
      </c>
      <c r="B1529" s="9" t="s">
        <v>55</v>
      </c>
      <c r="C1529" s="10" t="s">
        <v>49</v>
      </c>
      <c r="D1529" s="11">
        <v>2</v>
      </c>
      <c r="E1529" s="12">
        <f t="shared" si="23"/>
        <v>42967</v>
      </c>
    </row>
    <row r="1530" spans="1:5" x14ac:dyDescent="0.25">
      <c r="A1530" s="2">
        <f>IF(B1530="","",SUBTOTAL(3,$B$2:B1530))</f>
        <v>1529</v>
      </c>
      <c r="B1530" s="9" t="s">
        <v>48</v>
      </c>
      <c r="C1530" s="10" t="s">
        <v>49</v>
      </c>
      <c r="D1530" s="11">
        <v>3.8544062287204657</v>
      </c>
      <c r="E1530" s="12">
        <f t="shared" si="23"/>
        <v>42968</v>
      </c>
    </row>
    <row r="1531" spans="1:5" x14ac:dyDescent="0.25">
      <c r="A1531" s="2">
        <f>IF(B1531="","",SUBTOTAL(3,$B$2:B1531))</f>
        <v>1530</v>
      </c>
      <c r="B1531" s="9" t="s">
        <v>50</v>
      </c>
      <c r="C1531" s="10" t="s">
        <v>52</v>
      </c>
      <c r="D1531" s="11">
        <v>2.2045855379188714E-4</v>
      </c>
      <c r="E1531" s="12">
        <f t="shared" si="23"/>
        <v>42969</v>
      </c>
    </row>
    <row r="1532" spans="1:5" x14ac:dyDescent="0.25">
      <c r="A1532" s="2">
        <f>IF(B1532="","",SUBTOTAL(3,$B$2:B1532))</f>
        <v>1531</v>
      </c>
      <c r="B1532" s="9" t="s">
        <v>48</v>
      </c>
      <c r="C1532" s="10" t="s">
        <v>49</v>
      </c>
      <c r="D1532" s="11">
        <v>17.235436056532226</v>
      </c>
      <c r="E1532" s="12">
        <f t="shared" si="23"/>
        <v>42970</v>
      </c>
    </row>
    <row r="1533" spans="1:5" x14ac:dyDescent="0.25">
      <c r="A1533" s="2">
        <f>IF(B1533="","",SUBTOTAL(3,$B$2:B1533))</f>
        <v>1532</v>
      </c>
      <c r="B1533" s="9" t="s">
        <v>48</v>
      </c>
      <c r="C1533" s="10" t="s">
        <v>49</v>
      </c>
      <c r="D1533" s="11">
        <v>82.730093071354702</v>
      </c>
      <c r="E1533" s="12">
        <f t="shared" si="23"/>
        <v>42971</v>
      </c>
    </row>
    <row r="1534" spans="1:5" x14ac:dyDescent="0.25">
      <c r="A1534" s="2">
        <f>IF(B1534="","",SUBTOTAL(3,$B$2:B1534))</f>
        <v>1533</v>
      </c>
      <c r="B1534" s="9" t="s">
        <v>48</v>
      </c>
      <c r="C1534" s="10" t="s">
        <v>49</v>
      </c>
      <c r="D1534" s="11">
        <v>44.812133746983797</v>
      </c>
      <c r="E1534" s="12">
        <f t="shared" si="23"/>
        <v>42972</v>
      </c>
    </row>
    <row r="1535" spans="1:5" x14ac:dyDescent="0.25">
      <c r="A1535" s="2">
        <f>IF(B1535="","",SUBTOTAL(3,$B$2:B1535))</f>
        <v>1534</v>
      </c>
      <c r="B1535" s="9" t="s">
        <v>48</v>
      </c>
      <c r="C1535" s="10" t="s">
        <v>49</v>
      </c>
      <c r="D1535" s="11">
        <v>120.64805239572561</v>
      </c>
      <c r="E1535" s="12">
        <f t="shared" si="23"/>
        <v>42973</v>
      </c>
    </row>
    <row r="1536" spans="1:5" x14ac:dyDescent="0.25">
      <c r="A1536" s="2">
        <f>IF(B1536="","",SUBTOTAL(3,$B$2:B1536))</f>
        <v>1535</v>
      </c>
      <c r="B1536" s="9" t="s">
        <v>55</v>
      </c>
      <c r="C1536" s="10" t="s">
        <v>49</v>
      </c>
      <c r="D1536" s="11">
        <v>1.5</v>
      </c>
      <c r="E1536" s="12">
        <f t="shared" si="23"/>
        <v>42974</v>
      </c>
    </row>
    <row r="1537" spans="1:5" x14ac:dyDescent="0.25">
      <c r="A1537" s="2">
        <f>IF(B1537="","",SUBTOTAL(3,$B$2:B1537))</f>
        <v>1536</v>
      </c>
      <c r="B1537" s="9" t="s">
        <v>48</v>
      </c>
      <c r="C1537" s="10" t="s">
        <v>49</v>
      </c>
      <c r="D1537" s="11">
        <v>77.017868145409736</v>
      </c>
      <c r="E1537" s="12">
        <f t="shared" si="23"/>
        <v>42975</v>
      </c>
    </row>
    <row r="1538" spans="1:5" x14ac:dyDescent="0.25">
      <c r="A1538" s="2">
        <f>IF(B1538="","",SUBTOTAL(3,$B$2:B1538))</f>
        <v>1537</v>
      </c>
      <c r="B1538" s="9" t="s">
        <v>50</v>
      </c>
      <c r="C1538" s="10" t="s">
        <v>49</v>
      </c>
      <c r="D1538" s="11">
        <v>30.8641975308642</v>
      </c>
      <c r="E1538" s="12">
        <f t="shared" si="23"/>
        <v>42976</v>
      </c>
    </row>
    <row r="1539" spans="1:5" x14ac:dyDescent="0.25">
      <c r="A1539" s="2">
        <f>IF(B1539="","",SUBTOTAL(3,$B$2:B1539))</f>
        <v>1538</v>
      </c>
      <c r="B1539" s="9" t="s">
        <v>48</v>
      </c>
      <c r="C1539" s="10" t="s">
        <v>49</v>
      </c>
      <c r="D1539" s="11">
        <v>68.941744226128904</v>
      </c>
      <c r="E1539" s="12">
        <f t="shared" si="23"/>
        <v>42977</v>
      </c>
    </row>
    <row r="1540" spans="1:5" x14ac:dyDescent="0.25">
      <c r="A1540" s="2">
        <f>IF(B1540="","",SUBTOTAL(3,$B$2:B1540))</f>
        <v>1539</v>
      </c>
      <c r="B1540" s="9" t="s">
        <v>50</v>
      </c>
      <c r="C1540" s="10" t="s">
        <v>52</v>
      </c>
      <c r="D1540" s="11">
        <v>132.27513227513228</v>
      </c>
      <c r="E1540" s="12">
        <f t="shared" ref="E1540:E1603" si="24">E1539+1</f>
        <v>42978</v>
      </c>
    </row>
    <row r="1541" spans="1:5" x14ac:dyDescent="0.25">
      <c r="A1541" s="2">
        <f>IF(B1541="","",SUBTOTAL(3,$B$2:B1541))</f>
        <v>1540</v>
      </c>
      <c r="B1541" s="9" t="s">
        <v>48</v>
      </c>
      <c r="C1541" s="10" t="s">
        <v>49</v>
      </c>
      <c r="D1541" s="11">
        <v>3.8607376766632191</v>
      </c>
      <c r="E1541" s="12">
        <f t="shared" si="24"/>
        <v>42979</v>
      </c>
    </row>
    <row r="1542" spans="1:5" x14ac:dyDescent="0.25">
      <c r="A1542" s="2">
        <f>IF(B1542="","",SUBTOTAL(3,$B$2:B1542))</f>
        <v>1541</v>
      </c>
      <c r="B1542" s="9" t="s">
        <v>50</v>
      </c>
      <c r="C1542" s="10" t="s">
        <v>52</v>
      </c>
      <c r="D1542" s="11">
        <v>110.22927689594357</v>
      </c>
      <c r="E1542" s="12">
        <f t="shared" si="24"/>
        <v>42980</v>
      </c>
    </row>
    <row r="1543" spans="1:5" x14ac:dyDescent="0.25">
      <c r="A1543" s="2">
        <f>IF(B1543="","",SUBTOTAL(3,$B$2:B1543))</f>
        <v>1542</v>
      </c>
      <c r="B1543" s="9" t="s">
        <v>50</v>
      </c>
      <c r="C1543" s="10" t="s">
        <v>52</v>
      </c>
      <c r="D1543" s="11">
        <v>132.27513227513228</v>
      </c>
      <c r="E1543" s="12">
        <f t="shared" si="24"/>
        <v>42981</v>
      </c>
    </row>
    <row r="1544" spans="1:5" x14ac:dyDescent="0.25">
      <c r="A1544" s="2">
        <f>IF(B1544="","",SUBTOTAL(3,$B$2:B1544))</f>
        <v>1543</v>
      </c>
      <c r="B1544" s="9" t="s">
        <v>55</v>
      </c>
      <c r="C1544" s="10" t="s">
        <v>49</v>
      </c>
      <c r="D1544" s="11">
        <v>2</v>
      </c>
      <c r="E1544" s="12">
        <f t="shared" si="24"/>
        <v>42982</v>
      </c>
    </row>
    <row r="1545" spans="1:5" x14ac:dyDescent="0.25">
      <c r="A1545" s="2">
        <f>IF(B1545="","",SUBTOTAL(3,$B$2:B1545))</f>
        <v>1544</v>
      </c>
      <c r="B1545" s="9" t="s">
        <v>51</v>
      </c>
      <c r="C1545" s="10" t="s">
        <v>54</v>
      </c>
      <c r="D1545" s="11">
        <v>317.69564756962825</v>
      </c>
      <c r="E1545" s="12">
        <f t="shared" si="24"/>
        <v>42983</v>
      </c>
    </row>
    <row r="1546" spans="1:5" x14ac:dyDescent="0.25">
      <c r="A1546" s="2">
        <f>IF(B1546="","",SUBTOTAL(3,$B$2:B1546))</f>
        <v>1545</v>
      </c>
      <c r="B1546" s="9" t="s">
        <v>50</v>
      </c>
      <c r="C1546" s="10" t="s">
        <v>54</v>
      </c>
      <c r="D1546" s="11">
        <v>28.659611992945326</v>
      </c>
      <c r="E1546" s="12">
        <f t="shared" si="24"/>
        <v>42984</v>
      </c>
    </row>
    <row r="1547" spans="1:5" x14ac:dyDescent="0.25">
      <c r="A1547" s="2">
        <f>IF(B1547="","",SUBTOTAL(3,$B$2:B1547))</f>
        <v>1546</v>
      </c>
      <c r="B1547" s="9" t="s">
        <v>51</v>
      </c>
      <c r="C1547" s="10" t="s">
        <v>52</v>
      </c>
      <c r="D1547" s="11">
        <v>52.949274594938046</v>
      </c>
      <c r="E1547" s="12">
        <f t="shared" si="24"/>
        <v>42985</v>
      </c>
    </row>
    <row r="1548" spans="1:5" x14ac:dyDescent="0.25">
      <c r="A1548" s="2">
        <f>IF(B1548="","",SUBTOTAL(3,$B$2:B1548))</f>
        <v>1547</v>
      </c>
      <c r="B1548" s="9" t="s">
        <v>55</v>
      </c>
      <c r="C1548" s="10" t="s">
        <v>49</v>
      </c>
      <c r="D1548" s="11">
        <v>11.732116669382433</v>
      </c>
      <c r="E1548" s="12">
        <f t="shared" si="24"/>
        <v>42986</v>
      </c>
    </row>
    <row r="1549" spans="1:5" x14ac:dyDescent="0.25">
      <c r="A1549" s="2">
        <f>IF(B1549="","",SUBTOTAL(3,$B$2:B1549))</f>
        <v>1548</v>
      </c>
      <c r="B1549" s="9" t="s">
        <v>55</v>
      </c>
      <c r="C1549" s="10" t="s">
        <v>49</v>
      </c>
      <c r="D1549" s="11">
        <v>689.11655257959308</v>
      </c>
      <c r="E1549" s="12">
        <f t="shared" si="24"/>
        <v>42987</v>
      </c>
    </row>
    <row r="1550" spans="1:5" x14ac:dyDescent="0.25">
      <c r="A1550" s="2">
        <f>IF(B1550="","",SUBTOTAL(3,$B$2:B1550))</f>
        <v>1549</v>
      </c>
      <c r="B1550" s="9" t="s">
        <v>48</v>
      </c>
      <c r="C1550" s="10" t="s">
        <v>49</v>
      </c>
      <c r="D1550" s="11">
        <v>46.210720887245841</v>
      </c>
      <c r="E1550" s="12">
        <f t="shared" si="24"/>
        <v>42988</v>
      </c>
    </row>
    <row r="1551" spans="1:5" x14ac:dyDescent="0.25">
      <c r="A1551" s="2">
        <f>IF(B1551="","",SUBTOTAL(3,$B$2:B1551))</f>
        <v>1550</v>
      </c>
      <c r="B1551" s="9" t="s">
        <v>48</v>
      </c>
      <c r="C1551" s="10" t="s">
        <v>49</v>
      </c>
      <c r="D1551" s="11">
        <v>28.679765598069629</v>
      </c>
      <c r="E1551" s="12">
        <f t="shared" si="24"/>
        <v>42989</v>
      </c>
    </row>
    <row r="1552" spans="1:5" x14ac:dyDescent="0.25">
      <c r="A1552" s="2">
        <f>IF(B1552="","",SUBTOTAL(3,$B$2:B1552))</f>
        <v>1551</v>
      </c>
      <c r="B1552" s="9" t="s">
        <v>48</v>
      </c>
      <c r="C1552" s="10" t="s">
        <v>49</v>
      </c>
      <c r="D1552" s="11">
        <v>9.4401240951396073</v>
      </c>
      <c r="E1552" s="12">
        <f t="shared" si="24"/>
        <v>42990</v>
      </c>
    </row>
    <row r="1553" spans="1:5" x14ac:dyDescent="0.25">
      <c r="A1553" s="2">
        <f>IF(B1553="","",SUBTOTAL(3,$B$2:B1553))</f>
        <v>1552</v>
      </c>
      <c r="B1553" s="9" t="s">
        <v>48</v>
      </c>
      <c r="C1553" s="10" t="s">
        <v>49</v>
      </c>
      <c r="D1553" s="11">
        <v>29.046570148224749</v>
      </c>
      <c r="E1553" s="12">
        <f t="shared" si="24"/>
        <v>42991</v>
      </c>
    </row>
    <row r="1554" spans="1:5" x14ac:dyDescent="0.25">
      <c r="A1554" s="2">
        <f>IF(B1554="","",SUBTOTAL(3,$B$2:B1554))</f>
        <v>1553</v>
      </c>
      <c r="B1554" s="9" t="s">
        <v>48</v>
      </c>
      <c r="C1554" s="10" t="s">
        <v>49</v>
      </c>
      <c r="D1554" s="11">
        <v>14.523267838676318</v>
      </c>
      <c r="E1554" s="12">
        <f t="shared" si="24"/>
        <v>42992</v>
      </c>
    </row>
    <row r="1555" spans="1:5" x14ac:dyDescent="0.25">
      <c r="A1555" s="2">
        <f>IF(B1555="","",SUBTOTAL(3,$B$2:B1555))</f>
        <v>1554</v>
      </c>
      <c r="B1555" s="9" t="s">
        <v>48</v>
      </c>
      <c r="C1555" s="10" t="s">
        <v>49</v>
      </c>
      <c r="D1555" s="11">
        <v>14.523267838676318</v>
      </c>
      <c r="E1555" s="12">
        <f t="shared" si="24"/>
        <v>42993</v>
      </c>
    </row>
    <row r="1556" spans="1:5" x14ac:dyDescent="0.25">
      <c r="A1556" s="2">
        <f>IF(B1556="","",SUBTOTAL(3,$B$2:B1556))</f>
        <v>1555</v>
      </c>
      <c r="B1556" s="9" t="s">
        <v>48</v>
      </c>
      <c r="C1556" s="10" t="s">
        <v>49</v>
      </c>
      <c r="D1556" s="11">
        <v>31.713202344019301</v>
      </c>
      <c r="E1556" s="12">
        <f t="shared" si="24"/>
        <v>42994</v>
      </c>
    </row>
    <row r="1557" spans="1:5" x14ac:dyDescent="0.25">
      <c r="A1557" s="2">
        <f>IF(B1557="","",SUBTOTAL(3,$B$2:B1557))</f>
        <v>1556</v>
      </c>
      <c r="B1557" s="9" t="s">
        <v>48</v>
      </c>
      <c r="C1557" s="10" t="s">
        <v>49</v>
      </c>
      <c r="D1557" s="11">
        <v>33.887693898655634</v>
      </c>
      <c r="E1557" s="12">
        <f t="shared" si="24"/>
        <v>42995</v>
      </c>
    </row>
    <row r="1558" spans="1:5" x14ac:dyDescent="0.25">
      <c r="A1558" s="2">
        <f>IF(B1558="","",SUBTOTAL(3,$B$2:B1558))</f>
        <v>1557</v>
      </c>
      <c r="B1558" s="9" t="s">
        <v>48</v>
      </c>
      <c r="C1558" s="10" t="s">
        <v>49</v>
      </c>
      <c r="D1558" s="11">
        <v>14.523267838676318</v>
      </c>
      <c r="E1558" s="12">
        <f t="shared" si="24"/>
        <v>42996</v>
      </c>
    </row>
    <row r="1559" spans="1:5" x14ac:dyDescent="0.25">
      <c r="A1559" s="2">
        <f>IF(B1559="","",SUBTOTAL(3,$B$2:B1559))</f>
        <v>1558</v>
      </c>
      <c r="B1559" s="9" t="s">
        <v>53</v>
      </c>
      <c r="C1559" s="10" t="s">
        <v>49</v>
      </c>
      <c r="D1559" s="11">
        <v>59.530896535301828</v>
      </c>
      <c r="E1559" s="12">
        <f t="shared" si="24"/>
        <v>42997</v>
      </c>
    </row>
    <row r="1560" spans="1:5" x14ac:dyDescent="0.25">
      <c r="A1560" s="2">
        <f>IF(B1560="","",SUBTOTAL(3,$B$2:B1560))</f>
        <v>1559</v>
      </c>
      <c r="B1560" s="9" t="s">
        <v>50</v>
      </c>
      <c r="C1560" s="10" t="s">
        <v>49</v>
      </c>
      <c r="D1560" s="11">
        <v>293.80291005291002</v>
      </c>
      <c r="E1560" s="12">
        <f t="shared" si="24"/>
        <v>42998</v>
      </c>
    </row>
    <row r="1561" spans="1:5" x14ac:dyDescent="0.25">
      <c r="A1561" s="2">
        <f>IF(B1561="","",SUBTOTAL(3,$B$2:B1561))</f>
        <v>1560</v>
      </c>
      <c r="B1561" s="9" t="s">
        <v>48</v>
      </c>
      <c r="C1561" s="10" t="s">
        <v>49</v>
      </c>
      <c r="D1561" s="11">
        <v>10.341261633919338</v>
      </c>
      <c r="E1561" s="12">
        <f t="shared" si="24"/>
        <v>42999</v>
      </c>
    </row>
    <row r="1562" spans="1:5" x14ac:dyDescent="0.25">
      <c r="A1562" s="2">
        <f>IF(B1562="","",SUBTOTAL(3,$B$2:B1562))</f>
        <v>1561</v>
      </c>
      <c r="B1562" s="9" t="s">
        <v>51</v>
      </c>
      <c r="C1562" s="10" t="s">
        <v>49</v>
      </c>
      <c r="D1562" s="11">
        <v>105.89854918987609</v>
      </c>
      <c r="E1562" s="12">
        <f t="shared" si="24"/>
        <v>43000</v>
      </c>
    </row>
    <row r="1563" spans="1:5" x14ac:dyDescent="0.25">
      <c r="A1563" s="2">
        <f>IF(B1563="","",SUBTOTAL(3,$B$2:B1563))</f>
        <v>1562</v>
      </c>
      <c r="B1563" s="9" t="s">
        <v>50</v>
      </c>
      <c r="C1563" s="10" t="s">
        <v>49</v>
      </c>
      <c r="D1563" s="11">
        <v>391.73721340388005</v>
      </c>
      <c r="E1563" s="12">
        <f t="shared" si="24"/>
        <v>43001</v>
      </c>
    </row>
    <row r="1564" spans="1:5" x14ac:dyDescent="0.25">
      <c r="A1564" s="2">
        <f>IF(B1564="","",SUBTOTAL(3,$B$2:B1564))</f>
        <v>1563</v>
      </c>
      <c r="B1564" s="9" t="s">
        <v>50</v>
      </c>
      <c r="C1564" s="10" t="s">
        <v>49</v>
      </c>
      <c r="D1564" s="11">
        <v>66.137566137566139</v>
      </c>
      <c r="E1564" s="12">
        <f t="shared" si="24"/>
        <v>43002</v>
      </c>
    </row>
    <row r="1565" spans="1:5" x14ac:dyDescent="0.25">
      <c r="A1565" s="2">
        <f>IF(B1565="","",SUBTOTAL(3,$B$2:B1565))</f>
        <v>1564</v>
      </c>
      <c r="B1565" s="9" t="s">
        <v>50</v>
      </c>
      <c r="C1565" s="10" t="s">
        <v>49</v>
      </c>
      <c r="D1565" s="11">
        <v>195.86860670194002</v>
      </c>
      <c r="E1565" s="12">
        <f t="shared" si="24"/>
        <v>43003</v>
      </c>
    </row>
    <row r="1566" spans="1:5" x14ac:dyDescent="0.25">
      <c r="A1566" s="2">
        <f>IF(B1566="","",SUBTOTAL(3,$B$2:B1566))</f>
        <v>1565</v>
      </c>
      <c r="B1566" s="9" t="s">
        <v>50</v>
      </c>
      <c r="C1566" s="10" t="s">
        <v>52</v>
      </c>
      <c r="D1566" s="11">
        <v>30</v>
      </c>
      <c r="E1566" s="12">
        <f t="shared" si="24"/>
        <v>43004</v>
      </c>
    </row>
    <row r="1567" spans="1:5" x14ac:dyDescent="0.25">
      <c r="A1567" s="2">
        <f>IF(B1567="","",SUBTOTAL(3,$B$2:B1567))</f>
        <v>1566</v>
      </c>
      <c r="B1567" s="9" t="s">
        <v>48</v>
      </c>
      <c r="C1567" s="10" t="s">
        <v>52</v>
      </c>
      <c r="D1567" s="11">
        <v>61.614294516327789</v>
      </c>
      <c r="E1567" s="12">
        <f t="shared" si="24"/>
        <v>43005</v>
      </c>
    </row>
    <row r="1568" spans="1:5" x14ac:dyDescent="0.25">
      <c r="A1568" s="2">
        <f>IF(B1568="","",SUBTOTAL(3,$B$2:B1568))</f>
        <v>1567</v>
      </c>
      <c r="B1568" s="9" t="s">
        <v>48</v>
      </c>
      <c r="C1568" s="10" t="s">
        <v>49</v>
      </c>
      <c r="D1568" s="11">
        <v>21.010474430067774</v>
      </c>
      <c r="E1568" s="12">
        <f t="shared" si="24"/>
        <v>43006</v>
      </c>
    </row>
    <row r="1569" spans="1:5" x14ac:dyDescent="0.25">
      <c r="A1569" s="2">
        <f>IF(B1569="","",SUBTOTAL(3,$B$2:B1569))</f>
        <v>1568</v>
      </c>
      <c r="B1569" s="9" t="s">
        <v>48</v>
      </c>
      <c r="C1569" s="10" t="s">
        <v>52</v>
      </c>
      <c r="D1569" s="11">
        <v>68.941744226128904</v>
      </c>
      <c r="E1569" s="12">
        <f t="shared" si="24"/>
        <v>43007</v>
      </c>
    </row>
    <row r="1570" spans="1:5" x14ac:dyDescent="0.25">
      <c r="A1570" s="2">
        <f>IF(B1570="","",SUBTOTAL(3,$B$2:B1570))</f>
        <v>1569</v>
      </c>
      <c r="B1570" s="9" t="s">
        <v>50</v>
      </c>
      <c r="C1570" s="10" t="s">
        <v>49</v>
      </c>
      <c r="D1570" s="11">
        <v>72.156084656084658</v>
      </c>
      <c r="E1570" s="12">
        <f t="shared" si="24"/>
        <v>43008</v>
      </c>
    </row>
    <row r="1571" spans="1:5" x14ac:dyDescent="0.25">
      <c r="A1571" s="2">
        <f>IF(B1571="","",SUBTOTAL(3,$B$2:B1571))</f>
        <v>1570</v>
      </c>
      <c r="B1571" s="9" t="s">
        <v>48</v>
      </c>
      <c r="C1571" s="10" t="s">
        <v>52</v>
      </c>
      <c r="D1571" s="11">
        <v>154.03573629081947</v>
      </c>
      <c r="E1571" s="12">
        <f t="shared" si="24"/>
        <v>43009</v>
      </c>
    </row>
    <row r="1572" spans="1:5" x14ac:dyDescent="0.25">
      <c r="A1572" s="2">
        <f>IF(B1572="","",SUBTOTAL(3,$B$2:B1572))</f>
        <v>1571</v>
      </c>
      <c r="B1572" s="9" t="s">
        <v>48</v>
      </c>
      <c r="C1572" s="10" t="s">
        <v>49</v>
      </c>
      <c r="D1572" s="11">
        <v>11.563218686161397</v>
      </c>
      <c r="E1572" s="12">
        <f t="shared" si="24"/>
        <v>43010</v>
      </c>
    </row>
    <row r="1573" spans="1:5" x14ac:dyDescent="0.25">
      <c r="A1573" s="2">
        <f>IF(B1573="","",SUBTOTAL(3,$B$2:B1573))</f>
        <v>1572</v>
      </c>
      <c r="B1573" s="9" t="s">
        <v>48</v>
      </c>
      <c r="C1573" s="10" t="s">
        <v>49</v>
      </c>
      <c r="D1573" s="11">
        <v>39.681144432954149</v>
      </c>
      <c r="E1573" s="12">
        <f t="shared" si="24"/>
        <v>43011</v>
      </c>
    </row>
    <row r="1574" spans="1:5" x14ac:dyDescent="0.25">
      <c r="A1574" s="2">
        <f>IF(B1574="","",SUBTOTAL(3,$B$2:B1574))</f>
        <v>1573</v>
      </c>
      <c r="B1574" s="9" t="s">
        <v>48</v>
      </c>
      <c r="C1574" s="10" t="s">
        <v>49</v>
      </c>
      <c r="D1574" s="11">
        <v>9.9207169941399513</v>
      </c>
      <c r="E1574" s="12">
        <f t="shared" si="24"/>
        <v>43012</v>
      </c>
    </row>
    <row r="1575" spans="1:5" x14ac:dyDescent="0.25">
      <c r="A1575" s="2">
        <f>IF(B1575="","",SUBTOTAL(3,$B$2:B1575))</f>
        <v>1574</v>
      </c>
      <c r="B1575" s="9" t="s">
        <v>50</v>
      </c>
      <c r="C1575" s="10" t="s">
        <v>49</v>
      </c>
      <c r="D1575" s="11">
        <v>99.206349206349202</v>
      </c>
      <c r="E1575" s="12">
        <f t="shared" si="24"/>
        <v>43013</v>
      </c>
    </row>
    <row r="1576" spans="1:5" x14ac:dyDescent="0.25">
      <c r="A1576" s="2">
        <f>IF(B1576="","",SUBTOTAL(3,$B$2:B1576))</f>
        <v>1575</v>
      </c>
      <c r="B1576" s="9" t="s">
        <v>50</v>
      </c>
      <c r="C1576" s="10" t="s">
        <v>49</v>
      </c>
      <c r="D1576" s="11">
        <v>88.183421516754848</v>
      </c>
      <c r="E1576" s="12">
        <f t="shared" si="24"/>
        <v>43014</v>
      </c>
    </row>
    <row r="1577" spans="1:5" x14ac:dyDescent="0.25">
      <c r="A1577" s="2">
        <f>IF(B1577="","",SUBTOTAL(3,$B$2:B1577))</f>
        <v>1576</v>
      </c>
      <c r="B1577" s="9" t="s">
        <v>48</v>
      </c>
      <c r="C1577" s="10" t="s">
        <v>49</v>
      </c>
      <c r="D1577" s="11">
        <v>107.82501540357363</v>
      </c>
      <c r="E1577" s="12">
        <f t="shared" si="24"/>
        <v>43015</v>
      </c>
    </row>
    <row r="1578" spans="1:5" x14ac:dyDescent="0.25">
      <c r="A1578" s="2">
        <f>IF(B1578="","",SUBTOTAL(3,$B$2:B1578))</f>
        <v>1577</v>
      </c>
      <c r="B1578" s="9" t="s">
        <v>55</v>
      </c>
      <c r="C1578" s="10" t="s">
        <v>52</v>
      </c>
      <c r="D1578" s="11">
        <v>100</v>
      </c>
      <c r="E1578" s="12">
        <f t="shared" si="24"/>
        <v>43016</v>
      </c>
    </row>
    <row r="1579" spans="1:5" x14ac:dyDescent="0.25">
      <c r="A1579" s="2">
        <f>IF(B1579="","",SUBTOTAL(3,$B$2:B1579))</f>
        <v>1578</v>
      </c>
      <c r="B1579" s="9" t="s">
        <v>48</v>
      </c>
      <c r="C1579" s="10" t="s">
        <v>49</v>
      </c>
      <c r="D1579" s="11">
        <v>24.645717806531117</v>
      </c>
      <c r="E1579" s="12">
        <f t="shared" si="24"/>
        <v>43017</v>
      </c>
    </row>
    <row r="1580" spans="1:5" x14ac:dyDescent="0.25">
      <c r="A1580" s="2">
        <f>IF(B1580="","",SUBTOTAL(3,$B$2:B1580))</f>
        <v>1579</v>
      </c>
      <c r="B1580" s="9" t="s">
        <v>50</v>
      </c>
      <c r="C1580" s="10" t="s">
        <v>49</v>
      </c>
      <c r="D1580" s="11">
        <v>391.73677248677251</v>
      </c>
      <c r="E1580" s="12">
        <f t="shared" si="24"/>
        <v>43018</v>
      </c>
    </row>
    <row r="1581" spans="1:5" x14ac:dyDescent="0.25">
      <c r="A1581" s="2">
        <f>IF(B1581="","",SUBTOTAL(3,$B$2:B1581))</f>
        <v>1580</v>
      </c>
      <c r="B1581" s="9" t="s">
        <v>48</v>
      </c>
      <c r="C1581" s="10" t="s">
        <v>52</v>
      </c>
      <c r="D1581" s="11">
        <v>25.696041524803107</v>
      </c>
      <c r="E1581" s="12">
        <f t="shared" si="24"/>
        <v>43019</v>
      </c>
    </row>
    <row r="1582" spans="1:5" x14ac:dyDescent="0.25">
      <c r="A1582" s="2">
        <f>IF(B1582="","",SUBTOTAL(3,$B$2:B1582))</f>
        <v>1581</v>
      </c>
      <c r="B1582" s="9" t="s">
        <v>55</v>
      </c>
      <c r="C1582" s="10" t="s">
        <v>54</v>
      </c>
      <c r="D1582" s="11">
        <v>26</v>
      </c>
      <c r="E1582" s="12">
        <f t="shared" si="24"/>
        <v>43020</v>
      </c>
    </row>
    <row r="1583" spans="1:5" x14ac:dyDescent="0.25">
      <c r="A1583" s="2">
        <f>IF(B1583="","",SUBTOTAL(3,$B$2:B1583))</f>
        <v>1582</v>
      </c>
      <c r="B1583" s="9" t="s">
        <v>48</v>
      </c>
      <c r="C1583" s="10" t="s">
        <v>54</v>
      </c>
      <c r="D1583" s="11">
        <v>144.77766287487074</v>
      </c>
      <c r="E1583" s="12">
        <f t="shared" si="24"/>
        <v>43021</v>
      </c>
    </row>
    <row r="1584" spans="1:5" x14ac:dyDescent="0.25">
      <c r="A1584" s="2">
        <f>IF(B1584="","",SUBTOTAL(3,$B$2:B1584))</f>
        <v>1583</v>
      </c>
      <c r="B1584" s="9" t="s">
        <v>48</v>
      </c>
      <c r="C1584" s="10" t="s">
        <v>49</v>
      </c>
      <c r="D1584" s="11">
        <v>18.916925198207515</v>
      </c>
      <c r="E1584" s="12">
        <f t="shared" si="24"/>
        <v>43022</v>
      </c>
    </row>
    <row r="1585" spans="1:5" x14ac:dyDescent="0.25">
      <c r="A1585" s="2">
        <f>IF(B1585="","",SUBTOTAL(3,$B$2:B1585))</f>
        <v>1584</v>
      </c>
      <c r="B1585" s="9" t="s">
        <v>48</v>
      </c>
      <c r="C1585" s="10" t="s">
        <v>54</v>
      </c>
      <c r="D1585" s="11">
        <v>27.576697690451567</v>
      </c>
      <c r="E1585" s="12">
        <f t="shared" si="24"/>
        <v>43023</v>
      </c>
    </row>
    <row r="1586" spans="1:5" x14ac:dyDescent="0.25">
      <c r="A1586" s="2">
        <f>IF(B1586="","",SUBTOTAL(3,$B$2:B1586))</f>
        <v>1585</v>
      </c>
      <c r="B1586" s="9" t="s">
        <v>53</v>
      </c>
      <c r="C1586" s="10" t="s">
        <v>54</v>
      </c>
      <c r="D1586" s="11">
        <v>12.528964070814293</v>
      </c>
      <c r="E1586" s="12">
        <f t="shared" si="24"/>
        <v>43024</v>
      </c>
    </row>
    <row r="1587" spans="1:5" x14ac:dyDescent="0.25">
      <c r="A1587" s="2">
        <f>IF(B1587="","",SUBTOTAL(3,$B$2:B1587))</f>
        <v>1586</v>
      </c>
      <c r="B1587" s="9" t="s">
        <v>50</v>
      </c>
      <c r="C1587" s="10" t="s">
        <v>54</v>
      </c>
      <c r="D1587" s="11">
        <v>33.06878306878307</v>
      </c>
      <c r="E1587" s="12">
        <f t="shared" si="24"/>
        <v>43025</v>
      </c>
    </row>
    <row r="1588" spans="1:5" x14ac:dyDescent="0.25">
      <c r="A1588" s="2">
        <f>IF(B1588="","",SUBTOTAL(3,$B$2:B1588))</f>
        <v>1587</v>
      </c>
      <c r="B1588" s="9" t="s">
        <v>51</v>
      </c>
      <c r="C1588" s="10" t="s">
        <v>49</v>
      </c>
      <c r="D1588" s="11">
        <v>211.79709837975219</v>
      </c>
      <c r="E1588" s="12">
        <f t="shared" si="24"/>
        <v>43026</v>
      </c>
    </row>
    <row r="1589" spans="1:5" x14ac:dyDescent="0.25">
      <c r="A1589" s="2">
        <f>IF(B1589="","",SUBTOTAL(3,$B$2:B1589))</f>
        <v>1588</v>
      </c>
      <c r="B1589" s="9" t="s">
        <v>48</v>
      </c>
      <c r="C1589" s="10" t="s">
        <v>49</v>
      </c>
      <c r="D1589" s="11">
        <v>68.941744226128904</v>
      </c>
      <c r="E1589" s="12">
        <f t="shared" si="24"/>
        <v>43027</v>
      </c>
    </row>
    <row r="1590" spans="1:5" x14ac:dyDescent="0.25">
      <c r="A1590" s="2">
        <f>IF(B1590="","",SUBTOTAL(3,$B$2:B1590))</f>
        <v>1589</v>
      </c>
      <c r="B1590" s="9" t="s">
        <v>55</v>
      </c>
      <c r="C1590" s="10" t="s">
        <v>49</v>
      </c>
      <c r="D1590" s="11">
        <v>1.7924067133778718</v>
      </c>
      <c r="E1590" s="12">
        <f t="shared" si="24"/>
        <v>43028</v>
      </c>
    </row>
    <row r="1591" spans="1:5" x14ac:dyDescent="0.25">
      <c r="A1591" s="2">
        <f>IF(B1591="","",SUBTOTAL(3,$B$2:B1591))</f>
        <v>1590</v>
      </c>
      <c r="B1591" s="9" t="s">
        <v>48</v>
      </c>
      <c r="C1591" s="10" t="s">
        <v>49</v>
      </c>
      <c r="D1591" s="11">
        <v>3.0807147258163896</v>
      </c>
      <c r="E1591" s="12">
        <f t="shared" si="24"/>
        <v>43029</v>
      </c>
    </row>
    <row r="1592" spans="1:5" x14ac:dyDescent="0.25">
      <c r="A1592" s="2">
        <f>IF(B1592="","",SUBTOTAL(3,$B$2:B1592))</f>
        <v>1591</v>
      </c>
      <c r="B1592" s="9" t="s">
        <v>50</v>
      </c>
      <c r="C1592" s="10" t="s">
        <v>52</v>
      </c>
      <c r="D1592" s="11">
        <v>44.091710758377424</v>
      </c>
      <c r="E1592" s="12">
        <f t="shared" si="24"/>
        <v>43030</v>
      </c>
    </row>
    <row r="1593" spans="1:5" x14ac:dyDescent="0.25">
      <c r="A1593" s="2">
        <f>IF(B1593="","",SUBTOTAL(3,$B$2:B1593))</f>
        <v>1592</v>
      </c>
      <c r="B1593" s="9" t="s">
        <v>51</v>
      </c>
      <c r="C1593" s="10" t="s">
        <v>49</v>
      </c>
      <c r="D1593" s="11">
        <v>105.89854918987609</v>
      </c>
      <c r="E1593" s="12">
        <f t="shared" si="24"/>
        <v>43031</v>
      </c>
    </row>
    <row r="1594" spans="1:5" x14ac:dyDescent="0.25">
      <c r="A1594" s="2">
        <f>IF(B1594="","",SUBTOTAL(3,$B$2:B1594))</f>
        <v>1593</v>
      </c>
      <c r="B1594" s="9" t="s">
        <v>51</v>
      </c>
      <c r="C1594" s="10" t="s">
        <v>52</v>
      </c>
      <c r="D1594" s="11">
        <v>370.64492216456637</v>
      </c>
      <c r="E1594" s="12">
        <f t="shared" si="24"/>
        <v>43032</v>
      </c>
    </row>
    <row r="1595" spans="1:5" x14ac:dyDescent="0.25">
      <c r="A1595" s="2">
        <f>IF(B1595="","",SUBTOTAL(3,$B$2:B1595))</f>
        <v>1594</v>
      </c>
      <c r="B1595" s="9" t="s">
        <v>51</v>
      </c>
      <c r="C1595" s="10" t="s">
        <v>54</v>
      </c>
      <c r="D1595" s="11">
        <v>158.84782378481412</v>
      </c>
      <c r="E1595" s="12">
        <f t="shared" si="24"/>
        <v>43033</v>
      </c>
    </row>
    <row r="1596" spans="1:5" x14ac:dyDescent="0.25">
      <c r="A1596" s="2">
        <f>IF(B1596="","",SUBTOTAL(3,$B$2:B1596))</f>
        <v>1595</v>
      </c>
      <c r="B1596" s="9" t="s">
        <v>51</v>
      </c>
      <c r="C1596" s="10" t="s">
        <v>52</v>
      </c>
      <c r="D1596" s="11">
        <v>105.89854918987609</v>
      </c>
      <c r="E1596" s="12">
        <f t="shared" si="24"/>
        <v>43034</v>
      </c>
    </row>
    <row r="1597" spans="1:5" x14ac:dyDescent="0.25">
      <c r="A1597" s="2">
        <f>IF(B1597="","",SUBTOTAL(3,$B$2:B1597))</f>
        <v>1596</v>
      </c>
      <c r="B1597" s="9" t="s">
        <v>48</v>
      </c>
      <c r="C1597" s="10" t="s">
        <v>49</v>
      </c>
      <c r="D1597" s="11">
        <v>27.576697690451567</v>
      </c>
      <c r="E1597" s="12">
        <f t="shared" si="24"/>
        <v>43035</v>
      </c>
    </row>
    <row r="1598" spans="1:5" x14ac:dyDescent="0.25">
      <c r="A1598" s="2">
        <f>IF(B1598="","",SUBTOTAL(3,$B$2:B1598))</f>
        <v>1597</v>
      </c>
      <c r="B1598" s="9" t="s">
        <v>51</v>
      </c>
      <c r="C1598" s="10" t="s">
        <v>52</v>
      </c>
      <c r="D1598" s="11">
        <v>529.49274594938049</v>
      </c>
      <c r="E1598" s="12">
        <f t="shared" si="24"/>
        <v>43036</v>
      </c>
    </row>
    <row r="1599" spans="1:5" x14ac:dyDescent="0.25">
      <c r="A1599" s="2">
        <f>IF(B1599="","",SUBTOTAL(3,$B$2:B1599))</f>
        <v>1598</v>
      </c>
      <c r="B1599" s="9" t="s">
        <v>55</v>
      </c>
      <c r="C1599" s="10" t="s">
        <v>49</v>
      </c>
      <c r="D1599" s="11">
        <v>50</v>
      </c>
      <c r="E1599" s="12">
        <f t="shared" si="24"/>
        <v>43037</v>
      </c>
    </row>
    <row r="1600" spans="1:5" x14ac:dyDescent="0.25">
      <c r="A1600" s="2">
        <f>IF(B1600="","",SUBTOTAL(3,$B$2:B1600))</f>
        <v>1599</v>
      </c>
      <c r="B1600" s="9" t="s">
        <v>53</v>
      </c>
      <c r="C1600" s="10" t="s">
        <v>49</v>
      </c>
      <c r="D1600" s="11">
        <v>48.778137507212399</v>
      </c>
      <c r="E1600" s="12">
        <f t="shared" si="24"/>
        <v>43038</v>
      </c>
    </row>
    <row r="1601" spans="1:5" x14ac:dyDescent="0.25">
      <c r="A1601" s="2">
        <f>IF(B1601="","",SUBTOTAL(3,$B$2:B1601))</f>
        <v>1600</v>
      </c>
      <c r="B1601" s="9" t="s">
        <v>50</v>
      </c>
      <c r="C1601" s="10" t="s">
        <v>49</v>
      </c>
      <c r="D1601" s="11">
        <v>195.8553791887125</v>
      </c>
      <c r="E1601" s="12">
        <f t="shared" si="24"/>
        <v>43039</v>
      </c>
    </row>
    <row r="1602" spans="1:5" x14ac:dyDescent="0.25">
      <c r="A1602" s="2">
        <f>IF(B1602="","",SUBTOTAL(3,$B$2:B1602))</f>
        <v>1601</v>
      </c>
      <c r="B1602" s="9" t="s">
        <v>48</v>
      </c>
      <c r="C1602" s="10" t="s">
        <v>49</v>
      </c>
      <c r="D1602" s="11">
        <v>30.807147258163894</v>
      </c>
      <c r="E1602" s="12">
        <f t="shared" si="24"/>
        <v>43040</v>
      </c>
    </row>
    <row r="1603" spans="1:5" x14ac:dyDescent="0.25">
      <c r="A1603" s="2">
        <f>IF(B1603="","",SUBTOTAL(3,$B$2:B1603))</f>
        <v>1602</v>
      </c>
      <c r="B1603" s="9" t="s">
        <v>48</v>
      </c>
      <c r="C1603" s="10" t="s">
        <v>49</v>
      </c>
      <c r="D1603" s="11">
        <v>25.696041524803107</v>
      </c>
      <c r="E1603" s="12">
        <f t="shared" si="24"/>
        <v>43041</v>
      </c>
    </row>
    <row r="1604" spans="1:5" x14ac:dyDescent="0.25">
      <c r="A1604" s="2">
        <f>IF(B1604="","",SUBTOTAL(3,$B$2:B1604))</f>
        <v>1603</v>
      </c>
      <c r="B1604" s="9" t="s">
        <v>48</v>
      </c>
      <c r="C1604" s="10" t="s">
        <v>49</v>
      </c>
      <c r="D1604" s="11">
        <v>30.807147258163894</v>
      </c>
      <c r="E1604" s="12">
        <f t="shared" ref="E1604:E1667" si="25">E1603+1</f>
        <v>43042</v>
      </c>
    </row>
    <row r="1605" spans="1:5" x14ac:dyDescent="0.25">
      <c r="A1605" s="2">
        <f>IF(B1605="","",SUBTOTAL(3,$B$2:B1605))</f>
        <v>1604</v>
      </c>
      <c r="B1605" s="9" t="s">
        <v>48</v>
      </c>
      <c r="C1605" s="10" t="s">
        <v>54</v>
      </c>
      <c r="D1605" s="11">
        <v>68.941744226128904</v>
      </c>
      <c r="E1605" s="12">
        <f t="shared" si="25"/>
        <v>43043</v>
      </c>
    </row>
    <row r="1606" spans="1:5" x14ac:dyDescent="0.25">
      <c r="A1606" s="2">
        <f>IF(B1606="","",SUBTOTAL(3,$B$2:B1606))</f>
        <v>1605</v>
      </c>
      <c r="B1606" s="9" t="s">
        <v>48</v>
      </c>
      <c r="C1606" s="10" t="s">
        <v>49</v>
      </c>
      <c r="D1606" s="11">
        <v>53.912507701786815</v>
      </c>
      <c r="E1606" s="12">
        <f t="shared" si="25"/>
        <v>43044</v>
      </c>
    </row>
    <row r="1607" spans="1:5" x14ac:dyDescent="0.25">
      <c r="A1607" s="2">
        <f>IF(B1607="","",SUBTOTAL(3,$B$2:B1607))</f>
        <v>1606</v>
      </c>
      <c r="B1607" s="9" t="s">
        <v>48</v>
      </c>
      <c r="C1607" s="10" t="s">
        <v>57</v>
      </c>
      <c r="D1607" s="11">
        <v>130.98931402964493</v>
      </c>
      <c r="E1607" s="12">
        <f t="shared" si="25"/>
        <v>43045</v>
      </c>
    </row>
    <row r="1608" spans="1:5" x14ac:dyDescent="0.25">
      <c r="A1608" s="2">
        <f>IF(B1608="","",SUBTOTAL(3,$B$2:B1608))</f>
        <v>1607</v>
      </c>
      <c r="B1608" s="9" t="s">
        <v>53</v>
      </c>
      <c r="C1608" s="10" t="s">
        <v>49</v>
      </c>
      <c r="D1608" s="11">
        <v>45.792997334847563</v>
      </c>
      <c r="E1608" s="12">
        <f t="shared" si="25"/>
        <v>43046</v>
      </c>
    </row>
    <row r="1609" spans="1:5" x14ac:dyDescent="0.25">
      <c r="A1609" s="2">
        <f>IF(B1609="","",SUBTOTAL(3,$B$2:B1609))</f>
        <v>1608</v>
      </c>
      <c r="B1609" s="9" t="s">
        <v>55</v>
      </c>
      <c r="C1609" s="10" t="s">
        <v>52</v>
      </c>
      <c r="D1609" s="11">
        <v>1792.4067133778719</v>
      </c>
      <c r="E1609" s="12">
        <f t="shared" si="25"/>
        <v>43047</v>
      </c>
    </row>
    <row r="1610" spans="1:5" x14ac:dyDescent="0.25">
      <c r="A1610" s="2">
        <f>IF(B1610="","",SUBTOTAL(3,$B$2:B1610))</f>
        <v>1609</v>
      </c>
      <c r="B1610" s="9" t="s">
        <v>48</v>
      </c>
      <c r="C1610" s="10" t="s">
        <v>49</v>
      </c>
      <c r="D1610" s="11">
        <v>15.403573629081947</v>
      </c>
      <c r="E1610" s="12">
        <f t="shared" si="25"/>
        <v>43048</v>
      </c>
    </row>
    <row r="1611" spans="1:5" x14ac:dyDescent="0.25">
      <c r="A1611" s="2">
        <f>IF(B1611="","",SUBTOTAL(3,$B$2:B1611))</f>
        <v>1610</v>
      </c>
      <c r="B1611" s="9" t="s">
        <v>53</v>
      </c>
      <c r="C1611" s="10" t="s">
        <v>49</v>
      </c>
      <c r="D1611" s="11">
        <v>183.17198933939025</v>
      </c>
      <c r="E1611" s="12">
        <f t="shared" si="25"/>
        <v>43049</v>
      </c>
    </row>
    <row r="1612" spans="1:5" x14ac:dyDescent="0.25">
      <c r="A1612" s="2">
        <f>IF(B1612="","",SUBTOTAL(3,$B$2:B1612))</f>
        <v>1611</v>
      </c>
      <c r="B1612" s="9" t="s">
        <v>48</v>
      </c>
      <c r="C1612" s="10" t="s">
        <v>52</v>
      </c>
      <c r="D1612" s="11">
        <v>27.726432532347506</v>
      </c>
      <c r="E1612" s="12">
        <f t="shared" si="25"/>
        <v>43050</v>
      </c>
    </row>
    <row r="1613" spans="1:5" x14ac:dyDescent="0.25">
      <c r="A1613" s="2">
        <f>IF(B1613="","",SUBTOTAL(3,$B$2:B1613))</f>
        <v>1612</v>
      </c>
      <c r="B1613" s="9" t="s">
        <v>50</v>
      </c>
      <c r="C1613" s="10" t="s">
        <v>49</v>
      </c>
      <c r="D1613" s="11">
        <v>15</v>
      </c>
      <c r="E1613" s="12">
        <f t="shared" si="25"/>
        <v>43051</v>
      </c>
    </row>
    <row r="1614" spans="1:5" x14ac:dyDescent="0.25">
      <c r="A1614" s="2">
        <f>IF(B1614="","",SUBTOTAL(3,$B$2:B1614))</f>
        <v>1613</v>
      </c>
      <c r="B1614" s="9" t="s">
        <v>55</v>
      </c>
      <c r="C1614" s="10" t="s">
        <v>49</v>
      </c>
      <c r="D1614" s="11">
        <v>51.369044884458127</v>
      </c>
      <c r="E1614" s="12">
        <f t="shared" si="25"/>
        <v>43052</v>
      </c>
    </row>
    <row r="1615" spans="1:5" x14ac:dyDescent="0.25">
      <c r="A1615" s="2">
        <f>IF(B1615="","",SUBTOTAL(3,$B$2:B1615))</f>
        <v>1614</v>
      </c>
      <c r="B1615" s="9" t="s">
        <v>55</v>
      </c>
      <c r="C1615" s="10" t="s">
        <v>49</v>
      </c>
      <c r="D1615" s="11">
        <v>756.79304013635442</v>
      </c>
      <c r="E1615" s="12">
        <f t="shared" si="25"/>
        <v>43053</v>
      </c>
    </row>
    <row r="1616" spans="1:5" x14ac:dyDescent="0.25">
      <c r="A1616" s="2">
        <f>IF(B1616="","",SUBTOTAL(3,$B$2:B1616))</f>
        <v>1615</v>
      </c>
      <c r="B1616" s="9" t="s">
        <v>48</v>
      </c>
      <c r="C1616" s="10" t="s">
        <v>49</v>
      </c>
      <c r="D1616" s="11">
        <v>77.017868145409736</v>
      </c>
      <c r="E1616" s="12">
        <f t="shared" si="25"/>
        <v>43054</v>
      </c>
    </row>
    <row r="1617" spans="1:5" x14ac:dyDescent="0.25">
      <c r="A1617" s="2">
        <f>IF(B1617="","",SUBTOTAL(3,$B$2:B1617))</f>
        <v>1616</v>
      </c>
      <c r="B1617" s="9" t="s">
        <v>55</v>
      </c>
      <c r="C1617" s="10" t="s">
        <v>49</v>
      </c>
      <c r="D1617" s="11">
        <v>756.79304013635442</v>
      </c>
      <c r="E1617" s="12">
        <f t="shared" si="25"/>
        <v>43055</v>
      </c>
    </row>
    <row r="1618" spans="1:5" x14ac:dyDescent="0.25">
      <c r="A1618" s="2">
        <f>IF(B1618="","",SUBTOTAL(3,$B$2:B1618))</f>
        <v>1617</v>
      </c>
      <c r="B1618" s="9" t="s">
        <v>55</v>
      </c>
      <c r="C1618" s="10" t="s">
        <v>49</v>
      </c>
      <c r="D1618" s="11">
        <v>987.12135669959264</v>
      </c>
      <c r="E1618" s="12">
        <f t="shared" si="25"/>
        <v>43056</v>
      </c>
    </row>
    <row r="1619" spans="1:5" x14ac:dyDescent="0.25">
      <c r="A1619" s="2">
        <f>IF(B1619="","",SUBTOTAL(3,$B$2:B1619))</f>
        <v>1618</v>
      </c>
      <c r="B1619" s="9" t="s">
        <v>48</v>
      </c>
      <c r="C1619" s="10" t="s">
        <v>49</v>
      </c>
      <c r="D1619" s="11">
        <v>27.726432532347506</v>
      </c>
      <c r="E1619" s="12">
        <f t="shared" si="25"/>
        <v>43057</v>
      </c>
    </row>
    <row r="1620" spans="1:5" x14ac:dyDescent="0.25">
      <c r="A1620" s="2">
        <f>IF(B1620="","",SUBTOTAL(3,$B$2:B1620))</f>
        <v>1619</v>
      </c>
      <c r="B1620" s="9" t="s">
        <v>48</v>
      </c>
      <c r="C1620" s="10" t="s">
        <v>52</v>
      </c>
      <c r="D1620" s="11">
        <v>77.017868145409736</v>
      </c>
      <c r="E1620" s="12">
        <f t="shared" si="25"/>
        <v>43058</v>
      </c>
    </row>
    <row r="1621" spans="1:5" x14ac:dyDescent="0.25">
      <c r="A1621" s="2">
        <f>IF(B1621="","",SUBTOTAL(3,$B$2:B1621))</f>
        <v>1620</v>
      </c>
      <c r="B1621" s="9" t="s">
        <v>48</v>
      </c>
      <c r="C1621" s="10" t="s">
        <v>52</v>
      </c>
      <c r="D1621" s="11">
        <v>315.24953789279112</v>
      </c>
      <c r="E1621" s="12">
        <f t="shared" si="25"/>
        <v>43059</v>
      </c>
    </row>
    <row r="1622" spans="1:5" x14ac:dyDescent="0.25">
      <c r="A1622" s="2">
        <f>IF(B1622="","",SUBTOTAL(3,$B$2:B1622))</f>
        <v>1621</v>
      </c>
      <c r="B1622" s="9" t="s">
        <v>55</v>
      </c>
      <c r="C1622" s="10" t="s">
        <v>49</v>
      </c>
      <c r="D1622" s="11">
        <v>37.850875178021781</v>
      </c>
      <c r="E1622" s="12">
        <f t="shared" si="25"/>
        <v>43060</v>
      </c>
    </row>
    <row r="1623" spans="1:5" x14ac:dyDescent="0.25">
      <c r="A1623" s="2">
        <f>IF(B1623="","",SUBTOTAL(3,$B$2:B1623))</f>
        <v>1622</v>
      </c>
      <c r="B1623" s="9" t="s">
        <v>50</v>
      </c>
      <c r="C1623" s="10" t="s">
        <v>52</v>
      </c>
      <c r="D1623" s="11">
        <v>66.137566137566139</v>
      </c>
      <c r="E1623" s="12">
        <f t="shared" si="25"/>
        <v>43061</v>
      </c>
    </row>
    <row r="1624" spans="1:5" x14ac:dyDescent="0.25">
      <c r="A1624" s="2">
        <f>IF(B1624="","",SUBTOTAL(3,$B$2:B1624))</f>
        <v>1623</v>
      </c>
      <c r="B1624" s="9" t="s">
        <v>53</v>
      </c>
      <c r="C1624" s="10" t="s">
        <v>49</v>
      </c>
      <c r="D1624" s="11">
        <v>18.317198933939025</v>
      </c>
      <c r="E1624" s="12">
        <f t="shared" si="25"/>
        <v>43062</v>
      </c>
    </row>
    <row r="1625" spans="1:5" x14ac:dyDescent="0.25">
      <c r="A1625" s="2">
        <f>IF(B1625="","",SUBTOTAL(3,$B$2:B1625))</f>
        <v>1624</v>
      </c>
      <c r="B1625" s="9" t="s">
        <v>48</v>
      </c>
      <c r="C1625" s="10" t="s">
        <v>52</v>
      </c>
      <c r="D1625" s="11">
        <v>25.696041524803107</v>
      </c>
      <c r="E1625" s="12">
        <f t="shared" si="25"/>
        <v>43063</v>
      </c>
    </row>
    <row r="1626" spans="1:5" x14ac:dyDescent="0.25">
      <c r="A1626" s="2">
        <f>IF(B1626="","",SUBTOTAL(3,$B$2:B1626))</f>
        <v>1625</v>
      </c>
      <c r="B1626" s="9" t="s">
        <v>48</v>
      </c>
      <c r="C1626" s="10" t="s">
        <v>54</v>
      </c>
      <c r="D1626" s="11">
        <v>51.706308169596689</v>
      </c>
      <c r="E1626" s="12">
        <f t="shared" si="25"/>
        <v>43064</v>
      </c>
    </row>
    <row r="1627" spans="1:5" x14ac:dyDescent="0.25">
      <c r="A1627" s="2">
        <f>IF(B1627="","",SUBTOTAL(3,$B$2:B1627))</f>
        <v>1626</v>
      </c>
      <c r="B1627" s="9" t="s">
        <v>50</v>
      </c>
      <c r="C1627" s="10" t="s">
        <v>49</v>
      </c>
      <c r="D1627" s="11">
        <v>4.8500881834215166</v>
      </c>
      <c r="E1627" s="12">
        <f t="shared" si="25"/>
        <v>43065</v>
      </c>
    </row>
    <row r="1628" spans="1:5" x14ac:dyDescent="0.25">
      <c r="A1628" s="2">
        <f>IF(B1628="","",SUBTOTAL(3,$B$2:B1628))</f>
        <v>1627</v>
      </c>
      <c r="B1628" s="9" t="s">
        <v>48</v>
      </c>
      <c r="C1628" s="10" t="s">
        <v>49</v>
      </c>
      <c r="D1628" s="11">
        <v>68.941744226128904</v>
      </c>
      <c r="E1628" s="12">
        <f t="shared" si="25"/>
        <v>43066</v>
      </c>
    </row>
    <row r="1629" spans="1:5" x14ac:dyDescent="0.25">
      <c r="A1629" s="2">
        <f>IF(B1629="","",SUBTOTAL(3,$B$2:B1629))</f>
        <v>1628</v>
      </c>
      <c r="B1629" s="9" t="s">
        <v>48</v>
      </c>
      <c r="C1629" s="10" t="s">
        <v>52</v>
      </c>
      <c r="D1629" s="11">
        <v>34.470872113064452</v>
      </c>
      <c r="E1629" s="12">
        <f t="shared" si="25"/>
        <v>43067</v>
      </c>
    </row>
    <row r="1630" spans="1:5" x14ac:dyDescent="0.25">
      <c r="A1630" s="2">
        <f>IF(B1630="","",SUBTOTAL(3,$B$2:B1630))</f>
        <v>1629</v>
      </c>
      <c r="B1630" s="9" t="s">
        <v>48</v>
      </c>
      <c r="C1630" s="10" t="s">
        <v>52</v>
      </c>
      <c r="D1630" s="11">
        <v>61.614294516327789</v>
      </c>
      <c r="E1630" s="12">
        <f t="shared" si="25"/>
        <v>43068</v>
      </c>
    </row>
    <row r="1631" spans="1:5" x14ac:dyDescent="0.25">
      <c r="A1631" s="2">
        <f>IF(B1631="","",SUBTOTAL(3,$B$2:B1631))</f>
        <v>1630</v>
      </c>
      <c r="B1631" s="9" t="s">
        <v>48</v>
      </c>
      <c r="C1631" s="10" t="s">
        <v>52</v>
      </c>
      <c r="D1631" s="11">
        <v>46.210720887245841</v>
      </c>
      <c r="E1631" s="12">
        <f t="shared" si="25"/>
        <v>43069</v>
      </c>
    </row>
    <row r="1632" spans="1:5" x14ac:dyDescent="0.25">
      <c r="A1632" s="2">
        <f>IF(B1632="","",SUBTOTAL(3,$B$2:B1632))</f>
        <v>1631</v>
      </c>
      <c r="B1632" s="9" t="s">
        <v>51</v>
      </c>
      <c r="C1632" s="10" t="s">
        <v>52</v>
      </c>
      <c r="D1632" s="11">
        <v>423.59419675950437</v>
      </c>
      <c r="E1632" s="12">
        <f t="shared" si="25"/>
        <v>43070</v>
      </c>
    </row>
    <row r="1633" spans="1:5" x14ac:dyDescent="0.25">
      <c r="A1633" s="2">
        <f>IF(B1633="","",SUBTOTAL(3,$B$2:B1633))</f>
        <v>1632</v>
      </c>
      <c r="B1633" s="9" t="s">
        <v>48</v>
      </c>
      <c r="C1633" s="10" t="s">
        <v>49</v>
      </c>
      <c r="D1633" s="11">
        <v>38.508934072704868</v>
      </c>
      <c r="E1633" s="12">
        <f t="shared" si="25"/>
        <v>43071</v>
      </c>
    </row>
    <row r="1634" spans="1:5" x14ac:dyDescent="0.25">
      <c r="A1634" s="2">
        <f>IF(B1634="","",SUBTOTAL(3,$B$2:B1634))</f>
        <v>1633</v>
      </c>
      <c r="B1634" s="9" t="s">
        <v>55</v>
      </c>
      <c r="C1634" s="10" t="s">
        <v>49</v>
      </c>
      <c r="D1634" s="11">
        <v>2.2749999999999999</v>
      </c>
      <c r="E1634" s="12">
        <f t="shared" si="25"/>
        <v>43072</v>
      </c>
    </row>
    <row r="1635" spans="1:5" x14ac:dyDescent="0.25">
      <c r="A1635" s="2">
        <f>IF(B1635="","",SUBTOTAL(3,$B$2:B1635))</f>
        <v>1634</v>
      </c>
      <c r="B1635" s="9" t="s">
        <v>53</v>
      </c>
      <c r="C1635" s="10" t="s">
        <v>49</v>
      </c>
      <c r="D1635" s="11">
        <v>178.52766354969</v>
      </c>
      <c r="E1635" s="12">
        <f t="shared" si="25"/>
        <v>43073</v>
      </c>
    </row>
    <row r="1636" spans="1:5" x14ac:dyDescent="0.25">
      <c r="A1636" s="2">
        <f>IF(B1636="","",SUBTOTAL(3,$B$2:B1636))</f>
        <v>1635</v>
      </c>
      <c r="B1636" s="9" t="s">
        <v>55</v>
      </c>
      <c r="C1636" s="10" t="s">
        <v>49</v>
      </c>
      <c r="D1636" s="11">
        <v>1.5</v>
      </c>
      <c r="E1636" s="12">
        <f t="shared" si="25"/>
        <v>43074</v>
      </c>
    </row>
    <row r="1637" spans="1:5" x14ac:dyDescent="0.25">
      <c r="A1637" s="2">
        <f>IF(B1637="","",SUBTOTAL(3,$B$2:B1637))</f>
        <v>1636</v>
      </c>
      <c r="B1637" s="9" t="s">
        <v>50</v>
      </c>
      <c r="C1637" s="10" t="s">
        <v>49</v>
      </c>
      <c r="D1637" s="11">
        <v>110.22927689594357</v>
      </c>
      <c r="E1637" s="12">
        <f t="shared" si="25"/>
        <v>43075</v>
      </c>
    </row>
    <row r="1638" spans="1:5" x14ac:dyDescent="0.25">
      <c r="A1638" s="2">
        <f>IF(B1638="","",SUBTOTAL(3,$B$2:B1638))</f>
        <v>1637</v>
      </c>
      <c r="B1638" s="9" t="s">
        <v>48</v>
      </c>
      <c r="C1638" s="10" t="s">
        <v>49</v>
      </c>
      <c r="D1638" s="11">
        <v>6.8941744226128918</v>
      </c>
      <c r="E1638" s="12">
        <f t="shared" si="25"/>
        <v>43076</v>
      </c>
    </row>
    <row r="1639" spans="1:5" x14ac:dyDescent="0.25">
      <c r="A1639" s="2">
        <f>IF(B1639="","",SUBTOTAL(3,$B$2:B1639))</f>
        <v>1638</v>
      </c>
      <c r="B1639" s="9" t="s">
        <v>48</v>
      </c>
      <c r="C1639" s="10" t="s">
        <v>52</v>
      </c>
      <c r="D1639" s="11">
        <v>308.07147258163894</v>
      </c>
      <c r="E1639" s="12">
        <f t="shared" si="25"/>
        <v>43077</v>
      </c>
    </row>
    <row r="1640" spans="1:5" x14ac:dyDescent="0.25">
      <c r="A1640" s="2">
        <f>IF(B1640="","",SUBTOTAL(3,$B$2:B1640))</f>
        <v>1639</v>
      </c>
      <c r="B1640" s="9" t="s">
        <v>48</v>
      </c>
      <c r="C1640" s="10" t="s">
        <v>52</v>
      </c>
      <c r="D1640" s="11">
        <v>138.63216266173754</v>
      </c>
      <c r="E1640" s="12">
        <f t="shared" si="25"/>
        <v>43078</v>
      </c>
    </row>
    <row r="1641" spans="1:5" x14ac:dyDescent="0.25">
      <c r="A1641" s="2">
        <f>IF(B1641="","",SUBTOTAL(3,$B$2:B1641))</f>
        <v>1640</v>
      </c>
      <c r="B1641" s="9" t="s">
        <v>48</v>
      </c>
      <c r="C1641" s="10" t="s">
        <v>52</v>
      </c>
      <c r="D1641" s="11">
        <v>200</v>
      </c>
      <c r="E1641" s="12">
        <f t="shared" si="25"/>
        <v>43079</v>
      </c>
    </row>
    <row r="1642" spans="1:5" x14ac:dyDescent="0.25">
      <c r="A1642" s="2">
        <f>IF(B1642="","",SUBTOTAL(3,$B$2:B1642))</f>
        <v>1641</v>
      </c>
      <c r="B1642" s="9" t="s">
        <v>48</v>
      </c>
      <c r="C1642" s="10" t="s">
        <v>52</v>
      </c>
      <c r="D1642" s="11">
        <v>55</v>
      </c>
      <c r="E1642" s="12">
        <f t="shared" si="25"/>
        <v>43080</v>
      </c>
    </row>
    <row r="1643" spans="1:5" x14ac:dyDescent="0.25">
      <c r="A1643" s="2">
        <f>IF(B1643="","",SUBTOTAL(3,$B$2:B1643))</f>
        <v>1642</v>
      </c>
      <c r="B1643" s="9" t="s">
        <v>48</v>
      </c>
      <c r="C1643" s="10" t="s">
        <v>52</v>
      </c>
      <c r="D1643" s="11">
        <v>123.22858903265558</v>
      </c>
      <c r="E1643" s="12">
        <f t="shared" si="25"/>
        <v>43081</v>
      </c>
    </row>
    <row r="1644" spans="1:5" x14ac:dyDescent="0.25">
      <c r="A1644" s="2">
        <f>IF(B1644="","",SUBTOTAL(3,$B$2:B1644))</f>
        <v>1643</v>
      </c>
      <c r="B1644" s="9" t="s">
        <v>55</v>
      </c>
      <c r="C1644" s="10" t="s">
        <v>49</v>
      </c>
      <c r="D1644" s="11">
        <v>410.95235907566502</v>
      </c>
      <c r="E1644" s="12">
        <f t="shared" si="25"/>
        <v>43082</v>
      </c>
    </row>
    <row r="1645" spans="1:5" x14ac:dyDescent="0.25">
      <c r="A1645" s="2">
        <f>IF(B1645="","",SUBTOTAL(3,$B$2:B1645))</f>
        <v>1644</v>
      </c>
      <c r="B1645" s="9" t="s">
        <v>50</v>
      </c>
      <c r="C1645" s="10" t="s">
        <v>49</v>
      </c>
      <c r="D1645" s="11">
        <v>382.3350970017637</v>
      </c>
      <c r="E1645" s="12">
        <f t="shared" si="25"/>
        <v>43083</v>
      </c>
    </row>
    <row r="1646" spans="1:5" x14ac:dyDescent="0.25">
      <c r="A1646" s="2">
        <f>IF(B1646="","",SUBTOTAL(3,$B$2:B1646))</f>
        <v>1645</v>
      </c>
      <c r="B1646" s="9" t="s">
        <v>53</v>
      </c>
      <c r="C1646" s="10" t="s">
        <v>54</v>
      </c>
      <c r="D1646" s="11">
        <v>18.317198933939025</v>
      </c>
      <c r="E1646" s="12">
        <f t="shared" si="25"/>
        <v>43084</v>
      </c>
    </row>
    <row r="1647" spans="1:5" x14ac:dyDescent="0.25">
      <c r="A1647" s="2">
        <f>IF(B1647="","",SUBTOTAL(3,$B$2:B1647))</f>
        <v>1646</v>
      </c>
      <c r="B1647" s="9" t="s">
        <v>51</v>
      </c>
      <c r="C1647" s="10" t="s">
        <v>52</v>
      </c>
      <c r="D1647" s="11">
        <v>105.89854918987609</v>
      </c>
      <c r="E1647" s="12">
        <f t="shared" si="25"/>
        <v>43085</v>
      </c>
    </row>
    <row r="1648" spans="1:5" x14ac:dyDescent="0.25">
      <c r="A1648" s="2">
        <f>IF(B1648="","",SUBTOTAL(3,$B$2:B1648))</f>
        <v>1647</v>
      </c>
      <c r="B1648" s="9" t="s">
        <v>55</v>
      </c>
      <c r="C1648" s="10" t="s">
        <v>49</v>
      </c>
      <c r="D1648" s="11">
        <v>16.294606485253382</v>
      </c>
      <c r="E1648" s="12">
        <f t="shared" si="25"/>
        <v>43086</v>
      </c>
    </row>
    <row r="1649" spans="1:5" x14ac:dyDescent="0.25">
      <c r="A1649" s="2">
        <f>IF(B1649="","",SUBTOTAL(3,$B$2:B1649))</f>
        <v>1648</v>
      </c>
      <c r="B1649" s="9" t="s">
        <v>51</v>
      </c>
      <c r="C1649" s="10" t="s">
        <v>54</v>
      </c>
      <c r="D1649" s="11">
        <v>211.79709837975219</v>
      </c>
      <c r="E1649" s="12">
        <f t="shared" si="25"/>
        <v>43087</v>
      </c>
    </row>
    <row r="1650" spans="1:5" x14ac:dyDescent="0.25">
      <c r="A1650" s="2">
        <f>IF(B1650="","",SUBTOTAL(3,$B$2:B1650))</f>
        <v>1649</v>
      </c>
      <c r="B1650" s="9" t="s">
        <v>51</v>
      </c>
      <c r="C1650" s="10" t="s">
        <v>49</v>
      </c>
      <c r="D1650" s="11">
        <v>211.79709837975219</v>
      </c>
      <c r="E1650" s="12">
        <f t="shared" si="25"/>
        <v>43088</v>
      </c>
    </row>
    <row r="1651" spans="1:5" x14ac:dyDescent="0.25">
      <c r="A1651" s="2">
        <f>IF(B1651="","",SUBTOTAL(3,$B$2:B1651))</f>
        <v>1650</v>
      </c>
      <c r="B1651" s="9" t="s">
        <v>51</v>
      </c>
      <c r="C1651" s="10" t="s">
        <v>49</v>
      </c>
      <c r="D1651" s="11">
        <v>211.79709837975219</v>
      </c>
      <c r="E1651" s="12">
        <f t="shared" si="25"/>
        <v>43089</v>
      </c>
    </row>
    <row r="1652" spans="1:5" x14ac:dyDescent="0.25">
      <c r="A1652" s="2">
        <f>IF(B1652="","",SUBTOTAL(3,$B$2:B1652))</f>
        <v>1651</v>
      </c>
      <c r="B1652" s="9" t="s">
        <v>53</v>
      </c>
      <c r="C1652" s="10" t="s">
        <v>49</v>
      </c>
      <c r="D1652" s="11">
        <v>146.5375914715122</v>
      </c>
      <c r="E1652" s="12">
        <f t="shared" si="25"/>
        <v>43090</v>
      </c>
    </row>
    <row r="1653" spans="1:5" x14ac:dyDescent="0.25">
      <c r="A1653" s="2">
        <f>IF(B1653="","",SUBTOTAL(3,$B$2:B1653))</f>
        <v>1652</v>
      </c>
      <c r="B1653" s="9" t="s">
        <v>48</v>
      </c>
      <c r="C1653" s="10" t="s">
        <v>52</v>
      </c>
      <c r="D1653" s="11">
        <v>256.96041524803104</v>
      </c>
      <c r="E1653" s="12">
        <f t="shared" si="25"/>
        <v>43091</v>
      </c>
    </row>
    <row r="1654" spans="1:5" x14ac:dyDescent="0.25">
      <c r="A1654" s="2">
        <f>IF(B1654="","",SUBTOTAL(3,$B$2:B1654))</f>
        <v>1653</v>
      </c>
      <c r="B1654" s="9" t="s">
        <v>50</v>
      </c>
      <c r="C1654" s="10" t="s">
        <v>52</v>
      </c>
      <c r="D1654" s="11">
        <v>66.137566137566139</v>
      </c>
      <c r="E1654" s="12">
        <f t="shared" si="25"/>
        <v>43092</v>
      </c>
    </row>
    <row r="1655" spans="1:5" x14ac:dyDescent="0.25">
      <c r="A1655" s="2">
        <f>IF(B1655="","",SUBTOTAL(3,$B$2:B1655))</f>
        <v>1654</v>
      </c>
      <c r="B1655" s="9" t="s">
        <v>48</v>
      </c>
      <c r="C1655" s="10" t="s">
        <v>52</v>
      </c>
      <c r="D1655" s="11">
        <v>103.41261633919338</v>
      </c>
      <c r="E1655" s="12">
        <f t="shared" si="25"/>
        <v>43093</v>
      </c>
    </row>
    <row r="1656" spans="1:5" x14ac:dyDescent="0.25">
      <c r="A1656" s="2">
        <f>IF(B1656="","",SUBTOTAL(3,$B$2:B1656))</f>
        <v>1655</v>
      </c>
      <c r="B1656" s="9" t="s">
        <v>51</v>
      </c>
      <c r="C1656" s="10" t="s">
        <v>54</v>
      </c>
      <c r="D1656" s="11">
        <v>211.79709837975219</v>
      </c>
      <c r="E1656" s="12">
        <f t="shared" si="25"/>
        <v>43094</v>
      </c>
    </row>
    <row r="1657" spans="1:5" x14ac:dyDescent="0.25">
      <c r="A1657" s="2">
        <f>IF(B1657="","",SUBTOTAL(3,$B$2:B1657))</f>
        <v>1656</v>
      </c>
      <c r="B1657" s="9" t="s">
        <v>48</v>
      </c>
      <c r="C1657" s="10" t="s">
        <v>52</v>
      </c>
      <c r="D1657" s="11">
        <v>128.48020762401552</v>
      </c>
      <c r="E1657" s="12">
        <f t="shared" si="25"/>
        <v>43095</v>
      </c>
    </row>
    <row r="1658" spans="1:5" x14ac:dyDescent="0.25">
      <c r="A1658" s="2">
        <f>IF(B1658="","",SUBTOTAL(3,$B$2:B1658))</f>
        <v>1657</v>
      </c>
      <c r="B1658" s="9" t="s">
        <v>48</v>
      </c>
      <c r="C1658" s="10" t="s">
        <v>49</v>
      </c>
      <c r="D1658" s="11">
        <v>103.41261633919338</v>
      </c>
      <c r="E1658" s="12">
        <f t="shared" si="25"/>
        <v>43096</v>
      </c>
    </row>
    <row r="1659" spans="1:5" x14ac:dyDescent="0.25">
      <c r="A1659" s="2">
        <f>IF(B1659="","",SUBTOTAL(3,$B$2:B1659))</f>
        <v>1658</v>
      </c>
      <c r="B1659" s="9" t="s">
        <v>50</v>
      </c>
      <c r="C1659" s="10" t="s">
        <v>54</v>
      </c>
      <c r="D1659" s="11">
        <v>154.65167548500884</v>
      </c>
      <c r="E1659" s="12">
        <f t="shared" si="25"/>
        <v>43097</v>
      </c>
    </row>
    <row r="1660" spans="1:5" x14ac:dyDescent="0.25">
      <c r="A1660" s="2">
        <f>IF(B1660="","",SUBTOTAL(3,$B$2:B1660))</f>
        <v>1659</v>
      </c>
      <c r="B1660" s="9" t="s">
        <v>55</v>
      </c>
      <c r="C1660" s="10" t="s">
        <v>52</v>
      </c>
      <c r="D1660" s="11">
        <v>120</v>
      </c>
      <c r="E1660" s="12">
        <f t="shared" si="25"/>
        <v>43098</v>
      </c>
    </row>
    <row r="1661" spans="1:5" x14ac:dyDescent="0.25">
      <c r="A1661" s="2">
        <f>IF(B1661="","",SUBTOTAL(3,$B$2:B1661))</f>
        <v>1660</v>
      </c>
      <c r="B1661" s="9" t="s">
        <v>51</v>
      </c>
      <c r="C1661" s="10" t="s">
        <v>52</v>
      </c>
      <c r="D1661" s="11">
        <v>26.474637297469023</v>
      </c>
      <c r="E1661" s="12">
        <f t="shared" si="25"/>
        <v>43099</v>
      </c>
    </row>
    <row r="1662" spans="1:5" x14ac:dyDescent="0.25">
      <c r="A1662" s="2">
        <f>IF(B1662="","",SUBTOTAL(3,$B$2:B1662))</f>
        <v>1661</v>
      </c>
      <c r="B1662" s="9" t="s">
        <v>50</v>
      </c>
      <c r="C1662" s="10" t="s">
        <v>49</v>
      </c>
      <c r="D1662" s="11">
        <v>960.72310405643736</v>
      </c>
      <c r="E1662" s="12">
        <f t="shared" si="25"/>
        <v>43100</v>
      </c>
    </row>
    <row r="1663" spans="1:5" x14ac:dyDescent="0.25">
      <c r="A1663" s="2">
        <f>IF(B1663="","",SUBTOTAL(3,$B$2:B1663))</f>
        <v>1662</v>
      </c>
      <c r="B1663" s="9" t="s">
        <v>50</v>
      </c>
      <c r="C1663" s="10" t="s">
        <v>52</v>
      </c>
      <c r="D1663" s="11">
        <v>55.114638447971785</v>
      </c>
      <c r="E1663" s="12">
        <f t="shared" si="25"/>
        <v>43101</v>
      </c>
    </row>
    <row r="1664" spans="1:5" x14ac:dyDescent="0.25">
      <c r="A1664" s="2">
        <f>IF(B1664="","",SUBTOTAL(3,$B$2:B1664))</f>
        <v>1663</v>
      </c>
      <c r="B1664" s="9" t="s">
        <v>50</v>
      </c>
      <c r="C1664" s="10" t="s">
        <v>52</v>
      </c>
      <c r="D1664" s="11">
        <v>55.114638447971785</v>
      </c>
      <c r="E1664" s="12">
        <f t="shared" si="25"/>
        <v>43102</v>
      </c>
    </row>
    <row r="1665" spans="1:5" x14ac:dyDescent="0.25">
      <c r="A1665" s="2">
        <f>IF(B1665="","",SUBTOTAL(3,$B$2:B1665))</f>
        <v>1664</v>
      </c>
      <c r="B1665" s="9" t="s">
        <v>50</v>
      </c>
      <c r="C1665" s="10" t="s">
        <v>52</v>
      </c>
      <c r="D1665" s="11">
        <v>55.114638447971785</v>
      </c>
      <c r="E1665" s="12">
        <f t="shared" si="25"/>
        <v>43103</v>
      </c>
    </row>
    <row r="1666" spans="1:5" x14ac:dyDescent="0.25">
      <c r="A1666" s="2">
        <f>IF(B1666="","",SUBTOTAL(3,$B$2:B1666))</f>
        <v>1665</v>
      </c>
      <c r="B1666" s="9" t="s">
        <v>50</v>
      </c>
      <c r="C1666" s="10" t="s">
        <v>52</v>
      </c>
      <c r="D1666" s="11">
        <v>44.091710758377424</v>
      </c>
      <c r="E1666" s="12">
        <f t="shared" si="25"/>
        <v>43104</v>
      </c>
    </row>
    <row r="1667" spans="1:5" x14ac:dyDescent="0.25">
      <c r="A1667" s="2">
        <f>IF(B1667="","",SUBTOTAL(3,$B$2:B1667))</f>
        <v>1666</v>
      </c>
      <c r="B1667" s="9" t="s">
        <v>50</v>
      </c>
      <c r="C1667" s="10" t="s">
        <v>52</v>
      </c>
      <c r="D1667" s="11">
        <v>44.091710758377424</v>
      </c>
      <c r="E1667" s="12">
        <f t="shared" si="25"/>
        <v>43105</v>
      </c>
    </row>
    <row r="1668" spans="1:5" x14ac:dyDescent="0.25">
      <c r="A1668" s="2">
        <f>IF(B1668="","",SUBTOTAL(3,$B$2:B1668))</f>
        <v>1667</v>
      </c>
      <c r="B1668" s="9" t="s">
        <v>50</v>
      </c>
      <c r="C1668" s="10" t="s">
        <v>52</v>
      </c>
      <c r="D1668" s="11">
        <v>44.091710758377424</v>
      </c>
      <c r="E1668" s="12">
        <f t="shared" ref="E1668:E1731" si="26">E1667+1</f>
        <v>43106</v>
      </c>
    </row>
    <row r="1669" spans="1:5" x14ac:dyDescent="0.25">
      <c r="A1669" s="2">
        <f>IF(B1669="","",SUBTOTAL(3,$B$2:B1669))</f>
        <v>1668</v>
      </c>
      <c r="B1669" s="9" t="s">
        <v>50</v>
      </c>
      <c r="C1669" s="10" t="s">
        <v>52</v>
      </c>
      <c r="D1669" s="11">
        <v>44.091710758377424</v>
      </c>
      <c r="E1669" s="12">
        <f t="shared" si="26"/>
        <v>43107</v>
      </c>
    </row>
    <row r="1670" spans="1:5" x14ac:dyDescent="0.25">
      <c r="A1670" s="2">
        <f>IF(B1670="","",SUBTOTAL(3,$B$2:B1670))</f>
        <v>1669</v>
      </c>
      <c r="B1670" s="9" t="s">
        <v>50</v>
      </c>
      <c r="C1670" s="10" t="s">
        <v>52</v>
      </c>
      <c r="D1670" s="11">
        <v>55.114638447971785</v>
      </c>
      <c r="E1670" s="12">
        <f t="shared" si="26"/>
        <v>43108</v>
      </c>
    </row>
    <row r="1671" spans="1:5" x14ac:dyDescent="0.25">
      <c r="A1671" s="2">
        <f>IF(B1671="","",SUBTOTAL(3,$B$2:B1671))</f>
        <v>1670</v>
      </c>
      <c r="B1671" s="9" t="s">
        <v>50</v>
      </c>
      <c r="C1671" s="10" t="s">
        <v>52</v>
      </c>
      <c r="D1671" s="11">
        <v>44.091710758377424</v>
      </c>
      <c r="E1671" s="12">
        <f t="shared" si="26"/>
        <v>43109</v>
      </c>
    </row>
    <row r="1672" spans="1:5" x14ac:dyDescent="0.25">
      <c r="A1672" s="2">
        <f>IF(B1672="","",SUBTOTAL(3,$B$2:B1672))</f>
        <v>1671</v>
      </c>
      <c r="B1672" s="9" t="s">
        <v>50</v>
      </c>
      <c r="C1672" s="10" t="s">
        <v>52</v>
      </c>
      <c r="D1672" s="11">
        <v>55.114638447971785</v>
      </c>
      <c r="E1672" s="12">
        <f t="shared" si="26"/>
        <v>43110</v>
      </c>
    </row>
    <row r="1673" spans="1:5" x14ac:dyDescent="0.25">
      <c r="A1673" s="2">
        <f>IF(B1673="","",SUBTOTAL(3,$B$2:B1673))</f>
        <v>1672</v>
      </c>
      <c r="B1673" s="9" t="s">
        <v>50</v>
      </c>
      <c r="C1673" s="10" t="s">
        <v>52</v>
      </c>
      <c r="D1673" s="11">
        <v>44.091710758377424</v>
      </c>
      <c r="E1673" s="12">
        <f t="shared" si="26"/>
        <v>43111</v>
      </c>
    </row>
    <row r="1674" spans="1:5" x14ac:dyDescent="0.25">
      <c r="A1674" s="2">
        <f>IF(B1674="","",SUBTOTAL(3,$B$2:B1674))</f>
        <v>1673</v>
      </c>
      <c r="B1674" s="9" t="s">
        <v>50</v>
      </c>
      <c r="C1674" s="10" t="s">
        <v>52</v>
      </c>
      <c r="D1674" s="11">
        <v>44.091710758377424</v>
      </c>
      <c r="E1674" s="12">
        <f t="shared" si="26"/>
        <v>43112</v>
      </c>
    </row>
    <row r="1675" spans="1:5" x14ac:dyDescent="0.25">
      <c r="A1675" s="2">
        <f>IF(B1675="","",SUBTOTAL(3,$B$2:B1675))</f>
        <v>1674</v>
      </c>
      <c r="B1675" s="9" t="s">
        <v>50</v>
      </c>
      <c r="C1675" s="10" t="s">
        <v>52</v>
      </c>
      <c r="D1675" s="11">
        <v>44.091710758377424</v>
      </c>
      <c r="E1675" s="12">
        <f t="shared" si="26"/>
        <v>43113</v>
      </c>
    </row>
    <row r="1676" spans="1:5" x14ac:dyDescent="0.25">
      <c r="A1676" s="2">
        <f>IF(B1676="","",SUBTOTAL(3,$B$2:B1676))</f>
        <v>1675</v>
      </c>
      <c r="B1676" s="9" t="s">
        <v>50</v>
      </c>
      <c r="C1676" s="10" t="s">
        <v>52</v>
      </c>
      <c r="D1676" s="11">
        <v>44.091710758377424</v>
      </c>
      <c r="E1676" s="12">
        <f t="shared" si="26"/>
        <v>43114</v>
      </c>
    </row>
    <row r="1677" spans="1:5" x14ac:dyDescent="0.25">
      <c r="A1677" s="2">
        <f>IF(B1677="","",SUBTOTAL(3,$B$2:B1677))</f>
        <v>1676</v>
      </c>
      <c r="B1677" s="9" t="s">
        <v>50</v>
      </c>
      <c r="C1677" s="10" t="s">
        <v>52</v>
      </c>
      <c r="D1677" s="11">
        <v>44.091710758377424</v>
      </c>
      <c r="E1677" s="12">
        <f t="shared" si="26"/>
        <v>43115</v>
      </c>
    </row>
    <row r="1678" spans="1:5" x14ac:dyDescent="0.25">
      <c r="A1678" s="2">
        <f>IF(B1678="","",SUBTOTAL(3,$B$2:B1678))</f>
        <v>1677</v>
      </c>
      <c r="B1678" s="9" t="s">
        <v>50</v>
      </c>
      <c r="C1678" s="10" t="s">
        <v>52</v>
      </c>
      <c r="D1678" s="11">
        <v>44.091710758377424</v>
      </c>
      <c r="E1678" s="12">
        <f t="shared" si="26"/>
        <v>43116</v>
      </c>
    </row>
    <row r="1679" spans="1:5" x14ac:dyDescent="0.25">
      <c r="A1679" s="2">
        <f>IF(B1679="","",SUBTOTAL(3,$B$2:B1679))</f>
        <v>1678</v>
      </c>
      <c r="B1679" s="9" t="s">
        <v>50</v>
      </c>
      <c r="C1679" s="10" t="s">
        <v>52</v>
      </c>
      <c r="D1679" s="11">
        <v>44.091710758377424</v>
      </c>
      <c r="E1679" s="12">
        <f t="shared" si="26"/>
        <v>43117</v>
      </c>
    </row>
    <row r="1680" spans="1:5" x14ac:dyDescent="0.25">
      <c r="A1680" s="2">
        <f>IF(B1680="","",SUBTOTAL(3,$B$2:B1680))</f>
        <v>1679</v>
      </c>
      <c r="B1680" s="9" t="s">
        <v>50</v>
      </c>
      <c r="C1680" s="10" t="s">
        <v>52</v>
      </c>
      <c r="D1680" s="11">
        <v>55.114638447971785</v>
      </c>
      <c r="E1680" s="12">
        <f t="shared" si="26"/>
        <v>43118</v>
      </c>
    </row>
    <row r="1681" spans="1:5" x14ac:dyDescent="0.25">
      <c r="A1681" s="2">
        <f>IF(B1681="","",SUBTOTAL(3,$B$2:B1681))</f>
        <v>1680</v>
      </c>
      <c r="B1681" s="9" t="s">
        <v>50</v>
      </c>
      <c r="C1681" s="10" t="s">
        <v>49</v>
      </c>
      <c r="D1681" s="11">
        <v>220.45855379188714</v>
      </c>
      <c r="E1681" s="12">
        <f t="shared" si="26"/>
        <v>43119</v>
      </c>
    </row>
    <row r="1682" spans="1:5" x14ac:dyDescent="0.25">
      <c r="A1682" s="2">
        <f>IF(B1682="","",SUBTOTAL(3,$B$2:B1682))</f>
        <v>1681</v>
      </c>
      <c r="B1682" s="9" t="s">
        <v>55</v>
      </c>
      <c r="C1682" s="10" t="s">
        <v>49</v>
      </c>
      <c r="D1682" s="11">
        <v>256.84522442229064</v>
      </c>
      <c r="E1682" s="12">
        <f t="shared" si="26"/>
        <v>43120</v>
      </c>
    </row>
    <row r="1683" spans="1:5" x14ac:dyDescent="0.25">
      <c r="A1683" s="2">
        <f>IF(B1683="","",SUBTOTAL(3,$B$2:B1683))</f>
        <v>1682</v>
      </c>
      <c r="B1683" s="9" t="s">
        <v>51</v>
      </c>
      <c r="C1683" s="10" t="s">
        <v>49</v>
      </c>
      <c r="D1683" s="11">
        <v>1058.985491898761</v>
      </c>
      <c r="E1683" s="12">
        <f t="shared" si="26"/>
        <v>43121</v>
      </c>
    </row>
    <row r="1684" spans="1:5" x14ac:dyDescent="0.25">
      <c r="A1684" s="2">
        <f>IF(B1684="","",SUBTOTAL(3,$B$2:B1684))</f>
        <v>1683</v>
      </c>
      <c r="B1684" s="9" t="s">
        <v>51</v>
      </c>
      <c r="C1684" s="10" t="s">
        <v>52</v>
      </c>
      <c r="D1684" s="11">
        <v>529.49274594938049</v>
      </c>
      <c r="E1684" s="12">
        <f t="shared" si="26"/>
        <v>43122</v>
      </c>
    </row>
    <row r="1685" spans="1:5" x14ac:dyDescent="0.25">
      <c r="A1685" s="2">
        <f>IF(B1685="","",SUBTOTAL(3,$B$2:B1685))</f>
        <v>1684</v>
      </c>
      <c r="B1685" s="9" t="s">
        <v>51</v>
      </c>
      <c r="C1685" s="10" t="s">
        <v>52</v>
      </c>
      <c r="D1685" s="11">
        <v>529.49274594938049</v>
      </c>
      <c r="E1685" s="12">
        <f t="shared" si="26"/>
        <v>43123</v>
      </c>
    </row>
    <row r="1686" spans="1:5" x14ac:dyDescent="0.25">
      <c r="A1686" s="2">
        <f>IF(B1686="","",SUBTOTAL(3,$B$2:B1686))</f>
        <v>1685</v>
      </c>
      <c r="B1686" s="9" t="s">
        <v>51</v>
      </c>
      <c r="C1686" s="10" t="s">
        <v>52</v>
      </c>
      <c r="D1686" s="11">
        <v>423.59419675950437</v>
      </c>
      <c r="E1686" s="12">
        <f t="shared" si="26"/>
        <v>43124</v>
      </c>
    </row>
    <row r="1687" spans="1:5" x14ac:dyDescent="0.25">
      <c r="A1687" s="2">
        <f>IF(B1687="","",SUBTOTAL(3,$B$2:B1687))</f>
        <v>1686</v>
      </c>
      <c r="B1687" s="9" t="s">
        <v>48</v>
      </c>
      <c r="C1687" s="10" t="s">
        <v>49</v>
      </c>
      <c r="D1687" s="11">
        <v>154.03573629081947</v>
      </c>
      <c r="E1687" s="12">
        <f t="shared" si="26"/>
        <v>43125</v>
      </c>
    </row>
    <row r="1688" spans="1:5" x14ac:dyDescent="0.25">
      <c r="A1688" s="2">
        <f>IF(B1688="","",SUBTOTAL(3,$B$2:B1688))</f>
        <v>1687</v>
      </c>
      <c r="B1688" s="9" t="s">
        <v>48</v>
      </c>
      <c r="C1688" s="10" t="s">
        <v>54</v>
      </c>
      <c r="D1688" s="11">
        <v>462.10720887245844</v>
      </c>
      <c r="E1688" s="12">
        <f t="shared" si="26"/>
        <v>43126</v>
      </c>
    </row>
    <row r="1689" spans="1:5" x14ac:dyDescent="0.25">
      <c r="A1689" s="2">
        <f>IF(B1689="","",SUBTOTAL(3,$B$2:B1689))</f>
        <v>1688</v>
      </c>
      <c r="B1689" s="9" t="s">
        <v>51</v>
      </c>
      <c r="C1689" s="10" t="s">
        <v>54</v>
      </c>
      <c r="D1689" s="11">
        <v>39.182463200254155</v>
      </c>
      <c r="E1689" s="12">
        <f t="shared" si="26"/>
        <v>43127</v>
      </c>
    </row>
    <row r="1690" spans="1:5" x14ac:dyDescent="0.25">
      <c r="A1690" s="2">
        <f>IF(B1690="","",SUBTOTAL(3,$B$2:B1690))</f>
        <v>1689</v>
      </c>
      <c r="B1690" s="9" t="s">
        <v>51</v>
      </c>
      <c r="C1690" s="10" t="s">
        <v>49</v>
      </c>
      <c r="D1690" s="11">
        <v>150</v>
      </c>
      <c r="E1690" s="12">
        <f t="shared" si="26"/>
        <v>43128</v>
      </c>
    </row>
    <row r="1691" spans="1:5" x14ac:dyDescent="0.25">
      <c r="A1691" s="2">
        <f>IF(B1691="","",SUBTOTAL(3,$B$2:B1691))</f>
        <v>1690</v>
      </c>
      <c r="B1691" s="9" t="s">
        <v>48</v>
      </c>
      <c r="C1691" s="10" t="s">
        <v>49</v>
      </c>
      <c r="D1691" s="11">
        <v>231.05360443622922</v>
      </c>
      <c r="E1691" s="12">
        <f t="shared" si="26"/>
        <v>43129</v>
      </c>
    </row>
    <row r="1692" spans="1:5" x14ac:dyDescent="0.25">
      <c r="A1692" s="2">
        <f>IF(B1692="","",SUBTOTAL(3,$B$2:B1692))</f>
        <v>1691</v>
      </c>
      <c r="B1692" s="9" t="s">
        <v>48</v>
      </c>
      <c r="C1692" s="10" t="s">
        <v>54</v>
      </c>
      <c r="D1692" s="11">
        <v>6.8941744226128918</v>
      </c>
      <c r="E1692" s="12">
        <f t="shared" si="26"/>
        <v>43130</v>
      </c>
    </row>
    <row r="1693" spans="1:5" x14ac:dyDescent="0.25">
      <c r="A1693" s="2">
        <f>IF(B1693="","",SUBTOTAL(3,$B$2:B1693))</f>
        <v>1692</v>
      </c>
      <c r="B1693" s="9" t="s">
        <v>48</v>
      </c>
      <c r="C1693" s="10" t="s">
        <v>54</v>
      </c>
      <c r="D1693" s="11">
        <v>6.8941744226128918</v>
      </c>
      <c r="E1693" s="12">
        <f t="shared" si="26"/>
        <v>43131</v>
      </c>
    </row>
    <row r="1694" spans="1:5" x14ac:dyDescent="0.25">
      <c r="A1694" s="2">
        <f>IF(B1694="","",SUBTOTAL(3,$B$2:B1694))</f>
        <v>1693</v>
      </c>
      <c r="B1694" s="9" t="s">
        <v>48</v>
      </c>
      <c r="C1694" s="10" t="s">
        <v>49</v>
      </c>
      <c r="D1694" s="11">
        <v>61.614294516327789</v>
      </c>
      <c r="E1694" s="12">
        <f t="shared" si="26"/>
        <v>43132</v>
      </c>
    </row>
    <row r="1695" spans="1:5" x14ac:dyDescent="0.25">
      <c r="A1695" s="2">
        <f>IF(B1695="","",SUBTOTAL(3,$B$2:B1695))</f>
        <v>1694</v>
      </c>
      <c r="B1695" s="9" t="s">
        <v>48</v>
      </c>
      <c r="C1695" s="10" t="s">
        <v>49</v>
      </c>
      <c r="D1695" s="11">
        <v>77.017868145409736</v>
      </c>
      <c r="E1695" s="12">
        <f t="shared" si="26"/>
        <v>43133</v>
      </c>
    </row>
    <row r="1696" spans="1:5" x14ac:dyDescent="0.25">
      <c r="A1696" s="2">
        <f>IF(B1696="","",SUBTOTAL(3,$B$2:B1696))</f>
        <v>1695</v>
      </c>
      <c r="B1696" s="9" t="s">
        <v>48</v>
      </c>
      <c r="C1696" s="10" t="s">
        <v>49</v>
      </c>
      <c r="D1696" s="11">
        <v>123.22858903265558</v>
      </c>
      <c r="E1696" s="12">
        <f t="shared" si="26"/>
        <v>43134</v>
      </c>
    </row>
    <row r="1697" spans="1:5" x14ac:dyDescent="0.25">
      <c r="A1697" s="2">
        <f>IF(B1697="","",SUBTOTAL(3,$B$2:B1697))</f>
        <v>1696</v>
      </c>
      <c r="B1697" s="9" t="s">
        <v>48</v>
      </c>
      <c r="C1697" s="10" t="s">
        <v>52</v>
      </c>
      <c r="D1697" s="11">
        <v>134.01109057301295</v>
      </c>
      <c r="E1697" s="12">
        <f t="shared" si="26"/>
        <v>43135</v>
      </c>
    </row>
    <row r="1698" spans="1:5" x14ac:dyDescent="0.25">
      <c r="A1698" s="2">
        <f>IF(B1698="","",SUBTOTAL(3,$B$2:B1698))</f>
        <v>1697</v>
      </c>
      <c r="B1698" s="9" t="s">
        <v>53</v>
      </c>
      <c r="C1698" s="10" t="s">
        <v>54</v>
      </c>
      <c r="D1698" s="11">
        <v>5.4951596801817066</v>
      </c>
      <c r="E1698" s="12">
        <f t="shared" si="26"/>
        <v>43136</v>
      </c>
    </row>
    <row r="1699" spans="1:5" x14ac:dyDescent="0.25">
      <c r="A1699" s="2">
        <f>IF(B1699="","",SUBTOTAL(3,$B$2:B1699))</f>
        <v>1698</v>
      </c>
      <c r="B1699" s="9" t="s">
        <v>53</v>
      </c>
      <c r="C1699" s="10" t="s">
        <v>54</v>
      </c>
      <c r="D1699" s="11">
        <v>10.990319360363413</v>
      </c>
      <c r="E1699" s="12">
        <f t="shared" si="26"/>
        <v>43137</v>
      </c>
    </row>
    <row r="1700" spans="1:5" x14ac:dyDescent="0.25">
      <c r="A1700" s="2">
        <f>IF(B1700="","",SUBTOTAL(3,$B$2:B1700))</f>
        <v>1699</v>
      </c>
      <c r="B1700" s="9" t="s">
        <v>48</v>
      </c>
      <c r="C1700" s="10" t="s">
        <v>52</v>
      </c>
      <c r="D1700" s="11">
        <v>924.21441774491689</v>
      </c>
      <c r="E1700" s="12">
        <f t="shared" si="26"/>
        <v>43138</v>
      </c>
    </row>
    <row r="1701" spans="1:5" x14ac:dyDescent="0.25">
      <c r="A1701" s="2">
        <f>IF(B1701="","",SUBTOTAL(3,$B$2:B1701))</f>
        <v>1700</v>
      </c>
      <c r="B1701" s="9" t="s">
        <v>48</v>
      </c>
      <c r="C1701" s="10" t="s">
        <v>49</v>
      </c>
      <c r="D1701" s="11">
        <v>2.4091189155884165</v>
      </c>
      <c r="E1701" s="12">
        <f t="shared" si="26"/>
        <v>43139</v>
      </c>
    </row>
    <row r="1702" spans="1:5" x14ac:dyDescent="0.25">
      <c r="A1702" s="2">
        <f>IF(B1702="","",SUBTOTAL(3,$B$2:B1702))</f>
        <v>1701</v>
      </c>
      <c r="B1702" s="9" t="s">
        <v>48</v>
      </c>
      <c r="C1702" s="10" t="s">
        <v>49</v>
      </c>
      <c r="D1702" s="11">
        <v>23.105360443622921</v>
      </c>
      <c r="E1702" s="12">
        <f t="shared" si="26"/>
        <v>43140</v>
      </c>
    </row>
    <row r="1703" spans="1:5" x14ac:dyDescent="0.25">
      <c r="A1703" s="2">
        <f>IF(B1703="","",SUBTOTAL(3,$B$2:B1703))</f>
        <v>1702</v>
      </c>
      <c r="B1703" s="9" t="s">
        <v>50</v>
      </c>
      <c r="C1703" s="10" t="s">
        <v>52</v>
      </c>
      <c r="D1703" s="11">
        <v>4.9603174603174605</v>
      </c>
      <c r="E1703" s="12">
        <f t="shared" si="26"/>
        <v>43141</v>
      </c>
    </row>
    <row r="1704" spans="1:5" x14ac:dyDescent="0.25">
      <c r="A1704" s="2">
        <f>IF(B1704="","",SUBTOTAL(3,$B$2:B1704))</f>
        <v>1703</v>
      </c>
      <c r="B1704" s="9" t="s">
        <v>48</v>
      </c>
      <c r="C1704" s="10" t="s">
        <v>54</v>
      </c>
      <c r="D1704" s="11">
        <v>6.8941744226128918</v>
      </c>
      <c r="E1704" s="12">
        <f t="shared" si="26"/>
        <v>43142</v>
      </c>
    </row>
    <row r="1705" spans="1:5" x14ac:dyDescent="0.25">
      <c r="A1705" s="2">
        <f>IF(B1705="","",SUBTOTAL(3,$B$2:B1705))</f>
        <v>1704</v>
      </c>
      <c r="B1705" s="9" t="s">
        <v>48</v>
      </c>
      <c r="C1705" s="10" t="s">
        <v>54</v>
      </c>
      <c r="D1705" s="11">
        <v>6.8941744226128918</v>
      </c>
      <c r="E1705" s="12">
        <f t="shared" si="26"/>
        <v>43143</v>
      </c>
    </row>
    <row r="1706" spans="1:5" x14ac:dyDescent="0.25">
      <c r="A1706" s="2">
        <f>IF(B1706="","",SUBTOTAL(3,$B$2:B1706))</f>
        <v>1705</v>
      </c>
      <c r="B1706" s="9" t="s">
        <v>48</v>
      </c>
      <c r="C1706" s="10" t="s">
        <v>54</v>
      </c>
      <c r="D1706" s="11">
        <v>6.8941744226128918</v>
      </c>
      <c r="E1706" s="12">
        <f t="shared" si="26"/>
        <v>43144</v>
      </c>
    </row>
    <row r="1707" spans="1:5" x14ac:dyDescent="0.25">
      <c r="A1707" s="2">
        <f>IF(B1707="","",SUBTOTAL(3,$B$2:B1707))</f>
        <v>1706</v>
      </c>
      <c r="B1707" s="9" t="s">
        <v>48</v>
      </c>
      <c r="C1707" s="10" t="s">
        <v>54</v>
      </c>
      <c r="D1707" s="11">
        <v>6.8941744226128918</v>
      </c>
      <c r="E1707" s="12">
        <f t="shared" si="26"/>
        <v>43145</v>
      </c>
    </row>
    <row r="1708" spans="1:5" x14ac:dyDescent="0.25">
      <c r="A1708" s="2">
        <f>IF(B1708="","",SUBTOTAL(3,$B$2:B1708))</f>
        <v>1707</v>
      </c>
      <c r="B1708" s="9" t="s">
        <v>48</v>
      </c>
      <c r="C1708" s="10" t="s">
        <v>54</v>
      </c>
      <c r="D1708" s="11">
        <v>6.8941744226128918</v>
      </c>
      <c r="E1708" s="12">
        <f t="shared" si="26"/>
        <v>43146</v>
      </c>
    </row>
    <row r="1709" spans="1:5" x14ac:dyDescent="0.25">
      <c r="A1709" s="2">
        <f>IF(B1709="","",SUBTOTAL(3,$B$2:B1709))</f>
        <v>1708</v>
      </c>
      <c r="B1709" s="9" t="s">
        <v>48</v>
      </c>
      <c r="C1709" s="10" t="s">
        <v>54</v>
      </c>
      <c r="D1709" s="11">
        <v>6.8941744226128918</v>
      </c>
      <c r="E1709" s="12">
        <f t="shared" si="26"/>
        <v>43147</v>
      </c>
    </row>
    <row r="1710" spans="1:5" x14ac:dyDescent="0.25">
      <c r="A1710" s="2">
        <f>IF(B1710="","",SUBTOTAL(3,$B$2:B1710))</f>
        <v>1709</v>
      </c>
      <c r="B1710" s="9" t="s">
        <v>48</v>
      </c>
      <c r="C1710" s="10" t="s">
        <v>52</v>
      </c>
      <c r="D1710" s="11">
        <v>137.88348845225781</v>
      </c>
      <c r="E1710" s="12">
        <f t="shared" si="26"/>
        <v>43148</v>
      </c>
    </row>
    <row r="1711" spans="1:5" x14ac:dyDescent="0.25">
      <c r="A1711" s="2">
        <f>IF(B1711="","",SUBTOTAL(3,$B$2:B1711))</f>
        <v>1710</v>
      </c>
      <c r="B1711" s="9" t="s">
        <v>48</v>
      </c>
      <c r="C1711" s="10" t="s">
        <v>49</v>
      </c>
      <c r="D1711" s="11">
        <v>65.494657014822465</v>
      </c>
      <c r="E1711" s="12">
        <f t="shared" si="26"/>
        <v>43149</v>
      </c>
    </row>
    <row r="1712" spans="1:5" x14ac:dyDescent="0.25">
      <c r="A1712" s="2">
        <f>IF(B1712="","",SUBTOTAL(3,$B$2:B1712))</f>
        <v>1711</v>
      </c>
      <c r="B1712" s="9" t="s">
        <v>48</v>
      </c>
      <c r="C1712" s="10" t="s">
        <v>49</v>
      </c>
      <c r="D1712" s="11">
        <v>10.341261633919338</v>
      </c>
      <c r="E1712" s="12">
        <f t="shared" si="26"/>
        <v>43150</v>
      </c>
    </row>
    <row r="1713" spans="1:5" x14ac:dyDescent="0.25">
      <c r="A1713" s="2">
        <f>IF(B1713="","",SUBTOTAL(3,$B$2:B1713))</f>
        <v>1712</v>
      </c>
      <c r="B1713" s="9" t="s">
        <v>53</v>
      </c>
      <c r="C1713" s="10" t="s">
        <v>49</v>
      </c>
      <c r="D1713" s="11">
        <v>68.689496002271341</v>
      </c>
      <c r="E1713" s="12">
        <f t="shared" si="26"/>
        <v>43151</v>
      </c>
    </row>
    <row r="1714" spans="1:5" x14ac:dyDescent="0.25">
      <c r="A1714" s="2">
        <f>IF(B1714="","",SUBTOTAL(3,$B$2:B1714))</f>
        <v>1713</v>
      </c>
      <c r="B1714" s="9" t="s">
        <v>48</v>
      </c>
      <c r="C1714" s="10" t="s">
        <v>56</v>
      </c>
      <c r="D1714" s="11">
        <v>462.10720887245844</v>
      </c>
      <c r="E1714" s="12">
        <f t="shared" si="26"/>
        <v>43152</v>
      </c>
    </row>
    <row r="1715" spans="1:5" x14ac:dyDescent="0.25">
      <c r="A1715" s="2">
        <f>IF(B1715="","",SUBTOTAL(3,$B$2:B1715))</f>
        <v>1714</v>
      </c>
      <c r="B1715" s="9" t="s">
        <v>55</v>
      </c>
      <c r="C1715" s="10" t="s">
        <v>52</v>
      </c>
      <c r="D1715" s="11">
        <v>42.365976861658794</v>
      </c>
      <c r="E1715" s="12">
        <f t="shared" si="26"/>
        <v>43153</v>
      </c>
    </row>
    <row r="1716" spans="1:5" x14ac:dyDescent="0.25">
      <c r="A1716" s="2">
        <f>IF(B1716="","",SUBTOTAL(3,$B$2:B1716))</f>
        <v>1715</v>
      </c>
      <c r="B1716" s="9" t="s">
        <v>55</v>
      </c>
      <c r="C1716" s="10" t="s">
        <v>54</v>
      </c>
      <c r="D1716" s="11">
        <v>16.294606485253382</v>
      </c>
      <c r="E1716" s="12">
        <f t="shared" si="26"/>
        <v>43154</v>
      </c>
    </row>
    <row r="1717" spans="1:5" x14ac:dyDescent="0.25">
      <c r="A1717" s="2">
        <f>IF(B1717="","",SUBTOTAL(3,$B$2:B1717))</f>
        <v>1716</v>
      </c>
      <c r="B1717" s="9" t="s">
        <v>50</v>
      </c>
      <c r="C1717" s="10" t="s">
        <v>49</v>
      </c>
      <c r="D1717" s="11">
        <v>15.4320987654321</v>
      </c>
      <c r="E1717" s="12">
        <f t="shared" si="26"/>
        <v>43155</v>
      </c>
    </row>
    <row r="1718" spans="1:5" x14ac:dyDescent="0.25">
      <c r="A1718" s="2">
        <f>IF(B1718="","",SUBTOTAL(3,$B$2:B1718))</f>
        <v>1717</v>
      </c>
      <c r="B1718" s="9" t="s">
        <v>55</v>
      </c>
      <c r="C1718" s="10" t="s">
        <v>49</v>
      </c>
      <c r="D1718" s="11">
        <v>16.294606485253382</v>
      </c>
      <c r="E1718" s="12">
        <f t="shared" si="26"/>
        <v>43156</v>
      </c>
    </row>
    <row r="1719" spans="1:5" x14ac:dyDescent="0.25">
      <c r="A1719" s="2">
        <f>IF(B1719="","",SUBTOTAL(3,$B$2:B1719))</f>
        <v>1718</v>
      </c>
      <c r="B1719" s="9" t="s">
        <v>55</v>
      </c>
      <c r="C1719" s="10" t="s">
        <v>49</v>
      </c>
      <c r="D1719" s="11">
        <v>4.0215088805605346</v>
      </c>
      <c r="E1719" s="12">
        <f t="shared" si="26"/>
        <v>43157</v>
      </c>
    </row>
    <row r="1720" spans="1:5" x14ac:dyDescent="0.25">
      <c r="A1720" s="2">
        <f>IF(B1720="","",SUBTOTAL(3,$B$2:B1720))</f>
        <v>1719</v>
      </c>
      <c r="B1720" s="9" t="s">
        <v>55</v>
      </c>
      <c r="C1720" s="10" t="s">
        <v>49</v>
      </c>
      <c r="D1720" s="11">
        <v>1.7</v>
      </c>
      <c r="E1720" s="12">
        <f t="shared" si="26"/>
        <v>43158</v>
      </c>
    </row>
    <row r="1721" spans="1:5" x14ac:dyDescent="0.25">
      <c r="A1721" s="2">
        <f>IF(B1721="","",SUBTOTAL(3,$B$2:B1721))</f>
        <v>1720</v>
      </c>
      <c r="B1721" s="9" t="s">
        <v>50</v>
      </c>
      <c r="C1721" s="10" t="s">
        <v>54</v>
      </c>
      <c r="D1721" s="11">
        <v>68.25</v>
      </c>
      <c r="E1721" s="12">
        <f t="shared" si="26"/>
        <v>43159</v>
      </c>
    </row>
    <row r="1722" spans="1:5" x14ac:dyDescent="0.25">
      <c r="A1722" s="2">
        <f>IF(B1722="","",SUBTOTAL(3,$B$2:B1722))</f>
        <v>1721</v>
      </c>
      <c r="B1722" s="9" t="s">
        <v>48</v>
      </c>
      <c r="C1722" s="10" t="s">
        <v>52</v>
      </c>
      <c r="D1722" s="11">
        <v>15.403573629081947</v>
      </c>
      <c r="E1722" s="12">
        <f t="shared" si="26"/>
        <v>43160</v>
      </c>
    </row>
    <row r="1723" spans="1:5" x14ac:dyDescent="0.25">
      <c r="A1723" s="2">
        <f>IF(B1723="","",SUBTOTAL(3,$B$2:B1723))</f>
        <v>1722</v>
      </c>
      <c r="B1723" s="9" t="s">
        <v>48</v>
      </c>
      <c r="C1723" s="10" t="s">
        <v>49</v>
      </c>
      <c r="D1723" s="11">
        <v>30.807147258163894</v>
      </c>
      <c r="E1723" s="12">
        <f t="shared" si="26"/>
        <v>43161</v>
      </c>
    </row>
    <row r="1724" spans="1:5" x14ac:dyDescent="0.25">
      <c r="A1724" s="2">
        <f>IF(B1724="","",SUBTOTAL(3,$B$2:B1724))</f>
        <v>1723</v>
      </c>
      <c r="B1724" s="9" t="s">
        <v>48</v>
      </c>
      <c r="C1724" s="10" t="s">
        <v>52</v>
      </c>
      <c r="D1724" s="11">
        <v>15.403573629081947</v>
      </c>
      <c r="E1724" s="12">
        <f t="shared" si="26"/>
        <v>43162</v>
      </c>
    </row>
    <row r="1725" spans="1:5" x14ac:dyDescent="0.25">
      <c r="A1725" s="2">
        <f>IF(B1725="","",SUBTOTAL(3,$B$2:B1725))</f>
        <v>1724</v>
      </c>
      <c r="B1725" s="9" t="s">
        <v>48</v>
      </c>
      <c r="C1725" s="10" t="s">
        <v>52</v>
      </c>
      <c r="D1725" s="11">
        <v>12.322858903265558</v>
      </c>
      <c r="E1725" s="12">
        <f t="shared" si="26"/>
        <v>43163</v>
      </c>
    </row>
    <row r="1726" spans="1:5" x14ac:dyDescent="0.25">
      <c r="A1726" s="2">
        <f>IF(B1726="","",SUBTOTAL(3,$B$2:B1726))</f>
        <v>1725</v>
      </c>
      <c r="B1726" s="9" t="s">
        <v>48</v>
      </c>
      <c r="C1726" s="10" t="s">
        <v>52</v>
      </c>
      <c r="D1726" s="11">
        <v>7.7017868145409736</v>
      </c>
      <c r="E1726" s="12">
        <f t="shared" si="26"/>
        <v>43164</v>
      </c>
    </row>
    <row r="1727" spans="1:5" x14ac:dyDescent="0.25">
      <c r="A1727" s="2">
        <f>IF(B1727="","",SUBTOTAL(3,$B$2:B1727))</f>
        <v>1726</v>
      </c>
      <c r="B1727" s="9" t="s">
        <v>48</v>
      </c>
      <c r="C1727" s="10" t="s">
        <v>54</v>
      </c>
      <c r="D1727" s="11">
        <v>10.012322858903266</v>
      </c>
      <c r="E1727" s="12">
        <f t="shared" si="26"/>
        <v>43165</v>
      </c>
    </row>
    <row r="1728" spans="1:5" x14ac:dyDescent="0.25">
      <c r="A1728" s="2">
        <f>IF(B1728="","",SUBTOTAL(3,$B$2:B1728))</f>
        <v>1727</v>
      </c>
      <c r="B1728" s="9" t="s">
        <v>48</v>
      </c>
      <c r="C1728" s="10" t="s">
        <v>52</v>
      </c>
      <c r="D1728" s="11">
        <v>154.03573629081947</v>
      </c>
      <c r="E1728" s="12">
        <f t="shared" si="26"/>
        <v>43166</v>
      </c>
    </row>
    <row r="1729" spans="1:5" x14ac:dyDescent="0.25">
      <c r="A1729" s="2">
        <f>IF(B1729="","",SUBTOTAL(3,$B$2:B1729))</f>
        <v>1728</v>
      </c>
      <c r="B1729" s="9" t="s">
        <v>48</v>
      </c>
      <c r="C1729" s="10" t="s">
        <v>54</v>
      </c>
      <c r="D1729" s="11">
        <v>53.912507701786815</v>
      </c>
      <c r="E1729" s="12">
        <f t="shared" si="26"/>
        <v>43167</v>
      </c>
    </row>
    <row r="1730" spans="1:5" x14ac:dyDescent="0.25">
      <c r="A1730" s="2">
        <f>IF(B1730="","",SUBTOTAL(3,$B$2:B1730))</f>
        <v>1729</v>
      </c>
      <c r="B1730" s="9" t="s">
        <v>48</v>
      </c>
      <c r="C1730" s="10" t="s">
        <v>49</v>
      </c>
      <c r="D1730" s="11">
        <v>154.03573629081947</v>
      </c>
      <c r="E1730" s="12">
        <f t="shared" si="26"/>
        <v>43168</v>
      </c>
    </row>
    <row r="1731" spans="1:5" x14ac:dyDescent="0.25">
      <c r="A1731" s="2">
        <f>IF(B1731="","",SUBTOTAL(3,$B$2:B1731))</f>
        <v>1730</v>
      </c>
      <c r="B1731" s="9" t="s">
        <v>48</v>
      </c>
      <c r="C1731" s="10" t="s">
        <v>49</v>
      </c>
      <c r="D1731" s="11">
        <v>130.93037584719656</v>
      </c>
      <c r="E1731" s="12">
        <f t="shared" si="26"/>
        <v>43169</v>
      </c>
    </row>
    <row r="1732" spans="1:5" x14ac:dyDescent="0.25">
      <c r="A1732" s="2">
        <f>IF(B1732="","",SUBTOTAL(3,$B$2:B1732))</f>
        <v>1731</v>
      </c>
      <c r="B1732" s="9" t="s">
        <v>48</v>
      </c>
      <c r="C1732" s="10" t="s">
        <v>52</v>
      </c>
      <c r="D1732" s="11">
        <v>30.807147258163894</v>
      </c>
      <c r="E1732" s="12">
        <f t="shared" ref="E1732:E1795" si="27">E1731+1</f>
        <v>43170</v>
      </c>
    </row>
    <row r="1733" spans="1:5" x14ac:dyDescent="0.25">
      <c r="A1733" s="2">
        <f>IF(B1733="","",SUBTOTAL(3,$B$2:B1733))</f>
        <v>1732</v>
      </c>
      <c r="B1733" s="9" t="s">
        <v>48</v>
      </c>
      <c r="C1733" s="10" t="s">
        <v>54</v>
      </c>
      <c r="D1733" s="11">
        <v>200</v>
      </c>
      <c r="E1733" s="12">
        <f t="shared" si="27"/>
        <v>43171</v>
      </c>
    </row>
    <row r="1734" spans="1:5" x14ac:dyDescent="0.25">
      <c r="A1734" s="2">
        <f>IF(B1734="","",SUBTOTAL(3,$B$2:B1734))</f>
        <v>1733</v>
      </c>
      <c r="B1734" s="9" t="s">
        <v>48</v>
      </c>
      <c r="C1734" s="10" t="s">
        <v>52</v>
      </c>
      <c r="D1734" s="11">
        <v>385.08934072704869</v>
      </c>
      <c r="E1734" s="12">
        <f t="shared" si="27"/>
        <v>43172</v>
      </c>
    </row>
    <row r="1735" spans="1:5" x14ac:dyDescent="0.25">
      <c r="A1735" s="2">
        <f>IF(B1735="","",SUBTOTAL(3,$B$2:B1735))</f>
        <v>1734</v>
      </c>
      <c r="B1735" s="9" t="s">
        <v>48</v>
      </c>
      <c r="C1735" s="10" t="s">
        <v>49</v>
      </c>
      <c r="D1735" s="11">
        <v>269.5625385089341</v>
      </c>
      <c r="E1735" s="12">
        <f t="shared" si="27"/>
        <v>43173</v>
      </c>
    </row>
    <row r="1736" spans="1:5" x14ac:dyDescent="0.25">
      <c r="A1736" s="2">
        <f>IF(B1736="","",SUBTOTAL(3,$B$2:B1736))</f>
        <v>1735</v>
      </c>
      <c r="B1736" s="9" t="s">
        <v>51</v>
      </c>
      <c r="C1736" s="10" t="s">
        <v>52</v>
      </c>
      <c r="D1736" s="11">
        <v>5.0017227913814493</v>
      </c>
      <c r="E1736" s="12">
        <f t="shared" si="27"/>
        <v>43174</v>
      </c>
    </row>
    <row r="1737" spans="1:5" x14ac:dyDescent="0.25">
      <c r="A1737" s="2">
        <f>IF(B1737="","",SUBTOTAL(3,$B$2:B1737))</f>
        <v>1736</v>
      </c>
      <c r="B1737" s="9" t="s">
        <v>50</v>
      </c>
      <c r="C1737" s="10" t="s">
        <v>52</v>
      </c>
      <c r="D1737" s="11">
        <v>33.06878306878307</v>
      </c>
      <c r="E1737" s="12">
        <f t="shared" si="27"/>
        <v>43175</v>
      </c>
    </row>
    <row r="1738" spans="1:5" x14ac:dyDescent="0.25">
      <c r="A1738" s="2">
        <f>IF(B1738="","",SUBTOTAL(3,$B$2:B1738))</f>
        <v>1737</v>
      </c>
      <c r="B1738" s="9" t="s">
        <v>48</v>
      </c>
      <c r="C1738" s="10" t="s">
        <v>54</v>
      </c>
      <c r="D1738" s="11">
        <v>9.5553257497414688</v>
      </c>
      <c r="E1738" s="12">
        <f t="shared" si="27"/>
        <v>43176</v>
      </c>
    </row>
    <row r="1739" spans="1:5" x14ac:dyDescent="0.25">
      <c r="A1739" s="2">
        <f>IF(B1739="","",SUBTOTAL(3,$B$2:B1739))</f>
        <v>1738</v>
      </c>
      <c r="B1739" s="9" t="s">
        <v>50</v>
      </c>
      <c r="C1739" s="10" t="s">
        <v>49</v>
      </c>
      <c r="D1739" s="11">
        <v>144.3241622574956</v>
      </c>
      <c r="E1739" s="12">
        <f t="shared" si="27"/>
        <v>43177</v>
      </c>
    </row>
    <row r="1740" spans="1:5" x14ac:dyDescent="0.25">
      <c r="A1740" s="2">
        <f>IF(B1740="","",SUBTOTAL(3,$B$2:B1740))</f>
        <v>1739</v>
      </c>
      <c r="B1740" s="9" t="s">
        <v>51</v>
      </c>
      <c r="C1740" s="10" t="s">
        <v>54</v>
      </c>
      <c r="D1740" s="11">
        <v>105.89854918987609</v>
      </c>
      <c r="E1740" s="12">
        <f t="shared" si="27"/>
        <v>43178</v>
      </c>
    </row>
    <row r="1741" spans="1:5" x14ac:dyDescent="0.25">
      <c r="A1741" s="2">
        <f>IF(B1741="","",SUBTOTAL(3,$B$2:B1741))</f>
        <v>1740</v>
      </c>
      <c r="B1741" s="9" t="s">
        <v>48</v>
      </c>
      <c r="C1741" s="10" t="s">
        <v>52</v>
      </c>
      <c r="D1741" s="11">
        <v>64.24010381200776</v>
      </c>
      <c r="E1741" s="12">
        <f t="shared" si="27"/>
        <v>43179</v>
      </c>
    </row>
    <row r="1742" spans="1:5" x14ac:dyDescent="0.25">
      <c r="A1742" s="2">
        <f>IF(B1742="","",SUBTOTAL(3,$B$2:B1742))</f>
        <v>1741</v>
      </c>
      <c r="B1742" s="9" t="s">
        <v>48</v>
      </c>
      <c r="C1742" s="10" t="s">
        <v>49</v>
      </c>
      <c r="D1742" s="11">
        <v>154.17624914881864</v>
      </c>
      <c r="E1742" s="12">
        <f t="shared" si="27"/>
        <v>43180</v>
      </c>
    </row>
    <row r="1743" spans="1:5" x14ac:dyDescent="0.25">
      <c r="A1743" s="2">
        <f>IF(B1743="","",SUBTOTAL(3,$B$2:B1743))</f>
        <v>1742</v>
      </c>
      <c r="B1743" s="9" t="s">
        <v>51</v>
      </c>
      <c r="C1743" s="10" t="s">
        <v>52</v>
      </c>
      <c r="D1743" s="11">
        <v>211.79709837975219</v>
      </c>
      <c r="E1743" s="12">
        <f t="shared" si="27"/>
        <v>43181</v>
      </c>
    </row>
    <row r="1744" spans="1:5" x14ac:dyDescent="0.25">
      <c r="A1744" s="2">
        <f>IF(B1744="","",SUBTOTAL(3,$B$2:B1744))</f>
        <v>1743</v>
      </c>
      <c r="B1744" s="9" t="s">
        <v>51</v>
      </c>
      <c r="C1744" s="10" t="s">
        <v>54</v>
      </c>
      <c r="D1744" s="11">
        <v>211.79709837975219</v>
      </c>
      <c r="E1744" s="12">
        <f t="shared" si="27"/>
        <v>43182</v>
      </c>
    </row>
    <row r="1745" spans="1:5" x14ac:dyDescent="0.25">
      <c r="A1745" s="2">
        <f>IF(B1745="","",SUBTOTAL(3,$B$2:B1745))</f>
        <v>1744</v>
      </c>
      <c r="B1745" s="9" t="s">
        <v>51</v>
      </c>
      <c r="C1745" s="10" t="s">
        <v>49</v>
      </c>
      <c r="D1745" s="11">
        <v>84.718839351900883</v>
      </c>
      <c r="E1745" s="12">
        <f t="shared" si="27"/>
        <v>43183</v>
      </c>
    </row>
    <row r="1746" spans="1:5" x14ac:dyDescent="0.25">
      <c r="A1746" s="2">
        <f>IF(B1746="","",SUBTOTAL(3,$B$2:B1746))</f>
        <v>1745</v>
      </c>
      <c r="B1746" s="9" t="s">
        <v>50</v>
      </c>
      <c r="C1746" s="10" t="s">
        <v>49</v>
      </c>
      <c r="D1746" s="11">
        <v>97.934193121693127</v>
      </c>
      <c r="E1746" s="12">
        <f t="shared" si="27"/>
        <v>43184</v>
      </c>
    </row>
    <row r="1747" spans="1:5" x14ac:dyDescent="0.25">
      <c r="A1747" s="2">
        <f>IF(B1747="","",SUBTOTAL(3,$B$2:B1747))</f>
        <v>1746</v>
      </c>
      <c r="B1747" s="9" t="s">
        <v>55</v>
      </c>
      <c r="C1747" s="10" t="s">
        <v>52</v>
      </c>
      <c r="D1747" s="11">
        <v>43.258143060596318</v>
      </c>
      <c r="E1747" s="12">
        <f t="shared" si="27"/>
        <v>43185</v>
      </c>
    </row>
    <row r="1748" spans="1:5" x14ac:dyDescent="0.25">
      <c r="A1748" s="2">
        <f>IF(B1748="","",SUBTOTAL(3,$B$2:B1748))</f>
        <v>1747</v>
      </c>
      <c r="B1748" s="9" t="s">
        <v>50</v>
      </c>
      <c r="C1748" s="10" t="s">
        <v>52</v>
      </c>
      <c r="D1748" s="11">
        <v>110.22927689594357</v>
      </c>
      <c r="E1748" s="12">
        <f t="shared" si="27"/>
        <v>43186</v>
      </c>
    </row>
    <row r="1749" spans="1:5" x14ac:dyDescent="0.25">
      <c r="A1749" s="2">
        <f>IF(B1749="","",SUBTOTAL(3,$B$2:B1749))</f>
        <v>1748</v>
      </c>
      <c r="B1749" s="9" t="s">
        <v>55</v>
      </c>
      <c r="C1749" s="10" t="s">
        <v>49</v>
      </c>
      <c r="D1749" s="11">
        <v>30</v>
      </c>
      <c r="E1749" s="12">
        <f t="shared" si="27"/>
        <v>43187</v>
      </c>
    </row>
    <row r="1750" spans="1:5" x14ac:dyDescent="0.25">
      <c r="A1750" s="2">
        <f>IF(B1750="","",SUBTOTAL(3,$B$2:B1750))</f>
        <v>1749</v>
      </c>
      <c r="B1750" s="9" t="s">
        <v>55</v>
      </c>
      <c r="C1750" s="10" t="s">
        <v>49</v>
      </c>
      <c r="D1750" s="11">
        <v>30</v>
      </c>
      <c r="E1750" s="12">
        <f t="shared" si="27"/>
        <v>43188</v>
      </c>
    </row>
    <row r="1751" spans="1:5" x14ac:dyDescent="0.25">
      <c r="A1751" s="2">
        <f>IF(B1751="","",SUBTOTAL(3,$B$2:B1751))</f>
        <v>1750</v>
      </c>
      <c r="B1751" s="9" t="s">
        <v>55</v>
      </c>
      <c r="C1751" s="10" t="s">
        <v>49</v>
      </c>
      <c r="D1751" s="11">
        <v>46</v>
      </c>
      <c r="E1751" s="12">
        <f t="shared" si="27"/>
        <v>43189</v>
      </c>
    </row>
    <row r="1752" spans="1:5" x14ac:dyDescent="0.25">
      <c r="A1752" s="2">
        <f>IF(B1752="","",SUBTOTAL(3,$B$2:B1752))</f>
        <v>1751</v>
      </c>
      <c r="B1752" s="9" t="s">
        <v>48</v>
      </c>
      <c r="C1752" s="10" t="s">
        <v>49</v>
      </c>
      <c r="D1752" s="11">
        <v>5.5153395380903127</v>
      </c>
      <c r="E1752" s="12">
        <f t="shared" si="27"/>
        <v>43190</v>
      </c>
    </row>
    <row r="1753" spans="1:5" x14ac:dyDescent="0.25">
      <c r="A1753" s="2">
        <f>IF(B1753="","",SUBTOTAL(3,$B$2:B1753))</f>
        <v>1752</v>
      </c>
      <c r="B1753" s="9" t="s">
        <v>48</v>
      </c>
      <c r="C1753" s="10" t="s">
        <v>49</v>
      </c>
      <c r="D1753" s="11">
        <v>15.403573629081947</v>
      </c>
      <c r="E1753" s="12">
        <f t="shared" si="27"/>
        <v>43191</v>
      </c>
    </row>
    <row r="1754" spans="1:5" x14ac:dyDescent="0.25">
      <c r="A1754" s="2">
        <f>IF(B1754="","",SUBTOTAL(3,$B$2:B1754))</f>
        <v>1753</v>
      </c>
      <c r="B1754" s="9" t="s">
        <v>48</v>
      </c>
      <c r="C1754" s="10" t="s">
        <v>49</v>
      </c>
      <c r="D1754" s="11">
        <v>61.614294516327789</v>
      </c>
      <c r="E1754" s="12">
        <f t="shared" si="27"/>
        <v>43192</v>
      </c>
    </row>
    <row r="1755" spans="1:5" x14ac:dyDescent="0.25">
      <c r="A1755" s="2">
        <f>IF(B1755="","",SUBTOTAL(3,$B$2:B1755))</f>
        <v>1754</v>
      </c>
      <c r="B1755" s="9" t="s">
        <v>48</v>
      </c>
      <c r="C1755" s="10" t="s">
        <v>54</v>
      </c>
      <c r="D1755" s="11">
        <v>9.2421441774491679</v>
      </c>
      <c r="E1755" s="12">
        <f t="shared" si="27"/>
        <v>43193</v>
      </c>
    </row>
    <row r="1756" spans="1:5" x14ac:dyDescent="0.25">
      <c r="A1756" s="2">
        <f>IF(B1756="","",SUBTOTAL(3,$B$2:B1756))</f>
        <v>1755</v>
      </c>
      <c r="B1756" s="9" t="s">
        <v>48</v>
      </c>
      <c r="C1756" s="10" t="s">
        <v>54</v>
      </c>
      <c r="D1756" s="11">
        <v>77.017868145409736</v>
      </c>
      <c r="E1756" s="12">
        <f t="shared" si="27"/>
        <v>43194</v>
      </c>
    </row>
    <row r="1757" spans="1:5" x14ac:dyDescent="0.25">
      <c r="A1757" s="2">
        <f>IF(B1757="","",SUBTOTAL(3,$B$2:B1757))</f>
        <v>1756</v>
      </c>
      <c r="B1757" s="9" t="s">
        <v>55</v>
      </c>
      <c r="C1757" s="10" t="s">
        <v>49</v>
      </c>
      <c r="D1757" s="11">
        <v>329.04045223319753</v>
      </c>
      <c r="E1757" s="12">
        <f t="shared" si="27"/>
        <v>43195</v>
      </c>
    </row>
    <row r="1758" spans="1:5" x14ac:dyDescent="0.25">
      <c r="A1758" s="2">
        <f>IF(B1758="","",SUBTOTAL(3,$B$2:B1758))</f>
        <v>1757</v>
      </c>
      <c r="B1758" s="9" t="s">
        <v>50</v>
      </c>
      <c r="C1758" s="10" t="s">
        <v>49</v>
      </c>
      <c r="D1758" s="11">
        <v>154.32098765432099</v>
      </c>
      <c r="E1758" s="12">
        <f t="shared" si="27"/>
        <v>43196</v>
      </c>
    </row>
    <row r="1759" spans="1:5" x14ac:dyDescent="0.25">
      <c r="A1759" s="2">
        <f>IF(B1759="","",SUBTOTAL(3,$B$2:B1759))</f>
        <v>1758</v>
      </c>
      <c r="B1759" s="9" t="s">
        <v>50</v>
      </c>
      <c r="C1759" s="10" t="s">
        <v>49</v>
      </c>
      <c r="D1759" s="11">
        <v>77.160493827160494</v>
      </c>
      <c r="E1759" s="12">
        <f t="shared" si="27"/>
        <v>43197</v>
      </c>
    </row>
    <row r="1760" spans="1:5" x14ac:dyDescent="0.25">
      <c r="A1760" s="2">
        <f>IF(B1760="","",SUBTOTAL(3,$B$2:B1760))</f>
        <v>1759</v>
      </c>
      <c r="B1760" s="9" t="s">
        <v>48</v>
      </c>
      <c r="C1760" s="10" t="s">
        <v>52</v>
      </c>
      <c r="D1760" s="11">
        <v>77.088124574409321</v>
      </c>
      <c r="E1760" s="12">
        <f t="shared" si="27"/>
        <v>43198</v>
      </c>
    </row>
    <row r="1761" spans="1:5" x14ac:dyDescent="0.25">
      <c r="A1761" s="2">
        <f>IF(B1761="","",SUBTOTAL(3,$B$2:B1761))</f>
        <v>1760</v>
      </c>
      <c r="B1761" s="9" t="s">
        <v>51</v>
      </c>
      <c r="C1761" s="10" t="s">
        <v>54</v>
      </c>
      <c r="D1761" s="11">
        <v>105.89854918987609</v>
      </c>
      <c r="E1761" s="12">
        <f t="shared" si="27"/>
        <v>43199</v>
      </c>
    </row>
    <row r="1762" spans="1:5" x14ac:dyDescent="0.25">
      <c r="A1762" s="2">
        <f>IF(B1762="","",SUBTOTAL(3,$B$2:B1762))</f>
        <v>1761</v>
      </c>
      <c r="B1762" s="9" t="s">
        <v>50</v>
      </c>
      <c r="C1762" s="10" t="s">
        <v>49</v>
      </c>
      <c r="D1762" s="11">
        <v>293.80257936507934</v>
      </c>
      <c r="E1762" s="12">
        <f t="shared" si="27"/>
        <v>43200</v>
      </c>
    </row>
    <row r="1763" spans="1:5" x14ac:dyDescent="0.25">
      <c r="A1763" s="2">
        <f>IF(B1763="","",SUBTOTAL(3,$B$2:B1763))</f>
        <v>1762</v>
      </c>
      <c r="B1763" s="9" t="s">
        <v>51</v>
      </c>
      <c r="C1763" s="10" t="s">
        <v>49</v>
      </c>
      <c r="D1763" s="11">
        <v>81.030710639332298</v>
      </c>
      <c r="E1763" s="12">
        <f t="shared" si="27"/>
        <v>43201</v>
      </c>
    </row>
    <row r="1764" spans="1:5" x14ac:dyDescent="0.25">
      <c r="A1764" s="2">
        <f>IF(B1764="","",SUBTOTAL(3,$B$2:B1764))</f>
        <v>1763</v>
      </c>
      <c r="B1764" s="9" t="s">
        <v>55</v>
      </c>
      <c r="C1764" s="10" t="s">
        <v>49</v>
      </c>
      <c r="D1764" s="11">
        <v>344.88056053446309</v>
      </c>
      <c r="E1764" s="12">
        <f t="shared" si="27"/>
        <v>43202</v>
      </c>
    </row>
    <row r="1765" spans="1:5" x14ac:dyDescent="0.25">
      <c r="A1765" s="2">
        <f>IF(B1765="","",SUBTOTAL(3,$B$2:B1765))</f>
        <v>1764</v>
      </c>
      <c r="B1765" s="9" t="s">
        <v>55</v>
      </c>
      <c r="C1765" s="10" t="s">
        <v>49</v>
      </c>
      <c r="D1765" s="11">
        <v>39.743418936922865</v>
      </c>
      <c r="E1765" s="12">
        <f t="shared" si="27"/>
        <v>43203</v>
      </c>
    </row>
    <row r="1766" spans="1:5" x14ac:dyDescent="0.25">
      <c r="A1766" s="2">
        <f>IF(B1766="","",SUBTOTAL(3,$B$2:B1766))</f>
        <v>1765</v>
      </c>
      <c r="B1766" s="9" t="s">
        <v>50</v>
      </c>
      <c r="C1766" s="10" t="s">
        <v>54</v>
      </c>
      <c r="D1766" s="11">
        <v>66.137566137566139</v>
      </c>
      <c r="E1766" s="12">
        <f t="shared" si="27"/>
        <v>43204</v>
      </c>
    </row>
    <row r="1767" spans="1:5" x14ac:dyDescent="0.25">
      <c r="A1767" s="2">
        <f>IF(B1767="","",SUBTOTAL(3,$B$2:B1767))</f>
        <v>1766</v>
      </c>
      <c r="B1767" s="9" t="s">
        <v>50</v>
      </c>
      <c r="C1767" s="10" t="s">
        <v>54</v>
      </c>
      <c r="D1767" s="11">
        <v>66.137566137566139</v>
      </c>
      <c r="E1767" s="12">
        <f t="shared" si="27"/>
        <v>43205</v>
      </c>
    </row>
    <row r="1768" spans="1:5" x14ac:dyDescent="0.25">
      <c r="A1768" s="2">
        <f>IF(B1768="","",SUBTOTAL(3,$B$2:B1768))</f>
        <v>1767</v>
      </c>
      <c r="B1768" s="9" t="s">
        <v>50</v>
      </c>
      <c r="C1768" s="10" t="s">
        <v>52</v>
      </c>
      <c r="D1768" s="11">
        <v>44.091710758377424</v>
      </c>
      <c r="E1768" s="12">
        <f t="shared" si="27"/>
        <v>43206</v>
      </c>
    </row>
    <row r="1769" spans="1:5" x14ac:dyDescent="0.25">
      <c r="A1769" s="2">
        <f>IF(B1769="","",SUBTOTAL(3,$B$2:B1769))</f>
        <v>1768</v>
      </c>
      <c r="B1769" s="9" t="s">
        <v>50</v>
      </c>
      <c r="C1769" s="10" t="s">
        <v>54</v>
      </c>
      <c r="D1769" s="11">
        <v>66.137566137566139</v>
      </c>
      <c r="E1769" s="12">
        <f t="shared" si="27"/>
        <v>43207</v>
      </c>
    </row>
    <row r="1770" spans="1:5" x14ac:dyDescent="0.25">
      <c r="A1770" s="2">
        <f>IF(B1770="","",SUBTOTAL(3,$B$2:B1770))</f>
        <v>1769</v>
      </c>
      <c r="B1770" s="9" t="s">
        <v>50</v>
      </c>
      <c r="C1770" s="10" t="s">
        <v>52</v>
      </c>
      <c r="D1770" s="11">
        <v>66.137566137566139</v>
      </c>
      <c r="E1770" s="12">
        <f t="shared" si="27"/>
        <v>43208</v>
      </c>
    </row>
    <row r="1771" spans="1:5" x14ac:dyDescent="0.25">
      <c r="A1771" s="2">
        <f>IF(B1771="","",SUBTOTAL(3,$B$2:B1771))</f>
        <v>1770</v>
      </c>
      <c r="B1771" s="9" t="s">
        <v>50</v>
      </c>
      <c r="C1771" s="10" t="s">
        <v>49</v>
      </c>
      <c r="D1771" s="11">
        <v>110.22927689594357</v>
      </c>
      <c r="E1771" s="12">
        <f t="shared" si="27"/>
        <v>43209</v>
      </c>
    </row>
    <row r="1772" spans="1:5" x14ac:dyDescent="0.25">
      <c r="A1772" s="2">
        <f>IF(B1772="","",SUBTOTAL(3,$B$2:B1772))</f>
        <v>1771</v>
      </c>
      <c r="B1772" s="9" t="s">
        <v>50</v>
      </c>
      <c r="C1772" s="10" t="s">
        <v>52</v>
      </c>
      <c r="D1772" s="11">
        <v>110.22927689594357</v>
      </c>
      <c r="E1772" s="12">
        <f t="shared" si="27"/>
        <v>43210</v>
      </c>
    </row>
    <row r="1773" spans="1:5" x14ac:dyDescent="0.25">
      <c r="A1773" s="2">
        <f>IF(B1773="","",SUBTOTAL(3,$B$2:B1773))</f>
        <v>1772</v>
      </c>
      <c r="B1773" s="9" t="s">
        <v>50</v>
      </c>
      <c r="C1773" s="10" t="s">
        <v>49</v>
      </c>
      <c r="D1773" s="11">
        <v>130</v>
      </c>
      <c r="E1773" s="12">
        <f t="shared" si="27"/>
        <v>43211</v>
      </c>
    </row>
    <row r="1774" spans="1:5" x14ac:dyDescent="0.25">
      <c r="A1774" s="2">
        <f>IF(B1774="","",SUBTOTAL(3,$B$2:B1774))</f>
        <v>1773</v>
      </c>
      <c r="B1774" s="9" t="s">
        <v>48</v>
      </c>
      <c r="C1774" s="10" t="s">
        <v>52</v>
      </c>
      <c r="D1774" s="11">
        <v>77.017868145409736</v>
      </c>
      <c r="E1774" s="12">
        <f t="shared" si="27"/>
        <v>43212</v>
      </c>
    </row>
    <row r="1775" spans="1:5" x14ac:dyDescent="0.25">
      <c r="A1775" s="2">
        <f>IF(B1775="","",SUBTOTAL(3,$B$2:B1775))</f>
        <v>1774</v>
      </c>
      <c r="B1775" s="9" t="s">
        <v>48</v>
      </c>
      <c r="C1775" s="10" t="s">
        <v>49</v>
      </c>
      <c r="D1775" s="11">
        <v>10.782501540357364</v>
      </c>
      <c r="E1775" s="12">
        <f t="shared" si="27"/>
        <v>43213</v>
      </c>
    </row>
    <row r="1776" spans="1:5" x14ac:dyDescent="0.25">
      <c r="A1776" s="2">
        <f>IF(B1776="","",SUBTOTAL(3,$B$2:B1776))</f>
        <v>1775</v>
      </c>
      <c r="B1776" s="9" t="s">
        <v>48</v>
      </c>
      <c r="C1776" s="10" t="s">
        <v>49</v>
      </c>
      <c r="D1776" s="11">
        <v>106.87199630314232</v>
      </c>
      <c r="E1776" s="12">
        <f t="shared" si="27"/>
        <v>43214</v>
      </c>
    </row>
    <row r="1777" spans="1:5" x14ac:dyDescent="0.25">
      <c r="A1777" s="2">
        <f>IF(B1777="","",SUBTOTAL(3,$B$2:B1777))</f>
        <v>1776</v>
      </c>
      <c r="B1777" s="9" t="s">
        <v>48</v>
      </c>
      <c r="C1777" s="10" t="s">
        <v>49</v>
      </c>
      <c r="D1777" s="11">
        <v>29.765643869377694</v>
      </c>
      <c r="E1777" s="12">
        <f t="shared" si="27"/>
        <v>43215</v>
      </c>
    </row>
    <row r="1778" spans="1:5" x14ac:dyDescent="0.25">
      <c r="A1778" s="2">
        <f>IF(B1778="","",SUBTOTAL(3,$B$2:B1778))</f>
        <v>1777</v>
      </c>
      <c r="B1778" s="9" t="s">
        <v>48</v>
      </c>
      <c r="C1778" s="10" t="s">
        <v>49</v>
      </c>
      <c r="D1778" s="11">
        <v>140.17252002464573</v>
      </c>
      <c r="E1778" s="12">
        <f t="shared" si="27"/>
        <v>43216</v>
      </c>
    </row>
    <row r="1779" spans="1:5" x14ac:dyDescent="0.25">
      <c r="A1779" s="2">
        <f>IF(B1779="","",SUBTOTAL(3,$B$2:B1779))</f>
        <v>1778</v>
      </c>
      <c r="B1779" s="9" t="s">
        <v>48</v>
      </c>
      <c r="C1779" s="10" t="s">
        <v>49</v>
      </c>
      <c r="D1779" s="11">
        <v>4.621072088724584</v>
      </c>
      <c r="E1779" s="12">
        <f t="shared" si="27"/>
        <v>43217</v>
      </c>
    </row>
    <row r="1780" spans="1:5" x14ac:dyDescent="0.25">
      <c r="A1780" s="2">
        <f>IF(B1780="","",SUBTOTAL(3,$B$2:B1780))</f>
        <v>1779</v>
      </c>
      <c r="B1780" s="9" t="s">
        <v>55</v>
      </c>
      <c r="C1780" s="10" t="s">
        <v>49</v>
      </c>
      <c r="D1780" s="11">
        <v>329.04045223319753</v>
      </c>
      <c r="E1780" s="12">
        <f t="shared" si="27"/>
        <v>43218</v>
      </c>
    </row>
    <row r="1781" spans="1:5" x14ac:dyDescent="0.25">
      <c r="A1781" s="2">
        <f>IF(B1781="","",SUBTOTAL(3,$B$2:B1781))</f>
        <v>1780</v>
      </c>
      <c r="B1781" s="9" t="s">
        <v>50</v>
      </c>
      <c r="C1781" s="10" t="s">
        <v>49</v>
      </c>
      <c r="D1781" s="11">
        <v>45</v>
      </c>
      <c r="E1781" s="12">
        <f t="shared" si="27"/>
        <v>43219</v>
      </c>
    </row>
    <row r="1782" spans="1:5" x14ac:dyDescent="0.25">
      <c r="A1782" s="2">
        <f>IF(B1782="","",SUBTOTAL(3,$B$2:B1782))</f>
        <v>1781</v>
      </c>
      <c r="B1782" s="9" t="s">
        <v>50</v>
      </c>
      <c r="C1782" s="10" t="s">
        <v>49</v>
      </c>
      <c r="D1782" s="11">
        <v>70</v>
      </c>
      <c r="E1782" s="12">
        <f t="shared" si="27"/>
        <v>43220</v>
      </c>
    </row>
    <row r="1783" spans="1:5" x14ac:dyDescent="0.25">
      <c r="A1783" s="2">
        <f>IF(B1783="","",SUBTOTAL(3,$B$2:B1783))</f>
        <v>1782</v>
      </c>
      <c r="B1783" s="9" t="s">
        <v>50</v>
      </c>
      <c r="C1783" s="10" t="s">
        <v>49</v>
      </c>
      <c r="D1783" s="11">
        <v>220.45855379188714</v>
      </c>
      <c r="E1783" s="12">
        <f t="shared" si="27"/>
        <v>43221</v>
      </c>
    </row>
    <row r="1784" spans="1:5" x14ac:dyDescent="0.25">
      <c r="A1784" s="2">
        <f>IF(B1784="","",SUBTOTAL(3,$B$2:B1784))</f>
        <v>1783</v>
      </c>
      <c r="B1784" s="9" t="s">
        <v>55</v>
      </c>
      <c r="C1784" s="10" t="s">
        <v>49</v>
      </c>
      <c r="D1784" s="11">
        <v>97.767638911520294</v>
      </c>
      <c r="E1784" s="12">
        <f t="shared" si="27"/>
        <v>43222</v>
      </c>
    </row>
    <row r="1785" spans="1:5" x14ac:dyDescent="0.25">
      <c r="A1785" s="2">
        <f>IF(B1785="","",SUBTOTAL(3,$B$2:B1785))</f>
        <v>1784</v>
      </c>
      <c r="B1785" s="9" t="s">
        <v>48</v>
      </c>
      <c r="C1785" s="10" t="s">
        <v>54</v>
      </c>
      <c r="D1785" s="11">
        <v>50</v>
      </c>
      <c r="E1785" s="12">
        <f t="shared" si="27"/>
        <v>43223</v>
      </c>
    </row>
    <row r="1786" spans="1:5" x14ac:dyDescent="0.25">
      <c r="A1786" s="2">
        <f>IF(B1786="","",SUBTOTAL(3,$B$2:B1786))</f>
        <v>1785</v>
      </c>
      <c r="B1786" s="9" t="s">
        <v>50</v>
      </c>
      <c r="C1786" s="10" t="s">
        <v>49</v>
      </c>
      <c r="D1786" s="11">
        <v>220.45855379188714</v>
      </c>
      <c r="E1786" s="12">
        <f t="shared" si="27"/>
        <v>43224</v>
      </c>
    </row>
    <row r="1787" spans="1:5" x14ac:dyDescent="0.25">
      <c r="A1787" s="2">
        <f>IF(B1787="","",SUBTOTAL(3,$B$2:B1787))</f>
        <v>1786</v>
      </c>
      <c r="B1787" s="9" t="s">
        <v>48</v>
      </c>
      <c r="C1787" s="10" t="s">
        <v>49</v>
      </c>
      <c r="D1787" s="11">
        <v>43.130006161429456</v>
      </c>
      <c r="E1787" s="12">
        <f t="shared" si="27"/>
        <v>43225</v>
      </c>
    </row>
    <row r="1788" spans="1:5" x14ac:dyDescent="0.25">
      <c r="A1788" s="2">
        <f>IF(B1788="","",SUBTOTAL(3,$B$2:B1788))</f>
        <v>1787</v>
      </c>
      <c r="B1788" s="9" t="s">
        <v>50</v>
      </c>
      <c r="C1788" s="10" t="s">
        <v>52</v>
      </c>
      <c r="D1788" s="11">
        <v>44.091710758377424</v>
      </c>
      <c r="E1788" s="12">
        <f t="shared" si="27"/>
        <v>43226</v>
      </c>
    </row>
    <row r="1789" spans="1:5" x14ac:dyDescent="0.25">
      <c r="A1789" s="2">
        <f>IF(B1789="","",SUBTOTAL(3,$B$2:B1789))</f>
        <v>1788</v>
      </c>
      <c r="B1789" s="9" t="s">
        <v>50</v>
      </c>
      <c r="C1789" s="10" t="s">
        <v>52</v>
      </c>
      <c r="D1789" s="11">
        <v>44.091710758377424</v>
      </c>
      <c r="E1789" s="12">
        <f t="shared" si="27"/>
        <v>43227</v>
      </c>
    </row>
    <row r="1790" spans="1:5" x14ac:dyDescent="0.25">
      <c r="A1790" s="2">
        <f>IF(B1790="","",SUBTOTAL(3,$B$2:B1790))</f>
        <v>1789</v>
      </c>
      <c r="B1790" s="9" t="s">
        <v>50</v>
      </c>
      <c r="C1790" s="10" t="s">
        <v>52</v>
      </c>
      <c r="D1790" s="11">
        <v>44.091710758377424</v>
      </c>
      <c r="E1790" s="12">
        <f t="shared" si="27"/>
        <v>43228</v>
      </c>
    </row>
    <row r="1791" spans="1:5" x14ac:dyDescent="0.25">
      <c r="A1791" s="2">
        <f>IF(B1791="","",SUBTOTAL(3,$B$2:B1791))</f>
        <v>1790</v>
      </c>
      <c r="B1791" s="9" t="s">
        <v>50</v>
      </c>
      <c r="C1791" s="10" t="s">
        <v>52</v>
      </c>
      <c r="D1791" s="11">
        <v>44.091710758377424</v>
      </c>
      <c r="E1791" s="12">
        <f t="shared" si="27"/>
        <v>43229</v>
      </c>
    </row>
    <row r="1792" spans="1:5" x14ac:dyDescent="0.25">
      <c r="A1792" s="2">
        <f>IF(B1792="","",SUBTOTAL(3,$B$2:B1792))</f>
        <v>1791</v>
      </c>
      <c r="B1792" s="9" t="s">
        <v>51</v>
      </c>
      <c r="C1792" s="10" t="s">
        <v>49</v>
      </c>
      <c r="D1792" s="11">
        <v>32.412284255732921</v>
      </c>
      <c r="E1792" s="12">
        <f t="shared" si="27"/>
        <v>43230</v>
      </c>
    </row>
    <row r="1793" spans="1:5" x14ac:dyDescent="0.25">
      <c r="A1793" s="2">
        <f>IF(B1793="","",SUBTOTAL(3,$B$2:B1793))</f>
        <v>1792</v>
      </c>
      <c r="B1793" s="9" t="s">
        <v>51</v>
      </c>
      <c r="C1793" s="10" t="s">
        <v>49</v>
      </c>
      <c r="D1793" s="11">
        <v>4.0515355319666151</v>
      </c>
      <c r="E1793" s="12">
        <f t="shared" si="27"/>
        <v>43231</v>
      </c>
    </row>
    <row r="1794" spans="1:5" x14ac:dyDescent="0.25">
      <c r="A1794" s="2">
        <f>IF(B1794="","",SUBTOTAL(3,$B$2:B1794))</f>
        <v>1793</v>
      </c>
      <c r="B1794" s="9" t="s">
        <v>51</v>
      </c>
      <c r="C1794" s="10" t="s">
        <v>49</v>
      </c>
      <c r="D1794" s="11">
        <v>16.20614212786646</v>
      </c>
      <c r="E1794" s="12">
        <f t="shared" si="27"/>
        <v>43232</v>
      </c>
    </row>
    <row r="1795" spans="1:5" x14ac:dyDescent="0.25">
      <c r="A1795" s="2">
        <f>IF(B1795="","",SUBTOTAL(3,$B$2:B1795))</f>
        <v>1794</v>
      </c>
      <c r="B1795" s="9" t="s">
        <v>51</v>
      </c>
      <c r="C1795" s="10" t="s">
        <v>49</v>
      </c>
      <c r="D1795" s="11">
        <v>529.49274594938049</v>
      </c>
      <c r="E1795" s="12">
        <f t="shared" si="27"/>
        <v>43233</v>
      </c>
    </row>
    <row r="1796" spans="1:5" x14ac:dyDescent="0.25">
      <c r="A1796" s="2">
        <f>IF(B1796="","",SUBTOTAL(3,$B$2:B1796))</f>
        <v>1795</v>
      </c>
      <c r="B1796" s="9" t="s">
        <v>51</v>
      </c>
      <c r="C1796" s="10" t="s">
        <v>49</v>
      </c>
      <c r="D1796" s="11">
        <v>243.09213191799691</v>
      </c>
      <c r="E1796" s="12">
        <f t="shared" ref="E1796:E1859" si="28">E1795+1</f>
        <v>43234</v>
      </c>
    </row>
    <row r="1797" spans="1:5" x14ac:dyDescent="0.25">
      <c r="A1797" s="2">
        <f>IF(B1797="","",SUBTOTAL(3,$B$2:B1797))</f>
        <v>1796</v>
      </c>
      <c r="B1797" s="9" t="s">
        <v>50</v>
      </c>
      <c r="C1797" s="10" t="s">
        <v>52</v>
      </c>
      <c r="D1797" s="11">
        <v>132.27513227513228</v>
      </c>
      <c r="E1797" s="12">
        <f t="shared" si="28"/>
        <v>43235</v>
      </c>
    </row>
    <row r="1798" spans="1:5" x14ac:dyDescent="0.25">
      <c r="A1798" s="2">
        <f>IF(B1798="","",SUBTOTAL(3,$B$2:B1798))</f>
        <v>1797</v>
      </c>
      <c r="B1798" s="9" t="s">
        <v>50</v>
      </c>
      <c r="C1798" s="10" t="s">
        <v>52</v>
      </c>
      <c r="D1798" s="11">
        <v>132.27513227513228</v>
      </c>
      <c r="E1798" s="12">
        <f t="shared" si="28"/>
        <v>43236</v>
      </c>
    </row>
    <row r="1799" spans="1:5" x14ac:dyDescent="0.25">
      <c r="A1799" s="2">
        <f>IF(B1799="","",SUBTOTAL(3,$B$2:B1799))</f>
        <v>1798</v>
      </c>
      <c r="B1799" s="9" t="s">
        <v>50</v>
      </c>
      <c r="C1799" s="10" t="s">
        <v>52</v>
      </c>
      <c r="D1799" s="11">
        <v>132.27513227513228</v>
      </c>
      <c r="E1799" s="12">
        <f t="shared" si="28"/>
        <v>43237</v>
      </c>
    </row>
    <row r="1800" spans="1:5" x14ac:dyDescent="0.25">
      <c r="A1800" s="2">
        <f>IF(B1800="","",SUBTOTAL(3,$B$2:B1800))</f>
        <v>1799</v>
      </c>
      <c r="B1800" s="9" t="s">
        <v>48</v>
      </c>
      <c r="C1800" s="10" t="s">
        <v>49</v>
      </c>
      <c r="D1800" s="11">
        <v>34.470872113064452</v>
      </c>
      <c r="E1800" s="12">
        <f t="shared" si="28"/>
        <v>43238</v>
      </c>
    </row>
    <row r="1801" spans="1:5" x14ac:dyDescent="0.25">
      <c r="A1801" s="2">
        <f>IF(B1801="","",SUBTOTAL(3,$B$2:B1801))</f>
        <v>1800</v>
      </c>
      <c r="B1801" s="9" t="s">
        <v>50</v>
      </c>
      <c r="C1801" s="10" t="s">
        <v>49</v>
      </c>
      <c r="D1801" s="11">
        <v>5511.4638447971784</v>
      </c>
      <c r="E1801" s="12">
        <f t="shared" si="28"/>
        <v>43239</v>
      </c>
    </row>
    <row r="1802" spans="1:5" x14ac:dyDescent="0.25">
      <c r="A1802" s="2">
        <f>IF(B1802="","",SUBTOTAL(3,$B$2:B1802))</f>
        <v>1801</v>
      </c>
      <c r="B1802" s="9" t="s">
        <v>51</v>
      </c>
      <c r="C1802" s="10" t="s">
        <v>49</v>
      </c>
      <c r="D1802" s="11">
        <v>529.49274594938049</v>
      </c>
      <c r="E1802" s="12">
        <f t="shared" si="28"/>
        <v>43240</v>
      </c>
    </row>
    <row r="1803" spans="1:5" x14ac:dyDescent="0.25">
      <c r="A1803" s="2">
        <f>IF(B1803="","",SUBTOTAL(3,$B$2:B1803))</f>
        <v>1802</v>
      </c>
      <c r="B1803" s="9" t="s">
        <v>50</v>
      </c>
      <c r="C1803" s="10" t="s">
        <v>49</v>
      </c>
      <c r="D1803" s="11">
        <v>440.91710758377428</v>
      </c>
      <c r="E1803" s="12">
        <f t="shared" si="28"/>
        <v>43241</v>
      </c>
    </row>
    <row r="1804" spans="1:5" x14ac:dyDescent="0.25">
      <c r="A1804" s="2">
        <f>IF(B1804="","",SUBTOTAL(3,$B$2:B1804))</f>
        <v>1803</v>
      </c>
      <c r="B1804" s="9" t="s">
        <v>55</v>
      </c>
      <c r="C1804" s="10" t="s">
        <v>52</v>
      </c>
      <c r="D1804" s="11">
        <v>100</v>
      </c>
      <c r="E1804" s="12">
        <f t="shared" si="28"/>
        <v>43242</v>
      </c>
    </row>
    <row r="1805" spans="1:5" x14ac:dyDescent="0.25">
      <c r="A1805" s="2">
        <f>IF(B1805="","",SUBTOTAL(3,$B$2:B1805))</f>
        <v>1804</v>
      </c>
      <c r="B1805" s="9" t="s">
        <v>48</v>
      </c>
      <c r="C1805" s="10" t="s">
        <v>49</v>
      </c>
      <c r="D1805" s="11">
        <v>45.846259910375728</v>
      </c>
      <c r="E1805" s="12">
        <f t="shared" si="28"/>
        <v>43243</v>
      </c>
    </row>
    <row r="1806" spans="1:5" x14ac:dyDescent="0.25">
      <c r="A1806" s="2">
        <f>IF(B1806="","",SUBTOTAL(3,$B$2:B1806))</f>
        <v>1805</v>
      </c>
      <c r="B1806" s="9" t="s">
        <v>48</v>
      </c>
      <c r="C1806" s="10" t="s">
        <v>49</v>
      </c>
      <c r="D1806" s="11">
        <v>8.617718028266113</v>
      </c>
      <c r="E1806" s="12">
        <f t="shared" si="28"/>
        <v>43244</v>
      </c>
    </row>
    <row r="1807" spans="1:5" x14ac:dyDescent="0.25">
      <c r="A1807" s="2">
        <f>IF(B1807="","",SUBTOTAL(3,$B$2:B1807))</f>
        <v>1806</v>
      </c>
      <c r="B1807" s="9" t="s">
        <v>50</v>
      </c>
      <c r="C1807" s="10" t="s">
        <v>54</v>
      </c>
      <c r="D1807" s="11">
        <v>22.045855379188712</v>
      </c>
      <c r="E1807" s="12">
        <f t="shared" si="28"/>
        <v>43245</v>
      </c>
    </row>
    <row r="1808" spans="1:5" x14ac:dyDescent="0.25">
      <c r="A1808" s="2">
        <f>IF(B1808="","",SUBTOTAL(3,$B$2:B1808))</f>
        <v>1807</v>
      </c>
      <c r="B1808" s="9" t="s">
        <v>48</v>
      </c>
      <c r="C1808" s="10" t="s">
        <v>49</v>
      </c>
      <c r="D1808" s="11">
        <v>6.8941744226128918</v>
      </c>
      <c r="E1808" s="12">
        <f t="shared" si="28"/>
        <v>43246</v>
      </c>
    </row>
    <row r="1809" spans="1:5" x14ac:dyDescent="0.25">
      <c r="A1809" s="2">
        <f>IF(B1809="","",SUBTOTAL(3,$B$2:B1809))</f>
        <v>1808</v>
      </c>
      <c r="B1809" s="9" t="s">
        <v>50</v>
      </c>
      <c r="C1809" s="10" t="s">
        <v>52</v>
      </c>
      <c r="D1809" s="11">
        <v>44.091710758377424</v>
      </c>
      <c r="E1809" s="12">
        <f t="shared" si="28"/>
        <v>43247</v>
      </c>
    </row>
    <row r="1810" spans="1:5" x14ac:dyDescent="0.25">
      <c r="A1810" s="2">
        <f>IF(B1810="","",SUBTOTAL(3,$B$2:B1810))</f>
        <v>1809</v>
      </c>
      <c r="B1810" s="9" t="s">
        <v>50</v>
      </c>
      <c r="C1810" s="10" t="s">
        <v>52</v>
      </c>
      <c r="D1810" s="11">
        <v>44.091710758377424</v>
      </c>
      <c r="E1810" s="12">
        <f t="shared" si="28"/>
        <v>43248</v>
      </c>
    </row>
    <row r="1811" spans="1:5" x14ac:dyDescent="0.25">
      <c r="A1811" s="2">
        <f>IF(B1811="","",SUBTOTAL(3,$B$2:B1811))</f>
        <v>1810</v>
      </c>
      <c r="B1811" s="9" t="s">
        <v>50</v>
      </c>
      <c r="C1811" s="10" t="s">
        <v>52</v>
      </c>
      <c r="D1811" s="11">
        <v>44.091710758377424</v>
      </c>
      <c r="E1811" s="12">
        <f t="shared" si="28"/>
        <v>43249</v>
      </c>
    </row>
    <row r="1812" spans="1:5" x14ac:dyDescent="0.25">
      <c r="A1812" s="2">
        <f>IF(B1812="","",SUBTOTAL(3,$B$2:B1812))</f>
        <v>1811</v>
      </c>
      <c r="B1812" s="9" t="s">
        <v>50</v>
      </c>
      <c r="C1812" s="10" t="s">
        <v>52</v>
      </c>
      <c r="D1812" s="11">
        <v>44.091710758377424</v>
      </c>
      <c r="E1812" s="12">
        <f t="shared" si="28"/>
        <v>43250</v>
      </c>
    </row>
    <row r="1813" spans="1:5" x14ac:dyDescent="0.25">
      <c r="A1813" s="2">
        <f>IF(B1813="","",SUBTOTAL(3,$B$2:B1813))</f>
        <v>1812</v>
      </c>
      <c r="B1813" s="9" t="s">
        <v>50</v>
      </c>
      <c r="C1813" s="10" t="s">
        <v>52</v>
      </c>
      <c r="D1813" s="11">
        <v>55.114638447971785</v>
      </c>
      <c r="E1813" s="12">
        <f t="shared" si="28"/>
        <v>43251</v>
      </c>
    </row>
    <row r="1814" spans="1:5" x14ac:dyDescent="0.25">
      <c r="A1814" s="2">
        <f>IF(B1814="","",SUBTOTAL(3,$B$2:B1814))</f>
        <v>1813</v>
      </c>
      <c r="B1814" s="9" t="s">
        <v>50</v>
      </c>
      <c r="C1814" s="10" t="s">
        <v>52</v>
      </c>
      <c r="D1814" s="11">
        <v>44.091710758377424</v>
      </c>
      <c r="E1814" s="12">
        <f t="shared" si="28"/>
        <v>43252</v>
      </c>
    </row>
    <row r="1815" spans="1:5" x14ac:dyDescent="0.25">
      <c r="A1815" s="2">
        <f>IF(B1815="","",SUBTOTAL(3,$B$2:B1815))</f>
        <v>1814</v>
      </c>
      <c r="B1815" s="9" t="s">
        <v>53</v>
      </c>
      <c r="C1815" s="10" t="s">
        <v>54</v>
      </c>
      <c r="D1815" s="11">
        <v>27.475798400908538</v>
      </c>
      <c r="E1815" s="12">
        <f t="shared" si="28"/>
        <v>43253</v>
      </c>
    </row>
    <row r="1816" spans="1:5" x14ac:dyDescent="0.25">
      <c r="A1816" s="2">
        <f>IF(B1816="","",SUBTOTAL(3,$B$2:B1816))</f>
        <v>1815</v>
      </c>
      <c r="B1816" s="9" t="s">
        <v>50</v>
      </c>
      <c r="C1816" s="10" t="s">
        <v>54</v>
      </c>
      <c r="D1816" s="11">
        <v>44.091710758377424</v>
      </c>
      <c r="E1816" s="12">
        <f t="shared" si="28"/>
        <v>43254</v>
      </c>
    </row>
    <row r="1817" spans="1:5" x14ac:dyDescent="0.25">
      <c r="A1817" s="2">
        <f>IF(B1817="","",SUBTOTAL(3,$B$2:B1817))</f>
        <v>1816</v>
      </c>
      <c r="B1817" s="9" t="s">
        <v>48</v>
      </c>
      <c r="C1817" s="10" t="s">
        <v>49</v>
      </c>
      <c r="D1817" s="11">
        <v>4.1365046535677346</v>
      </c>
      <c r="E1817" s="12">
        <f t="shared" si="28"/>
        <v>43255</v>
      </c>
    </row>
    <row r="1818" spans="1:5" x14ac:dyDescent="0.25">
      <c r="A1818" s="2">
        <f>IF(B1818="","",SUBTOTAL(3,$B$2:B1818))</f>
        <v>1817</v>
      </c>
      <c r="B1818" s="9" t="s">
        <v>48</v>
      </c>
      <c r="C1818" s="10" t="s">
        <v>54</v>
      </c>
      <c r="D1818" s="11">
        <v>17.999537892791125</v>
      </c>
      <c r="E1818" s="12">
        <f t="shared" si="28"/>
        <v>43256</v>
      </c>
    </row>
    <row r="1819" spans="1:5" x14ac:dyDescent="0.25">
      <c r="A1819" s="2">
        <f>IF(B1819="","",SUBTOTAL(3,$B$2:B1819))</f>
        <v>1818</v>
      </c>
      <c r="B1819" s="9" t="s">
        <v>48</v>
      </c>
      <c r="C1819" s="10" t="s">
        <v>52</v>
      </c>
      <c r="D1819" s="11">
        <v>385.08934072704869</v>
      </c>
      <c r="E1819" s="12">
        <f t="shared" si="28"/>
        <v>43257</v>
      </c>
    </row>
    <row r="1820" spans="1:5" x14ac:dyDescent="0.25">
      <c r="A1820" s="2">
        <f>IF(B1820="","",SUBTOTAL(3,$B$2:B1820))</f>
        <v>1819</v>
      </c>
      <c r="B1820" s="9" t="s">
        <v>48</v>
      </c>
      <c r="C1820" s="10" t="s">
        <v>49</v>
      </c>
      <c r="D1820" s="11">
        <v>46.210720887245841</v>
      </c>
      <c r="E1820" s="12">
        <f t="shared" si="28"/>
        <v>43258</v>
      </c>
    </row>
    <row r="1821" spans="1:5" x14ac:dyDescent="0.25">
      <c r="A1821" s="2">
        <f>IF(B1821="","",SUBTOTAL(3,$B$2:B1821))</f>
        <v>1820</v>
      </c>
      <c r="B1821" s="9" t="s">
        <v>48</v>
      </c>
      <c r="C1821" s="10" t="s">
        <v>49</v>
      </c>
      <c r="D1821" s="11">
        <v>51.706308169596689</v>
      </c>
      <c r="E1821" s="12">
        <f t="shared" si="28"/>
        <v>43259</v>
      </c>
    </row>
    <row r="1822" spans="1:5" x14ac:dyDescent="0.25">
      <c r="A1822" s="2">
        <f>IF(B1822="","",SUBTOTAL(3,$B$2:B1822))</f>
        <v>1821</v>
      </c>
      <c r="B1822" s="9" t="s">
        <v>48</v>
      </c>
      <c r="C1822" s="10" t="s">
        <v>54</v>
      </c>
      <c r="D1822" s="11">
        <v>56.67011375387797</v>
      </c>
      <c r="E1822" s="12">
        <f t="shared" si="28"/>
        <v>43260</v>
      </c>
    </row>
    <row r="1823" spans="1:5" x14ac:dyDescent="0.25">
      <c r="A1823" s="2">
        <f>IF(B1823="","",SUBTOTAL(3,$B$2:B1823))</f>
        <v>1822</v>
      </c>
      <c r="B1823" s="9" t="s">
        <v>50</v>
      </c>
      <c r="C1823" s="10" t="s">
        <v>49</v>
      </c>
      <c r="D1823" s="11">
        <v>391.73686067019401</v>
      </c>
      <c r="E1823" s="12">
        <f t="shared" si="28"/>
        <v>43261</v>
      </c>
    </row>
    <row r="1824" spans="1:5" x14ac:dyDescent="0.25">
      <c r="A1824" s="2">
        <f>IF(B1824="","",SUBTOTAL(3,$B$2:B1824))</f>
        <v>1823</v>
      </c>
      <c r="B1824" s="9" t="s">
        <v>50</v>
      </c>
      <c r="C1824" s="10" t="s">
        <v>49</v>
      </c>
      <c r="D1824" s="11">
        <v>661.37566137566137</v>
      </c>
      <c r="E1824" s="12">
        <f t="shared" si="28"/>
        <v>43262</v>
      </c>
    </row>
    <row r="1825" spans="1:5" x14ac:dyDescent="0.25">
      <c r="A1825" s="2">
        <f>IF(B1825="","",SUBTOTAL(3,$B$2:B1825))</f>
        <v>1824</v>
      </c>
      <c r="B1825" s="9" t="s">
        <v>48</v>
      </c>
      <c r="C1825" s="10" t="s">
        <v>49</v>
      </c>
      <c r="D1825" s="11">
        <v>25.696041524803107</v>
      </c>
      <c r="E1825" s="12">
        <f t="shared" si="28"/>
        <v>43263</v>
      </c>
    </row>
    <row r="1826" spans="1:5" x14ac:dyDescent="0.25">
      <c r="A1826" s="2">
        <f>IF(B1826="","",SUBTOTAL(3,$B$2:B1826))</f>
        <v>1825</v>
      </c>
      <c r="B1826" s="9" t="s">
        <v>48</v>
      </c>
      <c r="C1826" s="10" t="s">
        <v>49</v>
      </c>
      <c r="D1826" s="11">
        <v>34.470872113064452</v>
      </c>
      <c r="E1826" s="12">
        <f t="shared" si="28"/>
        <v>43264</v>
      </c>
    </row>
    <row r="1827" spans="1:5" x14ac:dyDescent="0.25">
      <c r="A1827" s="2">
        <f>IF(B1827="","",SUBTOTAL(3,$B$2:B1827))</f>
        <v>1826</v>
      </c>
      <c r="B1827" s="9" t="s">
        <v>48</v>
      </c>
      <c r="C1827" s="10" t="s">
        <v>49</v>
      </c>
      <c r="D1827" s="11">
        <v>206.82523267838675</v>
      </c>
      <c r="E1827" s="12">
        <f t="shared" si="28"/>
        <v>43265</v>
      </c>
    </row>
    <row r="1828" spans="1:5" x14ac:dyDescent="0.25">
      <c r="A1828" s="2">
        <f>IF(B1828="","",SUBTOTAL(3,$B$2:B1828))</f>
        <v>1827</v>
      </c>
      <c r="B1828" s="9" t="s">
        <v>51</v>
      </c>
      <c r="C1828" s="10" t="s">
        <v>52</v>
      </c>
      <c r="D1828" s="11">
        <v>121.54606595899845</v>
      </c>
      <c r="E1828" s="12">
        <f t="shared" si="28"/>
        <v>43266</v>
      </c>
    </row>
    <row r="1829" spans="1:5" x14ac:dyDescent="0.25">
      <c r="A1829" s="2">
        <f>IF(B1829="","",SUBTOTAL(3,$B$2:B1829))</f>
        <v>1828</v>
      </c>
      <c r="B1829" s="9" t="s">
        <v>48</v>
      </c>
      <c r="C1829" s="10" t="s">
        <v>52</v>
      </c>
      <c r="D1829" s="11">
        <v>154.03573629081947</v>
      </c>
      <c r="E1829" s="12">
        <f t="shared" si="28"/>
        <v>43267</v>
      </c>
    </row>
    <row r="1830" spans="1:5" x14ac:dyDescent="0.25">
      <c r="A1830" s="2">
        <f>IF(B1830="","",SUBTOTAL(3,$B$2:B1830))</f>
        <v>1829</v>
      </c>
      <c r="B1830" s="9" t="s">
        <v>50</v>
      </c>
      <c r="C1830" s="10" t="s">
        <v>49</v>
      </c>
      <c r="D1830" s="11">
        <v>66.137566137566139</v>
      </c>
      <c r="E1830" s="12">
        <f t="shared" si="28"/>
        <v>43268</v>
      </c>
    </row>
    <row r="1831" spans="1:5" x14ac:dyDescent="0.25">
      <c r="A1831" s="2">
        <f>IF(B1831="","",SUBTOTAL(3,$B$2:B1831))</f>
        <v>1830</v>
      </c>
      <c r="B1831" s="9" t="s">
        <v>48</v>
      </c>
      <c r="C1831" s="10" t="s">
        <v>52</v>
      </c>
      <c r="D1831" s="11">
        <v>308.07147258163894</v>
      </c>
      <c r="E1831" s="12">
        <f t="shared" si="28"/>
        <v>43269</v>
      </c>
    </row>
    <row r="1832" spans="1:5" x14ac:dyDescent="0.25">
      <c r="A1832" s="2">
        <f>IF(B1832="","",SUBTOTAL(3,$B$2:B1832))</f>
        <v>1831</v>
      </c>
      <c r="B1832" s="9" t="s">
        <v>48</v>
      </c>
      <c r="C1832" s="10" t="s">
        <v>52</v>
      </c>
      <c r="D1832" s="11">
        <v>107.82501540357363</v>
      </c>
      <c r="E1832" s="12">
        <f t="shared" si="28"/>
        <v>43270</v>
      </c>
    </row>
    <row r="1833" spans="1:5" x14ac:dyDescent="0.25">
      <c r="A1833" s="2">
        <f>IF(B1833="","",SUBTOTAL(3,$B$2:B1833))</f>
        <v>1832</v>
      </c>
      <c r="B1833" s="9" t="s">
        <v>51</v>
      </c>
      <c r="C1833" s="10" t="s">
        <v>49</v>
      </c>
      <c r="D1833" s="11">
        <v>52.949274594938046</v>
      </c>
      <c r="E1833" s="12">
        <f t="shared" si="28"/>
        <v>43271</v>
      </c>
    </row>
    <row r="1834" spans="1:5" x14ac:dyDescent="0.25">
      <c r="A1834" s="2">
        <f>IF(B1834="","",SUBTOTAL(3,$B$2:B1834))</f>
        <v>1833</v>
      </c>
      <c r="B1834" s="9" t="s">
        <v>51</v>
      </c>
      <c r="C1834" s="10" t="s">
        <v>52</v>
      </c>
      <c r="D1834" s="11">
        <v>52.949274594938046</v>
      </c>
      <c r="E1834" s="12">
        <f t="shared" si="28"/>
        <v>43272</v>
      </c>
    </row>
    <row r="1835" spans="1:5" x14ac:dyDescent="0.25">
      <c r="A1835" s="2">
        <f>IF(B1835="","",SUBTOTAL(3,$B$2:B1835))</f>
        <v>1834</v>
      </c>
      <c r="B1835" s="9" t="s">
        <v>51</v>
      </c>
      <c r="C1835" s="10" t="s">
        <v>52</v>
      </c>
      <c r="D1835" s="11">
        <v>52.949274594938046</v>
      </c>
      <c r="E1835" s="12">
        <f t="shared" si="28"/>
        <v>43273</v>
      </c>
    </row>
    <row r="1836" spans="1:5" x14ac:dyDescent="0.25">
      <c r="A1836" s="2">
        <f>IF(B1836="","",SUBTOTAL(3,$B$2:B1836))</f>
        <v>1835</v>
      </c>
      <c r="B1836" s="9" t="s">
        <v>48</v>
      </c>
      <c r="C1836" s="10" t="s">
        <v>54</v>
      </c>
      <c r="D1836" s="11">
        <v>26.186075169439309</v>
      </c>
      <c r="E1836" s="12">
        <f t="shared" si="28"/>
        <v>43274</v>
      </c>
    </row>
    <row r="1837" spans="1:5" x14ac:dyDescent="0.25">
      <c r="A1837" s="2">
        <f>IF(B1837="","",SUBTOTAL(3,$B$2:B1837))</f>
        <v>1836</v>
      </c>
      <c r="B1837" s="9" t="s">
        <v>51</v>
      </c>
      <c r="C1837" s="10" t="s">
        <v>54</v>
      </c>
      <c r="D1837" s="11">
        <v>26.474637297469023</v>
      </c>
      <c r="E1837" s="12">
        <f t="shared" si="28"/>
        <v>43275</v>
      </c>
    </row>
    <row r="1838" spans="1:5" x14ac:dyDescent="0.25">
      <c r="A1838" s="2">
        <f>IF(B1838="","",SUBTOTAL(3,$B$2:B1838))</f>
        <v>1837</v>
      </c>
      <c r="B1838" s="9" t="s">
        <v>48</v>
      </c>
      <c r="C1838" s="10" t="s">
        <v>49</v>
      </c>
      <c r="D1838" s="11">
        <v>10.341261633919338</v>
      </c>
      <c r="E1838" s="12">
        <f t="shared" si="28"/>
        <v>43276</v>
      </c>
    </row>
    <row r="1839" spans="1:5" x14ac:dyDescent="0.25">
      <c r="A1839" s="2">
        <f>IF(B1839="","",SUBTOTAL(3,$B$2:B1839))</f>
        <v>1838</v>
      </c>
      <c r="B1839" s="9" t="s">
        <v>50</v>
      </c>
      <c r="C1839" s="10" t="s">
        <v>49</v>
      </c>
      <c r="D1839" s="11">
        <v>66.137566137566139</v>
      </c>
      <c r="E1839" s="12">
        <f t="shared" si="28"/>
        <v>43277</v>
      </c>
    </row>
    <row r="1840" spans="1:5" x14ac:dyDescent="0.25">
      <c r="A1840" s="2">
        <f>IF(B1840="","",SUBTOTAL(3,$B$2:B1840))</f>
        <v>1839</v>
      </c>
      <c r="B1840" s="9" t="s">
        <v>50</v>
      </c>
      <c r="C1840" s="10" t="s">
        <v>49</v>
      </c>
      <c r="D1840" s="11">
        <v>220.45855379188714</v>
      </c>
      <c r="E1840" s="12">
        <f t="shared" si="28"/>
        <v>43278</v>
      </c>
    </row>
    <row r="1841" spans="1:5" x14ac:dyDescent="0.25">
      <c r="A1841" s="2">
        <f>IF(B1841="","",SUBTOTAL(3,$B$2:B1841))</f>
        <v>1840</v>
      </c>
      <c r="B1841" s="9" t="s">
        <v>50</v>
      </c>
      <c r="C1841" s="10" t="s">
        <v>49</v>
      </c>
      <c r="D1841" s="11">
        <v>114.6384479717813</v>
      </c>
      <c r="E1841" s="12">
        <f t="shared" si="28"/>
        <v>43279</v>
      </c>
    </row>
    <row r="1842" spans="1:5" x14ac:dyDescent="0.25">
      <c r="A1842" s="2">
        <f>IF(B1842="","",SUBTOTAL(3,$B$2:B1842))</f>
        <v>1841</v>
      </c>
      <c r="B1842" s="9" t="s">
        <v>51</v>
      </c>
      <c r="C1842" s="10" t="s">
        <v>52</v>
      </c>
      <c r="D1842" s="11">
        <v>48.618426383599385</v>
      </c>
      <c r="E1842" s="12">
        <f t="shared" si="28"/>
        <v>43280</v>
      </c>
    </row>
    <row r="1843" spans="1:5" x14ac:dyDescent="0.25">
      <c r="A1843" s="2">
        <f>IF(B1843="","",SUBTOTAL(3,$B$2:B1843))</f>
        <v>1842</v>
      </c>
      <c r="B1843" s="9" t="s">
        <v>51</v>
      </c>
      <c r="C1843" s="10" t="s">
        <v>52</v>
      </c>
      <c r="D1843" s="11">
        <v>202.57677659833075</v>
      </c>
      <c r="E1843" s="12">
        <f t="shared" si="28"/>
        <v>43281</v>
      </c>
    </row>
    <row r="1844" spans="1:5" x14ac:dyDescent="0.25">
      <c r="A1844" s="2">
        <f>IF(B1844="","",SUBTOTAL(3,$B$2:B1844))</f>
        <v>1843</v>
      </c>
      <c r="B1844" s="9" t="s">
        <v>51</v>
      </c>
      <c r="C1844" s="10" t="s">
        <v>52</v>
      </c>
      <c r="D1844" s="11">
        <v>81.030710639332298</v>
      </c>
      <c r="E1844" s="12">
        <f t="shared" si="28"/>
        <v>43282</v>
      </c>
    </row>
    <row r="1845" spans="1:5" x14ac:dyDescent="0.25">
      <c r="A1845" s="2">
        <f>IF(B1845="","",SUBTOTAL(3,$B$2:B1845))</f>
        <v>1844</v>
      </c>
      <c r="B1845" s="9" t="s">
        <v>51</v>
      </c>
      <c r="C1845" s="10" t="s">
        <v>49</v>
      </c>
      <c r="D1845" s="11">
        <v>529.49274594938049</v>
      </c>
      <c r="E1845" s="12">
        <f t="shared" si="28"/>
        <v>43283</v>
      </c>
    </row>
    <row r="1846" spans="1:5" x14ac:dyDescent="0.25">
      <c r="A1846" s="2">
        <f>IF(B1846="","",SUBTOTAL(3,$B$2:B1846))</f>
        <v>1845</v>
      </c>
      <c r="B1846" s="9" t="s">
        <v>48</v>
      </c>
      <c r="C1846" s="10" t="s">
        <v>49</v>
      </c>
      <c r="D1846" s="11">
        <v>53.912507701786815</v>
      </c>
      <c r="E1846" s="12">
        <f t="shared" si="28"/>
        <v>43284</v>
      </c>
    </row>
    <row r="1847" spans="1:5" x14ac:dyDescent="0.25">
      <c r="A1847" s="2">
        <f>IF(B1847="","",SUBTOTAL(3,$B$2:B1847))</f>
        <v>1846</v>
      </c>
      <c r="B1847" s="9" t="s">
        <v>50</v>
      </c>
      <c r="C1847" s="10" t="s">
        <v>49</v>
      </c>
      <c r="D1847" s="11">
        <v>30.8641975308642</v>
      </c>
      <c r="E1847" s="12">
        <f t="shared" si="28"/>
        <v>43285</v>
      </c>
    </row>
    <row r="1848" spans="1:5" x14ac:dyDescent="0.25">
      <c r="A1848" s="2">
        <f>IF(B1848="","",SUBTOTAL(3,$B$2:B1848))</f>
        <v>1847</v>
      </c>
      <c r="B1848" s="9" t="s">
        <v>50</v>
      </c>
      <c r="C1848" s="10" t="s">
        <v>49</v>
      </c>
      <c r="D1848" s="11">
        <v>110.22927689594357</v>
      </c>
      <c r="E1848" s="12">
        <f t="shared" si="28"/>
        <v>43286</v>
      </c>
    </row>
    <row r="1849" spans="1:5" x14ac:dyDescent="0.25">
      <c r="A1849" s="2">
        <f>IF(B1849="","",SUBTOTAL(3,$B$2:B1849))</f>
        <v>1848</v>
      </c>
      <c r="B1849" s="9" t="s">
        <v>51</v>
      </c>
      <c r="C1849" s="10" t="s">
        <v>49</v>
      </c>
      <c r="D1849" s="11">
        <v>52.949274594938046</v>
      </c>
      <c r="E1849" s="12">
        <f t="shared" si="28"/>
        <v>43287</v>
      </c>
    </row>
    <row r="1850" spans="1:5" x14ac:dyDescent="0.25">
      <c r="A1850" s="2">
        <f>IF(B1850="","",SUBTOTAL(3,$B$2:B1850))</f>
        <v>1849</v>
      </c>
      <c r="B1850" s="9" t="s">
        <v>48</v>
      </c>
      <c r="C1850" s="10" t="s">
        <v>52</v>
      </c>
      <c r="D1850" s="11">
        <v>107.82501540357363</v>
      </c>
      <c r="E1850" s="12">
        <f t="shared" si="28"/>
        <v>43288</v>
      </c>
    </row>
    <row r="1851" spans="1:5" x14ac:dyDescent="0.25">
      <c r="A1851" s="2">
        <f>IF(B1851="","",SUBTOTAL(3,$B$2:B1851))</f>
        <v>1850</v>
      </c>
      <c r="B1851" s="9" t="s">
        <v>51</v>
      </c>
      <c r="C1851" s="10" t="s">
        <v>52</v>
      </c>
      <c r="D1851" s="11">
        <v>81.030710639332298</v>
      </c>
      <c r="E1851" s="12">
        <f t="shared" si="28"/>
        <v>43289</v>
      </c>
    </row>
    <row r="1852" spans="1:5" x14ac:dyDescent="0.25">
      <c r="A1852" s="2">
        <f>IF(B1852="","",SUBTOTAL(3,$B$2:B1852))</f>
        <v>1851</v>
      </c>
      <c r="B1852" s="9" t="s">
        <v>50</v>
      </c>
      <c r="C1852" s="10" t="s">
        <v>49</v>
      </c>
      <c r="D1852" s="11">
        <v>60</v>
      </c>
      <c r="E1852" s="12">
        <f t="shared" si="28"/>
        <v>43290</v>
      </c>
    </row>
    <row r="1853" spans="1:5" x14ac:dyDescent="0.25">
      <c r="A1853" s="2">
        <f>IF(B1853="","",SUBTOTAL(3,$B$2:B1853))</f>
        <v>1852</v>
      </c>
      <c r="B1853" s="9" t="s">
        <v>50</v>
      </c>
      <c r="C1853" s="10" t="s">
        <v>52</v>
      </c>
      <c r="D1853" s="11">
        <v>440.91710758377428</v>
      </c>
      <c r="E1853" s="12">
        <f t="shared" si="28"/>
        <v>43291</v>
      </c>
    </row>
    <row r="1854" spans="1:5" x14ac:dyDescent="0.25">
      <c r="A1854" s="2">
        <f>IF(B1854="","",SUBTOTAL(3,$B$2:B1854))</f>
        <v>1853</v>
      </c>
      <c r="B1854" s="9" t="s">
        <v>50</v>
      </c>
      <c r="C1854" s="10" t="s">
        <v>49</v>
      </c>
      <c r="D1854" s="11">
        <v>13.227513227513228</v>
      </c>
      <c r="E1854" s="12">
        <f t="shared" si="28"/>
        <v>43292</v>
      </c>
    </row>
    <row r="1855" spans="1:5" x14ac:dyDescent="0.25">
      <c r="A1855" s="2">
        <f>IF(B1855="","",SUBTOTAL(3,$B$2:B1855))</f>
        <v>1854</v>
      </c>
      <c r="B1855" s="9" t="s">
        <v>48</v>
      </c>
      <c r="C1855" s="10" t="s">
        <v>52</v>
      </c>
      <c r="D1855" s="11">
        <v>308.07147258163894</v>
      </c>
      <c r="E1855" s="12">
        <f t="shared" si="28"/>
        <v>43293</v>
      </c>
    </row>
    <row r="1856" spans="1:5" x14ac:dyDescent="0.25">
      <c r="A1856" s="2">
        <f>IF(B1856="","",SUBTOTAL(3,$B$2:B1856))</f>
        <v>1855</v>
      </c>
      <c r="B1856" s="9" t="s">
        <v>48</v>
      </c>
      <c r="C1856" s="10" t="s">
        <v>52</v>
      </c>
      <c r="D1856" s="11">
        <v>123.22858903265558</v>
      </c>
      <c r="E1856" s="12">
        <f t="shared" si="28"/>
        <v>43294</v>
      </c>
    </row>
    <row r="1857" spans="1:5" x14ac:dyDescent="0.25">
      <c r="A1857" s="2">
        <f>IF(B1857="","",SUBTOTAL(3,$B$2:B1857))</f>
        <v>1856</v>
      </c>
      <c r="B1857" s="9" t="s">
        <v>55</v>
      </c>
      <c r="C1857" s="10" t="s">
        <v>49</v>
      </c>
      <c r="D1857" s="11">
        <v>50</v>
      </c>
      <c r="E1857" s="12">
        <f t="shared" si="28"/>
        <v>43295</v>
      </c>
    </row>
    <row r="1858" spans="1:5" x14ac:dyDescent="0.25">
      <c r="A1858" s="2">
        <f>IF(B1858="","",SUBTOTAL(3,$B$2:B1858))</f>
        <v>1857</v>
      </c>
      <c r="B1858" s="9" t="s">
        <v>50</v>
      </c>
      <c r="C1858" s="10" t="s">
        <v>52</v>
      </c>
      <c r="D1858" s="11">
        <v>44.091710758377424</v>
      </c>
      <c r="E1858" s="12">
        <f t="shared" si="28"/>
        <v>43296</v>
      </c>
    </row>
    <row r="1859" spans="1:5" x14ac:dyDescent="0.25">
      <c r="A1859" s="2">
        <f>IF(B1859="","",SUBTOTAL(3,$B$2:B1859))</f>
        <v>1858</v>
      </c>
      <c r="B1859" s="9" t="s">
        <v>50</v>
      </c>
      <c r="C1859" s="10" t="s">
        <v>52</v>
      </c>
      <c r="D1859" s="11">
        <v>44.091710758377424</v>
      </c>
      <c r="E1859" s="12">
        <f t="shared" si="28"/>
        <v>43297</v>
      </c>
    </row>
    <row r="1860" spans="1:5" x14ac:dyDescent="0.25">
      <c r="A1860" s="2">
        <f>IF(B1860="","",SUBTOTAL(3,$B$2:B1860))</f>
        <v>1859</v>
      </c>
      <c r="B1860" s="9" t="s">
        <v>50</v>
      </c>
      <c r="C1860" s="10" t="s">
        <v>52</v>
      </c>
      <c r="D1860" s="11">
        <v>132.27513227513228</v>
      </c>
      <c r="E1860" s="12">
        <f t="shared" ref="E1860:E1923" si="29">E1859+1</f>
        <v>43298</v>
      </c>
    </row>
    <row r="1861" spans="1:5" x14ac:dyDescent="0.25">
      <c r="A1861" s="2">
        <f>IF(B1861="","",SUBTOTAL(3,$B$2:B1861))</f>
        <v>1860</v>
      </c>
      <c r="B1861" s="9" t="s">
        <v>55</v>
      </c>
      <c r="C1861" s="10" t="s">
        <v>49</v>
      </c>
      <c r="D1861" s="11">
        <v>11.375</v>
      </c>
      <c r="E1861" s="12">
        <f t="shared" si="29"/>
        <v>43299</v>
      </c>
    </row>
    <row r="1862" spans="1:5" x14ac:dyDescent="0.25">
      <c r="A1862" s="2">
        <f>IF(B1862="","",SUBTOTAL(3,$B$2:B1862))</f>
        <v>1861</v>
      </c>
      <c r="B1862" s="9" t="s">
        <v>48</v>
      </c>
      <c r="C1862" s="10" t="s">
        <v>54</v>
      </c>
      <c r="D1862" s="11">
        <v>26.186075169439309</v>
      </c>
      <c r="E1862" s="12">
        <f t="shared" si="29"/>
        <v>43300</v>
      </c>
    </row>
    <row r="1863" spans="1:5" x14ac:dyDescent="0.25">
      <c r="A1863" s="2">
        <f>IF(B1863="","",SUBTOTAL(3,$B$2:B1863))</f>
        <v>1862</v>
      </c>
      <c r="B1863" s="9" t="s">
        <v>50</v>
      </c>
      <c r="C1863" s="10" t="s">
        <v>52</v>
      </c>
      <c r="D1863" s="11">
        <v>50</v>
      </c>
      <c r="E1863" s="12">
        <f t="shared" si="29"/>
        <v>43301</v>
      </c>
    </row>
    <row r="1864" spans="1:5" x14ac:dyDescent="0.25">
      <c r="A1864" s="2">
        <f>IF(B1864="","",SUBTOTAL(3,$B$2:B1864))</f>
        <v>1863</v>
      </c>
      <c r="B1864" s="9" t="s">
        <v>55</v>
      </c>
      <c r="C1864" s="10" t="s">
        <v>52</v>
      </c>
      <c r="D1864" s="11">
        <v>400</v>
      </c>
      <c r="E1864" s="12">
        <f t="shared" si="29"/>
        <v>43302</v>
      </c>
    </row>
    <row r="1865" spans="1:5" x14ac:dyDescent="0.25">
      <c r="A1865" s="2">
        <f>IF(B1865="","",SUBTOTAL(3,$B$2:B1865))</f>
        <v>1864</v>
      </c>
      <c r="B1865" s="9" t="s">
        <v>55</v>
      </c>
      <c r="C1865" s="10" t="s">
        <v>49</v>
      </c>
      <c r="D1865" s="11">
        <v>32.589212970506765</v>
      </c>
      <c r="E1865" s="12">
        <f t="shared" si="29"/>
        <v>43303</v>
      </c>
    </row>
    <row r="1866" spans="1:5" x14ac:dyDescent="0.25">
      <c r="A1866" s="2">
        <f>IF(B1866="","",SUBTOTAL(3,$B$2:B1866))</f>
        <v>1865</v>
      </c>
      <c r="B1866" s="9" t="s">
        <v>48</v>
      </c>
      <c r="C1866" s="10" t="s">
        <v>52</v>
      </c>
      <c r="D1866" s="11">
        <v>80</v>
      </c>
      <c r="E1866" s="12">
        <f t="shared" si="29"/>
        <v>43304</v>
      </c>
    </row>
    <row r="1867" spans="1:5" x14ac:dyDescent="0.25">
      <c r="A1867" s="2">
        <f>IF(B1867="","",SUBTOTAL(3,$B$2:B1867))</f>
        <v>1866</v>
      </c>
      <c r="B1867" s="9" t="s">
        <v>50</v>
      </c>
      <c r="C1867" s="10" t="s">
        <v>52</v>
      </c>
      <c r="D1867" s="11">
        <v>44.091710758377424</v>
      </c>
      <c r="E1867" s="12">
        <f t="shared" si="29"/>
        <v>43305</v>
      </c>
    </row>
    <row r="1868" spans="1:5" x14ac:dyDescent="0.25">
      <c r="A1868" s="2">
        <f>IF(B1868="","",SUBTOTAL(3,$B$2:B1868))</f>
        <v>1867</v>
      </c>
      <c r="B1868" s="9" t="s">
        <v>53</v>
      </c>
      <c r="C1868" s="10" t="s">
        <v>49</v>
      </c>
      <c r="D1868" s="11">
        <v>73.2687957357561</v>
      </c>
      <c r="E1868" s="12">
        <f t="shared" si="29"/>
        <v>43306</v>
      </c>
    </row>
    <row r="1869" spans="1:5" x14ac:dyDescent="0.25">
      <c r="A1869" s="2">
        <f>IF(B1869="","",SUBTOTAL(3,$B$2:B1869))</f>
        <v>1868</v>
      </c>
      <c r="B1869" s="9" t="s">
        <v>53</v>
      </c>
      <c r="C1869" s="10" t="s">
        <v>49</v>
      </c>
      <c r="D1869" s="11">
        <v>27.475798400908538</v>
      </c>
      <c r="E1869" s="12">
        <f t="shared" si="29"/>
        <v>43307</v>
      </c>
    </row>
    <row r="1870" spans="1:5" x14ac:dyDescent="0.25">
      <c r="A1870" s="2">
        <f>IF(B1870="","",SUBTOTAL(3,$B$2:B1870))</f>
        <v>1869</v>
      </c>
      <c r="B1870" s="9" t="s">
        <v>48</v>
      </c>
      <c r="C1870" s="10" t="s">
        <v>49</v>
      </c>
      <c r="D1870" s="11">
        <v>34.492830058600482</v>
      </c>
      <c r="E1870" s="12">
        <f t="shared" si="29"/>
        <v>43308</v>
      </c>
    </row>
    <row r="1871" spans="1:5" x14ac:dyDescent="0.25">
      <c r="A1871" s="2">
        <f>IF(B1871="","",SUBTOTAL(3,$B$2:B1871))</f>
        <v>1870</v>
      </c>
      <c r="B1871" s="9" t="s">
        <v>48</v>
      </c>
      <c r="C1871" s="10" t="s">
        <v>49</v>
      </c>
      <c r="D1871" s="11">
        <v>137.88348845225781</v>
      </c>
      <c r="E1871" s="12">
        <f t="shared" si="29"/>
        <v>43309</v>
      </c>
    </row>
    <row r="1872" spans="1:5" x14ac:dyDescent="0.25">
      <c r="A1872" s="2">
        <f>IF(B1872="","",SUBTOTAL(3,$B$2:B1872))</f>
        <v>1871</v>
      </c>
      <c r="B1872" s="9" t="s">
        <v>48</v>
      </c>
      <c r="C1872" s="10" t="s">
        <v>49</v>
      </c>
      <c r="D1872" s="11">
        <v>2.5853154084798344</v>
      </c>
      <c r="E1872" s="12">
        <f t="shared" si="29"/>
        <v>43310</v>
      </c>
    </row>
    <row r="1873" spans="1:5" x14ac:dyDescent="0.25">
      <c r="A1873" s="2">
        <f>IF(B1873="","",SUBTOTAL(3,$B$2:B1873))</f>
        <v>1872</v>
      </c>
      <c r="B1873" s="9" t="s">
        <v>53</v>
      </c>
      <c r="C1873" s="10" t="s">
        <v>54</v>
      </c>
      <c r="D1873" s="11">
        <v>109.90319360363415</v>
      </c>
      <c r="E1873" s="12">
        <f t="shared" si="29"/>
        <v>43311</v>
      </c>
    </row>
    <row r="1874" spans="1:5" x14ac:dyDescent="0.25">
      <c r="A1874" s="2">
        <f>IF(B1874="","",SUBTOTAL(3,$B$2:B1874))</f>
        <v>1873</v>
      </c>
      <c r="B1874" s="9" t="s">
        <v>53</v>
      </c>
      <c r="C1874" s="10" t="s">
        <v>54</v>
      </c>
      <c r="D1874" s="11">
        <v>137.37899200454268</v>
      </c>
      <c r="E1874" s="12">
        <f t="shared" si="29"/>
        <v>43312</v>
      </c>
    </row>
    <row r="1875" spans="1:5" x14ac:dyDescent="0.25">
      <c r="A1875" s="2">
        <f>IF(B1875="","",SUBTOTAL(3,$B$2:B1875))</f>
        <v>1874</v>
      </c>
      <c r="B1875" s="9" t="s">
        <v>53</v>
      </c>
      <c r="C1875" s="10" t="s">
        <v>54</v>
      </c>
      <c r="D1875" s="11">
        <v>41.213697601362803</v>
      </c>
      <c r="E1875" s="12">
        <f t="shared" si="29"/>
        <v>43313</v>
      </c>
    </row>
    <row r="1876" spans="1:5" x14ac:dyDescent="0.25">
      <c r="A1876" s="2">
        <f>IF(B1876="","",SUBTOTAL(3,$B$2:B1876))</f>
        <v>1875</v>
      </c>
      <c r="B1876" s="9" t="s">
        <v>53</v>
      </c>
      <c r="C1876" s="10" t="s">
        <v>54</v>
      </c>
      <c r="D1876" s="11">
        <v>27.475798400908538</v>
      </c>
      <c r="E1876" s="12">
        <f t="shared" si="29"/>
        <v>43314</v>
      </c>
    </row>
    <row r="1877" spans="1:5" x14ac:dyDescent="0.25">
      <c r="A1877" s="2">
        <f>IF(B1877="","",SUBTOTAL(3,$B$2:B1877))</f>
        <v>1876</v>
      </c>
      <c r="B1877" s="9" t="s">
        <v>50</v>
      </c>
      <c r="C1877" s="10" t="s">
        <v>52</v>
      </c>
      <c r="D1877" s="11">
        <v>44.091710758377424</v>
      </c>
      <c r="E1877" s="12">
        <f t="shared" si="29"/>
        <v>43315</v>
      </c>
    </row>
    <row r="1878" spans="1:5" x14ac:dyDescent="0.25">
      <c r="A1878" s="2">
        <f>IF(B1878="","",SUBTOTAL(3,$B$2:B1878))</f>
        <v>1877</v>
      </c>
      <c r="B1878" s="9" t="s">
        <v>53</v>
      </c>
      <c r="C1878" s="10" t="s">
        <v>49</v>
      </c>
      <c r="D1878" s="11">
        <v>274.75798400908536</v>
      </c>
      <c r="E1878" s="12">
        <f t="shared" si="29"/>
        <v>43316</v>
      </c>
    </row>
    <row r="1879" spans="1:5" x14ac:dyDescent="0.25">
      <c r="A1879" s="2">
        <f>IF(B1879="","",SUBTOTAL(3,$B$2:B1879))</f>
        <v>1878</v>
      </c>
      <c r="B1879" s="9" t="s">
        <v>53</v>
      </c>
      <c r="C1879" s="10" t="s">
        <v>49</v>
      </c>
      <c r="D1879" s="11">
        <v>164.85479040545121</v>
      </c>
      <c r="E1879" s="12">
        <f t="shared" si="29"/>
        <v>43317</v>
      </c>
    </row>
    <row r="1880" spans="1:5" x14ac:dyDescent="0.25">
      <c r="A1880" s="2">
        <f>IF(B1880="","",SUBTOTAL(3,$B$2:B1880))</f>
        <v>1879</v>
      </c>
      <c r="B1880" s="9" t="s">
        <v>53</v>
      </c>
      <c r="C1880" s="10" t="s">
        <v>49</v>
      </c>
      <c r="D1880" s="11">
        <v>457.92997334847558</v>
      </c>
      <c r="E1880" s="12">
        <f t="shared" si="29"/>
        <v>43318</v>
      </c>
    </row>
    <row r="1881" spans="1:5" x14ac:dyDescent="0.25">
      <c r="A1881" s="2">
        <f>IF(B1881="","",SUBTOTAL(3,$B$2:B1881))</f>
        <v>1880</v>
      </c>
      <c r="B1881" s="9" t="s">
        <v>53</v>
      </c>
      <c r="C1881" s="10" t="s">
        <v>54</v>
      </c>
      <c r="D1881" s="11">
        <v>45.792997334847563</v>
      </c>
      <c r="E1881" s="12">
        <f t="shared" si="29"/>
        <v>43319</v>
      </c>
    </row>
    <row r="1882" spans="1:5" x14ac:dyDescent="0.25">
      <c r="A1882" s="2">
        <f>IF(B1882="","",SUBTOTAL(3,$B$2:B1882))</f>
        <v>1881</v>
      </c>
      <c r="B1882" s="9" t="s">
        <v>48</v>
      </c>
      <c r="C1882" s="10" t="s">
        <v>52</v>
      </c>
      <c r="D1882" s="11">
        <v>30.807147258163894</v>
      </c>
      <c r="E1882" s="12">
        <f t="shared" si="29"/>
        <v>43320</v>
      </c>
    </row>
    <row r="1883" spans="1:5" x14ac:dyDescent="0.25">
      <c r="A1883" s="2">
        <f>IF(B1883="","",SUBTOTAL(3,$B$2:B1883))</f>
        <v>1882</v>
      </c>
      <c r="B1883" s="9" t="s">
        <v>48</v>
      </c>
      <c r="C1883" s="10" t="s">
        <v>52</v>
      </c>
      <c r="D1883" s="11">
        <v>77.017868145409736</v>
      </c>
      <c r="E1883" s="12">
        <f t="shared" si="29"/>
        <v>43321</v>
      </c>
    </row>
    <row r="1884" spans="1:5" x14ac:dyDescent="0.25">
      <c r="A1884" s="2">
        <f>IF(B1884="","",SUBTOTAL(3,$B$2:B1884))</f>
        <v>1883</v>
      </c>
      <c r="B1884" s="9" t="s">
        <v>48</v>
      </c>
      <c r="C1884" s="10" t="s">
        <v>52</v>
      </c>
      <c r="D1884" s="11">
        <v>46.210720887245841</v>
      </c>
      <c r="E1884" s="12">
        <f t="shared" si="29"/>
        <v>43322</v>
      </c>
    </row>
    <row r="1885" spans="1:5" x14ac:dyDescent="0.25">
      <c r="A1885" s="2">
        <f>IF(B1885="","",SUBTOTAL(3,$B$2:B1885))</f>
        <v>1884</v>
      </c>
      <c r="B1885" s="9" t="s">
        <v>48</v>
      </c>
      <c r="C1885" s="10" t="s">
        <v>52</v>
      </c>
      <c r="D1885" s="11">
        <v>61.614294516327789</v>
      </c>
      <c r="E1885" s="12">
        <f t="shared" si="29"/>
        <v>43323</v>
      </c>
    </row>
    <row r="1886" spans="1:5" x14ac:dyDescent="0.25">
      <c r="A1886" s="2">
        <f>IF(B1886="","",SUBTOTAL(3,$B$2:B1886))</f>
        <v>1885</v>
      </c>
      <c r="B1886" s="9" t="s">
        <v>48</v>
      </c>
      <c r="C1886" s="10" t="s">
        <v>54</v>
      </c>
      <c r="D1886" s="11">
        <v>132.31669747381392</v>
      </c>
      <c r="E1886" s="12">
        <f t="shared" si="29"/>
        <v>43324</v>
      </c>
    </row>
    <row r="1887" spans="1:5" x14ac:dyDescent="0.25">
      <c r="A1887" s="2">
        <f>IF(B1887="","",SUBTOTAL(3,$B$2:B1887))</f>
        <v>1886</v>
      </c>
      <c r="B1887" s="9" t="s">
        <v>48</v>
      </c>
      <c r="C1887" s="10" t="s">
        <v>49</v>
      </c>
      <c r="D1887" s="11">
        <v>61.614294516327789</v>
      </c>
      <c r="E1887" s="12">
        <f t="shared" si="29"/>
        <v>43325</v>
      </c>
    </row>
    <row r="1888" spans="1:5" x14ac:dyDescent="0.25">
      <c r="A1888" s="2">
        <f>IF(B1888="","",SUBTOTAL(3,$B$2:B1888))</f>
        <v>1887</v>
      </c>
      <c r="B1888" s="9" t="s">
        <v>55</v>
      </c>
      <c r="C1888" s="10" t="s">
        <v>49</v>
      </c>
      <c r="D1888" s="11">
        <v>33.436745949672527</v>
      </c>
      <c r="E1888" s="12">
        <f t="shared" si="29"/>
        <v>43326</v>
      </c>
    </row>
    <row r="1889" spans="1:5" x14ac:dyDescent="0.25">
      <c r="A1889" s="2">
        <f>IF(B1889="","",SUBTOTAL(3,$B$2:B1889))</f>
        <v>1888</v>
      </c>
      <c r="B1889" s="9" t="s">
        <v>48</v>
      </c>
      <c r="C1889" s="10" t="s">
        <v>49</v>
      </c>
      <c r="D1889" s="11">
        <v>95.194085027726445</v>
      </c>
      <c r="E1889" s="12">
        <f t="shared" si="29"/>
        <v>43327</v>
      </c>
    </row>
    <row r="1890" spans="1:5" x14ac:dyDescent="0.25">
      <c r="A1890" s="2">
        <f>IF(B1890="","",SUBTOTAL(3,$B$2:B1890))</f>
        <v>1889</v>
      </c>
      <c r="B1890" s="9" t="s">
        <v>50</v>
      </c>
      <c r="C1890" s="10" t="s">
        <v>52</v>
      </c>
      <c r="D1890" s="11">
        <v>44.091710758377424</v>
      </c>
      <c r="E1890" s="12">
        <f t="shared" si="29"/>
        <v>43328</v>
      </c>
    </row>
    <row r="1891" spans="1:5" x14ac:dyDescent="0.25">
      <c r="A1891" s="2">
        <f>IF(B1891="","",SUBTOTAL(3,$B$2:B1891))</f>
        <v>1890</v>
      </c>
      <c r="B1891" s="9" t="s">
        <v>50</v>
      </c>
      <c r="C1891" s="10" t="s">
        <v>52</v>
      </c>
      <c r="D1891" s="11">
        <v>44.091710758377424</v>
      </c>
      <c r="E1891" s="12">
        <f t="shared" si="29"/>
        <v>43329</v>
      </c>
    </row>
    <row r="1892" spans="1:5" x14ac:dyDescent="0.25">
      <c r="A1892" s="2">
        <f>IF(B1892="","",SUBTOTAL(3,$B$2:B1892))</f>
        <v>1891</v>
      </c>
      <c r="B1892" s="9" t="s">
        <v>50</v>
      </c>
      <c r="C1892" s="10" t="s">
        <v>52</v>
      </c>
      <c r="D1892" s="11">
        <v>44.091710758377424</v>
      </c>
      <c r="E1892" s="12">
        <f t="shared" si="29"/>
        <v>43330</v>
      </c>
    </row>
    <row r="1893" spans="1:5" x14ac:dyDescent="0.25">
      <c r="A1893" s="2">
        <f>IF(B1893="","",SUBTOTAL(3,$B$2:B1893))</f>
        <v>1892</v>
      </c>
      <c r="B1893" s="9" t="s">
        <v>50</v>
      </c>
      <c r="C1893" s="10" t="s">
        <v>52</v>
      </c>
      <c r="D1893" s="11">
        <v>44.091710758377424</v>
      </c>
      <c r="E1893" s="12">
        <f t="shared" si="29"/>
        <v>43331</v>
      </c>
    </row>
    <row r="1894" spans="1:5" x14ac:dyDescent="0.25">
      <c r="A1894" s="2">
        <f>IF(B1894="","",SUBTOTAL(3,$B$2:B1894))</f>
        <v>1893</v>
      </c>
      <c r="B1894" s="9" t="s">
        <v>50</v>
      </c>
      <c r="C1894" s="10" t="s">
        <v>52</v>
      </c>
      <c r="D1894" s="11">
        <v>44.091710758377424</v>
      </c>
      <c r="E1894" s="12">
        <f t="shared" si="29"/>
        <v>43332</v>
      </c>
    </row>
    <row r="1895" spans="1:5" x14ac:dyDescent="0.25">
      <c r="A1895" s="2">
        <f>IF(B1895="","",SUBTOTAL(3,$B$2:B1895))</f>
        <v>1894</v>
      </c>
      <c r="B1895" s="9" t="s">
        <v>50</v>
      </c>
      <c r="C1895" s="10" t="s">
        <v>52</v>
      </c>
      <c r="D1895" s="11">
        <v>44.091710758377424</v>
      </c>
      <c r="E1895" s="12">
        <f t="shared" si="29"/>
        <v>43333</v>
      </c>
    </row>
    <row r="1896" spans="1:5" x14ac:dyDescent="0.25">
      <c r="A1896" s="2">
        <f>IF(B1896="","",SUBTOTAL(3,$B$2:B1896))</f>
        <v>1895</v>
      </c>
      <c r="B1896" s="9" t="s">
        <v>50</v>
      </c>
      <c r="C1896" s="10" t="s">
        <v>52</v>
      </c>
      <c r="D1896" s="11">
        <v>44.091710758377424</v>
      </c>
      <c r="E1896" s="12">
        <f t="shared" si="29"/>
        <v>43334</v>
      </c>
    </row>
    <row r="1897" spans="1:5" x14ac:dyDescent="0.25">
      <c r="A1897" s="2">
        <f>IF(B1897="","",SUBTOTAL(3,$B$2:B1897))</f>
        <v>1896</v>
      </c>
      <c r="B1897" s="9" t="s">
        <v>50</v>
      </c>
      <c r="C1897" s="10" t="s">
        <v>52</v>
      </c>
      <c r="D1897" s="11">
        <v>55.114638447971785</v>
      </c>
      <c r="E1897" s="12">
        <f t="shared" si="29"/>
        <v>43335</v>
      </c>
    </row>
    <row r="1898" spans="1:5" x14ac:dyDescent="0.25">
      <c r="A1898" s="2">
        <f>IF(B1898="","",SUBTOTAL(3,$B$2:B1898))</f>
        <v>1897</v>
      </c>
      <c r="B1898" s="9" t="s">
        <v>50</v>
      </c>
      <c r="C1898" s="10" t="s">
        <v>52</v>
      </c>
      <c r="D1898" s="11">
        <v>132.27513227513228</v>
      </c>
      <c r="E1898" s="12">
        <f t="shared" si="29"/>
        <v>43336</v>
      </c>
    </row>
    <row r="1899" spans="1:5" x14ac:dyDescent="0.25">
      <c r="A1899" s="2">
        <f>IF(B1899="","",SUBTOTAL(3,$B$2:B1899))</f>
        <v>1898</v>
      </c>
      <c r="B1899" s="9" t="s">
        <v>50</v>
      </c>
      <c r="C1899" s="10" t="s">
        <v>49</v>
      </c>
      <c r="D1899" s="11">
        <v>108.24305555555556</v>
      </c>
      <c r="E1899" s="12">
        <f t="shared" si="29"/>
        <v>43337</v>
      </c>
    </row>
    <row r="1900" spans="1:5" x14ac:dyDescent="0.25">
      <c r="A1900" s="2">
        <f>IF(B1900="","",SUBTOTAL(3,$B$2:B1900))</f>
        <v>1899</v>
      </c>
      <c r="B1900" s="9" t="s">
        <v>55</v>
      </c>
      <c r="C1900" s="10" t="s">
        <v>49</v>
      </c>
      <c r="D1900" s="11">
        <v>102.60583346912173</v>
      </c>
      <c r="E1900" s="12">
        <f t="shared" si="29"/>
        <v>43338</v>
      </c>
    </row>
    <row r="1901" spans="1:5" x14ac:dyDescent="0.25">
      <c r="A1901" s="2">
        <f>IF(B1901="","",SUBTOTAL(3,$B$2:B1901))</f>
        <v>1900</v>
      </c>
      <c r="B1901" s="9" t="s">
        <v>50</v>
      </c>
      <c r="C1901" s="10" t="s">
        <v>49</v>
      </c>
      <c r="D1901" s="11">
        <v>15</v>
      </c>
      <c r="E1901" s="12">
        <f t="shared" si="29"/>
        <v>43339</v>
      </c>
    </row>
    <row r="1902" spans="1:5" x14ac:dyDescent="0.25">
      <c r="A1902" s="2">
        <f>IF(B1902="","",SUBTOTAL(3,$B$2:B1902))</f>
        <v>1901</v>
      </c>
      <c r="B1902" s="9" t="s">
        <v>48</v>
      </c>
      <c r="C1902" s="10" t="s">
        <v>49</v>
      </c>
      <c r="D1902" s="11">
        <v>11.175850860174991</v>
      </c>
      <c r="E1902" s="12">
        <f t="shared" si="29"/>
        <v>43340</v>
      </c>
    </row>
    <row r="1903" spans="1:5" x14ac:dyDescent="0.25">
      <c r="A1903" s="2">
        <f>IF(B1903="","",SUBTOTAL(3,$B$2:B1903))</f>
        <v>1902</v>
      </c>
      <c r="B1903" s="9" t="s">
        <v>50</v>
      </c>
      <c r="C1903" s="10" t="s">
        <v>52</v>
      </c>
      <c r="D1903" s="11">
        <v>66.137566137566139</v>
      </c>
      <c r="E1903" s="12">
        <f t="shared" si="29"/>
        <v>43341</v>
      </c>
    </row>
    <row r="1904" spans="1:5" x14ac:dyDescent="0.25">
      <c r="A1904" s="2">
        <f>IF(B1904="","",SUBTOTAL(3,$B$2:B1904))</f>
        <v>1903</v>
      </c>
      <c r="B1904" s="9" t="s">
        <v>48</v>
      </c>
      <c r="C1904" s="10" t="s">
        <v>49</v>
      </c>
      <c r="D1904" s="11">
        <v>12.848020762401553</v>
      </c>
      <c r="E1904" s="12">
        <f t="shared" si="29"/>
        <v>43342</v>
      </c>
    </row>
    <row r="1905" spans="1:5" x14ac:dyDescent="0.25">
      <c r="A1905" s="2">
        <f>IF(B1905="","",SUBTOTAL(3,$B$2:B1905))</f>
        <v>1904</v>
      </c>
      <c r="B1905" s="9" t="s">
        <v>48</v>
      </c>
      <c r="C1905" s="10" t="s">
        <v>49</v>
      </c>
      <c r="D1905" s="11">
        <v>92.421441774491683</v>
      </c>
      <c r="E1905" s="12">
        <f t="shared" si="29"/>
        <v>43343</v>
      </c>
    </row>
    <row r="1906" spans="1:5" x14ac:dyDescent="0.25">
      <c r="A1906" s="2">
        <f>IF(B1906="","",SUBTOTAL(3,$B$2:B1906))</f>
        <v>1905</v>
      </c>
      <c r="B1906" s="9" t="s">
        <v>50</v>
      </c>
      <c r="C1906" s="10" t="s">
        <v>49</v>
      </c>
      <c r="D1906" s="11">
        <v>5.2910052910052912</v>
      </c>
      <c r="E1906" s="12">
        <f t="shared" si="29"/>
        <v>43344</v>
      </c>
    </row>
    <row r="1907" spans="1:5" x14ac:dyDescent="0.25">
      <c r="A1907" s="2">
        <f>IF(B1907="","",SUBTOTAL(3,$B$2:B1907))</f>
        <v>1906</v>
      </c>
      <c r="B1907" s="9" t="s">
        <v>50</v>
      </c>
      <c r="C1907" s="10" t="s">
        <v>49</v>
      </c>
      <c r="D1907" s="11">
        <v>110.22927689594357</v>
      </c>
      <c r="E1907" s="12">
        <f t="shared" si="29"/>
        <v>43345</v>
      </c>
    </row>
    <row r="1908" spans="1:5" x14ac:dyDescent="0.25">
      <c r="A1908" s="2">
        <f>IF(B1908="","",SUBTOTAL(3,$B$2:B1908))</f>
        <v>1907</v>
      </c>
      <c r="B1908" s="9" t="s">
        <v>55</v>
      </c>
      <c r="C1908" s="10" t="s">
        <v>49</v>
      </c>
      <c r="D1908" s="11">
        <v>11.3</v>
      </c>
      <c r="E1908" s="12">
        <f t="shared" si="29"/>
        <v>43346</v>
      </c>
    </row>
    <row r="1909" spans="1:5" x14ac:dyDescent="0.25">
      <c r="A1909" s="2">
        <f>IF(B1909="","",SUBTOTAL(3,$B$2:B1909))</f>
        <v>1908</v>
      </c>
      <c r="B1909" s="9" t="s">
        <v>48</v>
      </c>
      <c r="C1909" s="10" t="s">
        <v>52</v>
      </c>
      <c r="D1909" s="11">
        <v>231.05360443622922</v>
      </c>
      <c r="E1909" s="12">
        <f t="shared" si="29"/>
        <v>43347</v>
      </c>
    </row>
    <row r="1910" spans="1:5" x14ac:dyDescent="0.25">
      <c r="A1910" s="2">
        <f>IF(B1910="","",SUBTOTAL(3,$B$2:B1910))</f>
        <v>1909</v>
      </c>
      <c r="B1910" s="9" t="s">
        <v>48</v>
      </c>
      <c r="C1910" s="10" t="s">
        <v>52</v>
      </c>
      <c r="D1910" s="11">
        <v>15.403573629081947</v>
      </c>
      <c r="E1910" s="12">
        <f t="shared" si="29"/>
        <v>43348</v>
      </c>
    </row>
    <row r="1911" spans="1:5" x14ac:dyDescent="0.25">
      <c r="A1911" s="2">
        <f>IF(B1911="","",SUBTOTAL(3,$B$2:B1911))</f>
        <v>1910</v>
      </c>
      <c r="B1911" s="9" t="s">
        <v>48</v>
      </c>
      <c r="C1911" s="10" t="s">
        <v>52</v>
      </c>
      <c r="D1911" s="11">
        <v>15.403573629081947</v>
      </c>
      <c r="E1911" s="12">
        <f t="shared" si="29"/>
        <v>43349</v>
      </c>
    </row>
    <row r="1912" spans="1:5" x14ac:dyDescent="0.25">
      <c r="A1912" s="2">
        <f>IF(B1912="","",SUBTOTAL(3,$B$2:B1912))</f>
        <v>1911</v>
      </c>
      <c r="B1912" s="9" t="s">
        <v>48</v>
      </c>
      <c r="C1912" s="10" t="s">
        <v>49</v>
      </c>
      <c r="D1912" s="11">
        <v>61.614294516327789</v>
      </c>
      <c r="E1912" s="12">
        <f t="shared" si="29"/>
        <v>43350</v>
      </c>
    </row>
    <row r="1913" spans="1:5" x14ac:dyDescent="0.25">
      <c r="A1913" s="2">
        <f>IF(B1913="","",SUBTOTAL(3,$B$2:B1913))</f>
        <v>1912</v>
      </c>
      <c r="B1913" s="9" t="s">
        <v>48</v>
      </c>
      <c r="C1913" s="10" t="s">
        <v>49</v>
      </c>
      <c r="D1913" s="11">
        <v>9.2421441774491679</v>
      </c>
      <c r="E1913" s="12">
        <f t="shared" si="29"/>
        <v>43351</v>
      </c>
    </row>
    <row r="1914" spans="1:5" x14ac:dyDescent="0.25">
      <c r="A1914" s="2">
        <f>IF(B1914="","",SUBTOTAL(3,$B$2:B1914))</f>
        <v>1913</v>
      </c>
      <c r="B1914" s="9" t="s">
        <v>48</v>
      </c>
      <c r="C1914" s="10" t="s">
        <v>52</v>
      </c>
      <c r="D1914" s="11">
        <v>77.017868145409736</v>
      </c>
      <c r="E1914" s="12">
        <f t="shared" si="29"/>
        <v>43352</v>
      </c>
    </row>
    <row r="1915" spans="1:5" x14ac:dyDescent="0.25">
      <c r="A1915" s="2">
        <f>IF(B1915="","",SUBTOTAL(3,$B$2:B1915))</f>
        <v>1914</v>
      </c>
      <c r="B1915" s="9" t="s">
        <v>53</v>
      </c>
      <c r="C1915" s="10" t="s">
        <v>49</v>
      </c>
      <c r="D1915" s="11">
        <v>73.2687957357561</v>
      </c>
      <c r="E1915" s="12">
        <f t="shared" si="29"/>
        <v>43353</v>
      </c>
    </row>
    <row r="1916" spans="1:5" x14ac:dyDescent="0.25">
      <c r="A1916" s="2">
        <f>IF(B1916="","",SUBTOTAL(3,$B$2:B1916))</f>
        <v>1915</v>
      </c>
      <c r="B1916" s="9" t="s">
        <v>53</v>
      </c>
      <c r="C1916" s="10" t="s">
        <v>49</v>
      </c>
      <c r="D1916" s="11">
        <v>45.792997334847563</v>
      </c>
      <c r="E1916" s="12">
        <f t="shared" si="29"/>
        <v>43354</v>
      </c>
    </row>
    <row r="1917" spans="1:5" x14ac:dyDescent="0.25">
      <c r="A1917" s="2">
        <f>IF(B1917="","",SUBTOTAL(3,$B$2:B1917))</f>
        <v>1916</v>
      </c>
      <c r="B1917" s="9" t="s">
        <v>53</v>
      </c>
      <c r="C1917" s="10" t="s">
        <v>49</v>
      </c>
      <c r="D1917" s="11">
        <v>54.951596801817075</v>
      </c>
      <c r="E1917" s="12">
        <f t="shared" si="29"/>
        <v>43355</v>
      </c>
    </row>
    <row r="1918" spans="1:5" x14ac:dyDescent="0.25">
      <c r="A1918" s="2">
        <f>IF(B1918="","",SUBTOTAL(3,$B$2:B1918))</f>
        <v>1917</v>
      </c>
      <c r="B1918" s="9" t="s">
        <v>53</v>
      </c>
      <c r="C1918" s="10" t="s">
        <v>49</v>
      </c>
      <c r="D1918" s="11">
        <v>274.75798400908536</v>
      </c>
      <c r="E1918" s="12">
        <f t="shared" si="29"/>
        <v>43356</v>
      </c>
    </row>
    <row r="1919" spans="1:5" x14ac:dyDescent="0.25">
      <c r="A1919" s="2">
        <f>IF(B1919="","",SUBTOTAL(3,$B$2:B1919))</f>
        <v>1918</v>
      </c>
      <c r="B1919" s="9" t="s">
        <v>53</v>
      </c>
      <c r="C1919" s="10" t="s">
        <v>49</v>
      </c>
      <c r="D1919" s="11">
        <v>91.585994669695125</v>
      </c>
      <c r="E1919" s="12">
        <f t="shared" si="29"/>
        <v>43357</v>
      </c>
    </row>
    <row r="1920" spans="1:5" x14ac:dyDescent="0.25">
      <c r="A1920" s="2">
        <f>IF(B1920="","",SUBTOTAL(3,$B$2:B1920))</f>
        <v>1919</v>
      </c>
      <c r="B1920" s="9" t="s">
        <v>48</v>
      </c>
      <c r="C1920" s="10" t="s">
        <v>49</v>
      </c>
      <c r="D1920" s="11">
        <v>6.4240103812007767</v>
      </c>
      <c r="E1920" s="12">
        <f t="shared" si="29"/>
        <v>43358</v>
      </c>
    </row>
    <row r="1921" spans="1:5" x14ac:dyDescent="0.25">
      <c r="A1921" s="2">
        <f>IF(B1921="","",SUBTOTAL(3,$B$2:B1921))</f>
        <v>1920</v>
      </c>
      <c r="B1921" s="9" t="s">
        <v>50</v>
      </c>
      <c r="C1921" s="10" t="s">
        <v>49</v>
      </c>
      <c r="D1921" s="11">
        <v>72.162081128747801</v>
      </c>
      <c r="E1921" s="12">
        <f t="shared" si="29"/>
        <v>43359</v>
      </c>
    </row>
    <row r="1922" spans="1:5" x14ac:dyDescent="0.25">
      <c r="A1922" s="2">
        <f>IF(B1922="","",SUBTOTAL(3,$B$2:B1922))</f>
        <v>1921</v>
      </c>
      <c r="B1922" s="9" t="s">
        <v>50</v>
      </c>
      <c r="C1922" s="10" t="s">
        <v>52</v>
      </c>
      <c r="D1922" s="11">
        <v>19.841269841269842</v>
      </c>
      <c r="E1922" s="12">
        <f t="shared" si="29"/>
        <v>43360</v>
      </c>
    </row>
    <row r="1923" spans="1:5" x14ac:dyDescent="0.25">
      <c r="A1923" s="2">
        <f>IF(B1923="","",SUBTOTAL(3,$B$2:B1923))</f>
        <v>1922</v>
      </c>
      <c r="B1923" s="9" t="s">
        <v>50</v>
      </c>
      <c r="C1923" s="10" t="s">
        <v>52</v>
      </c>
      <c r="D1923" s="11">
        <v>33.06878306878307</v>
      </c>
      <c r="E1923" s="12">
        <f t="shared" si="29"/>
        <v>43361</v>
      </c>
    </row>
    <row r="1924" spans="1:5" x14ac:dyDescent="0.25">
      <c r="A1924" s="2">
        <f>IF(B1924="","",SUBTOTAL(3,$B$2:B1924))</f>
        <v>1923</v>
      </c>
      <c r="B1924" s="9" t="s">
        <v>48</v>
      </c>
      <c r="C1924" s="10" t="s">
        <v>54</v>
      </c>
      <c r="D1924" s="11">
        <v>48.259220958290243</v>
      </c>
      <c r="E1924" s="12">
        <f t="shared" ref="E1924:E1987" si="30">E1923+1</f>
        <v>43362</v>
      </c>
    </row>
    <row r="1925" spans="1:5" x14ac:dyDescent="0.25">
      <c r="A1925" s="2">
        <f>IF(B1925="","",SUBTOTAL(3,$B$2:B1925))</f>
        <v>1924</v>
      </c>
      <c r="B1925" s="9" t="s">
        <v>50</v>
      </c>
      <c r="C1925" s="10" t="s">
        <v>52</v>
      </c>
      <c r="D1925" s="11">
        <v>414.18741181657845</v>
      </c>
      <c r="E1925" s="12">
        <f t="shared" si="30"/>
        <v>43363</v>
      </c>
    </row>
    <row r="1926" spans="1:5" x14ac:dyDescent="0.25">
      <c r="A1926" s="2">
        <f>IF(B1926="","",SUBTOTAL(3,$B$2:B1926))</f>
        <v>1925</v>
      </c>
      <c r="B1926" s="9" t="s">
        <v>48</v>
      </c>
      <c r="C1926" s="10" t="s">
        <v>49</v>
      </c>
      <c r="D1926" s="11">
        <v>2.2648490999961455</v>
      </c>
      <c r="E1926" s="12">
        <f t="shared" si="30"/>
        <v>43364</v>
      </c>
    </row>
    <row r="1927" spans="1:5" x14ac:dyDescent="0.25">
      <c r="A1927" s="2">
        <f>IF(B1927="","",SUBTOTAL(3,$B$2:B1927))</f>
        <v>1926</v>
      </c>
      <c r="B1927" s="9" t="s">
        <v>50</v>
      </c>
      <c r="C1927" s="10" t="s">
        <v>49</v>
      </c>
      <c r="D1927" s="11">
        <v>440.91710758377428</v>
      </c>
      <c r="E1927" s="12">
        <f t="shared" si="30"/>
        <v>43365</v>
      </c>
    </row>
    <row r="1928" spans="1:5" x14ac:dyDescent="0.25">
      <c r="A1928" s="2">
        <f>IF(B1928="","",SUBTOTAL(3,$B$2:B1928))</f>
        <v>1927</v>
      </c>
      <c r="B1928" s="9" t="s">
        <v>50</v>
      </c>
      <c r="C1928" s="10" t="s">
        <v>49</v>
      </c>
      <c r="D1928" s="11">
        <v>110.22927689594357</v>
      </c>
      <c r="E1928" s="12">
        <f t="shared" si="30"/>
        <v>43366</v>
      </c>
    </row>
    <row r="1929" spans="1:5" x14ac:dyDescent="0.25">
      <c r="A1929" s="2">
        <f>IF(B1929="","",SUBTOTAL(3,$B$2:B1929))</f>
        <v>1928</v>
      </c>
      <c r="B1929" s="9" t="s">
        <v>50</v>
      </c>
      <c r="C1929" s="10" t="s">
        <v>52</v>
      </c>
      <c r="D1929" s="11">
        <v>132.27513227513228</v>
      </c>
      <c r="E1929" s="12">
        <f t="shared" si="30"/>
        <v>43367</v>
      </c>
    </row>
    <row r="1930" spans="1:5" x14ac:dyDescent="0.25">
      <c r="A1930" s="2">
        <f>IF(B1930="","",SUBTOTAL(3,$B$2:B1930))</f>
        <v>1929</v>
      </c>
      <c r="B1930" s="9" t="s">
        <v>50</v>
      </c>
      <c r="C1930" s="10" t="s">
        <v>54</v>
      </c>
      <c r="D1930" s="11">
        <v>132.27513227513228</v>
      </c>
      <c r="E1930" s="12">
        <f t="shared" si="30"/>
        <v>43368</v>
      </c>
    </row>
    <row r="1931" spans="1:5" x14ac:dyDescent="0.25">
      <c r="A1931" s="2">
        <f>IF(B1931="","",SUBTOTAL(3,$B$2:B1931))</f>
        <v>1930</v>
      </c>
      <c r="B1931" s="9" t="s">
        <v>55</v>
      </c>
      <c r="C1931" s="10" t="s">
        <v>54</v>
      </c>
      <c r="D1931" s="11">
        <v>16.452022611659878</v>
      </c>
      <c r="E1931" s="12">
        <f t="shared" si="30"/>
        <v>43369</v>
      </c>
    </row>
    <row r="1932" spans="1:5" x14ac:dyDescent="0.25">
      <c r="A1932" s="2">
        <f>IF(B1932="","",SUBTOTAL(3,$B$2:B1932))</f>
        <v>1931</v>
      </c>
      <c r="B1932" s="9" t="s">
        <v>50</v>
      </c>
      <c r="C1932" s="10" t="s">
        <v>54</v>
      </c>
      <c r="D1932" s="11">
        <v>5.6698633156966487</v>
      </c>
      <c r="E1932" s="12">
        <f t="shared" si="30"/>
        <v>43370</v>
      </c>
    </row>
    <row r="1933" spans="1:5" x14ac:dyDescent="0.25">
      <c r="A1933" s="2">
        <f>IF(B1933="","",SUBTOTAL(3,$B$2:B1933))</f>
        <v>1932</v>
      </c>
      <c r="B1933" s="9" t="s">
        <v>51</v>
      </c>
      <c r="C1933" s="10" t="s">
        <v>52</v>
      </c>
      <c r="D1933" s="11">
        <v>243.09213191799691</v>
      </c>
      <c r="E1933" s="12">
        <f t="shared" si="30"/>
        <v>43371</v>
      </c>
    </row>
    <row r="1934" spans="1:5" x14ac:dyDescent="0.25">
      <c r="A1934" s="2">
        <f>IF(B1934="","",SUBTOTAL(3,$B$2:B1934))</f>
        <v>1933</v>
      </c>
      <c r="B1934" s="9" t="s">
        <v>48</v>
      </c>
      <c r="C1934" s="10" t="s">
        <v>49</v>
      </c>
      <c r="D1934" s="11">
        <v>508.31792975970427</v>
      </c>
      <c r="E1934" s="12">
        <f t="shared" si="30"/>
        <v>43372</v>
      </c>
    </row>
    <row r="1935" spans="1:5" x14ac:dyDescent="0.25">
      <c r="A1935" s="2">
        <f>IF(B1935="","",SUBTOTAL(3,$B$2:B1935))</f>
        <v>1934</v>
      </c>
      <c r="B1935" s="9" t="s">
        <v>48</v>
      </c>
      <c r="C1935" s="10" t="s">
        <v>54</v>
      </c>
      <c r="D1935" s="11">
        <v>154.03573629081947</v>
      </c>
      <c r="E1935" s="12">
        <f t="shared" si="30"/>
        <v>43373</v>
      </c>
    </row>
    <row r="1936" spans="1:5" x14ac:dyDescent="0.25">
      <c r="A1936" s="2">
        <f>IF(B1936="","",SUBTOTAL(3,$B$2:B1936))</f>
        <v>1935</v>
      </c>
      <c r="B1936" s="9" t="s">
        <v>48</v>
      </c>
      <c r="C1936" s="10" t="s">
        <v>49</v>
      </c>
      <c r="D1936" s="11">
        <v>53.912507701786815</v>
      </c>
      <c r="E1936" s="12">
        <f t="shared" si="30"/>
        <v>43374</v>
      </c>
    </row>
    <row r="1937" spans="1:5" x14ac:dyDescent="0.25">
      <c r="A1937" s="2">
        <f>IF(B1937="","",SUBTOTAL(3,$B$2:B1937))</f>
        <v>1936</v>
      </c>
      <c r="B1937" s="9" t="s">
        <v>50</v>
      </c>
      <c r="C1937" s="10" t="s">
        <v>49</v>
      </c>
      <c r="D1937" s="11">
        <v>110.22927689594357</v>
      </c>
      <c r="E1937" s="12">
        <f t="shared" si="30"/>
        <v>43375</v>
      </c>
    </row>
    <row r="1938" spans="1:5" x14ac:dyDescent="0.25">
      <c r="A1938" s="2">
        <f>IF(B1938="","",SUBTOTAL(3,$B$2:B1938))</f>
        <v>1937</v>
      </c>
      <c r="B1938" s="9" t="s">
        <v>50</v>
      </c>
      <c r="C1938" s="10" t="s">
        <v>49</v>
      </c>
      <c r="D1938" s="11">
        <v>110.22927689594357</v>
      </c>
      <c r="E1938" s="12">
        <f t="shared" si="30"/>
        <v>43376</v>
      </c>
    </row>
    <row r="1939" spans="1:5" x14ac:dyDescent="0.25">
      <c r="A1939" s="2">
        <f>IF(B1939="","",SUBTOTAL(3,$B$2:B1939))</f>
        <v>1938</v>
      </c>
      <c r="B1939" s="9" t="s">
        <v>50</v>
      </c>
      <c r="C1939" s="10" t="s">
        <v>49</v>
      </c>
      <c r="D1939" s="11">
        <v>661.37566137566137</v>
      </c>
      <c r="E1939" s="12">
        <f t="shared" si="30"/>
        <v>43377</v>
      </c>
    </row>
    <row r="1940" spans="1:5" x14ac:dyDescent="0.25">
      <c r="A1940" s="2">
        <f>IF(B1940="","",SUBTOTAL(3,$B$2:B1940))</f>
        <v>1939</v>
      </c>
      <c r="B1940" s="9" t="s">
        <v>48</v>
      </c>
      <c r="C1940" s="10" t="s">
        <v>52</v>
      </c>
      <c r="D1940" s="11">
        <v>770.17868145409739</v>
      </c>
      <c r="E1940" s="12">
        <f t="shared" si="30"/>
        <v>43378</v>
      </c>
    </row>
    <row r="1941" spans="1:5" x14ac:dyDescent="0.25">
      <c r="A1941" s="2">
        <f>IF(B1941="","",SUBTOTAL(3,$B$2:B1941))</f>
        <v>1940</v>
      </c>
      <c r="B1941" s="9" t="s">
        <v>48</v>
      </c>
      <c r="C1941" s="10" t="s">
        <v>49</v>
      </c>
      <c r="D1941" s="11">
        <v>58.60048259220958</v>
      </c>
      <c r="E1941" s="12">
        <f t="shared" si="30"/>
        <v>43379</v>
      </c>
    </row>
    <row r="1942" spans="1:5" x14ac:dyDescent="0.25">
      <c r="A1942" s="2">
        <f>IF(B1942="","",SUBTOTAL(3,$B$2:B1942))</f>
        <v>1941</v>
      </c>
      <c r="B1942" s="9" t="s">
        <v>55</v>
      </c>
      <c r="C1942" s="10" t="s">
        <v>49</v>
      </c>
      <c r="D1942" s="11">
        <v>97.767638911520294</v>
      </c>
      <c r="E1942" s="12">
        <f t="shared" si="30"/>
        <v>43380</v>
      </c>
    </row>
    <row r="1943" spans="1:5" x14ac:dyDescent="0.25">
      <c r="A1943" s="2">
        <f>IF(B1943="","",SUBTOTAL(3,$B$2:B1943))</f>
        <v>1942</v>
      </c>
      <c r="B1943" s="9" t="s">
        <v>50</v>
      </c>
      <c r="C1943" s="10" t="s">
        <v>54</v>
      </c>
      <c r="D1943" s="11">
        <v>176.3668430335097</v>
      </c>
      <c r="E1943" s="12">
        <f t="shared" si="30"/>
        <v>43381</v>
      </c>
    </row>
    <row r="1944" spans="1:5" x14ac:dyDescent="0.25">
      <c r="A1944" s="2">
        <f>IF(B1944="","",SUBTOTAL(3,$B$2:B1944))</f>
        <v>1943</v>
      </c>
      <c r="B1944" s="9" t="s">
        <v>50</v>
      </c>
      <c r="C1944" s="10" t="s">
        <v>49</v>
      </c>
      <c r="D1944" s="11">
        <v>94.841534391534395</v>
      </c>
      <c r="E1944" s="12">
        <f t="shared" si="30"/>
        <v>43382</v>
      </c>
    </row>
    <row r="1945" spans="1:5" x14ac:dyDescent="0.25">
      <c r="A1945" s="2">
        <f>IF(B1945="","",SUBTOTAL(3,$B$2:B1945))</f>
        <v>1944</v>
      </c>
      <c r="B1945" s="9" t="s">
        <v>55</v>
      </c>
      <c r="C1945" s="10" t="s">
        <v>57</v>
      </c>
      <c r="D1945" s="11">
        <v>20</v>
      </c>
      <c r="E1945" s="12">
        <f t="shared" si="30"/>
        <v>43383</v>
      </c>
    </row>
    <row r="1946" spans="1:5" x14ac:dyDescent="0.25">
      <c r="A1946" s="2">
        <f>IF(B1946="","",SUBTOTAL(3,$B$2:B1946))</f>
        <v>1945</v>
      </c>
      <c r="B1946" s="9" t="s">
        <v>48</v>
      </c>
      <c r="C1946" s="10" t="s">
        <v>52</v>
      </c>
      <c r="D1946" s="11">
        <v>68.941744226128904</v>
      </c>
      <c r="E1946" s="12">
        <f t="shared" si="30"/>
        <v>43384</v>
      </c>
    </row>
    <row r="1947" spans="1:5" x14ac:dyDescent="0.25">
      <c r="A1947" s="2">
        <f>IF(B1947="","",SUBTOTAL(3,$B$2:B1947))</f>
        <v>1946</v>
      </c>
      <c r="B1947" s="9" t="s">
        <v>48</v>
      </c>
      <c r="C1947" s="10" t="s">
        <v>49</v>
      </c>
      <c r="D1947" s="11">
        <v>154.03573629081947</v>
      </c>
      <c r="E1947" s="12">
        <f t="shared" si="30"/>
        <v>43385</v>
      </c>
    </row>
    <row r="1948" spans="1:5" x14ac:dyDescent="0.25">
      <c r="A1948" s="2">
        <f>IF(B1948="","",SUBTOTAL(3,$B$2:B1948))</f>
        <v>1947</v>
      </c>
      <c r="B1948" s="9" t="s">
        <v>51</v>
      </c>
      <c r="C1948" s="10" t="s">
        <v>52</v>
      </c>
      <c r="D1948" s="11">
        <v>105.89854918987609</v>
      </c>
      <c r="E1948" s="12">
        <f t="shared" si="30"/>
        <v>43386</v>
      </c>
    </row>
    <row r="1949" spans="1:5" x14ac:dyDescent="0.25">
      <c r="A1949" s="2">
        <f>IF(B1949="","",SUBTOTAL(3,$B$2:B1949))</f>
        <v>1948</v>
      </c>
      <c r="B1949" s="9" t="s">
        <v>48</v>
      </c>
      <c r="C1949" s="10" t="s">
        <v>52</v>
      </c>
      <c r="D1949" s="11">
        <v>46.210720887245841</v>
      </c>
      <c r="E1949" s="12">
        <f t="shared" si="30"/>
        <v>43387</v>
      </c>
    </row>
    <row r="1950" spans="1:5" x14ac:dyDescent="0.25">
      <c r="A1950" s="2">
        <f>IF(B1950="","",SUBTOTAL(3,$B$2:B1950))</f>
        <v>1949</v>
      </c>
      <c r="B1950" s="9" t="s">
        <v>48</v>
      </c>
      <c r="C1950" s="10" t="s">
        <v>52</v>
      </c>
      <c r="D1950" s="11">
        <v>46.210720887245841</v>
      </c>
      <c r="E1950" s="12">
        <f t="shared" si="30"/>
        <v>43388</v>
      </c>
    </row>
    <row r="1951" spans="1:5" x14ac:dyDescent="0.25">
      <c r="A1951" s="2">
        <f>IF(B1951="","",SUBTOTAL(3,$B$2:B1951))</f>
        <v>1950</v>
      </c>
      <c r="B1951" s="9" t="s">
        <v>48</v>
      </c>
      <c r="C1951" s="10" t="s">
        <v>52</v>
      </c>
      <c r="D1951" s="11">
        <v>46.210720887245841</v>
      </c>
      <c r="E1951" s="12">
        <f t="shared" si="30"/>
        <v>43389</v>
      </c>
    </row>
    <row r="1952" spans="1:5" x14ac:dyDescent="0.25">
      <c r="A1952" s="2">
        <f>IF(B1952="","",SUBTOTAL(3,$B$2:B1952))</f>
        <v>1951</v>
      </c>
      <c r="B1952" s="9" t="s">
        <v>50</v>
      </c>
      <c r="C1952" s="10" t="s">
        <v>52</v>
      </c>
      <c r="D1952" s="11">
        <v>66.137566137566139</v>
      </c>
      <c r="E1952" s="12">
        <f t="shared" si="30"/>
        <v>43390</v>
      </c>
    </row>
    <row r="1953" spans="1:5" x14ac:dyDescent="0.25">
      <c r="A1953" s="2">
        <f>IF(B1953="","",SUBTOTAL(3,$B$2:B1953))</f>
        <v>1952</v>
      </c>
      <c r="B1953" s="9" t="s">
        <v>48</v>
      </c>
      <c r="C1953" s="10" t="s">
        <v>52</v>
      </c>
      <c r="D1953" s="11">
        <v>128.48020762401552</v>
      </c>
      <c r="E1953" s="12">
        <f t="shared" si="30"/>
        <v>43391</v>
      </c>
    </row>
    <row r="1954" spans="1:5" x14ac:dyDescent="0.25">
      <c r="A1954" s="2">
        <f>IF(B1954="","",SUBTOTAL(3,$B$2:B1954))</f>
        <v>1953</v>
      </c>
      <c r="B1954" s="9" t="s">
        <v>48</v>
      </c>
      <c r="C1954" s="10" t="s">
        <v>49</v>
      </c>
      <c r="D1954" s="11">
        <v>25.696041524803107</v>
      </c>
      <c r="E1954" s="12">
        <f t="shared" si="30"/>
        <v>43392</v>
      </c>
    </row>
    <row r="1955" spans="1:5" x14ac:dyDescent="0.25">
      <c r="A1955" s="2">
        <f>IF(B1955="","",SUBTOTAL(3,$B$2:B1955))</f>
        <v>1954</v>
      </c>
      <c r="B1955" s="9" t="s">
        <v>53</v>
      </c>
      <c r="C1955" s="10" t="s">
        <v>49</v>
      </c>
      <c r="D1955" s="11">
        <v>146.5375914715122</v>
      </c>
      <c r="E1955" s="12">
        <f t="shared" si="30"/>
        <v>43393</v>
      </c>
    </row>
    <row r="1956" spans="1:5" x14ac:dyDescent="0.25">
      <c r="A1956" s="2">
        <f>IF(B1956="","",SUBTOTAL(3,$B$2:B1956))</f>
        <v>1955</v>
      </c>
      <c r="B1956" s="9" t="s">
        <v>48</v>
      </c>
      <c r="C1956" s="10" t="s">
        <v>54</v>
      </c>
      <c r="D1956" s="11">
        <v>38.54406228720466</v>
      </c>
      <c r="E1956" s="12">
        <f t="shared" si="30"/>
        <v>43394</v>
      </c>
    </row>
    <row r="1957" spans="1:5" x14ac:dyDescent="0.25">
      <c r="A1957" s="2">
        <f>IF(B1957="","",SUBTOTAL(3,$B$2:B1957))</f>
        <v>1956</v>
      </c>
      <c r="B1957" s="9" t="s">
        <v>48</v>
      </c>
      <c r="C1957" s="10" t="s">
        <v>52</v>
      </c>
      <c r="D1957" s="11">
        <v>154.03573629081947</v>
      </c>
      <c r="E1957" s="12">
        <f t="shared" si="30"/>
        <v>43395</v>
      </c>
    </row>
    <row r="1958" spans="1:5" x14ac:dyDescent="0.25">
      <c r="A1958" s="2">
        <f>IF(B1958="","",SUBTOTAL(3,$B$2:B1958))</f>
        <v>1957</v>
      </c>
      <c r="B1958" s="9" t="s">
        <v>48</v>
      </c>
      <c r="C1958" s="10" t="s">
        <v>49</v>
      </c>
      <c r="D1958" s="11">
        <v>77.017868145409736</v>
      </c>
      <c r="E1958" s="12">
        <f t="shared" si="30"/>
        <v>43396</v>
      </c>
    </row>
    <row r="1959" spans="1:5" x14ac:dyDescent="0.25">
      <c r="A1959" s="2">
        <f>IF(B1959="","",SUBTOTAL(3,$B$2:B1959))</f>
        <v>1958</v>
      </c>
      <c r="B1959" s="9" t="s">
        <v>48</v>
      </c>
      <c r="C1959" s="10" t="s">
        <v>49</v>
      </c>
      <c r="D1959" s="11">
        <v>420.48407445708375</v>
      </c>
      <c r="E1959" s="12">
        <f t="shared" si="30"/>
        <v>43397</v>
      </c>
    </row>
    <row r="1960" spans="1:5" x14ac:dyDescent="0.25">
      <c r="A1960" s="2">
        <f>IF(B1960="","",SUBTOTAL(3,$B$2:B1960))</f>
        <v>1959</v>
      </c>
      <c r="B1960" s="9" t="s">
        <v>51</v>
      </c>
      <c r="C1960" s="10" t="s">
        <v>49</v>
      </c>
      <c r="D1960" s="11">
        <v>63.539129513925651</v>
      </c>
      <c r="E1960" s="12">
        <f t="shared" si="30"/>
        <v>43398</v>
      </c>
    </row>
    <row r="1961" spans="1:5" x14ac:dyDescent="0.25">
      <c r="A1961" s="2">
        <f>IF(B1961="","",SUBTOTAL(3,$B$2:B1961))</f>
        <v>1960</v>
      </c>
      <c r="B1961" s="9" t="s">
        <v>48</v>
      </c>
      <c r="C1961" s="10" t="s">
        <v>49</v>
      </c>
      <c r="D1961" s="11">
        <v>46.210720887245841</v>
      </c>
      <c r="E1961" s="12">
        <f t="shared" si="30"/>
        <v>43399</v>
      </c>
    </row>
    <row r="1962" spans="1:5" x14ac:dyDescent="0.25">
      <c r="A1962" s="2">
        <f>IF(B1962="","",SUBTOTAL(3,$B$2:B1962))</f>
        <v>1961</v>
      </c>
      <c r="B1962" s="9" t="s">
        <v>48</v>
      </c>
      <c r="C1962" s="10" t="s">
        <v>54</v>
      </c>
      <c r="D1962" s="11">
        <v>55.452865064695011</v>
      </c>
      <c r="E1962" s="12">
        <f t="shared" si="30"/>
        <v>43400</v>
      </c>
    </row>
    <row r="1963" spans="1:5" x14ac:dyDescent="0.25">
      <c r="A1963" s="2">
        <f>IF(B1963="","",SUBTOTAL(3,$B$2:B1963))</f>
        <v>1962</v>
      </c>
      <c r="B1963" s="9" t="s">
        <v>48</v>
      </c>
      <c r="C1963" s="10" t="s">
        <v>49</v>
      </c>
      <c r="D1963" s="11">
        <v>107.82501540357363</v>
      </c>
      <c r="E1963" s="12">
        <f t="shared" si="30"/>
        <v>43401</v>
      </c>
    </row>
    <row r="1964" spans="1:5" x14ac:dyDescent="0.25">
      <c r="A1964" s="2">
        <f>IF(B1964="","",SUBTOTAL(3,$B$2:B1964))</f>
        <v>1963</v>
      </c>
      <c r="B1964" s="9" t="s">
        <v>50</v>
      </c>
      <c r="C1964" s="10" t="s">
        <v>52</v>
      </c>
      <c r="D1964" s="11">
        <v>88.183421516754848</v>
      </c>
      <c r="E1964" s="12">
        <f t="shared" si="30"/>
        <v>43402</v>
      </c>
    </row>
    <row r="1965" spans="1:5" x14ac:dyDescent="0.25">
      <c r="A1965" s="2">
        <f>IF(B1965="","",SUBTOTAL(3,$B$2:B1965))</f>
        <v>1964</v>
      </c>
      <c r="B1965" s="9" t="s">
        <v>50</v>
      </c>
      <c r="C1965" s="10" t="s">
        <v>49</v>
      </c>
      <c r="D1965" s="11">
        <v>55.114638447971785</v>
      </c>
      <c r="E1965" s="12">
        <f t="shared" si="30"/>
        <v>43403</v>
      </c>
    </row>
    <row r="1966" spans="1:5" x14ac:dyDescent="0.25">
      <c r="A1966" s="2">
        <f>IF(B1966="","",SUBTOTAL(3,$B$2:B1966))</f>
        <v>1965</v>
      </c>
      <c r="B1966" s="9" t="s">
        <v>55</v>
      </c>
      <c r="C1966" s="10" t="s">
        <v>49</v>
      </c>
      <c r="D1966" s="11">
        <v>4.123893272438913</v>
      </c>
      <c r="E1966" s="12">
        <f t="shared" si="30"/>
        <v>43404</v>
      </c>
    </row>
    <row r="1967" spans="1:5" x14ac:dyDescent="0.25">
      <c r="A1967" s="2">
        <f>IF(B1967="","",SUBTOTAL(3,$B$2:B1967))</f>
        <v>1966</v>
      </c>
      <c r="B1967" s="9" t="s">
        <v>50</v>
      </c>
      <c r="C1967" s="10" t="s">
        <v>49</v>
      </c>
      <c r="D1967" s="11">
        <v>97.934215167548501</v>
      </c>
      <c r="E1967" s="12">
        <f t="shared" si="30"/>
        <v>43405</v>
      </c>
    </row>
    <row r="1968" spans="1:5" x14ac:dyDescent="0.25">
      <c r="A1968" s="2">
        <f>IF(B1968="","",SUBTOTAL(3,$B$2:B1968))</f>
        <v>1967</v>
      </c>
      <c r="B1968" s="9" t="s">
        <v>50</v>
      </c>
      <c r="C1968" s="10" t="s">
        <v>54</v>
      </c>
      <c r="D1968" s="11">
        <v>3.607804232804233</v>
      </c>
      <c r="E1968" s="12">
        <f t="shared" si="30"/>
        <v>43406</v>
      </c>
    </row>
    <row r="1969" spans="1:5" x14ac:dyDescent="0.25">
      <c r="A1969" s="2">
        <f>IF(B1969="","",SUBTOTAL(3,$B$2:B1969))</f>
        <v>1968</v>
      </c>
      <c r="B1969" s="9" t="s">
        <v>48</v>
      </c>
      <c r="C1969" s="10" t="s">
        <v>52</v>
      </c>
      <c r="D1969" s="11">
        <v>46.210720887245841</v>
      </c>
      <c r="E1969" s="12">
        <f t="shared" si="30"/>
        <v>43407</v>
      </c>
    </row>
    <row r="1970" spans="1:5" x14ac:dyDescent="0.25">
      <c r="A1970" s="2">
        <f>IF(B1970="","",SUBTOTAL(3,$B$2:B1970))</f>
        <v>1969</v>
      </c>
      <c r="B1970" s="9" t="s">
        <v>48</v>
      </c>
      <c r="C1970" s="10" t="s">
        <v>49</v>
      </c>
      <c r="D1970" s="11">
        <v>154.03573629081947</v>
      </c>
      <c r="E1970" s="12">
        <f t="shared" si="30"/>
        <v>43408</v>
      </c>
    </row>
    <row r="1971" spans="1:5" x14ac:dyDescent="0.25">
      <c r="A1971" s="2">
        <f>IF(B1971="","",SUBTOTAL(3,$B$2:B1971))</f>
        <v>1970</v>
      </c>
      <c r="B1971" s="9" t="s">
        <v>55</v>
      </c>
      <c r="C1971" s="10" t="s">
        <v>49</v>
      </c>
      <c r="D1971" s="11">
        <v>65.178425941013529</v>
      </c>
      <c r="E1971" s="12">
        <f t="shared" si="30"/>
        <v>43409</v>
      </c>
    </row>
    <row r="1972" spans="1:5" x14ac:dyDescent="0.25">
      <c r="A1972" s="2">
        <f>IF(B1972="","",SUBTOTAL(3,$B$2:B1972))</f>
        <v>1971</v>
      </c>
      <c r="B1972" s="9" t="s">
        <v>48</v>
      </c>
      <c r="C1972" s="10" t="s">
        <v>52</v>
      </c>
      <c r="D1972" s="11">
        <v>308.07147258163894</v>
      </c>
      <c r="E1972" s="12">
        <f t="shared" si="30"/>
        <v>43410</v>
      </c>
    </row>
    <row r="1973" spans="1:5" x14ac:dyDescent="0.25">
      <c r="A1973" s="2">
        <f>IF(B1973="","",SUBTOTAL(3,$B$2:B1973))</f>
        <v>1972</v>
      </c>
      <c r="B1973" s="9" t="s">
        <v>48</v>
      </c>
      <c r="C1973" s="10" t="s">
        <v>52</v>
      </c>
      <c r="D1973" s="11">
        <v>308.07147258163894</v>
      </c>
      <c r="E1973" s="12">
        <f t="shared" si="30"/>
        <v>43411</v>
      </c>
    </row>
    <row r="1974" spans="1:5" x14ac:dyDescent="0.25">
      <c r="A1974" s="2">
        <f>IF(B1974="","",SUBTOTAL(3,$B$2:B1974))</f>
        <v>1973</v>
      </c>
      <c r="B1974" s="9" t="s">
        <v>48</v>
      </c>
      <c r="C1974" s="10" t="s">
        <v>52</v>
      </c>
      <c r="D1974" s="11">
        <v>46.210720887245841</v>
      </c>
      <c r="E1974" s="12">
        <f t="shared" si="30"/>
        <v>43412</v>
      </c>
    </row>
    <row r="1975" spans="1:5" x14ac:dyDescent="0.25">
      <c r="A1975" s="2">
        <f>IF(B1975="","",SUBTOTAL(3,$B$2:B1975))</f>
        <v>1974</v>
      </c>
      <c r="B1975" s="9" t="s">
        <v>51</v>
      </c>
      <c r="C1975" s="10" t="s">
        <v>49</v>
      </c>
      <c r="D1975" s="11">
        <v>211.79709837975219</v>
      </c>
      <c r="E1975" s="12">
        <f t="shared" si="30"/>
        <v>43413</v>
      </c>
    </row>
    <row r="1976" spans="1:5" x14ac:dyDescent="0.25">
      <c r="A1976" s="2">
        <f>IF(B1976="","",SUBTOTAL(3,$B$2:B1976))</f>
        <v>1975</v>
      </c>
      <c r="B1976" s="9" t="s">
        <v>48</v>
      </c>
      <c r="C1976" s="10" t="s">
        <v>52</v>
      </c>
      <c r="D1976" s="11">
        <v>46.210720887245841</v>
      </c>
      <c r="E1976" s="12">
        <f t="shared" si="30"/>
        <v>43414</v>
      </c>
    </row>
    <row r="1977" spans="1:5" x14ac:dyDescent="0.25">
      <c r="A1977" s="2">
        <f>IF(B1977="","",SUBTOTAL(3,$B$2:B1977))</f>
        <v>1976</v>
      </c>
      <c r="B1977" s="9" t="s">
        <v>48</v>
      </c>
      <c r="C1977" s="10" t="s">
        <v>52</v>
      </c>
      <c r="D1977" s="11">
        <v>46.210720887245841</v>
      </c>
      <c r="E1977" s="12">
        <f t="shared" si="30"/>
        <v>43415</v>
      </c>
    </row>
    <row r="1978" spans="1:5" x14ac:dyDescent="0.25">
      <c r="A1978" s="2">
        <f>IF(B1978="","",SUBTOTAL(3,$B$2:B1978))</f>
        <v>1977</v>
      </c>
      <c r="B1978" s="9" t="s">
        <v>55</v>
      </c>
      <c r="C1978" s="10" t="s">
        <v>49</v>
      </c>
      <c r="D1978" s="11">
        <v>0.58660583346912176</v>
      </c>
      <c r="E1978" s="12">
        <f t="shared" si="30"/>
        <v>43416</v>
      </c>
    </row>
    <row r="1979" spans="1:5" x14ac:dyDescent="0.25">
      <c r="A1979" s="2">
        <f>IF(B1979="","",SUBTOTAL(3,$B$2:B1979))</f>
        <v>1978</v>
      </c>
      <c r="B1979" s="9" t="s">
        <v>55</v>
      </c>
      <c r="C1979" s="10" t="s">
        <v>49</v>
      </c>
      <c r="D1979" s="11">
        <v>0.55800000000000005</v>
      </c>
      <c r="E1979" s="12">
        <f t="shared" si="30"/>
        <v>43417</v>
      </c>
    </row>
    <row r="1980" spans="1:5" x14ac:dyDescent="0.25">
      <c r="A1980" s="2">
        <f>IF(B1980="","",SUBTOTAL(3,$B$2:B1980))</f>
        <v>1979</v>
      </c>
      <c r="B1980" s="9" t="s">
        <v>48</v>
      </c>
      <c r="C1980" s="10" t="s">
        <v>54</v>
      </c>
      <c r="D1980" s="11">
        <v>46.210720887245841</v>
      </c>
      <c r="E1980" s="12">
        <f t="shared" si="30"/>
        <v>43418</v>
      </c>
    </row>
    <row r="1981" spans="1:5" x14ac:dyDescent="0.25">
      <c r="A1981" s="2">
        <f>IF(B1981="","",SUBTOTAL(3,$B$2:B1981))</f>
        <v>1980</v>
      </c>
      <c r="B1981" s="9" t="s">
        <v>48</v>
      </c>
      <c r="C1981" s="10" t="s">
        <v>49</v>
      </c>
      <c r="D1981" s="11">
        <v>30.807147258163894</v>
      </c>
      <c r="E1981" s="12">
        <f t="shared" si="30"/>
        <v>43419</v>
      </c>
    </row>
    <row r="1982" spans="1:5" x14ac:dyDescent="0.25">
      <c r="A1982" s="2">
        <f>IF(B1982="","",SUBTOTAL(3,$B$2:B1982))</f>
        <v>1981</v>
      </c>
      <c r="B1982" s="9" t="s">
        <v>48</v>
      </c>
      <c r="C1982" s="10" t="s">
        <v>49</v>
      </c>
      <c r="D1982" s="11">
        <v>30.807147258163894</v>
      </c>
      <c r="E1982" s="12">
        <f t="shared" si="30"/>
        <v>43420</v>
      </c>
    </row>
    <row r="1983" spans="1:5" x14ac:dyDescent="0.25">
      <c r="A1983" s="2">
        <f>IF(B1983="","",SUBTOTAL(3,$B$2:B1983))</f>
        <v>1982</v>
      </c>
      <c r="B1983" s="9" t="s">
        <v>55</v>
      </c>
      <c r="C1983" s="10" t="s">
        <v>49</v>
      </c>
      <c r="D1983" s="11">
        <v>0.55800000000000005</v>
      </c>
      <c r="E1983" s="12">
        <f t="shared" si="30"/>
        <v>43421</v>
      </c>
    </row>
    <row r="1984" spans="1:5" x14ac:dyDescent="0.25">
      <c r="A1984" s="2">
        <f>IF(B1984="","",SUBTOTAL(3,$B$2:B1984))</f>
        <v>1983</v>
      </c>
      <c r="B1984" s="9" t="s">
        <v>48</v>
      </c>
      <c r="C1984" s="10" t="s">
        <v>52</v>
      </c>
      <c r="D1984" s="11">
        <v>80</v>
      </c>
      <c r="E1984" s="12">
        <f t="shared" si="30"/>
        <v>43422</v>
      </c>
    </row>
    <row r="1985" spans="1:5" x14ac:dyDescent="0.25">
      <c r="A1985" s="2">
        <f>IF(B1985="","",SUBTOTAL(3,$B$2:B1985))</f>
        <v>1984</v>
      </c>
      <c r="B1985" s="9" t="s">
        <v>48</v>
      </c>
      <c r="C1985" s="10" t="s">
        <v>52</v>
      </c>
      <c r="D1985" s="11">
        <v>100.2145619467321</v>
      </c>
      <c r="E1985" s="12">
        <f t="shared" si="30"/>
        <v>43423</v>
      </c>
    </row>
    <row r="1986" spans="1:5" x14ac:dyDescent="0.25">
      <c r="A1986" s="2">
        <f>IF(B1986="","",SUBTOTAL(3,$B$2:B1986))</f>
        <v>1985</v>
      </c>
      <c r="B1986" s="9" t="s">
        <v>48</v>
      </c>
      <c r="C1986" s="10" t="s">
        <v>49</v>
      </c>
      <c r="D1986" s="11">
        <v>15.403573629081947</v>
      </c>
      <c r="E1986" s="12">
        <f t="shared" si="30"/>
        <v>43424</v>
      </c>
    </row>
    <row r="1987" spans="1:5" x14ac:dyDescent="0.25">
      <c r="A1987" s="2">
        <f>IF(B1987="","",SUBTOTAL(3,$B$2:B1987))</f>
        <v>1986</v>
      </c>
      <c r="B1987" s="9" t="s">
        <v>48</v>
      </c>
      <c r="C1987" s="10" t="s">
        <v>49</v>
      </c>
      <c r="D1987" s="11">
        <v>15.403573629081947</v>
      </c>
      <c r="E1987" s="12">
        <f t="shared" si="30"/>
        <v>43425</v>
      </c>
    </row>
    <row r="1988" spans="1:5" x14ac:dyDescent="0.25">
      <c r="A1988" s="2">
        <f>IF(B1988="","",SUBTOTAL(3,$B$2:B1988))</f>
        <v>1987</v>
      </c>
      <c r="B1988" s="9" t="s">
        <v>48</v>
      </c>
      <c r="C1988" s="10" t="s">
        <v>49</v>
      </c>
      <c r="D1988" s="11">
        <v>15.403573629081947</v>
      </c>
      <c r="E1988" s="12">
        <f t="shared" ref="E1988:E2051" si="31">E1987+1</f>
        <v>43426</v>
      </c>
    </row>
    <row r="1989" spans="1:5" x14ac:dyDescent="0.25">
      <c r="A1989" s="2">
        <f>IF(B1989="","",SUBTOTAL(3,$B$2:B1989))</f>
        <v>1988</v>
      </c>
      <c r="B1989" s="9" t="s">
        <v>48</v>
      </c>
      <c r="C1989" s="10" t="s">
        <v>49</v>
      </c>
      <c r="D1989" s="11">
        <v>15.403573629081947</v>
      </c>
      <c r="E1989" s="12">
        <f t="shared" si="31"/>
        <v>43427</v>
      </c>
    </row>
    <row r="1990" spans="1:5" x14ac:dyDescent="0.25">
      <c r="A1990" s="2">
        <f>IF(B1990="","",SUBTOTAL(3,$B$2:B1990))</f>
        <v>1989</v>
      </c>
      <c r="B1990" s="9" t="s">
        <v>48</v>
      </c>
      <c r="C1990" s="10" t="s">
        <v>49</v>
      </c>
      <c r="D1990" s="11">
        <v>15.403573629081947</v>
      </c>
      <c r="E1990" s="12">
        <f t="shared" si="31"/>
        <v>43428</v>
      </c>
    </row>
    <row r="1991" spans="1:5" x14ac:dyDescent="0.25">
      <c r="A1991" s="2">
        <f>IF(B1991="","",SUBTOTAL(3,$B$2:B1991))</f>
        <v>1990</v>
      </c>
      <c r="B1991" s="9" t="s">
        <v>48</v>
      </c>
      <c r="C1991" s="10" t="s">
        <v>49</v>
      </c>
      <c r="D1991" s="11">
        <v>15.403573629081947</v>
      </c>
      <c r="E1991" s="12">
        <f t="shared" si="31"/>
        <v>43429</v>
      </c>
    </row>
    <row r="1992" spans="1:5" x14ac:dyDescent="0.25">
      <c r="A1992" s="2">
        <f>IF(B1992="","",SUBTOTAL(3,$B$2:B1992))</f>
        <v>1991</v>
      </c>
      <c r="B1992" s="9" t="s">
        <v>48</v>
      </c>
      <c r="C1992" s="10" t="s">
        <v>49</v>
      </c>
      <c r="D1992" s="11">
        <v>15.403573629081947</v>
      </c>
      <c r="E1992" s="12">
        <f t="shared" si="31"/>
        <v>43430</v>
      </c>
    </row>
    <row r="1993" spans="1:5" x14ac:dyDescent="0.25">
      <c r="A1993" s="2">
        <f>IF(B1993="","",SUBTOTAL(3,$B$2:B1993))</f>
        <v>1992</v>
      </c>
      <c r="B1993" s="9" t="s">
        <v>48</v>
      </c>
      <c r="C1993" s="10" t="s">
        <v>49</v>
      </c>
      <c r="D1993" s="11">
        <v>30.807147258163894</v>
      </c>
      <c r="E1993" s="12">
        <f t="shared" si="31"/>
        <v>43431</v>
      </c>
    </row>
    <row r="1994" spans="1:5" x14ac:dyDescent="0.25">
      <c r="A1994" s="2">
        <f>IF(B1994="","",SUBTOTAL(3,$B$2:B1994))</f>
        <v>1993</v>
      </c>
      <c r="B1994" s="9" t="s">
        <v>48</v>
      </c>
      <c r="C1994" s="10" t="s">
        <v>49</v>
      </c>
      <c r="D1994" s="11">
        <v>30.807147258163894</v>
      </c>
      <c r="E1994" s="12">
        <f t="shared" si="31"/>
        <v>43432</v>
      </c>
    </row>
    <row r="1995" spans="1:5" x14ac:dyDescent="0.25">
      <c r="A1995" s="2">
        <f>IF(B1995="","",SUBTOTAL(3,$B$2:B1995))</f>
        <v>1994</v>
      </c>
      <c r="B1995" s="9" t="s">
        <v>48</v>
      </c>
      <c r="C1995" s="10" t="s">
        <v>49</v>
      </c>
      <c r="D1995" s="11">
        <v>58.533579790511403</v>
      </c>
      <c r="E1995" s="12">
        <f t="shared" si="31"/>
        <v>43433</v>
      </c>
    </row>
    <row r="1996" spans="1:5" x14ac:dyDescent="0.25">
      <c r="A1996" s="2">
        <f>IF(B1996="","",SUBTOTAL(3,$B$2:B1996))</f>
        <v>1995</v>
      </c>
      <c r="B1996" s="9" t="s">
        <v>48</v>
      </c>
      <c r="C1996" s="10" t="s">
        <v>49</v>
      </c>
      <c r="D1996" s="11">
        <v>30.807147258163894</v>
      </c>
      <c r="E1996" s="12">
        <f t="shared" si="31"/>
        <v>43434</v>
      </c>
    </row>
    <row r="1997" spans="1:5" x14ac:dyDescent="0.25">
      <c r="A1997" s="2">
        <f>IF(B1997="","",SUBTOTAL(3,$B$2:B1997))</f>
        <v>1996</v>
      </c>
      <c r="B1997" s="9" t="s">
        <v>48</v>
      </c>
      <c r="C1997" s="10" t="s">
        <v>49</v>
      </c>
      <c r="D1997" s="11">
        <v>30.807147258163894</v>
      </c>
      <c r="E1997" s="12">
        <f t="shared" si="31"/>
        <v>43435</v>
      </c>
    </row>
    <row r="1998" spans="1:5" x14ac:dyDescent="0.25">
      <c r="A1998" s="2">
        <f>IF(B1998="","",SUBTOTAL(3,$B$2:B1998))</f>
        <v>1997</v>
      </c>
      <c r="B1998" s="9" t="s">
        <v>48</v>
      </c>
      <c r="C1998" s="10" t="s">
        <v>49</v>
      </c>
      <c r="D1998" s="11">
        <v>30.807147258163894</v>
      </c>
      <c r="E1998" s="12">
        <f t="shared" si="31"/>
        <v>43436</v>
      </c>
    </row>
    <row r="1999" spans="1:5" x14ac:dyDescent="0.25">
      <c r="A1999" s="2">
        <f>IF(B1999="","",SUBTOTAL(3,$B$2:B1999))</f>
        <v>1998</v>
      </c>
      <c r="B1999" s="9" t="s">
        <v>48</v>
      </c>
      <c r="C1999" s="10" t="s">
        <v>49</v>
      </c>
      <c r="D1999" s="11">
        <v>30.807147258163894</v>
      </c>
      <c r="E1999" s="12">
        <f t="shared" si="31"/>
        <v>43437</v>
      </c>
    </row>
    <row r="2000" spans="1:5" x14ac:dyDescent="0.25">
      <c r="A2000" s="2">
        <f>IF(B2000="","",SUBTOTAL(3,$B$2:B2000))</f>
        <v>1999</v>
      </c>
      <c r="B2000" s="9" t="s">
        <v>48</v>
      </c>
      <c r="C2000" s="10" t="s">
        <v>49</v>
      </c>
      <c r="D2000" s="11">
        <v>30.807147258163894</v>
      </c>
      <c r="E2000" s="12">
        <f t="shared" si="31"/>
        <v>43438</v>
      </c>
    </row>
    <row r="2001" spans="1:5" x14ac:dyDescent="0.25">
      <c r="A2001" s="2">
        <f>IF(B2001="","",SUBTOTAL(3,$B$2:B2001))</f>
        <v>2000</v>
      </c>
      <c r="B2001" s="9" t="s">
        <v>48</v>
      </c>
      <c r="C2001" s="10" t="s">
        <v>49</v>
      </c>
      <c r="D2001" s="11">
        <v>30.807147258163894</v>
      </c>
      <c r="E2001" s="12">
        <f t="shared" si="31"/>
        <v>43439</v>
      </c>
    </row>
    <row r="2002" spans="1:5" x14ac:dyDescent="0.25">
      <c r="A2002" s="2">
        <f>IF(B2002="","",SUBTOTAL(3,$B$2:B2002))</f>
        <v>2001</v>
      </c>
      <c r="B2002" s="9" t="s">
        <v>48</v>
      </c>
      <c r="C2002" s="10" t="s">
        <v>49</v>
      </c>
      <c r="D2002" s="11">
        <v>246.60597658656809</v>
      </c>
      <c r="E2002" s="12">
        <f t="shared" si="31"/>
        <v>43440</v>
      </c>
    </row>
    <row r="2003" spans="1:5" x14ac:dyDescent="0.25">
      <c r="A2003" s="2">
        <f>IF(B2003="","",SUBTOTAL(3,$B$2:B2003))</f>
        <v>2002</v>
      </c>
      <c r="B2003" s="9" t="s">
        <v>50</v>
      </c>
      <c r="C2003" s="10" t="s">
        <v>52</v>
      </c>
      <c r="D2003" s="11">
        <v>132.27513227513228</v>
      </c>
      <c r="E2003" s="12">
        <f t="shared" si="31"/>
        <v>43441</v>
      </c>
    </row>
    <row r="2004" spans="1:5" x14ac:dyDescent="0.25">
      <c r="A2004" s="2">
        <f>IF(B2004="","",SUBTOTAL(3,$B$2:B2004))</f>
        <v>2003</v>
      </c>
      <c r="B2004" s="9" t="s">
        <v>50</v>
      </c>
      <c r="C2004" s="10" t="s">
        <v>52</v>
      </c>
      <c r="D2004" s="11">
        <v>132.27513227513228</v>
      </c>
      <c r="E2004" s="12">
        <f t="shared" si="31"/>
        <v>43442</v>
      </c>
    </row>
    <row r="2005" spans="1:5" x14ac:dyDescent="0.25">
      <c r="A2005" s="2">
        <f>IF(B2005="","",SUBTOTAL(3,$B$2:B2005))</f>
        <v>2004</v>
      </c>
      <c r="B2005" s="9" t="s">
        <v>48</v>
      </c>
      <c r="C2005" s="10" t="s">
        <v>54</v>
      </c>
      <c r="D2005" s="11">
        <v>23.105360443622921</v>
      </c>
      <c r="E2005" s="12">
        <f t="shared" si="31"/>
        <v>43443</v>
      </c>
    </row>
    <row r="2006" spans="1:5" x14ac:dyDescent="0.25">
      <c r="A2006" s="2">
        <f>IF(B2006="","",SUBTOTAL(3,$B$2:B2006))</f>
        <v>2005</v>
      </c>
      <c r="B2006" s="9" t="s">
        <v>48</v>
      </c>
      <c r="C2006" s="10" t="s">
        <v>52</v>
      </c>
      <c r="D2006" s="11">
        <v>123.22858903265558</v>
      </c>
      <c r="E2006" s="12">
        <f t="shared" si="31"/>
        <v>43444</v>
      </c>
    </row>
    <row r="2007" spans="1:5" x14ac:dyDescent="0.25">
      <c r="A2007" s="2">
        <f>IF(B2007="","",SUBTOTAL(3,$B$2:B2007))</f>
        <v>2006</v>
      </c>
      <c r="B2007" s="9" t="s">
        <v>48</v>
      </c>
      <c r="C2007" s="10" t="s">
        <v>52</v>
      </c>
      <c r="D2007" s="11">
        <v>154.03573629081947</v>
      </c>
      <c r="E2007" s="12">
        <f t="shared" si="31"/>
        <v>43445</v>
      </c>
    </row>
    <row r="2008" spans="1:5" x14ac:dyDescent="0.25">
      <c r="A2008" s="2">
        <f>IF(B2008="","",SUBTOTAL(3,$B$2:B2008))</f>
        <v>2007</v>
      </c>
      <c r="B2008" s="9" t="s">
        <v>48</v>
      </c>
      <c r="C2008" s="10" t="s">
        <v>52</v>
      </c>
      <c r="D2008" s="11">
        <v>154.03573629081947</v>
      </c>
      <c r="E2008" s="12">
        <f t="shared" si="31"/>
        <v>43446</v>
      </c>
    </row>
    <row r="2009" spans="1:5" x14ac:dyDescent="0.25">
      <c r="A2009" s="2">
        <f>IF(B2009="","",SUBTOTAL(3,$B$2:B2009))</f>
        <v>2008</v>
      </c>
      <c r="B2009" s="9" t="s">
        <v>48</v>
      </c>
      <c r="C2009" s="10" t="s">
        <v>52</v>
      </c>
      <c r="D2009" s="11">
        <v>184.84288354898337</v>
      </c>
      <c r="E2009" s="12">
        <f t="shared" si="31"/>
        <v>43447</v>
      </c>
    </row>
    <row r="2010" spans="1:5" x14ac:dyDescent="0.25">
      <c r="A2010" s="2">
        <f>IF(B2010="","",SUBTOTAL(3,$B$2:B2010))</f>
        <v>2009</v>
      </c>
      <c r="B2010" s="9" t="s">
        <v>48</v>
      </c>
      <c r="C2010" s="10" t="s">
        <v>52</v>
      </c>
      <c r="D2010" s="11">
        <v>154.03573629081947</v>
      </c>
      <c r="E2010" s="12">
        <f t="shared" si="31"/>
        <v>43448</v>
      </c>
    </row>
    <row r="2011" spans="1:5" x14ac:dyDescent="0.25">
      <c r="A2011" s="2">
        <f>IF(B2011="","",SUBTOTAL(3,$B$2:B2011))</f>
        <v>2010</v>
      </c>
      <c r="B2011" s="9" t="s">
        <v>55</v>
      </c>
      <c r="C2011" s="10" t="s">
        <v>49</v>
      </c>
      <c r="D2011" s="11">
        <v>123.5</v>
      </c>
      <c r="E2011" s="12">
        <f t="shared" si="31"/>
        <v>43449</v>
      </c>
    </row>
    <row r="2012" spans="1:5" x14ac:dyDescent="0.25">
      <c r="A2012" s="2">
        <f>IF(B2012="","",SUBTOTAL(3,$B$2:B2012))</f>
        <v>2011</v>
      </c>
      <c r="B2012" s="9" t="s">
        <v>51</v>
      </c>
      <c r="C2012" s="10" t="s">
        <v>52</v>
      </c>
      <c r="D2012" s="11">
        <v>158.84782378481412</v>
      </c>
      <c r="E2012" s="12">
        <f t="shared" si="31"/>
        <v>43450</v>
      </c>
    </row>
    <row r="2013" spans="1:5" x14ac:dyDescent="0.25">
      <c r="A2013" s="2">
        <f>IF(B2013="","",SUBTOTAL(3,$B$2:B2013))</f>
        <v>2012</v>
      </c>
      <c r="B2013" s="9" t="s">
        <v>48</v>
      </c>
      <c r="C2013" s="10" t="s">
        <v>49</v>
      </c>
      <c r="D2013" s="11">
        <v>72.388831437435371</v>
      </c>
      <c r="E2013" s="12">
        <f t="shared" si="31"/>
        <v>43451</v>
      </c>
    </row>
    <row r="2014" spans="1:5" x14ac:dyDescent="0.25">
      <c r="A2014" s="2">
        <f>IF(B2014="","",SUBTOTAL(3,$B$2:B2014))</f>
        <v>2013</v>
      </c>
      <c r="B2014" s="9" t="s">
        <v>48</v>
      </c>
      <c r="C2014" s="10" t="s">
        <v>49</v>
      </c>
      <c r="D2014" s="11">
        <v>15.403573629081947</v>
      </c>
      <c r="E2014" s="12">
        <f t="shared" si="31"/>
        <v>43452</v>
      </c>
    </row>
    <row r="2015" spans="1:5" x14ac:dyDescent="0.25">
      <c r="A2015" s="2">
        <f>IF(B2015="","",SUBTOTAL(3,$B$2:B2015))</f>
        <v>2014</v>
      </c>
      <c r="B2015" s="9" t="s">
        <v>48</v>
      </c>
      <c r="C2015" s="10" t="s">
        <v>49</v>
      </c>
      <c r="D2015" s="11">
        <v>15.403573629081947</v>
      </c>
      <c r="E2015" s="12">
        <f t="shared" si="31"/>
        <v>43453</v>
      </c>
    </row>
    <row r="2016" spans="1:5" x14ac:dyDescent="0.25">
      <c r="A2016" s="2">
        <f>IF(B2016="","",SUBTOTAL(3,$B$2:B2016))</f>
        <v>2015</v>
      </c>
      <c r="B2016" s="9" t="s">
        <v>48</v>
      </c>
      <c r="C2016" s="10" t="s">
        <v>49</v>
      </c>
      <c r="D2016" s="11">
        <v>15.403573629081947</v>
      </c>
      <c r="E2016" s="12">
        <f t="shared" si="31"/>
        <v>43454</v>
      </c>
    </row>
    <row r="2017" spans="1:5" x14ac:dyDescent="0.25">
      <c r="A2017" s="2">
        <f>IF(B2017="","",SUBTOTAL(3,$B$2:B2017))</f>
        <v>2016</v>
      </c>
      <c r="B2017" s="9" t="s">
        <v>48</v>
      </c>
      <c r="C2017" s="10" t="s">
        <v>49</v>
      </c>
      <c r="D2017" s="11">
        <v>15.403573629081947</v>
      </c>
      <c r="E2017" s="12">
        <f t="shared" si="31"/>
        <v>43455</v>
      </c>
    </row>
    <row r="2018" spans="1:5" x14ac:dyDescent="0.25">
      <c r="A2018" s="2">
        <f>IF(B2018="","",SUBTOTAL(3,$B$2:B2018))</f>
        <v>2017</v>
      </c>
      <c r="B2018" s="9" t="s">
        <v>48</v>
      </c>
      <c r="C2018" s="10" t="s">
        <v>49</v>
      </c>
      <c r="D2018" s="11">
        <v>15.403573629081947</v>
      </c>
      <c r="E2018" s="12">
        <f t="shared" si="31"/>
        <v>43456</v>
      </c>
    </row>
    <row r="2019" spans="1:5" x14ac:dyDescent="0.25">
      <c r="A2019" s="2">
        <f>IF(B2019="","",SUBTOTAL(3,$B$2:B2019))</f>
        <v>2018</v>
      </c>
      <c r="B2019" s="9" t="s">
        <v>48</v>
      </c>
      <c r="C2019" s="10" t="s">
        <v>49</v>
      </c>
      <c r="D2019" s="11">
        <v>15.403573629081947</v>
      </c>
      <c r="E2019" s="12">
        <f t="shared" si="31"/>
        <v>43457</v>
      </c>
    </row>
    <row r="2020" spans="1:5" x14ac:dyDescent="0.25">
      <c r="A2020" s="2">
        <f>IF(B2020="","",SUBTOTAL(3,$B$2:B2020))</f>
        <v>2019</v>
      </c>
      <c r="B2020" s="9" t="s">
        <v>48</v>
      </c>
      <c r="C2020" s="10" t="s">
        <v>49</v>
      </c>
      <c r="D2020" s="11">
        <v>15.403573629081947</v>
      </c>
      <c r="E2020" s="12">
        <f t="shared" si="31"/>
        <v>43458</v>
      </c>
    </row>
    <row r="2021" spans="1:5" x14ac:dyDescent="0.25">
      <c r="A2021" s="2">
        <f>IF(B2021="","",SUBTOTAL(3,$B$2:B2021))</f>
        <v>2020</v>
      </c>
      <c r="B2021" s="9" t="s">
        <v>48</v>
      </c>
      <c r="C2021" s="10" t="s">
        <v>49</v>
      </c>
      <c r="D2021" s="11">
        <v>15.403573629081947</v>
      </c>
      <c r="E2021" s="12">
        <f t="shared" si="31"/>
        <v>43459</v>
      </c>
    </row>
    <row r="2022" spans="1:5" x14ac:dyDescent="0.25">
      <c r="A2022" s="2">
        <f>IF(B2022="","",SUBTOTAL(3,$B$2:B2022))</f>
        <v>2021</v>
      </c>
      <c r="B2022" s="9" t="s">
        <v>48</v>
      </c>
      <c r="C2022" s="10" t="s">
        <v>49</v>
      </c>
      <c r="D2022" s="11">
        <v>15.403573629081947</v>
      </c>
      <c r="E2022" s="12">
        <f t="shared" si="31"/>
        <v>43460</v>
      </c>
    </row>
    <row r="2023" spans="1:5" x14ac:dyDescent="0.25">
      <c r="A2023" s="2">
        <f>IF(B2023="","",SUBTOTAL(3,$B$2:B2023))</f>
        <v>2022</v>
      </c>
      <c r="B2023" s="9" t="s">
        <v>48</v>
      </c>
      <c r="C2023" s="10" t="s">
        <v>49</v>
      </c>
      <c r="D2023" s="11">
        <v>15.403573629081947</v>
      </c>
      <c r="E2023" s="12">
        <f t="shared" si="31"/>
        <v>43461</v>
      </c>
    </row>
    <row r="2024" spans="1:5" x14ac:dyDescent="0.25">
      <c r="A2024" s="2">
        <f>IF(B2024="","",SUBTOTAL(3,$B$2:B2024))</f>
        <v>2023</v>
      </c>
      <c r="B2024" s="9" t="s">
        <v>48</v>
      </c>
      <c r="C2024" s="10" t="s">
        <v>49</v>
      </c>
      <c r="D2024" s="11">
        <v>15.403573629081947</v>
      </c>
      <c r="E2024" s="12">
        <f t="shared" si="31"/>
        <v>43462</v>
      </c>
    </row>
    <row r="2025" spans="1:5" x14ac:dyDescent="0.25">
      <c r="A2025" s="2">
        <f>IF(B2025="","",SUBTOTAL(3,$B$2:B2025))</f>
        <v>2024</v>
      </c>
      <c r="B2025" s="9" t="s">
        <v>48</v>
      </c>
      <c r="C2025" s="10" t="s">
        <v>49</v>
      </c>
      <c r="D2025" s="11">
        <v>15.403573629081947</v>
      </c>
      <c r="E2025" s="12">
        <f t="shared" si="31"/>
        <v>43463</v>
      </c>
    </row>
    <row r="2026" spans="1:5" x14ac:dyDescent="0.25">
      <c r="A2026" s="2">
        <f>IF(B2026="","",SUBTOTAL(3,$B$2:B2026))</f>
        <v>2025</v>
      </c>
      <c r="B2026" s="9" t="s">
        <v>51</v>
      </c>
      <c r="C2026" s="10" t="s">
        <v>52</v>
      </c>
      <c r="D2026" s="11">
        <v>128.60108016520175</v>
      </c>
      <c r="E2026" s="12">
        <f t="shared" si="31"/>
        <v>43464</v>
      </c>
    </row>
    <row r="2027" spans="1:5" x14ac:dyDescent="0.25">
      <c r="A2027" s="2">
        <f>IF(B2027="","",SUBTOTAL(3,$B$2:B2027))</f>
        <v>2026</v>
      </c>
      <c r="B2027" s="9" t="s">
        <v>55</v>
      </c>
      <c r="C2027" s="10" t="s">
        <v>52</v>
      </c>
      <c r="D2027" s="11">
        <v>400</v>
      </c>
      <c r="E2027" s="12">
        <f t="shared" si="31"/>
        <v>43465</v>
      </c>
    </row>
    <row r="2028" spans="1:5" x14ac:dyDescent="0.25">
      <c r="A2028" s="2">
        <f>IF(B2028="","",SUBTOTAL(3,$B$2:B2028))</f>
        <v>2027</v>
      </c>
      <c r="B2028" s="9" t="s">
        <v>51</v>
      </c>
      <c r="C2028" s="10" t="s">
        <v>52</v>
      </c>
      <c r="D2028" s="11">
        <v>211.79709837975219</v>
      </c>
      <c r="E2028" s="12">
        <f t="shared" si="31"/>
        <v>43466</v>
      </c>
    </row>
    <row r="2029" spans="1:5" x14ac:dyDescent="0.25">
      <c r="A2029" s="2">
        <f>IF(B2029="","",SUBTOTAL(3,$B$2:B2029))</f>
        <v>2028</v>
      </c>
      <c r="B2029" s="9" t="s">
        <v>51</v>
      </c>
      <c r="C2029" s="10" t="s">
        <v>54</v>
      </c>
      <c r="D2029" s="11">
        <v>211.79709837975219</v>
      </c>
      <c r="E2029" s="12">
        <f t="shared" si="31"/>
        <v>43467</v>
      </c>
    </row>
    <row r="2030" spans="1:5" x14ac:dyDescent="0.25">
      <c r="A2030" s="2">
        <f>IF(B2030="","",SUBTOTAL(3,$B$2:B2030))</f>
        <v>2029</v>
      </c>
      <c r="B2030" s="9" t="s">
        <v>55</v>
      </c>
      <c r="C2030" s="10" t="s">
        <v>52</v>
      </c>
      <c r="D2030" s="11">
        <v>50</v>
      </c>
      <c r="E2030" s="12">
        <f t="shared" si="31"/>
        <v>43468</v>
      </c>
    </row>
    <row r="2031" spans="1:5" x14ac:dyDescent="0.25">
      <c r="A2031" s="2">
        <f>IF(B2031="","",SUBTOTAL(3,$B$2:B2031))</f>
        <v>2030</v>
      </c>
      <c r="B2031" s="9" t="s">
        <v>48</v>
      </c>
      <c r="C2031" s="10" t="s">
        <v>49</v>
      </c>
      <c r="D2031" s="11">
        <v>15.403573629081947</v>
      </c>
      <c r="E2031" s="12">
        <f t="shared" si="31"/>
        <v>43469</v>
      </c>
    </row>
    <row r="2032" spans="1:5" x14ac:dyDescent="0.25">
      <c r="A2032" s="2">
        <f>IF(B2032="","",SUBTOTAL(3,$B$2:B2032))</f>
        <v>2031</v>
      </c>
      <c r="B2032" s="9" t="s">
        <v>48</v>
      </c>
      <c r="C2032" s="10" t="s">
        <v>49</v>
      </c>
      <c r="D2032" s="11">
        <v>15.403573629081947</v>
      </c>
      <c r="E2032" s="12">
        <f t="shared" si="31"/>
        <v>43470</v>
      </c>
    </row>
    <row r="2033" spans="1:5" x14ac:dyDescent="0.25">
      <c r="A2033" s="2">
        <f>IF(B2033="","",SUBTOTAL(3,$B$2:B2033))</f>
        <v>2032</v>
      </c>
      <c r="B2033" s="9" t="s">
        <v>48</v>
      </c>
      <c r="C2033" s="10" t="s">
        <v>49</v>
      </c>
      <c r="D2033" s="11">
        <v>15.403573629081947</v>
      </c>
      <c r="E2033" s="12">
        <f t="shared" si="31"/>
        <v>43471</v>
      </c>
    </row>
    <row r="2034" spans="1:5" x14ac:dyDescent="0.25">
      <c r="A2034" s="2">
        <f>IF(B2034="","",SUBTOTAL(3,$B$2:B2034))</f>
        <v>2033</v>
      </c>
      <c r="B2034" s="9" t="s">
        <v>48</v>
      </c>
      <c r="C2034" s="10" t="s">
        <v>49</v>
      </c>
      <c r="D2034" s="11">
        <v>15.403573629081947</v>
      </c>
      <c r="E2034" s="12">
        <f t="shared" si="31"/>
        <v>43472</v>
      </c>
    </row>
    <row r="2035" spans="1:5" x14ac:dyDescent="0.25">
      <c r="A2035" s="2">
        <f>IF(B2035="","",SUBTOTAL(3,$B$2:B2035))</f>
        <v>2034</v>
      </c>
      <c r="B2035" s="9" t="s">
        <v>48</v>
      </c>
      <c r="C2035" s="10" t="s">
        <v>49</v>
      </c>
      <c r="D2035" s="11">
        <v>15.403573629081947</v>
      </c>
      <c r="E2035" s="12">
        <f t="shared" si="31"/>
        <v>43473</v>
      </c>
    </row>
    <row r="2036" spans="1:5" x14ac:dyDescent="0.25">
      <c r="A2036" s="2">
        <f>IF(B2036="","",SUBTOTAL(3,$B$2:B2036))</f>
        <v>2035</v>
      </c>
      <c r="B2036" s="9" t="s">
        <v>48</v>
      </c>
      <c r="C2036" s="10" t="s">
        <v>49</v>
      </c>
      <c r="D2036" s="11">
        <v>15.403573629081947</v>
      </c>
      <c r="E2036" s="12">
        <f t="shared" si="31"/>
        <v>43474</v>
      </c>
    </row>
    <row r="2037" spans="1:5" x14ac:dyDescent="0.25">
      <c r="A2037" s="2">
        <f>IF(B2037="","",SUBTOTAL(3,$B$2:B2037))</f>
        <v>2036</v>
      </c>
      <c r="B2037" s="9" t="s">
        <v>48</v>
      </c>
      <c r="C2037" s="10" t="s">
        <v>49</v>
      </c>
      <c r="D2037" s="11">
        <v>15.403573629081947</v>
      </c>
      <c r="E2037" s="12">
        <f t="shared" si="31"/>
        <v>43475</v>
      </c>
    </row>
    <row r="2038" spans="1:5" x14ac:dyDescent="0.25">
      <c r="A2038" s="2">
        <f>IF(B2038="","",SUBTOTAL(3,$B$2:B2038))</f>
        <v>2037</v>
      </c>
      <c r="B2038" s="9" t="s">
        <v>48</v>
      </c>
      <c r="C2038" s="10" t="s">
        <v>49</v>
      </c>
      <c r="D2038" s="11">
        <v>15.403573629081947</v>
      </c>
      <c r="E2038" s="12">
        <f t="shared" si="31"/>
        <v>43476</v>
      </c>
    </row>
    <row r="2039" spans="1:5" x14ac:dyDescent="0.25">
      <c r="A2039" s="2">
        <f>IF(B2039="","",SUBTOTAL(3,$B$2:B2039))</f>
        <v>2038</v>
      </c>
      <c r="B2039" s="9" t="s">
        <v>48</v>
      </c>
      <c r="C2039" s="10" t="s">
        <v>49</v>
      </c>
      <c r="D2039" s="11">
        <v>15.403573629081947</v>
      </c>
      <c r="E2039" s="12">
        <f t="shared" si="31"/>
        <v>43477</v>
      </c>
    </row>
    <row r="2040" spans="1:5" x14ac:dyDescent="0.25">
      <c r="A2040" s="2">
        <f>IF(B2040="","",SUBTOTAL(3,$B$2:B2040))</f>
        <v>2039</v>
      </c>
      <c r="B2040" s="9" t="s">
        <v>48</v>
      </c>
      <c r="C2040" s="10" t="s">
        <v>49</v>
      </c>
      <c r="D2040" s="11">
        <v>15.403573629081947</v>
      </c>
      <c r="E2040" s="12">
        <f t="shared" si="31"/>
        <v>43478</v>
      </c>
    </row>
    <row r="2041" spans="1:5" x14ac:dyDescent="0.25">
      <c r="A2041" s="2">
        <f>IF(B2041="","",SUBTOTAL(3,$B$2:B2041))</f>
        <v>2040</v>
      </c>
      <c r="B2041" s="9" t="s">
        <v>48</v>
      </c>
      <c r="C2041" s="10" t="s">
        <v>49</v>
      </c>
      <c r="D2041" s="11">
        <v>15.403573629081947</v>
      </c>
      <c r="E2041" s="12">
        <f t="shared" si="31"/>
        <v>43479</v>
      </c>
    </row>
    <row r="2042" spans="1:5" x14ac:dyDescent="0.25">
      <c r="A2042" s="2">
        <f>IF(B2042="","",SUBTOTAL(3,$B$2:B2042))</f>
        <v>2041</v>
      </c>
      <c r="B2042" s="9" t="s">
        <v>48</v>
      </c>
      <c r="C2042" s="10" t="s">
        <v>49</v>
      </c>
      <c r="D2042" s="11">
        <v>15.403573629081947</v>
      </c>
      <c r="E2042" s="12">
        <f t="shared" si="31"/>
        <v>43480</v>
      </c>
    </row>
    <row r="2043" spans="1:5" x14ac:dyDescent="0.25">
      <c r="A2043" s="2">
        <f>IF(B2043="","",SUBTOTAL(3,$B$2:B2043))</f>
        <v>2042</v>
      </c>
      <c r="B2043" s="9" t="s">
        <v>51</v>
      </c>
      <c r="C2043" s="10" t="s">
        <v>52</v>
      </c>
      <c r="D2043" s="11">
        <v>105.89854918987609</v>
      </c>
      <c r="E2043" s="12">
        <f t="shared" si="31"/>
        <v>43481</v>
      </c>
    </row>
    <row r="2044" spans="1:5" x14ac:dyDescent="0.25">
      <c r="A2044" s="2">
        <f>IF(B2044="","",SUBTOTAL(3,$B$2:B2044))</f>
        <v>2043</v>
      </c>
      <c r="B2044" s="9" t="s">
        <v>48</v>
      </c>
      <c r="C2044" s="10" t="s">
        <v>49</v>
      </c>
      <c r="D2044" s="11">
        <v>15.403573629081947</v>
      </c>
      <c r="E2044" s="12">
        <f t="shared" si="31"/>
        <v>43482</v>
      </c>
    </row>
    <row r="2045" spans="1:5" x14ac:dyDescent="0.25">
      <c r="A2045" s="2">
        <f>IF(B2045="","",SUBTOTAL(3,$B$2:B2045))</f>
        <v>2044</v>
      </c>
      <c r="B2045" s="9" t="s">
        <v>48</v>
      </c>
      <c r="C2045" s="10" t="s">
        <v>49</v>
      </c>
      <c r="D2045" s="11">
        <v>15.403573629081947</v>
      </c>
      <c r="E2045" s="12">
        <f t="shared" si="31"/>
        <v>43483</v>
      </c>
    </row>
    <row r="2046" spans="1:5" x14ac:dyDescent="0.25">
      <c r="A2046" s="2">
        <f>IF(B2046="","",SUBTOTAL(3,$B$2:B2046))</f>
        <v>2045</v>
      </c>
      <c r="B2046" s="9" t="s">
        <v>48</v>
      </c>
      <c r="C2046" s="10" t="s">
        <v>49</v>
      </c>
      <c r="D2046" s="11">
        <v>15.403573629081947</v>
      </c>
      <c r="E2046" s="12">
        <f t="shared" si="31"/>
        <v>43484</v>
      </c>
    </row>
    <row r="2047" spans="1:5" x14ac:dyDescent="0.25">
      <c r="A2047" s="2">
        <f>IF(B2047="","",SUBTOTAL(3,$B$2:B2047))</f>
        <v>2046</v>
      </c>
      <c r="B2047" s="9" t="s">
        <v>48</v>
      </c>
      <c r="C2047" s="10" t="s">
        <v>49</v>
      </c>
      <c r="D2047" s="11">
        <v>15.403573629081947</v>
      </c>
      <c r="E2047" s="12">
        <f t="shared" si="31"/>
        <v>43485</v>
      </c>
    </row>
    <row r="2048" spans="1:5" x14ac:dyDescent="0.25">
      <c r="A2048" s="2">
        <f>IF(B2048="","",SUBTOTAL(3,$B$2:B2048))</f>
        <v>2047</v>
      </c>
      <c r="B2048" s="9" t="s">
        <v>48</v>
      </c>
      <c r="C2048" s="10" t="s">
        <v>49</v>
      </c>
      <c r="D2048" s="11">
        <v>15.403573629081947</v>
      </c>
      <c r="E2048" s="12">
        <f t="shared" si="31"/>
        <v>43486</v>
      </c>
    </row>
    <row r="2049" spans="1:5" x14ac:dyDescent="0.25">
      <c r="A2049" s="2">
        <f>IF(B2049="","",SUBTOTAL(3,$B$2:B2049))</f>
        <v>2048</v>
      </c>
      <c r="B2049" s="9" t="s">
        <v>48</v>
      </c>
      <c r="C2049" s="10" t="s">
        <v>49</v>
      </c>
      <c r="D2049" s="11">
        <v>15.403573629081947</v>
      </c>
      <c r="E2049" s="12">
        <f t="shared" si="31"/>
        <v>43487</v>
      </c>
    </row>
    <row r="2050" spans="1:5" x14ac:dyDescent="0.25">
      <c r="A2050" s="2">
        <f>IF(B2050="","",SUBTOTAL(3,$B$2:B2050))</f>
        <v>2049</v>
      </c>
      <c r="B2050" s="9" t="s">
        <v>48</v>
      </c>
      <c r="C2050" s="10" t="s">
        <v>49</v>
      </c>
      <c r="D2050" s="11">
        <v>15.403573629081947</v>
      </c>
      <c r="E2050" s="12">
        <f t="shared" si="31"/>
        <v>43488</v>
      </c>
    </row>
    <row r="2051" spans="1:5" x14ac:dyDescent="0.25">
      <c r="A2051" s="2">
        <f>IF(B2051="","",SUBTOTAL(3,$B$2:B2051))</f>
        <v>2050</v>
      </c>
      <c r="B2051" s="9" t="s">
        <v>48</v>
      </c>
      <c r="C2051" s="10" t="s">
        <v>49</v>
      </c>
      <c r="D2051" s="11">
        <v>15.403573629081947</v>
      </c>
      <c r="E2051" s="12">
        <f t="shared" si="31"/>
        <v>43489</v>
      </c>
    </row>
    <row r="2052" spans="1:5" x14ac:dyDescent="0.25">
      <c r="A2052" s="2">
        <f>IF(B2052="","",SUBTOTAL(3,$B$2:B2052))</f>
        <v>2051</v>
      </c>
      <c r="B2052" s="9" t="s">
        <v>48</v>
      </c>
      <c r="C2052" s="10" t="s">
        <v>49</v>
      </c>
      <c r="D2052" s="11">
        <v>15.403573629081947</v>
      </c>
      <c r="E2052" s="12">
        <f t="shared" ref="E2052:E2115" si="32">E2051+1</f>
        <v>43490</v>
      </c>
    </row>
    <row r="2053" spans="1:5" x14ac:dyDescent="0.25">
      <c r="A2053" s="2">
        <f>IF(B2053="","",SUBTOTAL(3,$B$2:B2053))</f>
        <v>2052</v>
      </c>
      <c r="B2053" s="9" t="s">
        <v>48</v>
      </c>
      <c r="C2053" s="10" t="s">
        <v>49</v>
      </c>
      <c r="D2053" s="11">
        <v>15.403573629081947</v>
      </c>
      <c r="E2053" s="12">
        <f t="shared" si="32"/>
        <v>43491</v>
      </c>
    </row>
    <row r="2054" spans="1:5" x14ac:dyDescent="0.25">
      <c r="A2054" s="2">
        <f>IF(B2054="","",SUBTOTAL(3,$B$2:B2054))</f>
        <v>2053</v>
      </c>
      <c r="B2054" s="9" t="s">
        <v>48</v>
      </c>
      <c r="C2054" s="10" t="s">
        <v>49</v>
      </c>
      <c r="D2054" s="11">
        <v>15.403573629081947</v>
      </c>
      <c r="E2054" s="12">
        <f t="shared" si="32"/>
        <v>43492</v>
      </c>
    </row>
    <row r="2055" spans="1:5" x14ac:dyDescent="0.25">
      <c r="A2055" s="2">
        <f>IF(B2055="","",SUBTOTAL(3,$B$2:B2055))</f>
        <v>2054</v>
      </c>
      <c r="B2055" s="9" t="s">
        <v>50</v>
      </c>
      <c r="C2055" s="10" t="s">
        <v>49</v>
      </c>
      <c r="D2055" s="11">
        <v>19.841269841269842</v>
      </c>
      <c r="E2055" s="12">
        <f t="shared" si="32"/>
        <v>43493</v>
      </c>
    </row>
    <row r="2056" spans="1:5" x14ac:dyDescent="0.25">
      <c r="A2056" s="2">
        <f>IF(B2056="","",SUBTOTAL(3,$B$2:B2056))</f>
        <v>2055</v>
      </c>
      <c r="B2056" s="9" t="s">
        <v>50</v>
      </c>
      <c r="C2056" s="10" t="s">
        <v>49</v>
      </c>
      <c r="D2056" s="11">
        <v>2.7834215167548502</v>
      </c>
      <c r="E2056" s="12">
        <f t="shared" si="32"/>
        <v>43494</v>
      </c>
    </row>
    <row r="2057" spans="1:5" x14ac:dyDescent="0.25">
      <c r="A2057" s="2">
        <f>IF(B2057="","",SUBTOTAL(3,$B$2:B2057))</f>
        <v>2056</v>
      </c>
      <c r="B2057" s="9" t="s">
        <v>48</v>
      </c>
      <c r="C2057" s="10" t="s">
        <v>49</v>
      </c>
      <c r="D2057" s="11">
        <v>15.403573629081947</v>
      </c>
      <c r="E2057" s="12">
        <f t="shared" si="32"/>
        <v>43495</v>
      </c>
    </row>
    <row r="2058" spans="1:5" x14ac:dyDescent="0.25">
      <c r="A2058" s="2">
        <f>IF(B2058="","",SUBTOTAL(3,$B$2:B2058))</f>
        <v>2057</v>
      </c>
      <c r="B2058" s="9" t="s">
        <v>48</v>
      </c>
      <c r="C2058" s="10" t="s">
        <v>49</v>
      </c>
      <c r="D2058" s="11">
        <v>15.403573629081947</v>
      </c>
      <c r="E2058" s="12">
        <f t="shared" si="32"/>
        <v>43496</v>
      </c>
    </row>
    <row r="2059" spans="1:5" x14ac:dyDescent="0.25">
      <c r="A2059" s="2">
        <f>IF(B2059="","",SUBTOTAL(3,$B$2:B2059))</f>
        <v>2058</v>
      </c>
      <c r="B2059" s="9" t="s">
        <v>48</v>
      </c>
      <c r="C2059" s="10" t="s">
        <v>49</v>
      </c>
      <c r="D2059" s="11">
        <v>15.403573629081947</v>
      </c>
      <c r="E2059" s="12">
        <f t="shared" si="32"/>
        <v>43497</v>
      </c>
    </row>
    <row r="2060" spans="1:5" x14ac:dyDescent="0.25">
      <c r="A2060" s="2">
        <f>IF(B2060="","",SUBTOTAL(3,$B$2:B2060))</f>
        <v>2059</v>
      </c>
      <c r="B2060" s="9" t="s">
        <v>48</v>
      </c>
      <c r="C2060" s="10" t="s">
        <v>49</v>
      </c>
      <c r="D2060" s="11">
        <v>15.403573629081947</v>
      </c>
      <c r="E2060" s="12">
        <f t="shared" si="32"/>
        <v>43498</v>
      </c>
    </row>
    <row r="2061" spans="1:5" x14ac:dyDescent="0.25">
      <c r="A2061" s="2">
        <f>IF(B2061="","",SUBTOTAL(3,$B$2:B2061))</f>
        <v>2060</v>
      </c>
      <c r="B2061" s="9" t="s">
        <v>48</v>
      </c>
      <c r="C2061" s="10" t="s">
        <v>49</v>
      </c>
      <c r="D2061" s="11">
        <v>15.403573629081947</v>
      </c>
      <c r="E2061" s="12">
        <f t="shared" si="32"/>
        <v>43499</v>
      </c>
    </row>
    <row r="2062" spans="1:5" x14ac:dyDescent="0.25">
      <c r="A2062" s="2">
        <f>IF(B2062="","",SUBTOTAL(3,$B$2:B2062))</f>
        <v>2061</v>
      </c>
      <c r="B2062" s="9" t="s">
        <v>48</v>
      </c>
      <c r="C2062" s="10" t="s">
        <v>49</v>
      </c>
      <c r="D2062" s="11">
        <v>15.403573629081947</v>
      </c>
      <c r="E2062" s="12">
        <f t="shared" si="32"/>
        <v>43500</v>
      </c>
    </row>
    <row r="2063" spans="1:5" x14ac:dyDescent="0.25">
      <c r="A2063" s="2">
        <f>IF(B2063="","",SUBTOTAL(3,$B$2:B2063))</f>
        <v>2062</v>
      </c>
      <c r="B2063" s="9" t="s">
        <v>50</v>
      </c>
      <c r="C2063" s="10" t="s">
        <v>49</v>
      </c>
      <c r="D2063" s="11">
        <v>661.37566137566137</v>
      </c>
      <c r="E2063" s="12">
        <f t="shared" si="32"/>
        <v>43501</v>
      </c>
    </row>
    <row r="2064" spans="1:5" x14ac:dyDescent="0.25">
      <c r="A2064" s="2">
        <f>IF(B2064="","",SUBTOTAL(3,$B$2:B2064))</f>
        <v>2063</v>
      </c>
      <c r="B2064" s="9" t="s">
        <v>50</v>
      </c>
      <c r="C2064" s="10" t="s">
        <v>49</v>
      </c>
      <c r="D2064" s="11">
        <v>39.682539682539684</v>
      </c>
      <c r="E2064" s="12">
        <f t="shared" si="32"/>
        <v>43502</v>
      </c>
    </row>
    <row r="2065" spans="1:5" x14ac:dyDescent="0.25">
      <c r="A2065" s="2">
        <f>IF(B2065="","",SUBTOTAL(3,$B$2:B2065))</f>
        <v>2064</v>
      </c>
      <c r="B2065" s="9" t="s">
        <v>48</v>
      </c>
      <c r="C2065" s="10" t="s">
        <v>52</v>
      </c>
      <c r="D2065" s="11">
        <v>1.5403573629081948</v>
      </c>
      <c r="E2065" s="12">
        <f t="shared" si="32"/>
        <v>43503</v>
      </c>
    </row>
    <row r="2066" spans="1:5" x14ac:dyDescent="0.25">
      <c r="A2066" s="2">
        <f>IF(B2066="","",SUBTOTAL(3,$B$2:B2066))</f>
        <v>2065</v>
      </c>
      <c r="B2066" s="9" t="s">
        <v>48</v>
      </c>
      <c r="C2066" s="10" t="s">
        <v>49</v>
      </c>
      <c r="D2066" s="11">
        <v>15.403573629081947</v>
      </c>
      <c r="E2066" s="12">
        <f t="shared" si="32"/>
        <v>43504</v>
      </c>
    </row>
    <row r="2067" spans="1:5" x14ac:dyDescent="0.25">
      <c r="A2067" s="2">
        <f>IF(B2067="","",SUBTOTAL(3,$B$2:B2067))</f>
        <v>2066</v>
      </c>
      <c r="B2067" s="9" t="s">
        <v>48</v>
      </c>
      <c r="C2067" s="10" t="s">
        <v>49</v>
      </c>
      <c r="D2067" s="11">
        <v>15.403573629081947</v>
      </c>
      <c r="E2067" s="12">
        <f t="shared" si="32"/>
        <v>43505</v>
      </c>
    </row>
    <row r="2068" spans="1:5" x14ac:dyDescent="0.25">
      <c r="A2068" s="2">
        <f>IF(B2068="","",SUBTOTAL(3,$B$2:B2068))</f>
        <v>2067</v>
      </c>
      <c r="B2068" s="9" t="s">
        <v>48</v>
      </c>
      <c r="C2068" s="10" t="s">
        <v>49</v>
      </c>
      <c r="D2068" s="11">
        <v>15.403573629081947</v>
      </c>
      <c r="E2068" s="12">
        <f t="shared" si="32"/>
        <v>43506</v>
      </c>
    </row>
    <row r="2069" spans="1:5" x14ac:dyDescent="0.25">
      <c r="A2069" s="2">
        <f>IF(B2069="","",SUBTOTAL(3,$B$2:B2069))</f>
        <v>2068</v>
      </c>
      <c r="B2069" s="9" t="s">
        <v>48</v>
      </c>
      <c r="C2069" s="10" t="s">
        <v>49</v>
      </c>
      <c r="D2069" s="11">
        <v>15.403573629081947</v>
      </c>
      <c r="E2069" s="12">
        <f t="shared" si="32"/>
        <v>43507</v>
      </c>
    </row>
    <row r="2070" spans="1:5" x14ac:dyDescent="0.25">
      <c r="A2070" s="2">
        <f>IF(B2070="","",SUBTOTAL(3,$B$2:B2070))</f>
        <v>2069</v>
      </c>
      <c r="B2070" s="9" t="s">
        <v>48</v>
      </c>
      <c r="C2070" s="10" t="s">
        <v>49</v>
      </c>
      <c r="D2070" s="11">
        <v>15.403573629081947</v>
      </c>
      <c r="E2070" s="12">
        <f t="shared" si="32"/>
        <v>43508</v>
      </c>
    </row>
    <row r="2071" spans="1:5" x14ac:dyDescent="0.25">
      <c r="A2071" s="2">
        <f>IF(B2071="","",SUBTOTAL(3,$B$2:B2071))</f>
        <v>2070</v>
      </c>
      <c r="B2071" s="9" t="s">
        <v>48</v>
      </c>
      <c r="C2071" s="10" t="s">
        <v>49</v>
      </c>
      <c r="D2071" s="11">
        <v>15.403573629081947</v>
      </c>
      <c r="E2071" s="12">
        <f t="shared" si="32"/>
        <v>43509</v>
      </c>
    </row>
    <row r="2072" spans="1:5" x14ac:dyDescent="0.25">
      <c r="A2072" s="2">
        <f>IF(B2072="","",SUBTOTAL(3,$B$2:B2072))</f>
        <v>2071</v>
      </c>
      <c r="B2072" s="9" t="s">
        <v>48</v>
      </c>
      <c r="C2072" s="10" t="s">
        <v>49</v>
      </c>
      <c r="D2072" s="11">
        <v>15.403573629081947</v>
      </c>
      <c r="E2072" s="12">
        <f t="shared" si="32"/>
        <v>43510</v>
      </c>
    </row>
    <row r="2073" spans="1:5" x14ac:dyDescent="0.25">
      <c r="A2073" s="2">
        <f>IF(B2073="","",SUBTOTAL(3,$B$2:B2073))</f>
        <v>2072</v>
      </c>
      <c r="B2073" s="9" t="s">
        <v>51</v>
      </c>
      <c r="C2073" s="10" t="s">
        <v>49</v>
      </c>
      <c r="D2073" s="11">
        <v>105.89854918987609</v>
      </c>
      <c r="E2073" s="12">
        <f t="shared" si="32"/>
        <v>43511</v>
      </c>
    </row>
    <row r="2074" spans="1:5" x14ac:dyDescent="0.25">
      <c r="A2074" s="2">
        <f>IF(B2074="","",SUBTOTAL(3,$B$2:B2074))</f>
        <v>2073</v>
      </c>
      <c r="B2074" s="9" t="s">
        <v>55</v>
      </c>
      <c r="C2074" s="10" t="s">
        <v>49</v>
      </c>
      <c r="D2074" s="11">
        <v>1947.7306409049929</v>
      </c>
      <c r="E2074" s="12">
        <f t="shared" si="32"/>
        <v>43512</v>
      </c>
    </row>
    <row r="2075" spans="1:5" x14ac:dyDescent="0.25">
      <c r="A2075" s="2">
        <f>IF(B2075="","",SUBTOTAL(3,$B$2:B2075))</f>
        <v>2074</v>
      </c>
      <c r="B2075" s="9" t="s">
        <v>50</v>
      </c>
      <c r="C2075" s="10" t="s">
        <v>49</v>
      </c>
      <c r="D2075" s="11">
        <v>661.37566137566137</v>
      </c>
      <c r="E2075" s="12">
        <f t="shared" si="32"/>
        <v>43513</v>
      </c>
    </row>
    <row r="2076" spans="1:5" x14ac:dyDescent="0.25">
      <c r="A2076" s="2">
        <f>IF(B2076="","",SUBTOTAL(3,$B$2:B2076))</f>
        <v>2075</v>
      </c>
      <c r="B2076" s="9" t="s">
        <v>48</v>
      </c>
      <c r="C2076" s="10" t="s">
        <v>52</v>
      </c>
      <c r="D2076" s="11">
        <v>77.088124574409321</v>
      </c>
      <c r="E2076" s="12">
        <f t="shared" si="32"/>
        <v>43514</v>
      </c>
    </row>
    <row r="2077" spans="1:5" x14ac:dyDescent="0.25">
      <c r="A2077" s="2">
        <f>IF(B2077="","",SUBTOTAL(3,$B$2:B2077))</f>
        <v>2076</v>
      </c>
      <c r="B2077" s="9" t="s">
        <v>48</v>
      </c>
      <c r="C2077" s="10" t="s">
        <v>52</v>
      </c>
      <c r="D2077" s="11">
        <v>128.48020762401552</v>
      </c>
      <c r="E2077" s="12">
        <f t="shared" si="32"/>
        <v>43515</v>
      </c>
    </row>
    <row r="2078" spans="1:5" x14ac:dyDescent="0.25">
      <c r="A2078" s="2">
        <f>IF(B2078="","",SUBTOTAL(3,$B$2:B2078))</f>
        <v>2077</v>
      </c>
      <c r="B2078" s="9" t="s">
        <v>48</v>
      </c>
      <c r="C2078" s="10" t="s">
        <v>49</v>
      </c>
      <c r="D2078" s="11">
        <v>15.403573629081947</v>
      </c>
      <c r="E2078" s="12">
        <f t="shared" si="32"/>
        <v>43516</v>
      </c>
    </row>
    <row r="2079" spans="1:5" x14ac:dyDescent="0.25">
      <c r="A2079" s="2">
        <f>IF(B2079="","",SUBTOTAL(3,$B$2:B2079))</f>
        <v>2078</v>
      </c>
      <c r="B2079" s="9" t="s">
        <v>48</v>
      </c>
      <c r="C2079" s="10" t="s">
        <v>49</v>
      </c>
      <c r="D2079" s="11">
        <v>15.403573629081947</v>
      </c>
      <c r="E2079" s="12">
        <f t="shared" si="32"/>
        <v>43517</v>
      </c>
    </row>
    <row r="2080" spans="1:5" x14ac:dyDescent="0.25">
      <c r="A2080" s="2">
        <f>IF(B2080="","",SUBTOTAL(3,$B$2:B2080))</f>
        <v>2079</v>
      </c>
      <c r="B2080" s="9" t="s">
        <v>48</v>
      </c>
      <c r="C2080" s="10" t="s">
        <v>49</v>
      </c>
      <c r="D2080" s="11">
        <v>30.807147258163894</v>
      </c>
      <c r="E2080" s="12">
        <f t="shared" si="32"/>
        <v>43518</v>
      </c>
    </row>
    <row r="2081" spans="1:5" x14ac:dyDescent="0.25">
      <c r="A2081" s="2">
        <f>IF(B2081="","",SUBTOTAL(3,$B$2:B2081))</f>
        <v>2080</v>
      </c>
      <c r="B2081" s="9" t="s">
        <v>55</v>
      </c>
      <c r="C2081" s="10" t="s">
        <v>49</v>
      </c>
      <c r="D2081" s="11">
        <v>123.5</v>
      </c>
      <c r="E2081" s="12">
        <f t="shared" si="32"/>
        <v>43519</v>
      </c>
    </row>
    <row r="2082" spans="1:5" x14ac:dyDescent="0.25">
      <c r="A2082" s="2">
        <f>IF(B2082="","",SUBTOTAL(3,$B$2:B2082))</f>
        <v>2081</v>
      </c>
      <c r="B2082" s="9" t="s">
        <v>55</v>
      </c>
      <c r="C2082" s="10" t="s">
        <v>49</v>
      </c>
      <c r="D2082" s="11">
        <v>131.68287739294669</v>
      </c>
      <c r="E2082" s="12">
        <f t="shared" si="32"/>
        <v>43520</v>
      </c>
    </row>
    <row r="2083" spans="1:5" x14ac:dyDescent="0.25">
      <c r="A2083" s="2">
        <f>IF(B2083="","",SUBTOTAL(3,$B$2:B2083))</f>
        <v>2082</v>
      </c>
      <c r="B2083" s="9" t="s">
        <v>48</v>
      </c>
      <c r="C2083" s="10" t="s">
        <v>49</v>
      </c>
      <c r="D2083" s="11">
        <v>34.470872113064452</v>
      </c>
      <c r="E2083" s="12">
        <f t="shared" si="32"/>
        <v>43521</v>
      </c>
    </row>
    <row r="2084" spans="1:5" x14ac:dyDescent="0.25">
      <c r="A2084" s="2">
        <f>IF(B2084="","",SUBTOTAL(3,$B$2:B2084))</f>
        <v>2083</v>
      </c>
      <c r="B2084" s="9" t="s">
        <v>51</v>
      </c>
      <c r="C2084" s="10" t="s">
        <v>52</v>
      </c>
      <c r="D2084" s="11">
        <v>105.89854918987609</v>
      </c>
      <c r="E2084" s="12">
        <f t="shared" si="32"/>
        <v>43522</v>
      </c>
    </row>
    <row r="2085" spans="1:5" x14ac:dyDescent="0.25">
      <c r="A2085" s="2">
        <f>IF(B2085="","",SUBTOTAL(3,$B$2:B2085))</f>
        <v>2084</v>
      </c>
      <c r="B2085" s="9" t="s">
        <v>51</v>
      </c>
      <c r="C2085" s="10" t="s">
        <v>52</v>
      </c>
      <c r="D2085" s="11">
        <v>5294.9274594938051</v>
      </c>
      <c r="E2085" s="12">
        <f t="shared" si="32"/>
        <v>43523</v>
      </c>
    </row>
    <row r="2086" spans="1:5" x14ac:dyDescent="0.25">
      <c r="A2086" s="2">
        <f>IF(B2086="","",SUBTOTAL(3,$B$2:B2086))</f>
        <v>2085</v>
      </c>
      <c r="B2086" s="9" t="s">
        <v>51</v>
      </c>
      <c r="C2086" s="10" t="s">
        <v>52</v>
      </c>
      <c r="D2086" s="11">
        <v>1588.4782378481414</v>
      </c>
      <c r="E2086" s="12">
        <f t="shared" si="32"/>
        <v>43524</v>
      </c>
    </row>
    <row r="2087" spans="1:5" x14ac:dyDescent="0.25">
      <c r="A2087" s="2">
        <f>IF(B2087="","",SUBTOTAL(3,$B$2:B2087))</f>
        <v>2086</v>
      </c>
      <c r="B2087" s="9" t="s">
        <v>51</v>
      </c>
      <c r="C2087" s="10" t="s">
        <v>52</v>
      </c>
      <c r="D2087" s="11">
        <v>317.69564756962825</v>
      </c>
      <c r="E2087" s="12">
        <f t="shared" si="32"/>
        <v>43525</v>
      </c>
    </row>
    <row r="2088" spans="1:5" x14ac:dyDescent="0.25">
      <c r="A2088" s="2">
        <f>IF(B2088="","",SUBTOTAL(3,$B$2:B2088))</f>
        <v>2087</v>
      </c>
      <c r="B2088" s="9" t="s">
        <v>51</v>
      </c>
      <c r="C2088" s="10" t="s">
        <v>52</v>
      </c>
      <c r="D2088" s="11">
        <v>370.64492216456637</v>
      </c>
      <c r="E2088" s="12">
        <f t="shared" si="32"/>
        <v>43526</v>
      </c>
    </row>
    <row r="2089" spans="1:5" x14ac:dyDescent="0.25">
      <c r="A2089" s="2">
        <f>IF(B2089="","",SUBTOTAL(3,$B$2:B2089))</f>
        <v>2088</v>
      </c>
      <c r="B2089" s="9" t="s">
        <v>48</v>
      </c>
      <c r="C2089" s="10" t="s">
        <v>54</v>
      </c>
      <c r="D2089" s="11">
        <v>231.05360443622922</v>
      </c>
      <c r="E2089" s="12">
        <f t="shared" si="32"/>
        <v>43527</v>
      </c>
    </row>
    <row r="2090" spans="1:5" x14ac:dyDescent="0.25">
      <c r="A2090" s="2">
        <f>IF(B2090="","",SUBTOTAL(3,$B$2:B2090))</f>
        <v>2089</v>
      </c>
      <c r="B2090" s="9" t="s">
        <v>48</v>
      </c>
      <c r="C2090" s="10" t="s">
        <v>49</v>
      </c>
      <c r="D2090" s="11">
        <v>38.54406228720466</v>
      </c>
      <c r="E2090" s="12">
        <f t="shared" si="32"/>
        <v>43528</v>
      </c>
    </row>
    <row r="2091" spans="1:5" x14ac:dyDescent="0.25">
      <c r="A2091" s="2">
        <f>IF(B2091="","",SUBTOTAL(3,$B$2:B2091))</f>
        <v>2090</v>
      </c>
      <c r="B2091" s="9" t="s">
        <v>48</v>
      </c>
      <c r="C2091" s="10" t="s">
        <v>49</v>
      </c>
      <c r="D2091" s="11">
        <v>22.406066873491898</v>
      </c>
      <c r="E2091" s="12">
        <f t="shared" si="32"/>
        <v>43529</v>
      </c>
    </row>
    <row r="2092" spans="1:5" x14ac:dyDescent="0.25">
      <c r="A2092" s="2">
        <f>IF(B2092="","",SUBTOTAL(3,$B$2:B2092))</f>
        <v>2091</v>
      </c>
      <c r="B2092" s="9" t="s">
        <v>48</v>
      </c>
      <c r="C2092" s="10" t="s">
        <v>52</v>
      </c>
      <c r="D2092" s="11">
        <v>61.614294516327789</v>
      </c>
      <c r="E2092" s="12">
        <f t="shared" si="32"/>
        <v>43530</v>
      </c>
    </row>
    <row r="2093" spans="1:5" x14ac:dyDescent="0.25">
      <c r="A2093" s="2">
        <f>IF(B2093="","",SUBTOTAL(3,$B$2:B2093))</f>
        <v>2092</v>
      </c>
      <c r="B2093" s="9" t="s">
        <v>48</v>
      </c>
      <c r="C2093" s="10" t="s">
        <v>52</v>
      </c>
      <c r="D2093" s="11">
        <v>46.210720887245841</v>
      </c>
      <c r="E2093" s="12">
        <f t="shared" si="32"/>
        <v>43531</v>
      </c>
    </row>
    <row r="2094" spans="1:5" x14ac:dyDescent="0.25">
      <c r="A2094" s="2">
        <f>IF(B2094="","",SUBTOTAL(3,$B$2:B2094))</f>
        <v>2093</v>
      </c>
      <c r="B2094" s="9" t="s">
        <v>48</v>
      </c>
      <c r="C2094" s="10" t="s">
        <v>49</v>
      </c>
      <c r="D2094" s="11">
        <v>77.017868145409736</v>
      </c>
      <c r="E2094" s="12">
        <f t="shared" si="32"/>
        <v>43532</v>
      </c>
    </row>
    <row r="2095" spans="1:5" x14ac:dyDescent="0.25">
      <c r="A2095" s="2">
        <f>IF(B2095="","",SUBTOTAL(3,$B$2:B2095))</f>
        <v>2094</v>
      </c>
      <c r="B2095" s="9" t="s">
        <v>48</v>
      </c>
      <c r="C2095" s="10" t="s">
        <v>49</v>
      </c>
      <c r="D2095" s="11">
        <v>46.210720887245841</v>
      </c>
      <c r="E2095" s="12">
        <f t="shared" si="32"/>
        <v>43533</v>
      </c>
    </row>
    <row r="2096" spans="1:5" x14ac:dyDescent="0.25">
      <c r="A2096" s="2">
        <f>IF(B2096="","",SUBTOTAL(3,$B$2:B2096))</f>
        <v>2095</v>
      </c>
      <c r="B2096" s="9" t="s">
        <v>48</v>
      </c>
      <c r="C2096" s="10" t="s">
        <v>49</v>
      </c>
      <c r="D2096" s="11">
        <v>37.917959324370905</v>
      </c>
      <c r="E2096" s="12">
        <f t="shared" si="32"/>
        <v>43534</v>
      </c>
    </row>
    <row r="2097" spans="1:5" x14ac:dyDescent="0.25">
      <c r="A2097" s="2">
        <f>IF(B2097="","",SUBTOTAL(3,$B$2:B2097))</f>
        <v>2096</v>
      </c>
      <c r="B2097" s="9" t="s">
        <v>50</v>
      </c>
      <c r="C2097" s="10" t="s">
        <v>49</v>
      </c>
      <c r="D2097" s="11">
        <v>65</v>
      </c>
      <c r="E2097" s="12">
        <f t="shared" si="32"/>
        <v>43535</v>
      </c>
    </row>
    <row r="2098" spans="1:5" x14ac:dyDescent="0.25">
      <c r="A2098" s="2">
        <f>IF(B2098="","",SUBTOTAL(3,$B$2:B2098))</f>
        <v>2097</v>
      </c>
      <c r="B2098" s="9" t="s">
        <v>51</v>
      </c>
      <c r="C2098" s="10" t="s">
        <v>49</v>
      </c>
      <c r="D2098" s="11">
        <v>52.949274594938046</v>
      </c>
      <c r="E2098" s="12">
        <f t="shared" si="32"/>
        <v>43536</v>
      </c>
    </row>
    <row r="2099" spans="1:5" x14ac:dyDescent="0.25">
      <c r="A2099" s="2">
        <f>IF(B2099="","",SUBTOTAL(3,$B$2:B2099))</f>
        <v>2098</v>
      </c>
      <c r="B2099" s="9" t="s">
        <v>50</v>
      </c>
      <c r="C2099" s="10" t="s">
        <v>49</v>
      </c>
      <c r="D2099" s="11">
        <v>3.6080246913580249</v>
      </c>
      <c r="E2099" s="12">
        <f t="shared" si="32"/>
        <v>43537</v>
      </c>
    </row>
    <row r="2100" spans="1:5" x14ac:dyDescent="0.25">
      <c r="A2100" s="2">
        <f>IF(B2100="","",SUBTOTAL(3,$B$2:B2100))</f>
        <v>2099</v>
      </c>
      <c r="B2100" s="9" t="s">
        <v>48</v>
      </c>
      <c r="C2100" s="10" t="s">
        <v>49</v>
      </c>
      <c r="D2100" s="11">
        <v>12.848020762401553</v>
      </c>
      <c r="E2100" s="12">
        <f t="shared" si="32"/>
        <v>43538</v>
      </c>
    </row>
    <row r="2101" spans="1:5" x14ac:dyDescent="0.25">
      <c r="A2101" s="2">
        <f>IF(B2101="","",SUBTOTAL(3,$B$2:B2101))</f>
        <v>2100</v>
      </c>
      <c r="B2101" s="9" t="s">
        <v>50</v>
      </c>
      <c r="C2101" s="10" t="s">
        <v>49</v>
      </c>
      <c r="D2101" s="11">
        <v>22.045855379188712</v>
      </c>
      <c r="E2101" s="12">
        <f t="shared" si="32"/>
        <v>43539</v>
      </c>
    </row>
    <row r="2102" spans="1:5" x14ac:dyDescent="0.25">
      <c r="A2102" s="2">
        <f>IF(B2102="","",SUBTOTAL(3,$B$2:B2102))</f>
        <v>2101</v>
      </c>
      <c r="B2102" s="9" t="s">
        <v>53</v>
      </c>
      <c r="C2102" s="10" t="s">
        <v>49</v>
      </c>
      <c r="D2102" s="11">
        <v>91.585994669695125</v>
      </c>
      <c r="E2102" s="12">
        <f t="shared" si="32"/>
        <v>43540</v>
      </c>
    </row>
    <row r="2103" spans="1:5" x14ac:dyDescent="0.25">
      <c r="A2103" s="2">
        <f>IF(B2103="","",SUBTOTAL(3,$B$2:B2103))</f>
        <v>2102</v>
      </c>
      <c r="B2103" s="9" t="s">
        <v>53</v>
      </c>
      <c r="C2103" s="10" t="s">
        <v>54</v>
      </c>
      <c r="D2103" s="11">
        <v>27.475798400908538</v>
      </c>
      <c r="E2103" s="12">
        <f t="shared" si="32"/>
        <v>43541</v>
      </c>
    </row>
    <row r="2104" spans="1:5" x14ac:dyDescent="0.25">
      <c r="A2104" s="2">
        <f>IF(B2104="","",SUBTOTAL(3,$B$2:B2104))</f>
        <v>2103</v>
      </c>
      <c r="B2104" s="9" t="s">
        <v>50</v>
      </c>
      <c r="C2104" s="10" t="s">
        <v>52</v>
      </c>
      <c r="D2104" s="11">
        <v>44.091710758377424</v>
      </c>
      <c r="E2104" s="12">
        <f t="shared" si="32"/>
        <v>43542</v>
      </c>
    </row>
    <row r="2105" spans="1:5" x14ac:dyDescent="0.25">
      <c r="A2105" s="2">
        <f>IF(B2105="","",SUBTOTAL(3,$B$2:B2105))</f>
        <v>2104</v>
      </c>
      <c r="B2105" s="9" t="s">
        <v>50</v>
      </c>
      <c r="C2105" s="10" t="s">
        <v>52</v>
      </c>
      <c r="D2105" s="11">
        <v>44.091710758377424</v>
      </c>
      <c r="E2105" s="12">
        <f t="shared" si="32"/>
        <v>43543</v>
      </c>
    </row>
    <row r="2106" spans="1:5" x14ac:dyDescent="0.25">
      <c r="A2106" s="2">
        <f>IF(B2106="","",SUBTOTAL(3,$B$2:B2106))</f>
        <v>2105</v>
      </c>
      <c r="B2106" s="9" t="s">
        <v>50</v>
      </c>
      <c r="C2106" s="10" t="s">
        <v>52</v>
      </c>
      <c r="D2106" s="11">
        <v>44.091710758377424</v>
      </c>
      <c r="E2106" s="12">
        <f t="shared" si="32"/>
        <v>43544</v>
      </c>
    </row>
    <row r="2107" spans="1:5" x14ac:dyDescent="0.25">
      <c r="A2107" s="2">
        <f>IF(B2107="","",SUBTOTAL(3,$B$2:B2107))</f>
        <v>2106</v>
      </c>
      <c r="B2107" s="9" t="s">
        <v>51</v>
      </c>
      <c r="C2107" s="10" t="s">
        <v>52</v>
      </c>
      <c r="D2107" s="11">
        <v>370.64492216456637</v>
      </c>
      <c r="E2107" s="12">
        <f t="shared" si="32"/>
        <v>43545</v>
      </c>
    </row>
    <row r="2108" spans="1:5" x14ac:dyDescent="0.25">
      <c r="A2108" s="2">
        <f>IF(B2108="","",SUBTOTAL(3,$B$2:B2108))</f>
        <v>2107</v>
      </c>
      <c r="B2108" s="9" t="s">
        <v>48</v>
      </c>
      <c r="C2108" s="10" t="s">
        <v>52</v>
      </c>
      <c r="D2108" s="11">
        <v>64.24010381200776</v>
      </c>
      <c r="E2108" s="12">
        <f t="shared" si="32"/>
        <v>43546</v>
      </c>
    </row>
    <row r="2109" spans="1:5" x14ac:dyDescent="0.25">
      <c r="A2109" s="2">
        <f>IF(B2109="","",SUBTOTAL(3,$B$2:B2109))</f>
        <v>2108</v>
      </c>
      <c r="B2109" s="9" t="s">
        <v>48</v>
      </c>
      <c r="C2109" s="10" t="s">
        <v>56</v>
      </c>
      <c r="D2109" s="11">
        <v>344.70872113064462</v>
      </c>
      <c r="E2109" s="12">
        <f t="shared" si="32"/>
        <v>43547</v>
      </c>
    </row>
    <row r="2110" spans="1:5" x14ac:dyDescent="0.25">
      <c r="A2110" s="2">
        <f>IF(B2110="","",SUBTOTAL(3,$B$2:B2110))</f>
        <v>2109</v>
      </c>
      <c r="B2110" s="9" t="s">
        <v>50</v>
      </c>
      <c r="C2110" s="10" t="s">
        <v>49</v>
      </c>
      <c r="D2110" s="11">
        <v>132.27513227513228</v>
      </c>
      <c r="E2110" s="12">
        <f t="shared" si="32"/>
        <v>43548</v>
      </c>
    </row>
    <row r="2111" spans="1:5" x14ac:dyDescent="0.25">
      <c r="A2111" s="2">
        <f>IF(B2111="","",SUBTOTAL(3,$B$2:B2111))</f>
        <v>2110</v>
      </c>
      <c r="B2111" s="9" t="s">
        <v>48</v>
      </c>
      <c r="C2111" s="10" t="s">
        <v>52</v>
      </c>
      <c r="D2111" s="11">
        <v>69.316081330868769</v>
      </c>
      <c r="E2111" s="12">
        <f t="shared" si="32"/>
        <v>43549</v>
      </c>
    </row>
    <row r="2112" spans="1:5" x14ac:dyDescent="0.25">
      <c r="A2112" s="2">
        <f>IF(B2112="","",SUBTOTAL(3,$B$2:B2112))</f>
        <v>2111</v>
      </c>
      <c r="B2112" s="9" t="s">
        <v>48</v>
      </c>
      <c r="C2112" s="10" t="s">
        <v>49</v>
      </c>
      <c r="D2112" s="11">
        <v>15.403573629081947</v>
      </c>
      <c r="E2112" s="12">
        <f t="shared" si="32"/>
        <v>43550</v>
      </c>
    </row>
    <row r="2113" spans="1:5" x14ac:dyDescent="0.25">
      <c r="A2113" s="2">
        <f>IF(B2113="","",SUBTOTAL(3,$B$2:B2113))</f>
        <v>2112</v>
      </c>
      <c r="B2113" s="9" t="s">
        <v>48</v>
      </c>
      <c r="C2113" s="10" t="s">
        <v>49</v>
      </c>
      <c r="D2113" s="11">
        <v>15.403573629081947</v>
      </c>
      <c r="E2113" s="12">
        <f t="shared" si="32"/>
        <v>43551</v>
      </c>
    </row>
    <row r="2114" spans="1:5" x14ac:dyDescent="0.25">
      <c r="A2114" s="2">
        <f>IF(B2114="","",SUBTOTAL(3,$B$2:B2114))</f>
        <v>2113</v>
      </c>
      <c r="B2114" s="9" t="s">
        <v>48</v>
      </c>
      <c r="C2114" s="10" t="s">
        <v>49</v>
      </c>
      <c r="D2114" s="11">
        <v>15.403573629081947</v>
      </c>
      <c r="E2114" s="12">
        <f t="shared" si="32"/>
        <v>43552</v>
      </c>
    </row>
    <row r="2115" spans="1:5" x14ac:dyDescent="0.25">
      <c r="A2115" s="2">
        <f>IF(B2115="","",SUBTOTAL(3,$B$2:B2115))</f>
        <v>2114</v>
      </c>
      <c r="B2115" s="9" t="s">
        <v>48</v>
      </c>
      <c r="C2115" s="10" t="s">
        <v>49</v>
      </c>
      <c r="D2115" s="11">
        <v>15.403573629081947</v>
      </c>
      <c r="E2115" s="12">
        <f t="shared" si="32"/>
        <v>43553</v>
      </c>
    </row>
    <row r="2116" spans="1:5" x14ac:dyDescent="0.25">
      <c r="A2116" s="2">
        <f>IF(B2116="","",SUBTOTAL(3,$B$2:B2116))</f>
        <v>2115</v>
      </c>
      <c r="B2116" s="9" t="s">
        <v>48</v>
      </c>
      <c r="C2116" s="10" t="s">
        <v>49</v>
      </c>
      <c r="D2116" s="11">
        <v>15.403573629081947</v>
      </c>
      <c r="E2116" s="12">
        <f t="shared" ref="E2116:E2179" si="33">E2115+1</f>
        <v>43554</v>
      </c>
    </row>
    <row r="2117" spans="1:5" x14ac:dyDescent="0.25">
      <c r="A2117" s="2">
        <f>IF(B2117="","",SUBTOTAL(3,$B$2:B2117))</f>
        <v>2116</v>
      </c>
      <c r="B2117" s="9" t="s">
        <v>48</v>
      </c>
      <c r="C2117" s="10" t="s">
        <v>49</v>
      </c>
      <c r="D2117" s="11">
        <v>15.403573629081947</v>
      </c>
      <c r="E2117" s="12">
        <f t="shared" si="33"/>
        <v>43555</v>
      </c>
    </row>
    <row r="2118" spans="1:5" x14ac:dyDescent="0.25">
      <c r="A2118" s="2">
        <f>IF(B2118="","",SUBTOTAL(3,$B$2:B2118))</f>
        <v>2117</v>
      </c>
      <c r="B2118" s="9" t="s">
        <v>48</v>
      </c>
      <c r="C2118" s="10" t="s">
        <v>49</v>
      </c>
      <c r="D2118" s="11">
        <v>107.82501540357363</v>
      </c>
      <c r="E2118" s="12">
        <f t="shared" si="33"/>
        <v>43556</v>
      </c>
    </row>
    <row r="2119" spans="1:5" x14ac:dyDescent="0.25">
      <c r="A2119" s="2">
        <f>IF(B2119="","",SUBTOTAL(3,$B$2:B2119))</f>
        <v>2118</v>
      </c>
      <c r="B2119" s="9" t="s">
        <v>48</v>
      </c>
      <c r="C2119" s="10" t="s">
        <v>49</v>
      </c>
      <c r="D2119" s="11">
        <v>162.89279112754159</v>
      </c>
      <c r="E2119" s="12">
        <f t="shared" si="33"/>
        <v>43557</v>
      </c>
    </row>
    <row r="2120" spans="1:5" x14ac:dyDescent="0.25">
      <c r="A2120" s="2">
        <f>IF(B2120="","",SUBTOTAL(3,$B$2:B2120))</f>
        <v>2119</v>
      </c>
      <c r="B2120" s="9" t="s">
        <v>48</v>
      </c>
      <c r="C2120" s="10" t="s">
        <v>49</v>
      </c>
      <c r="D2120" s="11">
        <v>81.440234134319169</v>
      </c>
      <c r="E2120" s="12">
        <f t="shared" si="33"/>
        <v>43558</v>
      </c>
    </row>
    <row r="2121" spans="1:5" x14ac:dyDescent="0.25">
      <c r="A2121" s="2">
        <f>IF(B2121="","",SUBTOTAL(3,$B$2:B2121))</f>
        <v>2120</v>
      </c>
      <c r="B2121" s="9" t="s">
        <v>48</v>
      </c>
      <c r="C2121" s="10" t="s">
        <v>49</v>
      </c>
      <c r="D2121" s="11">
        <v>308.07147258163894</v>
      </c>
      <c r="E2121" s="12">
        <f t="shared" si="33"/>
        <v>43559</v>
      </c>
    </row>
    <row r="2122" spans="1:5" x14ac:dyDescent="0.25">
      <c r="A2122" s="2">
        <f>IF(B2122="","",SUBTOTAL(3,$B$2:B2122))</f>
        <v>2121</v>
      </c>
      <c r="B2122" s="9" t="s">
        <v>48</v>
      </c>
      <c r="C2122" s="10" t="s">
        <v>49</v>
      </c>
      <c r="D2122" s="11">
        <v>15.403573629081947</v>
      </c>
      <c r="E2122" s="12">
        <f t="shared" si="33"/>
        <v>43560</v>
      </c>
    </row>
    <row r="2123" spans="1:5" x14ac:dyDescent="0.25">
      <c r="A2123" s="2">
        <f>IF(B2123="","",SUBTOTAL(3,$B$2:B2123))</f>
        <v>2122</v>
      </c>
      <c r="B2123" s="9" t="s">
        <v>48</v>
      </c>
      <c r="C2123" s="10" t="s">
        <v>49</v>
      </c>
      <c r="D2123" s="11">
        <v>15.403573629081947</v>
      </c>
      <c r="E2123" s="12">
        <f t="shared" si="33"/>
        <v>43561</v>
      </c>
    </row>
    <row r="2124" spans="1:5" x14ac:dyDescent="0.25">
      <c r="A2124" s="2">
        <f>IF(B2124="","",SUBTOTAL(3,$B$2:B2124))</f>
        <v>2123</v>
      </c>
      <c r="B2124" s="9" t="s">
        <v>48</v>
      </c>
      <c r="C2124" s="10" t="s">
        <v>52</v>
      </c>
      <c r="D2124" s="11">
        <v>43.130006161429456</v>
      </c>
      <c r="E2124" s="12">
        <f t="shared" si="33"/>
        <v>43562</v>
      </c>
    </row>
    <row r="2125" spans="1:5" x14ac:dyDescent="0.25">
      <c r="A2125" s="2">
        <f>IF(B2125="","",SUBTOTAL(3,$B$2:B2125))</f>
        <v>2124</v>
      </c>
      <c r="B2125" s="9" t="s">
        <v>50</v>
      </c>
      <c r="C2125" s="10" t="s">
        <v>49</v>
      </c>
      <c r="D2125" s="11">
        <v>30.8641975308642</v>
      </c>
      <c r="E2125" s="12">
        <f t="shared" si="33"/>
        <v>43563</v>
      </c>
    </row>
    <row r="2126" spans="1:5" x14ac:dyDescent="0.25">
      <c r="A2126" s="2">
        <f>IF(B2126="","",SUBTOTAL(3,$B$2:B2126))</f>
        <v>2125</v>
      </c>
      <c r="B2126" s="9" t="s">
        <v>55</v>
      </c>
      <c r="C2126" s="10" t="s">
        <v>49</v>
      </c>
      <c r="D2126" s="11">
        <v>256.84522442229064</v>
      </c>
      <c r="E2126" s="12">
        <f t="shared" si="33"/>
        <v>43564</v>
      </c>
    </row>
    <row r="2127" spans="1:5" x14ac:dyDescent="0.25">
      <c r="A2127" s="2">
        <f>IF(B2127="","",SUBTOTAL(3,$B$2:B2127))</f>
        <v>2126</v>
      </c>
      <c r="B2127" s="9" t="s">
        <v>50</v>
      </c>
      <c r="C2127" s="10" t="s">
        <v>49</v>
      </c>
      <c r="D2127" s="11">
        <v>35.273368606701936</v>
      </c>
      <c r="E2127" s="12">
        <f t="shared" si="33"/>
        <v>43565</v>
      </c>
    </row>
    <row r="2128" spans="1:5" x14ac:dyDescent="0.25">
      <c r="A2128" s="2">
        <f>IF(B2128="","",SUBTOTAL(3,$B$2:B2128))</f>
        <v>2127</v>
      </c>
      <c r="B2128" s="9" t="s">
        <v>48</v>
      </c>
      <c r="C2128" s="10" t="s">
        <v>52</v>
      </c>
      <c r="D2128" s="11">
        <v>102.78416609921243</v>
      </c>
      <c r="E2128" s="12">
        <f t="shared" si="33"/>
        <v>43566</v>
      </c>
    </row>
    <row r="2129" spans="1:5" x14ac:dyDescent="0.25">
      <c r="A2129" s="2">
        <f>IF(B2129="","",SUBTOTAL(3,$B$2:B2129))</f>
        <v>2128</v>
      </c>
      <c r="B2129" s="9" t="s">
        <v>50</v>
      </c>
      <c r="C2129" s="10" t="s">
        <v>49</v>
      </c>
      <c r="D2129" s="11">
        <v>146.90132275132277</v>
      </c>
      <c r="E2129" s="12">
        <f t="shared" si="33"/>
        <v>43567</v>
      </c>
    </row>
    <row r="2130" spans="1:5" x14ac:dyDescent="0.25">
      <c r="A2130" s="2">
        <f>IF(B2130="","",SUBTOTAL(3,$B$2:B2130))</f>
        <v>2129</v>
      </c>
      <c r="B2130" s="9" t="s">
        <v>50</v>
      </c>
      <c r="C2130" s="10" t="s">
        <v>49</v>
      </c>
      <c r="D2130" s="11">
        <v>88.183421516754848</v>
      </c>
      <c r="E2130" s="12">
        <f t="shared" si="33"/>
        <v>43568</v>
      </c>
    </row>
    <row r="2131" spans="1:5" x14ac:dyDescent="0.25">
      <c r="A2131" s="2">
        <f>IF(B2131="","",SUBTOTAL(3,$B$2:B2131))</f>
        <v>2130</v>
      </c>
      <c r="B2131" s="9" t="s">
        <v>48</v>
      </c>
      <c r="C2131" s="10" t="s">
        <v>49</v>
      </c>
      <c r="D2131" s="11">
        <v>64.460530851430534</v>
      </c>
      <c r="E2131" s="12">
        <f t="shared" si="33"/>
        <v>43569</v>
      </c>
    </row>
    <row r="2132" spans="1:5" x14ac:dyDescent="0.25">
      <c r="A2132" s="2">
        <f>IF(B2132="","",SUBTOTAL(3,$B$2:B2132))</f>
        <v>2131</v>
      </c>
      <c r="B2132" s="9" t="s">
        <v>50</v>
      </c>
      <c r="C2132" s="10" t="s">
        <v>52</v>
      </c>
      <c r="D2132" s="11">
        <v>66.137566137566139</v>
      </c>
      <c r="E2132" s="12">
        <f t="shared" si="33"/>
        <v>43570</v>
      </c>
    </row>
    <row r="2133" spans="1:5" x14ac:dyDescent="0.25">
      <c r="A2133" s="2">
        <f>IF(B2133="","",SUBTOTAL(3,$B$2:B2133))</f>
        <v>2132</v>
      </c>
      <c r="B2133" s="9" t="s">
        <v>51</v>
      </c>
      <c r="C2133" s="10" t="s">
        <v>52</v>
      </c>
      <c r="D2133" s="11">
        <v>2.4309213191799692</v>
      </c>
      <c r="E2133" s="12">
        <f t="shared" si="33"/>
        <v>43571</v>
      </c>
    </row>
    <row r="2134" spans="1:5" x14ac:dyDescent="0.25">
      <c r="A2134" s="2">
        <f>IF(B2134="","",SUBTOTAL(3,$B$2:B2134))</f>
        <v>2133</v>
      </c>
      <c r="B2134" s="9" t="s">
        <v>51</v>
      </c>
      <c r="C2134" s="10" t="s">
        <v>52</v>
      </c>
      <c r="D2134" s="11">
        <v>81.030710639332298</v>
      </c>
      <c r="E2134" s="12">
        <f t="shared" si="33"/>
        <v>43572</v>
      </c>
    </row>
    <row r="2135" spans="1:5" x14ac:dyDescent="0.25">
      <c r="A2135" s="2">
        <f>IF(B2135="","",SUBTOTAL(3,$B$2:B2135))</f>
        <v>2134</v>
      </c>
      <c r="B2135" s="9" t="s">
        <v>55</v>
      </c>
      <c r="C2135" s="10" t="s">
        <v>52</v>
      </c>
      <c r="D2135" s="11">
        <v>18.634796940322506</v>
      </c>
      <c r="E2135" s="12">
        <f t="shared" si="33"/>
        <v>43573</v>
      </c>
    </row>
    <row r="2136" spans="1:5" x14ac:dyDescent="0.25">
      <c r="A2136" s="2">
        <f>IF(B2136="","",SUBTOTAL(3,$B$2:B2136))</f>
        <v>2135</v>
      </c>
      <c r="B2136" s="9" t="s">
        <v>55</v>
      </c>
      <c r="C2136" s="10" t="s">
        <v>52</v>
      </c>
      <c r="D2136" s="11">
        <v>24.846395920430009</v>
      </c>
      <c r="E2136" s="12">
        <f t="shared" si="33"/>
        <v>43574</v>
      </c>
    </row>
    <row r="2137" spans="1:5" x14ac:dyDescent="0.25">
      <c r="A2137" s="2">
        <f>IF(B2137="","",SUBTOTAL(3,$B$2:B2137))</f>
        <v>2136</v>
      </c>
      <c r="B2137" s="9" t="s">
        <v>55</v>
      </c>
      <c r="C2137" s="10" t="s">
        <v>52</v>
      </c>
      <c r="D2137" s="11">
        <v>24.846395920430009</v>
      </c>
      <c r="E2137" s="12">
        <f t="shared" si="33"/>
        <v>43575</v>
      </c>
    </row>
    <row r="2138" spans="1:5" x14ac:dyDescent="0.25">
      <c r="A2138" s="2">
        <f>IF(B2138="","",SUBTOTAL(3,$B$2:B2138))</f>
        <v>2137</v>
      </c>
      <c r="B2138" s="9" t="s">
        <v>50</v>
      </c>
      <c r="C2138" s="10" t="s">
        <v>52</v>
      </c>
      <c r="D2138" s="11">
        <v>132.27513227513228</v>
      </c>
      <c r="E2138" s="12">
        <f t="shared" si="33"/>
        <v>43576</v>
      </c>
    </row>
    <row r="2139" spans="1:5" x14ac:dyDescent="0.25">
      <c r="A2139" s="2">
        <f>IF(B2139="","",SUBTOTAL(3,$B$2:B2139))</f>
        <v>2138</v>
      </c>
      <c r="B2139" s="9" t="s">
        <v>50</v>
      </c>
      <c r="C2139" s="10" t="s">
        <v>52</v>
      </c>
      <c r="D2139" s="11">
        <v>70.546737213403873</v>
      </c>
      <c r="E2139" s="12">
        <f t="shared" si="33"/>
        <v>43577</v>
      </c>
    </row>
    <row r="2140" spans="1:5" x14ac:dyDescent="0.25">
      <c r="A2140" s="2">
        <f>IF(B2140="","",SUBTOTAL(3,$B$2:B2140))</f>
        <v>2139</v>
      </c>
      <c r="B2140" s="9" t="s">
        <v>55</v>
      </c>
      <c r="C2140" s="10" t="s">
        <v>52</v>
      </c>
      <c r="D2140" s="11">
        <v>24.846395920430009</v>
      </c>
      <c r="E2140" s="12">
        <f t="shared" si="33"/>
        <v>43578</v>
      </c>
    </row>
    <row r="2141" spans="1:5" x14ac:dyDescent="0.25">
      <c r="A2141" s="2">
        <f>IF(B2141="","",SUBTOTAL(3,$B$2:B2141))</f>
        <v>2140</v>
      </c>
      <c r="B2141" s="9" t="s">
        <v>51</v>
      </c>
      <c r="C2141" s="10" t="s">
        <v>49</v>
      </c>
      <c r="D2141" s="11">
        <v>52.949274594938046</v>
      </c>
      <c r="E2141" s="12">
        <f t="shared" si="33"/>
        <v>43579</v>
      </c>
    </row>
    <row r="2142" spans="1:5" x14ac:dyDescent="0.25">
      <c r="A2142" s="2">
        <f>IF(B2142="","",SUBTOTAL(3,$B$2:B2142))</f>
        <v>2141</v>
      </c>
      <c r="B2142" s="9" t="s">
        <v>51</v>
      </c>
      <c r="C2142" s="10" t="s">
        <v>49</v>
      </c>
      <c r="D2142" s="11">
        <v>529.49274594938049</v>
      </c>
      <c r="E2142" s="12">
        <f t="shared" si="33"/>
        <v>43580</v>
      </c>
    </row>
    <row r="2143" spans="1:5" x14ac:dyDescent="0.25">
      <c r="A2143" s="2">
        <f>IF(B2143="","",SUBTOTAL(3,$B$2:B2143))</f>
        <v>2142</v>
      </c>
      <c r="B2143" s="9" t="s">
        <v>51</v>
      </c>
      <c r="C2143" s="10" t="s">
        <v>54</v>
      </c>
      <c r="D2143" s="11">
        <v>317.69564756962825</v>
      </c>
      <c r="E2143" s="12">
        <f t="shared" si="33"/>
        <v>43581</v>
      </c>
    </row>
    <row r="2144" spans="1:5" x14ac:dyDescent="0.25">
      <c r="A2144" s="2">
        <f>IF(B2144="","",SUBTOTAL(3,$B$2:B2144))</f>
        <v>2143</v>
      </c>
      <c r="B2144" s="9" t="s">
        <v>50</v>
      </c>
      <c r="C2144" s="10" t="s">
        <v>49</v>
      </c>
      <c r="D2144" s="11">
        <v>7.8347442680776016</v>
      </c>
      <c r="E2144" s="12">
        <f t="shared" si="33"/>
        <v>43582</v>
      </c>
    </row>
    <row r="2145" spans="1:5" x14ac:dyDescent="0.25">
      <c r="A2145" s="2">
        <f>IF(B2145="","",SUBTOTAL(3,$B$2:B2145))</f>
        <v>2144</v>
      </c>
      <c r="B2145" s="9" t="s">
        <v>50</v>
      </c>
      <c r="C2145" s="10" t="s">
        <v>52</v>
      </c>
      <c r="D2145" s="11">
        <v>22.045855379188712</v>
      </c>
      <c r="E2145" s="12">
        <f t="shared" si="33"/>
        <v>43583</v>
      </c>
    </row>
    <row r="2146" spans="1:5" x14ac:dyDescent="0.25">
      <c r="A2146" s="2">
        <f>IF(B2146="","",SUBTOTAL(3,$B$2:B2146))</f>
        <v>2145</v>
      </c>
      <c r="B2146" s="9" t="s">
        <v>50</v>
      </c>
      <c r="C2146" s="10" t="s">
        <v>49</v>
      </c>
      <c r="D2146" s="11">
        <v>66.137566137566139</v>
      </c>
      <c r="E2146" s="12">
        <f t="shared" si="33"/>
        <v>43584</v>
      </c>
    </row>
    <row r="2147" spans="1:5" x14ac:dyDescent="0.25">
      <c r="A2147" s="2">
        <f>IF(B2147="","",SUBTOTAL(3,$B$2:B2147))</f>
        <v>2146</v>
      </c>
      <c r="B2147" s="9" t="s">
        <v>50</v>
      </c>
      <c r="C2147" s="10" t="s">
        <v>49</v>
      </c>
      <c r="D2147" s="11">
        <v>66.137566137566139</v>
      </c>
      <c r="E2147" s="12">
        <f t="shared" si="33"/>
        <v>43585</v>
      </c>
    </row>
    <row r="2148" spans="1:5" x14ac:dyDescent="0.25">
      <c r="A2148" s="2">
        <f>IF(B2148="","",SUBTOTAL(3,$B$2:B2148))</f>
        <v>2147</v>
      </c>
      <c r="B2148" s="9" t="s">
        <v>51</v>
      </c>
      <c r="C2148" s="10" t="s">
        <v>49</v>
      </c>
      <c r="D2148" s="11">
        <v>52.949274594938046</v>
      </c>
      <c r="E2148" s="12">
        <f t="shared" si="33"/>
        <v>43586</v>
      </c>
    </row>
    <row r="2149" spans="1:5" x14ac:dyDescent="0.25">
      <c r="A2149" s="2">
        <f>IF(B2149="","",SUBTOTAL(3,$B$2:B2149))</f>
        <v>2148</v>
      </c>
      <c r="B2149" s="9" t="s">
        <v>51</v>
      </c>
      <c r="C2149" s="10" t="s">
        <v>49</v>
      </c>
      <c r="D2149" s="11">
        <v>52.949274594938046</v>
      </c>
      <c r="E2149" s="12">
        <f t="shared" si="33"/>
        <v>43587</v>
      </c>
    </row>
    <row r="2150" spans="1:5" x14ac:dyDescent="0.25">
      <c r="A2150" s="2">
        <f>IF(B2150="","",SUBTOTAL(3,$B$2:B2150))</f>
        <v>2149</v>
      </c>
      <c r="B2150" s="9" t="s">
        <v>55</v>
      </c>
      <c r="C2150" s="10" t="s">
        <v>52</v>
      </c>
      <c r="D2150" s="11">
        <v>24.846395920430009</v>
      </c>
      <c r="E2150" s="12">
        <f t="shared" si="33"/>
        <v>43588</v>
      </c>
    </row>
    <row r="2151" spans="1:5" x14ac:dyDescent="0.25">
      <c r="A2151" s="2">
        <f>IF(B2151="","",SUBTOTAL(3,$B$2:B2151))</f>
        <v>2150</v>
      </c>
      <c r="B2151" s="9" t="s">
        <v>55</v>
      </c>
      <c r="C2151" s="10" t="s">
        <v>52</v>
      </c>
      <c r="D2151" s="11">
        <v>100</v>
      </c>
      <c r="E2151" s="12">
        <f t="shared" si="33"/>
        <v>43589</v>
      </c>
    </row>
    <row r="2152" spans="1:5" x14ac:dyDescent="0.25">
      <c r="A2152" s="2">
        <f>IF(B2152="","",SUBTOTAL(3,$B$2:B2152))</f>
        <v>2151</v>
      </c>
      <c r="B2152" s="9" t="s">
        <v>48</v>
      </c>
      <c r="C2152" s="10" t="s">
        <v>49</v>
      </c>
      <c r="D2152" s="11">
        <v>308.07147258163894</v>
      </c>
      <c r="E2152" s="12">
        <f t="shared" si="33"/>
        <v>43590</v>
      </c>
    </row>
    <row r="2153" spans="1:5" x14ac:dyDescent="0.25">
      <c r="A2153" s="2">
        <f>IF(B2153="","",SUBTOTAL(3,$B$2:B2153))</f>
        <v>2152</v>
      </c>
      <c r="B2153" s="9" t="s">
        <v>50</v>
      </c>
      <c r="C2153" s="10" t="s">
        <v>49</v>
      </c>
      <c r="D2153" s="11">
        <v>110.22927689594357</v>
      </c>
      <c r="E2153" s="12">
        <f t="shared" si="33"/>
        <v>43591</v>
      </c>
    </row>
    <row r="2154" spans="1:5" x14ac:dyDescent="0.25">
      <c r="A2154" s="2">
        <f>IF(B2154="","",SUBTOTAL(3,$B$2:B2154))</f>
        <v>2153</v>
      </c>
      <c r="B2154" s="9" t="s">
        <v>50</v>
      </c>
      <c r="C2154" s="10" t="s">
        <v>49</v>
      </c>
      <c r="D2154" s="11">
        <v>480.36155202821868</v>
      </c>
      <c r="E2154" s="12">
        <f t="shared" si="33"/>
        <v>43592</v>
      </c>
    </row>
    <row r="2155" spans="1:5" x14ac:dyDescent="0.25">
      <c r="A2155" s="2">
        <f>IF(B2155="","",SUBTOTAL(3,$B$2:B2155))</f>
        <v>2154</v>
      </c>
      <c r="B2155" s="9" t="s">
        <v>50</v>
      </c>
      <c r="C2155" s="10" t="s">
        <v>54</v>
      </c>
      <c r="D2155" s="11">
        <v>66.137566137566139</v>
      </c>
      <c r="E2155" s="12">
        <f t="shared" si="33"/>
        <v>43593</v>
      </c>
    </row>
    <row r="2156" spans="1:5" x14ac:dyDescent="0.25">
      <c r="A2156" s="2">
        <f>IF(B2156="","",SUBTOTAL(3,$B$2:B2156))</f>
        <v>2155</v>
      </c>
      <c r="B2156" s="9" t="s">
        <v>50</v>
      </c>
      <c r="C2156" s="10" t="s">
        <v>49</v>
      </c>
      <c r="D2156" s="11">
        <v>37.47795414462081</v>
      </c>
      <c r="E2156" s="12">
        <f t="shared" si="33"/>
        <v>43594</v>
      </c>
    </row>
    <row r="2157" spans="1:5" x14ac:dyDescent="0.25">
      <c r="A2157" s="2">
        <f>IF(B2157="","",SUBTOTAL(3,$B$2:B2157))</f>
        <v>2156</v>
      </c>
      <c r="B2157" s="9" t="s">
        <v>50</v>
      </c>
      <c r="C2157" s="10" t="s">
        <v>52</v>
      </c>
      <c r="D2157" s="11">
        <v>176.3668430335097</v>
      </c>
      <c r="E2157" s="12">
        <f t="shared" si="33"/>
        <v>43595</v>
      </c>
    </row>
    <row r="2158" spans="1:5" x14ac:dyDescent="0.25">
      <c r="A2158" s="2">
        <f>IF(B2158="","",SUBTOTAL(3,$B$2:B2158))</f>
        <v>2157</v>
      </c>
      <c r="B2158" s="9" t="s">
        <v>55</v>
      </c>
      <c r="C2158" s="10" t="s">
        <v>49</v>
      </c>
      <c r="D2158" s="11">
        <v>10.5</v>
      </c>
      <c r="E2158" s="12">
        <f t="shared" si="33"/>
        <v>43596</v>
      </c>
    </row>
    <row r="2159" spans="1:5" x14ac:dyDescent="0.25">
      <c r="A2159" s="2">
        <f>IF(B2159="","",SUBTOTAL(3,$B$2:B2159))</f>
        <v>2158</v>
      </c>
      <c r="B2159" s="9" t="s">
        <v>50</v>
      </c>
      <c r="C2159" s="10" t="s">
        <v>49</v>
      </c>
      <c r="D2159" s="11">
        <v>6.6137566137566139</v>
      </c>
      <c r="E2159" s="12">
        <f t="shared" si="33"/>
        <v>43597</v>
      </c>
    </row>
    <row r="2160" spans="1:5" x14ac:dyDescent="0.25">
      <c r="A2160" s="2">
        <f>IF(B2160="","",SUBTOTAL(3,$B$2:B2160))</f>
        <v>2159</v>
      </c>
      <c r="B2160" s="9" t="s">
        <v>55</v>
      </c>
      <c r="C2160" s="10" t="s">
        <v>49</v>
      </c>
      <c r="D2160" s="11">
        <v>100</v>
      </c>
      <c r="E2160" s="12">
        <f t="shared" si="33"/>
        <v>43598</v>
      </c>
    </row>
    <row r="2161" spans="1:5" x14ac:dyDescent="0.25">
      <c r="A2161" s="2">
        <f>IF(B2161="","",SUBTOTAL(3,$B$2:B2161))</f>
        <v>2160</v>
      </c>
      <c r="B2161" s="9" t="s">
        <v>50</v>
      </c>
      <c r="C2161" s="10" t="s">
        <v>49</v>
      </c>
      <c r="D2161" s="11">
        <v>54.121560846560847</v>
      </c>
      <c r="E2161" s="12">
        <f t="shared" si="33"/>
        <v>43599</v>
      </c>
    </row>
    <row r="2162" spans="1:5" x14ac:dyDescent="0.25">
      <c r="A2162" s="2">
        <f>IF(B2162="","",SUBTOTAL(3,$B$2:B2162))</f>
        <v>2161</v>
      </c>
      <c r="B2162" s="9" t="s">
        <v>55</v>
      </c>
      <c r="C2162" s="10" t="s">
        <v>49</v>
      </c>
      <c r="D2162" s="11">
        <v>570</v>
      </c>
      <c r="E2162" s="12">
        <f t="shared" si="33"/>
        <v>43600</v>
      </c>
    </row>
    <row r="2163" spans="1:5" x14ac:dyDescent="0.25">
      <c r="A2163" s="2">
        <f>IF(B2163="","",SUBTOTAL(3,$B$2:B2163))</f>
        <v>2162</v>
      </c>
      <c r="B2163" s="9" t="s">
        <v>50</v>
      </c>
      <c r="C2163" s="10" t="s">
        <v>52</v>
      </c>
      <c r="D2163" s="11">
        <v>44.091710758377424</v>
      </c>
      <c r="E2163" s="12">
        <f t="shared" si="33"/>
        <v>43601</v>
      </c>
    </row>
    <row r="2164" spans="1:5" x14ac:dyDescent="0.25">
      <c r="A2164" s="2">
        <f>IF(B2164="","",SUBTOTAL(3,$B$2:B2164))</f>
        <v>2163</v>
      </c>
      <c r="B2164" s="9" t="s">
        <v>48</v>
      </c>
      <c r="C2164" s="10" t="s">
        <v>52</v>
      </c>
      <c r="D2164" s="11">
        <v>102.78416609921243</v>
      </c>
      <c r="E2164" s="12">
        <f t="shared" si="33"/>
        <v>43602</v>
      </c>
    </row>
    <row r="2165" spans="1:5" x14ac:dyDescent="0.25">
      <c r="A2165" s="2">
        <f>IF(B2165="","",SUBTOTAL(3,$B$2:B2165))</f>
        <v>2164</v>
      </c>
      <c r="B2165" s="9" t="s">
        <v>51</v>
      </c>
      <c r="C2165" s="10" t="s">
        <v>49</v>
      </c>
      <c r="D2165" s="11">
        <v>21.179709837975221</v>
      </c>
      <c r="E2165" s="12">
        <f t="shared" si="33"/>
        <v>43603</v>
      </c>
    </row>
    <row r="2166" spans="1:5" x14ac:dyDescent="0.25">
      <c r="A2166" s="2">
        <f>IF(B2166="","",SUBTOTAL(3,$B$2:B2166))</f>
        <v>2165</v>
      </c>
      <c r="B2166" s="9" t="s">
        <v>50</v>
      </c>
      <c r="C2166" s="10" t="s">
        <v>49</v>
      </c>
      <c r="D2166" s="11">
        <v>50</v>
      </c>
      <c r="E2166" s="12">
        <f t="shared" si="33"/>
        <v>43604</v>
      </c>
    </row>
    <row r="2167" spans="1:5" x14ac:dyDescent="0.25">
      <c r="A2167" s="2">
        <f>IF(B2167="","",SUBTOTAL(3,$B$2:B2167))</f>
        <v>2166</v>
      </c>
      <c r="B2167" s="9" t="s">
        <v>48</v>
      </c>
      <c r="C2167" s="10" t="s">
        <v>49</v>
      </c>
      <c r="D2167" s="11">
        <v>62.156500308071472</v>
      </c>
      <c r="E2167" s="12">
        <f t="shared" si="33"/>
        <v>43605</v>
      </c>
    </row>
    <row r="2168" spans="1:5" x14ac:dyDescent="0.25">
      <c r="A2168" s="2">
        <f>IF(B2168="","",SUBTOTAL(3,$B$2:B2168))</f>
        <v>2167</v>
      </c>
      <c r="B2168" s="9" t="s">
        <v>48</v>
      </c>
      <c r="C2168" s="10" t="s">
        <v>49</v>
      </c>
      <c r="D2168" s="11">
        <v>55.548367221195313</v>
      </c>
      <c r="E2168" s="12">
        <f t="shared" si="33"/>
        <v>43606</v>
      </c>
    </row>
    <row r="2169" spans="1:5" x14ac:dyDescent="0.25">
      <c r="A2169" s="2">
        <f>IF(B2169="","",SUBTOTAL(3,$B$2:B2169))</f>
        <v>2168</v>
      </c>
      <c r="B2169" s="9" t="s">
        <v>48</v>
      </c>
      <c r="C2169" s="10" t="s">
        <v>49</v>
      </c>
      <c r="D2169" s="11">
        <v>15.403573629081947</v>
      </c>
      <c r="E2169" s="12">
        <f t="shared" si="33"/>
        <v>43607</v>
      </c>
    </row>
    <row r="2170" spans="1:5" x14ac:dyDescent="0.25">
      <c r="A2170" s="2">
        <f>IF(B2170="","",SUBTOTAL(3,$B$2:B2170))</f>
        <v>2169</v>
      </c>
      <c r="B2170" s="9" t="s">
        <v>48</v>
      </c>
      <c r="C2170" s="10" t="s">
        <v>49</v>
      </c>
      <c r="D2170" s="11">
        <v>15.403573629081947</v>
      </c>
      <c r="E2170" s="12">
        <f t="shared" si="33"/>
        <v>43608</v>
      </c>
    </row>
    <row r="2171" spans="1:5" x14ac:dyDescent="0.25">
      <c r="A2171" s="2">
        <f>IF(B2171="","",SUBTOTAL(3,$B$2:B2171))</f>
        <v>2170</v>
      </c>
      <c r="B2171" s="9" t="s">
        <v>48</v>
      </c>
      <c r="C2171" s="10" t="s">
        <v>49</v>
      </c>
      <c r="D2171" s="11">
        <v>15.403573629081947</v>
      </c>
      <c r="E2171" s="12">
        <f t="shared" si="33"/>
        <v>43609</v>
      </c>
    </row>
    <row r="2172" spans="1:5" x14ac:dyDescent="0.25">
      <c r="A2172" s="2">
        <f>IF(B2172="","",SUBTOTAL(3,$B$2:B2172))</f>
        <v>2171</v>
      </c>
      <c r="B2172" s="9" t="s">
        <v>48</v>
      </c>
      <c r="C2172" s="10" t="s">
        <v>49</v>
      </c>
      <c r="D2172" s="11">
        <v>15.403573629081947</v>
      </c>
      <c r="E2172" s="12">
        <f t="shared" si="33"/>
        <v>43610</v>
      </c>
    </row>
    <row r="2173" spans="1:5" x14ac:dyDescent="0.25">
      <c r="A2173" s="2">
        <f>IF(B2173="","",SUBTOTAL(3,$B$2:B2173))</f>
        <v>2172</v>
      </c>
      <c r="B2173" s="9" t="s">
        <v>48</v>
      </c>
      <c r="C2173" s="10" t="s">
        <v>49</v>
      </c>
      <c r="D2173" s="11">
        <v>15.403573629081947</v>
      </c>
      <c r="E2173" s="12">
        <f t="shared" si="33"/>
        <v>43611</v>
      </c>
    </row>
    <row r="2174" spans="1:5" x14ac:dyDescent="0.25">
      <c r="A2174" s="2">
        <f>IF(B2174="","",SUBTOTAL(3,$B$2:B2174))</f>
        <v>2173</v>
      </c>
      <c r="B2174" s="9" t="s">
        <v>48</v>
      </c>
      <c r="C2174" s="10" t="s">
        <v>49</v>
      </c>
      <c r="D2174" s="11">
        <v>15.403573629081947</v>
      </c>
      <c r="E2174" s="12">
        <f t="shared" si="33"/>
        <v>43612</v>
      </c>
    </row>
    <row r="2175" spans="1:5" x14ac:dyDescent="0.25">
      <c r="A2175" s="2">
        <f>IF(B2175="","",SUBTOTAL(3,$B$2:B2175))</f>
        <v>2174</v>
      </c>
      <c r="B2175" s="9" t="s">
        <v>48</v>
      </c>
      <c r="C2175" s="10" t="s">
        <v>49</v>
      </c>
      <c r="D2175" s="11">
        <v>15.403573629081947</v>
      </c>
      <c r="E2175" s="12">
        <f t="shared" si="33"/>
        <v>43613</v>
      </c>
    </row>
    <row r="2176" spans="1:5" x14ac:dyDescent="0.25">
      <c r="A2176" s="2">
        <f>IF(B2176="","",SUBTOTAL(3,$B$2:B2176))</f>
        <v>2175</v>
      </c>
      <c r="B2176" s="9" t="s">
        <v>48</v>
      </c>
      <c r="C2176" s="10" t="s">
        <v>49</v>
      </c>
      <c r="D2176" s="11">
        <v>15.403573629081947</v>
      </c>
      <c r="E2176" s="12">
        <f t="shared" si="33"/>
        <v>43614</v>
      </c>
    </row>
    <row r="2177" spans="1:5" x14ac:dyDescent="0.25">
      <c r="A2177" s="2">
        <f>IF(B2177="","",SUBTOTAL(3,$B$2:B2177))</f>
        <v>2176</v>
      </c>
      <c r="B2177" s="9" t="s">
        <v>48</v>
      </c>
      <c r="C2177" s="10" t="s">
        <v>49</v>
      </c>
      <c r="D2177" s="11">
        <v>15.403573629081947</v>
      </c>
      <c r="E2177" s="12">
        <f t="shared" si="33"/>
        <v>43615</v>
      </c>
    </row>
    <row r="2178" spans="1:5" x14ac:dyDescent="0.25">
      <c r="A2178" s="2">
        <f>IF(B2178="","",SUBTOTAL(3,$B$2:B2178))</f>
        <v>2177</v>
      </c>
      <c r="B2178" s="9" t="s">
        <v>48</v>
      </c>
      <c r="C2178" s="10" t="s">
        <v>49</v>
      </c>
      <c r="D2178" s="11">
        <v>15.403573629081947</v>
      </c>
      <c r="E2178" s="12">
        <f t="shared" si="33"/>
        <v>43616</v>
      </c>
    </row>
    <row r="2179" spans="1:5" x14ac:dyDescent="0.25">
      <c r="A2179" s="2">
        <f>IF(B2179="","",SUBTOTAL(3,$B$2:B2179))</f>
        <v>2178</v>
      </c>
      <c r="B2179" s="9" t="s">
        <v>48</v>
      </c>
      <c r="C2179" s="10" t="s">
        <v>49</v>
      </c>
      <c r="D2179" s="11">
        <v>15.403573629081947</v>
      </c>
      <c r="E2179" s="12">
        <f t="shared" si="33"/>
        <v>43617</v>
      </c>
    </row>
    <row r="2180" spans="1:5" x14ac:dyDescent="0.25">
      <c r="A2180" s="2">
        <f>IF(B2180="","",SUBTOTAL(3,$B$2:B2180))</f>
        <v>2179</v>
      </c>
      <c r="B2180" s="9" t="s">
        <v>48</v>
      </c>
      <c r="C2180" s="10" t="s">
        <v>49</v>
      </c>
      <c r="D2180" s="11">
        <v>15.403573629081947</v>
      </c>
      <c r="E2180" s="12">
        <f t="shared" ref="E2180:E2243" si="34">E2179+1</f>
        <v>43618</v>
      </c>
    </row>
    <row r="2181" spans="1:5" x14ac:dyDescent="0.25">
      <c r="A2181" s="2">
        <f>IF(B2181="","",SUBTOTAL(3,$B$2:B2181))</f>
        <v>2180</v>
      </c>
      <c r="B2181" s="9" t="s">
        <v>48</v>
      </c>
      <c r="C2181" s="10" t="s">
        <v>49</v>
      </c>
      <c r="D2181" s="11">
        <v>15.403573629081947</v>
      </c>
      <c r="E2181" s="12">
        <f t="shared" si="34"/>
        <v>43619</v>
      </c>
    </row>
    <row r="2182" spans="1:5" x14ac:dyDescent="0.25">
      <c r="A2182" s="2">
        <f>IF(B2182="","",SUBTOTAL(3,$B$2:B2182))</f>
        <v>2181</v>
      </c>
      <c r="B2182" s="9" t="s">
        <v>48</v>
      </c>
      <c r="C2182" s="10" t="s">
        <v>54</v>
      </c>
      <c r="D2182" s="11">
        <v>231.05360443622922</v>
      </c>
      <c r="E2182" s="12">
        <f t="shared" si="34"/>
        <v>43620</v>
      </c>
    </row>
    <row r="2183" spans="1:5" x14ac:dyDescent="0.25">
      <c r="A2183" s="2">
        <f>IF(B2183="","",SUBTOTAL(3,$B$2:B2183))</f>
        <v>2182</v>
      </c>
      <c r="B2183" s="9" t="s">
        <v>48</v>
      </c>
      <c r="C2183" s="10" t="s">
        <v>49</v>
      </c>
      <c r="D2183" s="11">
        <v>15.403573629081947</v>
      </c>
      <c r="E2183" s="12">
        <f t="shared" si="34"/>
        <v>43621</v>
      </c>
    </row>
    <row r="2184" spans="1:5" x14ac:dyDescent="0.25">
      <c r="A2184" s="2">
        <f>IF(B2184="","",SUBTOTAL(3,$B$2:B2184))</f>
        <v>2183</v>
      </c>
      <c r="B2184" s="9" t="s">
        <v>48</v>
      </c>
      <c r="C2184" s="10" t="s">
        <v>49</v>
      </c>
      <c r="D2184" s="11">
        <v>15.403573629081947</v>
      </c>
      <c r="E2184" s="12">
        <f t="shared" si="34"/>
        <v>43622</v>
      </c>
    </row>
    <row r="2185" spans="1:5" x14ac:dyDescent="0.25">
      <c r="A2185" s="2">
        <f>IF(B2185="","",SUBTOTAL(3,$B$2:B2185))</f>
        <v>2184</v>
      </c>
      <c r="B2185" s="9" t="s">
        <v>48</v>
      </c>
      <c r="C2185" s="10" t="s">
        <v>49</v>
      </c>
      <c r="D2185" s="11">
        <v>15.403573629081947</v>
      </c>
      <c r="E2185" s="12">
        <f t="shared" si="34"/>
        <v>43623</v>
      </c>
    </row>
    <row r="2186" spans="1:5" x14ac:dyDescent="0.25">
      <c r="A2186" s="2">
        <f>IF(B2186="","",SUBTOTAL(3,$B$2:B2186))</f>
        <v>2185</v>
      </c>
      <c r="B2186" s="9" t="s">
        <v>48</v>
      </c>
      <c r="C2186" s="10" t="s">
        <v>49</v>
      </c>
      <c r="D2186" s="11">
        <v>15.403573629081947</v>
      </c>
      <c r="E2186" s="12">
        <f t="shared" si="34"/>
        <v>43624</v>
      </c>
    </row>
    <row r="2187" spans="1:5" x14ac:dyDescent="0.25">
      <c r="A2187" s="2">
        <f>IF(B2187="","",SUBTOTAL(3,$B$2:B2187))</f>
        <v>2186</v>
      </c>
      <c r="B2187" s="9" t="s">
        <v>48</v>
      </c>
      <c r="C2187" s="10" t="s">
        <v>49</v>
      </c>
      <c r="D2187" s="11">
        <v>15.403573629081947</v>
      </c>
      <c r="E2187" s="12">
        <f t="shared" si="34"/>
        <v>43625</v>
      </c>
    </row>
    <row r="2188" spans="1:5" x14ac:dyDescent="0.25">
      <c r="A2188" s="2">
        <f>IF(B2188="","",SUBTOTAL(3,$B$2:B2188))</f>
        <v>2187</v>
      </c>
      <c r="B2188" s="9" t="s">
        <v>48</v>
      </c>
      <c r="C2188" s="10" t="s">
        <v>54</v>
      </c>
      <c r="D2188" s="11">
        <v>27.726432532347506</v>
      </c>
      <c r="E2188" s="12">
        <f t="shared" si="34"/>
        <v>43626</v>
      </c>
    </row>
    <row r="2189" spans="1:5" x14ac:dyDescent="0.25">
      <c r="A2189" s="2">
        <f>IF(B2189="","",SUBTOTAL(3,$B$2:B2189))</f>
        <v>2188</v>
      </c>
      <c r="B2189" s="9" t="s">
        <v>48</v>
      </c>
      <c r="C2189" s="10" t="s">
        <v>49</v>
      </c>
      <c r="D2189" s="11">
        <v>15.403573629081947</v>
      </c>
      <c r="E2189" s="12">
        <f t="shared" si="34"/>
        <v>43627</v>
      </c>
    </row>
    <row r="2190" spans="1:5" x14ac:dyDescent="0.25">
      <c r="A2190" s="2">
        <f>IF(B2190="","",SUBTOTAL(3,$B$2:B2190))</f>
        <v>2189</v>
      </c>
      <c r="B2190" s="9" t="s">
        <v>48</v>
      </c>
      <c r="C2190" s="10" t="s">
        <v>49</v>
      </c>
      <c r="D2190" s="11">
        <v>15.403573629081947</v>
      </c>
      <c r="E2190" s="12">
        <f t="shared" si="34"/>
        <v>43628</v>
      </c>
    </row>
    <row r="2191" spans="1:5" x14ac:dyDescent="0.25">
      <c r="A2191" s="2">
        <f>IF(B2191="","",SUBTOTAL(3,$B$2:B2191))</f>
        <v>2190</v>
      </c>
      <c r="B2191" s="9" t="s">
        <v>48</v>
      </c>
      <c r="C2191" s="10" t="s">
        <v>49</v>
      </c>
      <c r="D2191" s="11">
        <v>15.403573629081947</v>
      </c>
      <c r="E2191" s="12">
        <f t="shared" si="34"/>
        <v>43629</v>
      </c>
    </row>
    <row r="2192" spans="1:5" x14ac:dyDescent="0.25">
      <c r="A2192" s="2">
        <f>IF(B2192="","",SUBTOTAL(3,$B$2:B2192))</f>
        <v>2191</v>
      </c>
      <c r="B2192" s="9" t="s">
        <v>48</v>
      </c>
      <c r="C2192" s="10" t="s">
        <v>49</v>
      </c>
      <c r="D2192" s="11">
        <v>15.403573629081947</v>
      </c>
      <c r="E2192" s="12">
        <f t="shared" si="34"/>
        <v>43630</v>
      </c>
    </row>
    <row r="2193" spans="1:5" x14ac:dyDescent="0.25">
      <c r="A2193" s="2">
        <f>IF(B2193="","",SUBTOTAL(3,$B$2:B2193))</f>
        <v>2192</v>
      </c>
      <c r="B2193" s="9" t="s">
        <v>48</v>
      </c>
      <c r="C2193" s="10" t="s">
        <v>54</v>
      </c>
      <c r="D2193" s="11">
        <v>2156.5003080714728</v>
      </c>
      <c r="E2193" s="12">
        <f t="shared" si="34"/>
        <v>43631</v>
      </c>
    </row>
    <row r="2194" spans="1:5" x14ac:dyDescent="0.25">
      <c r="A2194" s="2">
        <f>IF(B2194="","",SUBTOTAL(3,$B$2:B2194))</f>
        <v>2193</v>
      </c>
      <c r="B2194" s="9" t="s">
        <v>48</v>
      </c>
      <c r="C2194" s="10" t="s">
        <v>49</v>
      </c>
      <c r="D2194" s="11">
        <v>154.03573629081947</v>
      </c>
      <c r="E2194" s="12">
        <f t="shared" si="34"/>
        <v>43632</v>
      </c>
    </row>
    <row r="2195" spans="1:5" x14ac:dyDescent="0.25">
      <c r="A2195" s="2">
        <f>IF(B2195="","",SUBTOTAL(3,$B$2:B2195))</f>
        <v>2194</v>
      </c>
      <c r="B2195" s="9" t="s">
        <v>48</v>
      </c>
      <c r="C2195" s="10" t="s">
        <v>49</v>
      </c>
      <c r="D2195" s="11">
        <v>15.403573629081947</v>
      </c>
      <c r="E2195" s="12">
        <f t="shared" si="34"/>
        <v>43633</v>
      </c>
    </row>
    <row r="2196" spans="1:5" x14ac:dyDescent="0.25">
      <c r="A2196" s="2">
        <f>IF(B2196="","",SUBTOTAL(3,$B$2:B2196))</f>
        <v>2195</v>
      </c>
      <c r="B2196" s="9" t="s">
        <v>48</v>
      </c>
      <c r="C2196" s="10" t="s">
        <v>49</v>
      </c>
      <c r="D2196" s="11">
        <v>15.403573629081947</v>
      </c>
      <c r="E2196" s="12">
        <f t="shared" si="34"/>
        <v>43634</v>
      </c>
    </row>
    <row r="2197" spans="1:5" x14ac:dyDescent="0.25">
      <c r="A2197" s="2">
        <f>IF(B2197="","",SUBTOTAL(3,$B$2:B2197))</f>
        <v>2196</v>
      </c>
      <c r="B2197" s="9" t="s">
        <v>48</v>
      </c>
      <c r="C2197" s="10" t="s">
        <v>49</v>
      </c>
      <c r="D2197" s="11">
        <v>15.403573629081947</v>
      </c>
      <c r="E2197" s="12">
        <f t="shared" si="34"/>
        <v>43635</v>
      </c>
    </row>
    <row r="2198" spans="1:5" x14ac:dyDescent="0.25">
      <c r="A2198" s="2">
        <f>IF(B2198="","",SUBTOTAL(3,$B$2:B2198))</f>
        <v>2197</v>
      </c>
      <c r="B2198" s="9" t="s">
        <v>48</v>
      </c>
      <c r="C2198" s="10" t="s">
        <v>49</v>
      </c>
      <c r="D2198" s="11">
        <v>15.403573629081947</v>
      </c>
      <c r="E2198" s="12">
        <f t="shared" si="34"/>
        <v>43636</v>
      </c>
    </row>
    <row r="2199" spans="1:5" x14ac:dyDescent="0.25">
      <c r="A2199" s="2">
        <f>IF(B2199="","",SUBTOTAL(3,$B$2:B2199))</f>
        <v>2198</v>
      </c>
      <c r="B2199" s="9" t="s">
        <v>48</v>
      </c>
      <c r="C2199" s="10" t="s">
        <v>49</v>
      </c>
      <c r="D2199" s="11">
        <v>15.403573629081947</v>
      </c>
      <c r="E2199" s="12">
        <f t="shared" si="34"/>
        <v>43637</v>
      </c>
    </row>
    <row r="2200" spans="1:5" x14ac:dyDescent="0.25">
      <c r="A2200" s="2">
        <f>IF(B2200="","",SUBTOTAL(3,$B$2:B2200))</f>
        <v>2199</v>
      </c>
      <c r="B2200" s="9" t="s">
        <v>48</v>
      </c>
      <c r="C2200" s="10" t="s">
        <v>49</v>
      </c>
      <c r="D2200" s="11">
        <v>15.403573629081947</v>
      </c>
      <c r="E2200" s="12">
        <f t="shared" si="34"/>
        <v>43638</v>
      </c>
    </row>
    <row r="2201" spans="1:5" x14ac:dyDescent="0.25">
      <c r="A2201" s="2">
        <f>IF(B2201="","",SUBTOTAL(3,$B$2:B2201))</f>
        <v>2200</v>
      </c>
      <c r="B2201" s="9" t="s">
        <v>48</v>
      </c>
      <c r="C2201" s="10" t="s">
        <v>49</v>
      </c>
      <c r="D2201" s="11">
        <v>15.403573629081947</v>
      </c>
      <c r="E2201" s="12">
        <f t="shared" si="34"/>
        <v>43639</v>
      </c>
    </row>
    <row r="2202" spans="1:5" x14ac:dyDescent="0.25">
      <c r="A2202" s="2">
        <f>IF(B2202="","",SUBTOTAL(3,$B$2:B2202))</f>
        <v>2201</v>
      </c>
      <c r="B2202" s="9" t="s">
        <v>48</v>
      </c>
      <c r="C2202" s="10" t="s">
        <v>49</v>
      </c>
      <c r="D2202" s="11">
        <v>15.403573629081947</v>
      </c>
      <c r="E2202" s="12">
        <f t="shared" si="34"/>
        <v>43640</v>
      </c>
    </row>
    <row r="2203" spans="1:5" x14ac:dyDescent="0.25">
      <c r="A2203" s="2">
        <f>IF(B2203="","",SUBTOTAL(3,$B$2:B2203))</f>
        <v>2202</v>
      </c>
      <c r="B2203" s="9" t="s">
        <v>48</v>
      </c>
      <c r="C2203" s="10" t="s">
        <v>49</v>
      </c>
      <c r="D2203" s="11">
        <v>15.403573629081947</v>
      </c>
      <c r="E2203" s="12">
        <f t="shared" si="34"/>
        <v>43641</v>
      </c>
    </row>
    <row r="2204" spans="1:5" x14ac:dyDescent="0.25">
      <c r="A2204" s="2">
        <f>IF(B2204="","",SUBTOTAL(3,$B$2:B2204))</f>
        <v>2203</v>
      </c>
      <c r="B2204" s="9" t="s">
        <v>48</v>
      </c>
      <c r="C2204" s="10" t="s">
        <v>49</v>
      </c>
      <c r="D2204" s="11">
        <v>15.403573629081947</v>
      </c>
      <c r="E2204" s="12">
        <f t="shared" si="34"/>
        <v>43642</v>
      </c>
    </row>
    <row r="2205" spans="1:5" x14ac:dyDescent="0.25">
      <c r="A2205" s="2">
        <f>IF(B2205="","",SUBTOTAL(3,$B$2:B2205))</f>
        <v>2204</v>
      </c>
      <c r="B2205" s="9" t="s">
        <v>48</v>
      </c>
      <c r="C2205" s="10" t="s">
        <v>49</v>
      </c>
      <c r="D2205" s="11">
        <v>15.403573629081947</v>
      </c>
      <c r="E2205" s="12">
        <f t="shared" si="34"/>
        <v>43643</v>
      </c>
    </row>
    <row r="2206" spans="1:5" x14ac:dyDescent="0.25">
      <c r="A2206" s="2">
        <f>IF(B2206="","",SUBTOTAL(3,$B$2:B2206))</f>
        <v>2205</v>
      </c>
      <c r="B2206" s="9" t="s">
        <v>48</v>
      </c>
      <c r="C2206" s="10" t="s">
        <v>49</v>
      </c>
      <c r="D2206" s="11">
        <v>15.403573629081947</v>
      </c>
      <c r="E2206" s="12">
        <f t="shared" si="34"/>
        <v>43644</v>
      </c>
    </row>
    <row r="2207" spans="1:5" x14ac:dyDescent="0.25">
      <c r="A2207" s="2">
        <f>IF(B2207="","",SUBTOTAL(3,$B$2:B2207))</f>
        <v>2206</v>
      </c>
      <c r="B2207" s="9" t="s">
        <v>48</v>
      </c>
      <c r="C2207" s="10" t="s">
        <v>49</v>
      </c>
      <c r="D2207" s="11">
        <v>15.403573629081947</v>
      </c>
      <c r="E2207" s="12">
        <f t="shared" si="34"/>
        <v>43645</v>
      </c>
    </row>
    <row r="2208" spans="1:5" x14ac:dyDescent="0.25">
      <c r="A2208" s="2">
        <f>IF(B2208="","",SUBTOTAL(3,$B$2:B2208))</f>
        <v>2207</v>
      </c>
      <c r="B2208" s="9" t="s">
        <v>48</v>
      </c>
      <c r="C2208" s="10" t="s">
        <v>49</v>
      </c>
      <c r="D2208" s="11">
        <v>15.403573629081947</v>
      </c>
      <c r="E2208" s="12">
        <f t="shared" si="34"/>
        <v>43646</v>
      </c>
    </row>
    <row r="2209" spans="1:5" x14ac:dyDescent="0.25">
      <c r="A2209" s="2">
        <f>IF(B2209="","",SUBTOTAL(3,$B$2:B2209))</f>
        <v>2208</v>
      </c>
      <c r="B2209" s="9" t="s">
        <v>48</v>
      </c>
      <c r="C2209" s="10" t="s">
        <v>49</v>
      </c>
      <c r="D2209" s="11">
        <v>15.403573629081947</v>
      </c>
      <c r="E2209" s="12">
        <f t="shared" si="34"/>
        <v>43647</v>
      </c>
    </row>
    <row r="2210" spans="1:5" x14ac:dyDescent="0.25">
      <c r="A2210" s="2">
        <f>IF(B2210="","",SUBTOTAL(3,$B$2:B2210))</f>
        <v>2209</v>
      </c>
      <c r="B2210" s="9" t="s">
        <v>48</v>
      </c>
      <c r="C2210" s="10" t="s">
        <v>49</v>
      </c>
      <c r="D2210" s="11">
        <v>15.403573629081947</v>
      </c>
      <c r="E2210" s="12">
        <f t="shared" si="34"/>
        <v>43648</v>
      </c>
    </row>
    <row r="2211" spans="1:5" x14ac:dyDescent="0.25">
      <c r="A2211" s="2">
        <f>IF(B2211="","",SUBTOTAL(3,$B$2:B2211))</f>
        <v>2210</v>
      </c>
      <c r="B2211" s="9" t="s">
        <v>48</v>
      </c>
      <c r="C2211" s="10" t="s">
        <v>49</v>
      </c>
      <c r="D2211" s="11">
        <v>15.403573629081947</v>
      </c>
      <c r="E2211" s="12">
        <f t="shared" si="34"/>
        <v>43649</v>
      </c>
    </row>
    <row r="2212" spans="1:5" x14ac:dyDescent="0.25">
      <c r="A2212" s="2">
        <f>IF(B2212="","",SUBTOTAL(3,$B$2:B2212))</f>
        <v>2211</v>
      </c>
      <c r="B2212" s="9" t="s">
        <v>48</v>
      </c>
      <c r="C2212" s="10" t="s">
        <v>49</v>
      </c>
      <c r="D2212" s="11">
        <v>15.403573629081947</v>
      </c>
      <c r="E2212" s="12">
        <f t="shared" si="34"/>
        <v>43650</v>
      </c>
    </row>
    <row r="2213" spans="1:5" x14ac:dyDescent="0.25">
      <c r="A2213" s="2">
        <f>IF(B2213="","",SUBTOTAL(3,$B$2:B2213))</f>
        <v>2212</v>
      </c>
      <c r="B2213" s="9" t="s">
        <v>48</v>
      </c>
      <c r="C2213" s="10" t="s">
        <v>49</v>
      </c>
      <c r="D2213" s="11">
        <v>15.403573629081947</v>
      </c>
      <c r="E2213" s="12">
        <f t="shared" si="34"/>
        <v>43651</v>
      </c>
    </row>
    <row r="2214" spans="1:5" x14ac:dyDescent="0.25">
      <c r="A2214" s="2">
        <f>IF(B2214="","",SUBTOTAL(3,$B$2:B2214))</f>
        <v>2213</v>
      </c>
      <c r="B2214" s="9" t="s">
        <v>48</v>
      </c>
      <c r="C2214" s="10" t="s">
        <v>49</v>
      </c>
      <c r="D2214" s="11">
        <v>15.403573629081947</v>
      </c>
      <c r="E2214" s="12">
        <f t="shared" si="34"/>
        <v>43652</v>
      </c>
    </row>
    <row r="2215" spans="1:5" x14ac:dyDescent="0.25">
      <c r="A2215" s="2">
        <f>IF(B2215="","",SUBTOTAL(3,$B$2:B2215))</f>
        <v>2214</v>
      </c>
      <c r="B2215" s="9" t="s">
        <v>48</v>
      </c>
      <c r="C2215" s="10" t="s">
        <v>49</v>
      </c>
      <c r="D2215" s="11">
        <v>15.403573629081947</v>
      </c>
      <c r="E2215" s="12">
        <f t="shared" si="34"/>
        <v>43653</v>
      </c>
    </row>
    <row r="2216" spans="1:5" x14ac:dyDescent="0.25">
      <c r="A2216" s="2">
        <f>IF(B2216="","",SUBTOTAL(3,$B$2:B2216))</f>
        <v>2215</v>
      </c>
      <c r="B2216" s="9" t="s">
        <v>48</v>
      </c>
      <c r="C2216" s="10" t="s">
        <v>49</v>
      </c>
      <c r="D2216" s="11">
        <v>15.403573629081947</v>
      </c>
      <c r="E2216" s="12">
        <f t="shared" si="34"/>
        <v>43654</v>
      </c>
    </row>
    <row r="2217" spans="1:5" x14ac:dyDescent="0.25">
      <c r="A2217" s="2">
        <f>IF(B2217="","",SUBTOTAL(3,$B$2:B2217))</f>
        <v>2216</v>
      </c>
      <c r="B2217" s="9" t="s">
        <v>48</v>
      </c>
      <c r="C2217" s="10" t="s">
        <v>49</v>
      </c>
      <c r="D2217" s="11">
        <v>15.403573629081947</v>
      </c>
      <c r="E2217" s="12">
        <f t="shared" si="34"/>
        <v>43655</v>
      </c>
    </row>
    <row r="2218" spans="1:5" x14ac:dyDescent="0.25">
      <c r="A2218" s="2">
        <f>IF(B2218="","",SUBTOTAL(3,$B$2:B2218))</f>
        <v>2217</v>
      </c>
      <c r="B2218" s="9" t="s">
        <v>48</v>
      </c>
      <c r="C2218" s="10" t="s">
        <v>49</v>
      </c>
      <c r="D2218" s="11">
        <v>23.105360443622921</v>
      </c>
      <c r="E2218" s="12">
        <f t="shared" si="34"/>
        <v>43656</v>
      </c>
    </row>
    <row r="2219" spans="1:5" x14ac:dyDescent="0.25">
      <c r="A2219" s="2">
        <f>IF(B2219="","",SUBTOTAL(3,$B$2:B2219))</f>
        <v>2218</v>
      </c>
      <c r="B2219" s="9" t="s">
        <v>48</v>
      </c>
      <c r="C2219" s="10" t="s">
        <v>52</v>
      </c>
      <c r="D2219" s="11">
        <v>46.210720887245841</v>
      </c>
      <c r="E2219" s="12">
        <f t="shared" si="34"/>
        <v>43657</v>
      </c>
    </row>
    <row r="2220" spans="1:5" x14ac:dyDescent="0.25">
      <c r="A2220" s="2">
        <f>IF(B2220="","",SUBTOTAL(3,$B$2:B2220))</f>
        <v>2219</v>
      </c>
      <c r="B2220" s="9" t="s">
        <v>48</v>
      </c>
      <c r="C2220" s="10" t="s">
        <v>49</v>
      </c>
      <c r="D2220" s="11">
        <v>15.403573629081947</v>
      </c>
      <c r="E2220" s="12">
        <f t="shared" si="34"/>
        <v>43658</v>
      </c>
    </row>
    <row r="2221" spans="1:5" x14ac:dyDescent="0.25">
      <c r="A2221" s="2">
        <f>IF(B2221="","",SUBTOTAL(3,$B$2:B2221))</f>
        <v>2220</v>
      </c>
      <c r="B2221" s="9" t="s">
        <v>48</v>
      </c>
      <c r="C2221" s="10" t="s">
        <v>49</v>
      </c>
      <c r="D2221" s="11">
        <v>15.403573629081947</v>
      </c>
      <c r="E2221" s="12">
        <f t="shared" si="34"/>
        <v>43659</v>
      </c>
    </row>
    <row r="2222" spans="1:5" x14ac:dyDescent="0.25">
      <c r="A2222" s="2">
        <f>IF(B2222="","",SUBTOTAL(3,$B$2:B2222))</f>
        <v>2221</v>
      </c>
      <c r="B2222" s="9" t="s">
        <v>48</v>
      </c>
      <c r="C2222" s="10" t="s">
        <v>49</v>
      </c>
      <c r="D2222" s="11">
        <v>15.403573629081947</v>
      </c>
      <c r="E2222" s="12">
        <f t="shared" si="34"/>
        <v>43660</v>
      </c>
    </row>
    <row r="2223" spans="1:5" x14ac:dyDescent="0.25">
      <c r="A2223" s="2">
        <f>IF(B2223="","",SUBTOTAL(3,$B$2:B2223))</f>
        <v>2222</v>
      </c>
      <c r="B2223" s="9" t="s">
        <v>48</v>
      </c>
      <c r="C2223" s="10" t="s">
        <v>49</v>
      </c>
      <c r="D2223" s="11">
        <v>15.403573629081947</v>
      </c>
      <c r="E2223" s="12">
        <f t="shared" si="34"/>
        <v>43661</v>
      </c>
    </row>
    <row r="2224" spans="1:5" x14ac:dyDescent="0.25">
      <c r="A2224" s="2">
        <f>IF(B2224="","",SUBTOTAL(3,$B$2:B2224))</f>
        <v>2223</v>
      </c>
      <c r="B2224" s="9" t="s">
        <v>50</v>
      </c>
      <c r="C2224" s="10" t="s">
        <v>52</v>
      </c>
      <c r="D2224" s="11">
        <v>88.183421516754848</v>
      </c>
      <c r="E2224" s="12">
        <f t="shared" si="34"/>
        <v>43662</v>
      </c>
    </row>
    <row r="2225" spans="1:5" x14ac:dyDescent="0.25">
      <c r="A2225" s="2">
        <f>IF(B2225="","",SUBTOTAL(3,$B$2:B2225))</f>
        <v>2224</v>
      </c>
      <c r="B2225" s="9" t="s">
        <v>50</v>
      </c>
      <c r="C2225" s="10" t="s">
        <v>52</v>
      </c>
      <c r="D2225" s="11">
        <v>35.273368606701936</v>
      </c>
      <c r="E2225" s="12">
        <f t="shared" si="34"/>
        <v>43663</v>
      </c>
    </row>
    <row r="2226" spans="1:5" x14ac:dyDescent="0.25">
      <c r="A2226" s="2">
        <f>IF(B2226="","",SUBTOTAL(3,$B$2:B2226))</f>
        <v>2225</v>
      </c>
      <c r="B2226" s="9" t="s">
        <v>51</v>
      </c>
      <c r="C2226" s="10" t="s">
        <v>52</v>
      </c>
      <c r="D2226" s="11">
        <v>52.949274594938046</v>
      </c>
      <c r="E2226" s="12">
        <f t="shared" si="34"/>
        <v>43664</v>
      </c>
    </row>
    <row r="2227" spans="1:5" x14ac:dyDescent="0.25">
      <c r="A2227" s="2">
        <f>IF(B2227="","",SUBTOTAL(3,$B$2:B2227))</f>
        <v>2226</v>
      </c>
      <c r="B2227" s="9" t="s">
        <v>51</v>
      </c>
      <c r="C2227" s="10" t="s">
        <v>52</v>
      </c>
      <c r="D2227" s="11">
        <v>52.949274594938046</v>
      </c>
      <c r="E2227" s="12">
        <f t="shared" si="34"/>
        <v>43665</v>
      </c>
    </row>
    <row r="2228" spans="1:5" x14ac:dyDescent="0.25">
      <c r="A2228" s="2">
        <f>IF(B2228="","",SUBTOTAL(3,$B$2:B2228))</f>
        <v>2227</v>
      </c>
      <c r="B2228" s="9" t="s">
        <v>51</v>
      </c>
      <c r="C2228" s="10" t="s">
        <v>54</v>
      </c>
      <c r="D2228" s="11">
        <v>72.011013449115751</v>
      </c>
      <c r="E2228" s="12">
        <f t="shared" si="34"/>
        <v>43666</v>
      </c>
    </row>
    <row r="2229" spans="1:5" x14ac:dyDescent="0.25">
      <c r="A2229" s="2">
        <f>IF(B2229="","",SUBTOTAL(3,$B$2:B2229))</f>
        <v>2228</v>
      </c>
      <c r="B2229" s="9" t="s">
        <v>53</v>
      </c>
      <c r="C2229" s="10" t="s">
        <v>49</v>
      </c>
      <c r="D2229" s="11">
        <v>136.46313205784574</v>
      </c>
      <c r="E2229" s="12">
        <f t="shared" si="34"/>
        <v>43667</v>
      </c>
    </row>
    <row r="2230" spans="1:5" x14ac:dyDescent="0.25">
      <c r="A2230" s="2">
        <f>IF(B2230="","",SUBTOTAL(3,$B$2:B2230))</f>
        <v>2229</v>
      </c>
      <c r="B2230" s="9" t="s">
        <v>53</v>
      </c>
      <c r="C2230" s="10" t="s">
        <v>49</v>
      </c>
      <c r="D2230" s="11">
        <v>45.792997334847563</v>
      </c>
      <c r="E2230" s="12">
        <f t="shared" si="34"/>
        <v>43668</v>
      </c>
    </row>
    <row r="2231" spans="1:5" x14ac:dyDescent="0.25">
      <c r="A2231" s="2">
        <f>IF(B2231="","",SUBTOTAL(3,$B$2:B2231))</f>
        <v>2230</v>
      </c>
      <c r="B2231" s="9" t="s">
        <v>53</v>
      </c>
      <c r="C2231" s="10" t="s">
        <v>49</v>
      </c>
      <c r="D2231" s="11">
        <v>274.75798400908536</v>
      </c>
      <c r="E2231" s="12">
        <f t="shared" si="34"/>
        <v>43669</v>
      </c>
    </row>
    <row r="2232" spans="1:5" x14ac:dyDescent="0.25">
      <c r="A2232" s="2">
        <f>IF(B2232="","",SUBTOTAL(3,$B$2:B2232))</f>
        <v>2231</v>
      </c>
      <c r="B2232" s="9" t="s">
        <v>51</v>
      </c>
      <c r="C2232" s="10" t="s">
        <v>52</v>
      </c>
      <c r="D2232" s="11">
        <v>105.89854918987609</v>
      </c>
      <c r="E2232" s="12">
        <f t="shared" si="34"/>
        <v>43670</v>
      </c>
    </row>
    <row r="2233" spans="1:5" x14ac:dyDescent="0.25">
      <c r="A2233" s="2">
        <f>IF(B2233="","",SUBTOTAL(3,$B$2:B2233))</f>
        <v>2232</v>
      </c>
      <c r="B2233" s="9" t="s">
        <v>51</v>
      </c>
      <c r="C2233" s="10" t="s">
        <v>52</v>
      </c>
      <c r="D2233" s="11">
        <v>19.061738854177698</v>
      </c>
      <c r="E2233" s="12">
        <f t="shared" si="34"/>
        <v>43671</v>
      </c>
    </row>
    <row r="2234" spans="1:5" x14ac:dyDescent="0.25">
      <c r="A2234" s="2">
        <f>IF(B2234="","",SUBTOTAL(3,$B$2:B2234))</f>
        <v>2233</v>
      </c>
      <c r="B2234" s="9" t="s">
        <v>51</v>
      </c>
      <c r="C2234" s="10" t="s">
        <v>54</v>
      </c>
      <c r="D2234" s="11">
        <v>0</v>
      </c>
      <c r="E2234" s="12">
        <f t="shared" si="34"/>
        <v>43672</v>
      </c>
    </row>
    <row r="2235" spans="1:5" x14ac:dyDescent="0.25">
      <c r="A2235" s="2">
        <f>IF(B2235="","",SUBTOTAL(3,$B$2:B2235))</f>
        <v>2234</v>
      </c>
      <c r="B2235" s="9" t="s">
        <v>48</v>
      </c>
      <c r="C2235" s="10" t="s">
        <v>49</v>
      </c>
      <c r="D2235" s="11">
        <v>385.08934072704869</v>
      </c>
      <c r="E2235" s="12">
        <f t="shared" si="34"/>
        <v>43673</v>
      </c>
    </row>
    <row r="2236" spans="1:5" x14ac:dyDescent="0.25">
      <c r="A2236" s="2">
        <f>IF(B2236="","",SUBTOTAL(3,$B$2:B2236))</f>
        <v>2235</v>
      </c>
      <c r="B2236" s="9" t="s">
        <v>48</v>
      </c>
      <c r="C2236" s="10" t="s">
        <v>52</v>
      </c>
      <c r="D2236" s="11">
        <v>123.22858903265558</v>
      </c>
      <c r="E2236" s="12">
        <f t="shared" si="34"/>
        <v>43674</v>
      </c>
    </row>
    <row r="2237" spans="1:5" x14ac:dyDescent="0.25">
      <c r="A2237" s="2">
        <f>IF(B2237="","",SUBTOTAL(3,$B$2:B2237))</f>
        <v>2236</v>
      </c>
      <c r="B2237" s="9" t="s">
        <v>48</v>
      </c>
      <c r="C2237" s="10" t="s">
        <v>52</v>
      </c>
      <c r="D2237" s="11">
        <v>123.22858903265558</v>
      </c>
      <c r="E2237" s="12">
        <f t="shared" si="34"/>
        <v>43675</v>
      </c>
    </row>
    <row r="2238" spans="1:5" x14ac:dyDescent="0.25">
      <c r="A2238" s="2">
        <f>IF(B2238="","",SUBTOTAL(3,$B$2:B2238))</f>
        <v>2237</v>
      </c>
      <c r="B2238" s="9" t="s">
        <v>48</v>
      </c>
      <c r="C2238" s="10" t="s">
        <v>52</v>
      </c>
      <c r="D2238" s="11">
        <v>154.03573629081947</v>
      </c>
      <c r="E2238" s="12">
        <f t="shared" si="34"/>
        <v>43676</v>
      </c>
    </row>
    <row r="2239" spans="1:5" x14ac:dyDescent="0.25">
      <c r="A2239" s="2">
        <f>IF(B2239="","",SUBTOTAL(3,$B$2:B2239))</f>
        <v>2238</v>
      </c>
      <c r="B2239" s="9" t="s">
        <v>48</v>
      </c>
      <c r="C2239" s="10" t="s">
        <v>52</v>
      </c>
      <c r="D2239" s="11">
        <v>154.03573629081947</v>
      </c>
      <c r="E2239" s="12">
        <f t="shared" si="34"/>
        <v>43677</v>
      </c>
    </row>
    <row r="2240" spans="1:5" x14ac:dyDescent="0.25">
      <c r="A2240" s="2">
        <f>IF(B2240="","",SUBTOTAL(3,$B$2:B2240))</f>
        <v>2239</v>
      </c>
      <c r="B2240" s="9" t="s">
        <v>48</v>
      </c>
      <c r="C2240" s="10" t="s">
        <v>52</v>
      </c>
      <c r="D2240" s="11">
        <v>154.03573629081947</v>
      </c>
      <c r="E2240" s="12">
        <f t="shared" si="34"/>
        <v>43678</v>
      </c>
    </row>
    <row r="2241" spans="1:5" x14ac:dyDescent="0.25">
      <c r="A2241" s="2">
        <f>IF(B2241="","",SUBTOTAL(3,$B$2:B2241))</f>
        <v>2240</v>
      </c>
      <c r="B2241" s="9" t="s">
        <v>48</v>
      </c>
      <c r="C2241" s="10" t="s">
        <v>52</v>
      </c>
      <c r="D2241" s="11">
        <v>84.719654959950716</v>
      </c>
      <c r="E2241" s="12">
        <f t="shared" si="34"/>
        <v>43679</v>
      </c>
    </row>
    <row r="2242" spans="1:5" x14ac:dyDescent="0.25">
      <c r="A2242" s="2">
        <f>IF(B2242="","",SUBTOTAL(3,$B$2:B2242))</f>
        <v>2241</v>
      </c>
      <c r="B2242" s="9" t="s">
        <v>50</v>
      </c>
      <c r="C2242" s="10" t="s">
        <v>49</v>
      </c>
      <c r="D2242" s="11">
        <v>48.500881834215171</v>
      </c>
      <c r="E2242" s="12">
        <f t="shared" si="34"/>
        <v>43680</v>
      </c>
    </row>
    <row r="2243" spans="1:5" x14ac:dyDescent="0.25">
      <c r="A2243" s="2">
        <f>IF(B2243="","",SUBTOTAL(3,$B$2:B2243))</f>
        <v>2242</v>
      </c>
      <c r="B2243" s="9" t="s">
        <v>50</v>
      </c>
      <c r="C2243" s="10" t="s">
        <v>49</v>
      </c>
      <c r="D2243" s="11">
        <v>55.114638447971785</v>
      </c>
      <c r="E2243" s="12">
        <f t="shared" si="34"/>
        <v>43681</v>
      </c>
    </row>
    <row r="2244" spans="1:5" x14ac:dyDescent="0.25">
      <c r="A2244" s="2">
        <f>IF(B2244="","",SUBTOTAL(3,$B$2:B2244))</f>
        <v>2243</v>
      </c>
      <c r="B2244" s="9" t="s">
        <v>55</v>
      </c>
      <c r="C2244" s="10" t="s">
        <v>49</v>
      </c>
      <c r="D2244" s="11">
        <v>121.60338927814894</v>
      </c>
      <c r="E2244" s="12">
        <f t="shared" ref="E2244:E2307" si="35">E2243+1</f>
        <v>43682</v>
      </c>
    </row>
    <row r="2245" spans="1:5" x14ac:dyDescent="0.25">
      <c r="A2245" s="2">
        <f>IF(B2245="","",SUBTOTAL(3,$B$2:B2245))</f>
        <v>2244</v>
      </c>
      <c r="B2245" s="9" t="s">
        <v>50</v>
      </c>
      <c r="C2245" s="10" t="s">
        <v>49</v>
      </c>
      <c r="D2245" s="11">
        <v>20</v>
      </c>
      <c r="E2245" s="12">
        <f t="shared" si="35"/>
        <v>43683</v>
      </c>
    </row>
    <row r="2246" spans="1:5" x14ac:dyDescent="0.25">
      <c r="A2246" s="2">
        <f>IF(B2246="","",SUBTOTAL(3,$B$2:B2246))</f>
        <v>2245</v>
      </c>
      <c r="B2246" s="9" t="s">
        <v>48</v>
      </c>
      <c r="C2246" s="10" t="s">
        <v>49</v>
      </c>
      <c r="D2246" s="11">
        <v>46.210720887245841</v>
      </c>
      <c r="E2246" s="12">
        <f t="shared" si="35"/>
        <v>43684</v>
      </c>
    </row>
    <row r="2247" spans="1:5" x14ac:dyDescent="0.25">
      <c r="A2247" s="2">
        <f>IF(B2247="","",SUBTOTAL(3,$B$2:B2247))</f>
        <v>2246</v>
      </c>
      <c r="B2247" s="9" t="s">
        <v>50</v>
      </c>
      <c r="C2247" s="10" t="s">
        <v>49</v>
      </c>
      <c r="D2247" s="11">
        <v>110.22927689594357</v>
      </c>
      <c r="E2247" s="12">
        <f t="shared" si="35"/>
        <v>43685</v>
      </c>
    </row>
    <row r="2248" spans="1:5" x14ac:dyDescent="0.25">
      <c r="A2248" s="2">
        <f>IF(B2248="","",SUBTOTAL(3,$B$2:B2248))</f>
        <v>2247</v>
      </c>
      <c r="B2248" s="9" t="s">
        <v>51</v>
      </c>
      <c r="C2248" s="10" t="s">
        <v>54</v>
      </c>
      <c r="D2248" s="11">
        <v>158.84782378481412</v>
      </c>
      <c r="E2248" s="12">
        <f t="shared" si="35"/>
        <v>43686</v>
      </c>
    </row>
    <row r="2249" spans="1:5" x14ac:dyDescent="0.25">
      <c r="A2249" s="2">
        <f>IF(B2249="","",SUBTOTAL(3,$B$2:B2249))</f>
        <v>2248</v>
      </c>
      <c r="B2249" s="9" t="s">
        <v>48</v>
      </c>
      <c r="C2249" s="10" t="s">
        <v>49</v>
      </c>
      <c r="D2249" s="11">
        <v>15.403573629081947</v>
      </c>
      <c r="E2249" s="12">
        <f t="shared" si="35"/>
        <v>43687</v>
      </c>
    </row>
    <row r="2250" spans="1:5" x14ac:dyDescent="0.25">
      <c r="A2250" s="2">
        <f>IF(B2250="","",SUBTOTAL(3,$B$2:B2250))</f>
        <v>2249</v>
      </c>
      <c r="B2250" s="9" t="s">
        <v>48</v>
      </c>
      <c r="C2250" s="10" t="s">
        <v>52</v>
      </c>
      <c r="D2250" s="11">
        <v>68.941744226128904</v>
      </c>
      <c r="E2250" s="12">
        <f t="shared" si="35"/>
        <v>43688</v>
      </c>
    </row>
    <row r="2251" spans="1:5" x14ac:dyDescent="0.25">
      <c r="A2251" s="2">
        <f>IF(B2251="","",SUBTOTAL(3,$B$2:B2251))</f>
        <v>2250</v>
      </c>
      <c r="B2251" s="9" t="s">
        <v>48</v>
      </c>
      <c r="C2251" s="10" t="s">
        <v>49</v>
      </c>
      <c r="D2251" s="11">
        <v>231.05360443622922</v>
      </c>
      <c r="E2251" s="12">
        <f t="shared" si="35"/>
        <v>43689</v>
      </c>
    </row>
    <row r="2252" spans="1:5" x14ac:dyDescent="0.25">
      <c r="A2252" s="2">
        <f>IF(B2252="","",SUBTOTAL(3,$B$2:B2252))</f>
        <v>2251</v>
      </c>
      <c r="B2252" s="9" t="s">
        <v>48</v>
      </c>
      <c r="C2252" s="10" t="s">
        <v>49</v>
      </c>
      <c r="D2252" s="11">
        <v>9.0593963999845819</v>
      </c>
      <c r="E2252" s="12">
        <f t="shared" si="35"/>
        <v>43690</v>
      </c>
    </row>
    <row r="2253" spans="1:5" x14ac:dyDescent="0.25">
      <c r="A2253" s="2">
        <f>IF(B2253="","",SUBTOTAL(3,$B$2:B2253))</f>
        <v>2252</v>
      </c>
      <c r="B2253" s="9" t="s">
        <v>48</v>
      </c>
      <c r="C2253" s="10" t="s">
        <v>49</v>
      </c>
      <c r="D2253" s="11">
        <v>123.22858903265558</v>
      </c>
      <c r="E2253" s="12">
        <f t="shared" si="35"/>
        <v>43691</v>
      </c>
    </row>
    <row r="2254" spans="1:5" x14ac:dyDescent="0.25">
      <c r="A2254" s="2">
        <f>IF(B2254="","",SUBTOTAL(3,$B$2:B2254))</f>
        <v>2253</v>
      </c>
      <c r="B2254" s="9" t="s">
        <v>50</v>
      </c>
      <c r="C2254" s="10" t="s">
        <v>49</v>
      </c>
      <c r="D2254" s="11">
        <v>661.37566137566137</v>
      </c>
      <c r="E2254" s="12">
        <f t="shared" si="35"/>
        <v>43692</v>
      </c>
    </row>
    <row r="2255" spans="1:5" x14ac:dyDescent="0.25">
      <c r="A2255" s="2">
        <f>IF(B2255="","",SUBTOTAL(3,$B$2:B2255))</f>
        <v>2254</v>
      </c>
      <c r="B2255" s="9" t="s">
        <v>48</v>
      </c>
      <c r="C2255" s="10" t="s">
        <v>49</v>
      </c>
      <c r="D2255" s="11">
        <v>15.403573629081947</v>
      </c>
      <c r="E2255" s="12">
        <f t="shared" si="35"/>
        <v>43693</v>
      </c>
    </row>
    <row r="2256" spans="1:5" x14ac:dyDescent="0.25">
      <c r="A2256" s="2">
        <f>IF(B2256="","",SUBTOTAL(3,$B$2:B2256))</f>
        <v>2255</v>
      </c>
      <c r="B2256" s="9" t="s">
        <v>48</v>
      </c>
      <c r="C2256" s="10" t="s">
        <v>49</v>
      </c>
      <c r="D2256" s="11">
        <v>15.403573629081947</v>
      </c>
      <c r="E2256" s="12">
        <f t="shared" si="35"/>
        <v>43694</v>
      </c>
    </row>
    <row r="2257" spans="1:5" x14ac:dyDescent="0.25">
      <c r="A2257" s="2">
        <f>IF(B2257="","",SUBTOTAL(3,$B$2:B2257))</f>
        <v>2256</v>
      </c>
      <c r="B2257" s="9" t="s">
        <v>48</v>
      </c>
      <c r="C2257" s="10" t="s">
        <v>49</v>
      </c>
      <c r="D2257" s="11">
        <v>15.403573629081947</v>
      </c>
      <c r="E2257" s="12">
        <f t="shared" si="35"/>
        <v>43695</v>
      </c>
    </row>
    <row r="2258" spans="1:5" x14ac:dyDescent="0.25">
      <c r="A2258" s="2">
        <f>IF(B2258="","",SUBTOTAL(3,$B$2:B2258))</f>
        <v>2257</v>
      </c>
      <c r="B2258" s="9" t="s">
        <v>48</v>
      </c>
      <c r="C2258" s="10" t="s">
        <v>49</v>
      </c>
      <c r="D2258" s="11">
        <v>15.403573629081947</v>
      </c>
      <c r="E2258" s="12">
        <f t="shared" si="35"/>
        <v>43696</v>
      </c>
    </row>
    <row r="2259" spans="1:5" x14ac:dyDescent="0.25">
      <c r="A2259" s="2">
        <f>IF(B2259="","",SUBTOTAL(3,$B$2:B2259))</f>
        <v>2258</v>
      </c>
      <c r="B2259" s="9" t="s">
        <v>48</v>
      </c>
      <c r="C2259" s="10" t="s">
        <v>49</v>
      </c>
      <c r="D2259" s="11">
        <v>15.403573629081947</v>
      </c>
      <c r="E2259" s="12">
        <f t="shared" si="35"/>
        <v>43697</v>
      </c>
    </row>
    <row r="2260" spans="1:5" x14ac:dyDescent="0.25">
      <c r="A2260" s="2">
        <f>IF(B2260="","",SUBTOTAL(3,$B$2:B2260))</f>
        <v>2259</v>
      </c>
      <c r="B2260" s="9" t="s">
        <v>48</v>
      </c>
      <c r="C2260" s="10" t="s">
        <v>49</v>
      </c>
      <c r="D2260" s="11">
        <v>15.403573629081947</v>
      </c>
      <c r="E2260" s="12">
        <f t="shared" si="35"/>
        <v>43698</v>
      </c>
    </row>
    <row r="2261" spans="1:5" x14ac:dyDescent="0.25">
      <c r="A2261" s="2">
        <f>IF(B2261="","",SUBTOTAL(3,$B$2:B2261))</f>
        <v>2260</v>
      </c>
      <c r="B2261" s="9" t="s">
        <v>48</v>
      </c>
      <c r="C2261" s="10" t="s">
        <v>49</v>
      </c>
      <c r="D2261" s="11">
        <v>15.403573629081947</v>
      </c>
      <c r="E2261" s="12">
        <f t="shared" si="35"/>
        <v>43699</v>
      </c>
    </row>
    <row r="2262" spans="1:5" x14ac:dyDescent="0.25">
      <c r="A2262" s="2">
        <f>IF(B2262="","",SUBTOTAL(3,$B$2:B2262))</f>
        <v>2261</v>
      </c>
      <c r="B2262" s="9" t="s">
        <v>48</v>
      </c>
      <c r="C2262" s="10" t="s">
        <v>49</v>
      </c>
      <c r="D2262" s="11">
        <v>15.403573629081947</v>
      </c>
      <c r="E2262" s="12">
        <f t="shared" si="35"/>
        <v>43700</v>
      </c>
    </row>
    <row r="2263" spans="1:5" x14ac:dyDescent="0.25">
      <c r="A2263" s="2">
        <f>IF(B2263="","",SUBTOTAL(3,$B$2:B2263))</f>
        <v>2262</v>
      </c>
      <c r="B2263" s="9" t="s">
        <v>48</v>
      </c>
      <c r="C2263" s="10" t="s">
        <v>49</v>
      </c>
      <c r="D2263" s="11">
        <v>15.403573629081947</v>
      </c>
      <c r="E2263" s="12">
        <f t="shared" si="35"/>
        <v>43701</v>
      </c>
    </row>
    <row r="2264" spans="1:5" x14ac:dyDescent="0.25">
      <c r="A2264" s="2">
        <f>IF(B2264="","",SUBTOTAL(3,$B$2:B2264))</f>
        <v>2263</v>
      </c>
      <c r="B2264" s="9" t="s">
        <v>48</v>
      </c>
      <c r="C2264" s="10" t="s">
        <v>49</v>
      </c>
      <c r="D2264" s="11">
        <v>15.403573629081947</v>
      </c>
      <c r="E2264" s="12">
        <f t="shared" si="35"/>
        <v>43702</v>
      </c>
    </row>
    <row r="2265" spans="1:5" x14ac:dyDescent="0.25">
      <c r="A2265" s="2">
        <f>IF(B2265="","",SUBTOTAL(3,$B$2:B2265))</f>
        <v>2264</v>
      </c>
      <c r="B2265" s="9" t="s">
        <v>48</v>
      </c>
      <c r="C2265" s="10" t="s">
        <v>49</v>
      </c>
      <c r="D2265" s="11">
        <v>15.403573629081947</v>
      </c>
      <c r="E2265" s="12">
        <f t="shared" si="35"/>
        <v>43703</v>
      </c>
    </row>
    <row r="2266" spans="1:5" x14ac:dyDescent="0.25">
      <c r="A2266" s="2">
        <f>IF(B2266="","",SUBTOTAL(3,$B$2:B2266))</f>
        <v>2265</v>
      </c>
      <c r="B2266" s="9" t="s">
        <v>48</v>
      </c>
      <c r="C2266" s="10" t="s">
        <v>49</v>
      </c>
      <c r="D2266" s="11">
        <v>15.403573629081947</v>
      </c>
      <c r="E2266" s="12">
        <f t="shared" si="35"/>
        <v>43704</v>
      </c>
    </row>
    <row r="2267" spans="1:5" x14ac:dyDescent="0.25">
      <c r="A2267" s="2">
        <f>IF(B2267="","",SUBTOTAL(3,$B$2:B2267))</f>
        <v>2266</v>
      </c>
      <c r="B2267" s="9" t="s">
        <v>48</v>
      </c>
      <c r="C2267" s="10" t="s">
        <v>49</v>
      </c>
      <c r="D2267" s="11">
        <v>15.403573629081947</v>
      </c>
      <c r="E2267" s="12">
        <f t="shared" si="35"/>
        <v>43705</v>
      </c>
    </row>
    <row r="2268" spans="1:5" x14ac:dyDescent="0.25">
      <c r="A2268" s="2">
        <f>IF(B2268="","",SUBTOTAL(3,$B$2:B2268))</f>
        <v>2267</v>
      </c>
      <c r="B2268" s="9" t="s">
        <v>51</v>
      </c>
      <c r="C2268" s="10" t="s">
        <v>54</v>
      </c>
      <c r="D2268" s="11">
        <v>42.359419675950441</v>
      </c>
      <c r="E2268" s="12">
        <f t="shared" si="35"/>
        <v>43706</v>
      </c>
    </row>
    <row r="2269" spans="1:5" x14ac:dyDescent="0.25">
      <c r="A2269" s="2">
        <f>IF(B2269="","",SUBTOTAL(3,$B$2:B2269))</f>
        <v>2268</v>
      </c>
      <c r="B2269" s="9" t="s">
        <v>48</v>
      </c>
      <c r="C2269" s="10" t="s">
        <v>49</v>
      </c>
      <c r="D2269" s="11">
        <v>123.22858903265558</v>
      </c>
      <c r="E2269" s="12">
        <f t="shared" si="35"/>
        <v>43707</v>
      </c>
    </row>
    <row r="2270" spans="1:5" x14ac:dyDescent="0.25">
      <c r="A2270" s="2">
        <f>IF(B2270="","",SUBTOTAL(3,$B$2:B2270))</f>
        <v>2269</v>
      </c>
      <c r="B2270" s="9" t="s">
        <v>48</v>
      </c>
      <c r="C2270" s="10" t="s">
        <v>52</v>
      </c>
      <c r="D2270" s="11">
        <v>134.01109057301295</v>
      </c>
      <c r="E2270" s="12">
        <f t="shared" si="35"/>
        <v>43708</v>
      </c>
    </row>
    <row r="2271" spans="1:5" x14ac:dyDescent="0.25">
      <c r="A2271" s="2">
        <f>IF(B2271="","",SUBTOTAL(3,$B$2:B2271))</f>
        <v>2270</v>
      </c>
      <c r="B2271" s="9" t="s">
        <v>51</v>
      </c>
      <c r="C2271" s="10" t="s">
        <v>52</v>
      </c>
      <c r="D2271" s="11">
        <v>26.474637297469023</v>
      </c>
      <c r="E2271" s="12">
        <f t="shared" si="35"/>
        <v>43709</v>
      </c>
    </row>
    <row r="2272" spans="1:5" x14ac:dyDescent="0.25">
      <c r="A2272" s="2">
        <f>IF(B2272="","",SUBTOTAL(3,$B$2:B2272))</f>
        <v>2271</v>
      </c>
      <c r="B2272" s="9" t="s">
        <v>48</v>
      </c>
      <c r="C2272" s="10" t="s">
        <v>52</v>
      </c>
      <c r="D2272" s="11">
        <v>64.24010381200776</v>
      </c>
      <c r="E2272" s="12">
        <f t="shared" si="35"/>
        <v>43710</v>
      </c>
    </row>
    <row r="2273" spans="1:5" x14ac:dyDescent="0.25">
      <c r="A2273" s="2">
        <f>IF(B2273="","",SUBTOTAL(3,$B$2:B2273))</f>
        <v>2272</v>
      </c>
      <c r="B2273" s="9" t="s">
        <v>50</v>
      </c>
      <c r="C2273" s="10" t="s">
        <v>49</v>
      </c>
      <c r="D2273" s="11">
        <v>24.483575837742503</v>
      </c>
      <c r="E2273" s="12">
        <f t="shared" si="35"/>
        <v>43711</v>
      </c>
    </row>
    <row r="2274" spans="1:5" x14ac:dyDescent="0.25">
      <c r="A2274" s="2">
        <f>IF(B2274="","",SUBTOTAL(3,$B$2:B2274))</f>
        <v>2273</v>
      </c>
      <c r="B2274" s="9" t="s">
        <v>51</v>
      </c>
      <c r="C2274" s="10" t="s">
        <v>54</v>
      </c>
      <c r="D2274" s="11">
        <v>191.67637403367573</v>
      </c>
      <c r="E2274" s="12">
        <f t="shared" si="35"/>
        <v>43712</v>
      </c>
    </row>
    <row r="2275" spans="1:5" x14ac:dyDescent="0.25">
      <c r="A2275" s="2">
        <f>IF(B2275="","",SUBTOTAL(3,$B$2:B2275))</f>
        <v>2274</v>
      </c>
      <c r="B2275" s="9" t="s">
        <v>51</v>
      </c>
      <c r="C2275" s="10" t="s">
        <v>52</v>
      </c>
      <c r="D2275" s="11">
        <v>120.0889547813195</v>
      </c>
      <c r="E2275" s="12">
        <f t="shared" si="35"/>
        <v>43713</v>
      </c>
    </row>
    <row r="2276" spans="1:5" x14ac:dyDescent="0.25">
      <c r="A2276" s="2">
        <f>IF(B2276="","",SUBTOTAL(3,$B$2:B2276))</f>
        <v>2275</v>
      </c>
      <c r="B2276" s="9" t="s">
        <v>51</v>
      </c>
      <c r="C2276" s="10" t="s">
        <v>52</v>
      </c>
      <c r="D2276" s="11">
        <v>105.89854918987609</v>
      </c>
      <c r="E2276" s="12">
        <f t="shared" si="35"/>
        <v>43714</v>
      </c>
    </row>
    <row r="2277" spans="1:5" x14ac:dyDescent="0.25">
      <c r="A2277" s="2">
        <f>IF(B2277="","",SUBTOTAL(3,$B$2:B2277))</f>
        <v>2276</v>
      </c>
      <c r="B2277" s="9" t="s">
        <v>51</v>
      </c>
      <c r="C2277" s="10" t="s">
        <v>52</v>
      </c>
      <c r="D2277" s="11">
        <v>105.89854918987609</v>
      </c>
      <c r="E2277" s="12">
        <f t="shared" si="35"/>
        <v>43715</v>
      </c>
    </row>
    <row r="2278" spans="1:5" x14ac:dyDescent="0.25">
      <c r="A2278" s="2">
        <f>IF(B2278="","",SUBTOTAL(3,$B$2:B2278))</f>
        <v>2277</v>
      </c>
      <c r="B2278" s="9" t="s">
        <v>55</v>
      </c>
      <c r="C2278" s="10" t="s">
        <v>49</v>
      </c>
      <c r="D2278" s="11">
        <v>500</v>
      </c>
      <c r="E2278" s="12">
        <f t="shared" si="35"/>
        <v>43716</v>
      </c>
    </row>
    <row r="2279" spans="1:5" x14ac:dyDescent="0.25">
      <c r="A2279" s="2">
        <f>IF(B2279="","",SUBTOTAL(3,$B$2:B2279))</f>
        <v>2278</v>
      </c>
      <c r="B2279" s="9" t="s">
        <v>55</v>
      </c>
      <c r="C2279" s="10" t="s">
        <v>49</v>
      </c>
      <c r="D2279" s="11">
        <v>2500</v>
      </c>
      <c r="E2279" s="12">
        <f t="shared" si="35"/>
        <v>43717</v>
      </c>
    </row>
    <row r="2280" spans="1:5" x14ac:dyDescent="0.25">
      <c r="A2280" s="2">
        <f>IF(B2280="","",SUBTOTAL(3,$B$2:B2280))</f>
        <v>2279</v>
      </c>
      <c r="B2280" s="9" t="s">
        <v>55</v>
      </c>
      <c r="C2280" s="10" t="s">
        <v>49</v>
      </c>
      <c r="D2280" s="11">
        <v>100</v>
      </c>
      <c r="E2280" s="12">
        <f t="shared" si="35"/>
        <v>43718</v>
      </c>
    </row>
    <row r="2281" spans="1:5" x14ac:dyDescent="0.25">
      <c r="A2281" s="2">
        <f>IF(B2281="","",SUBTOTAL(3,$B$2:B2281))</f>
        <v>2280</v>
      </c>
      <c r="B2281" s="9" t="s">
        <v>50</v>
      </c>
      <c r="C2281" s="10" t="s">
        <v>52</v>
      </c>
      <c r="D2281" s="11">
        <v>88.183421516754848</v>
      </c>
      <c r="E2281" s="12">
        <f t="shared" si="35"/>
        <v>43719</v>
      </c>
    </row>
    <row r="2282" spans="1:5" x14ac:dyDescent="0.25">
      <c r="A2282" s="2">
        <f>IF(B2282="","",SUBTOTAL(3,$B$2:B2282))</f>
        <v>2281</v>
      </c>
      <c r="B2282" s="9" t="s">
        <v>50</v>
      </c>
      <c r="C2282" s="10" t="s">
        <v>49</v>
      </c>
      <c r="D2282" s="11">
        <v>40</v>
      </c>
      <c r="E2282" s="12">
        <f t="shared" si="35"/>
        <v>43720</v>
      </c>
    </row>
    <row r="2283" spans="1:5" x14ac:dyDescent="0.25">
      <c r="A2283" s="2">
        <f>IF(B2283="","",SUBTOTAL(3,$B$2:B2283))</f>
        <v>2282</v>
      </c>
      <c r="B2283" s="9" t="s">
        <v>50</v>
      </c>
      <c r="C2283" s="10" t="s">
        <v>49</v>
      </c>
      <c r="D2283" s="11">
        <v>40</v>
      </c>
      <c r="E2283" s="12">
        <f t="shared" si="35"/>
        <v>43721</v>
      </c>
    </row>
    <row r="2284" spans="1:5" x14ac:dyDescent="0.25">
      <c r="A2284" s="2">
        <f>IF(B2284="","",SUBTOTAL(3,$B$2:B2284))</f>
        <v>2283</v>
      </c>
      <c r="B2284" s="9" t="s">
        <v>50</v>
      </c>
      <c r="C2284" s="10" t="s">
        <v>49</v>
      </c>
      <c r="D2284" s="11">
        <v>61.853174603174601</v>
      </c>
      <c r="E2284" s="12">
        <f t="shared" si="35"/>
        <v>43722</v>
      </c>
    </row>
    <row r="2285" spans="1:5" x14ac:dyDescent="0.25">
      <c r="A2285" s="2">
        <f>IF(B2285="","",SUBTOTAL(3,$B$2:B2285))</f>
        <v>2284</v>
      </c>
      <c r="B2285" s="9" t="s">
        <v>50</v>
      </c>
      <c r="C2285" s="10" t="s">
        <v>49</v>
      </c>
      <c r="D2285" s="11">
        <v>40</v>
      </c>
      <c r="E2285" s="12">
        <f t="shared" si="35"/>
        <v>43723</v>
      </c>
    </row>
    <row r="2286" spans="1:5" x14ac:dyDescent="0.25">
      <c r="A2286" s="2">
        <f>IF(B2286="","",SUBTOTAL(3,$B$2:B2286))</f>
        <v>2285</v>
      </c>
      <c r="B2286" s="9" t="s">
        <v>50</v>
      </c>
      <c r="C2286" s="10" t="s">
        <v>49</v>
      </c>
      <c r="D2286" s="11">
        <v>40</v>
      </c>
      <c r="E2286" s="12">
        <f t="shared" si="35"/>
        <v>43724</v>
      </c>
    </row>
    <row r="2287" spans="1:5" x14ac:dyDescent="0.25">
      <c r="A2287" s="2">
        <f>IF(B2287="","",SUBTOTAL(3,$B$2:B2287))</f>
        <v>2286</v>
      </c>
      <c r="B2287" s="9" t="s">
        <v>50</v>
      </c>
      <c r="C2287" s="10" t="s">
        <v>49</v>
      </c>
      <c r="D2287" s="11">
        <v>40</v>
      </c>
      <c r="E2287" s="12">
        <f t="shared" si="35"/>
        <v>43725</v>
      </c>
    </row>
    <row r="2288" spans="1:5" x14ac:dyDescent="0.25">
      <c r="A2288" s="2">
        <f>IF(B2288="","",SUBTOTAL(3,$B$2:B2288))</f>
        <v>2287</v>
      </c>
      <c r="B2288" s="9" t="s">
        <v>50</v>
      </c>
      <c r="C2288" s="10" t="s">
        <v>49</v>
      </c>
      <c r="D2288" s="11">
        <v>40</v>
      </c>
      <c r="E2288" s="12">
        <f t="shared" si="35"/>
        <v>43726</v>
      </c>
    </row>
    <row r="2289" spans="1:5" x14ac:dyDescent="0.25">
      <c r="A2289" s="2">
        <f>IF(B2289="","",SUBTOTAL(3,$B$2:B2289))</f>
        <v>2288</v>
      </c>
      <c r="B2289" s="9" t="s">
        <v>50</v>
      </c>
      <c r="C2289" s="10" t="s">
        <v>49</v>
      </c>
      <c r="D2289" s="11">
        <v>40</v>
      </c>
      <c r="E2289" s="12">
        <f t="shared" si="35"/>
        <v>43727</v>
      </c>
    </row>
    <row r="2290" spans="1:5" x14ac:dyDescent="0.25">
      <c r="A2290" s="2">
        <f>IF(B2290="","",SUBTOTAL(3,$B$2:B2290))</f>
        <v>2289</v>
      </c>
      <c r="B2290" s="9" t="s">
        <v>48</v>
      </c>
      <c r="C2290" s="10" t="s">
        <v>57</v>
      </c>
      <c r="D2290" s="11">
        <v>68.941744226128904</v>
      </c>
      <c r="E2290" s="12">
        <f t="shared" si="35"/>
        <v>43728</v>
      </c>
    </row>
    <row r="2291" spans="1:5" x14ac:dyDescent="0.25">
      <c r="A2291" s="2">
        <f>IF(B2291="","",SUBTOTAL(3,$B$2:B2291))</f>
        <v>2290</v>
      </c>
      <c r="B2291" s="9" t="s">
        <v>55</v>
      </c>
      <c r="C2291" s="10" t="s">
        <v>49</v>
      </c>
      <c r="D2291" s="11">
        <v>329.04045223319753</v>
      </c>
      <c r="E2291" s="12">
        <f t="shared" si="35"/>
        <v>43729</v>
      </c>
    </row>
    <row r="2292" spans="1:5" x14ac:dyDescent="0.25">
      <c r="A2292" s="2">
        <f>IF(B2292="","",SUBTOTAL(3,$B$2:B2292))</f>
        <v>2291</v>
      </c>
      <c r="B2292" s="9" t="s">
        <v>50</v>
      </c>
      <c r="C2292" s="10" t="s">
        <v>52</v>
      </c>
      <c r="D2292" s="11">
        <v>33.06878306878307</v>
      </c>
      <c r="E2292" s="12">
        <f t="shared" si="35"/>
        <v>43730</v>
      </c>
    </row>
    <row r="2293" spans="1:5" x14ac:dyDescent="0.25">
      <c r="A2293" s="2">
        <f>IF(B2293="","",SUBTOTAL(3,$B$2:B2293))</f>
        <v>2292</v>
      </c>
      <c r="B2293" s="9" t="s">
        <v>51</v>
      </c>
      <c r="C2293" s="10" t="s">
        <v>52</v>
      </c>
      <c r="D2293" s="11">
        <v>105.89854918987609</v>
      </c>
      <c r="E2293" s="12">
        <f t="shared" si="35"/>
        <v>43731</v>
      </c>
    </row>
    <row r="2294" spans="1:5" x14ac:dyDescent="0.25">
      <c r="A2294" s="2">
        <f>IF(B2294="","",SUBTOTAL(3,$B$2:B2294))</f>
        <v>2293</v>
      </c>
      <c r="B2294" s="9" t="s">
        <v>50</v>
      </c>
      <c r="C2294" s="10" t="s">
        <v>52</v>
      </c>
      <c r="D2294" s="11">
        <v>55.114638447971785</v>
      </c>
      <c r="E2294" s="12">
        <f t="shared" si="35"/>
        <v>43732</v>
      </c>
    </row>
    <row r="2295" spans="1:5" x14ac:dyDescent="0.25">
      <c r="A2295" s="2">
        <f>IF(B2295="","",SUBTOTAL(3,$B$2:B2295))</f>
        <v>2294</v>
      </c>
      <c r="B2295" s="9" t="s">
        <v>50</v>
      </c>
      <c r="C2295" s="10" t="s">
        <v>49</v>
      </c>
      <c r="D2295" s="11">
        <v>220.45855379188714</v>
      </c>
      <c r="E2295" s="12">
        <f t="shared" si="35"/>
        <v>43733</v>
      </c>
    </row>
    <row r="2296" spans="1:5" x14ac:dyDescent="0.25">
      <c r="A2296" s="2">
        <f>IF(B2296="","",SUBTOTAL(3,$B$2:B2296))</f>
        <v>2295</v>
      </c>
      <c r="B2296" s="9" t="s">
        <v>55</v>
      </c>
      <c r="C2296" s="10" t="s">
        <v>49</v>
      </c>
      <c r="D2296" s="11">
        <v>97.767638911520294</v>
      </c>
      <c r="E2296" s="12">
        <f t="shared" si="35"/>
        <v>43734</v>
      </c>
    </row>
    <row r="2297" spans="1:5" x14ac:dyDescent="0.25">
      <c r="A2297" s="2">
        <f>IF(B2297="","",SUBTOTAL(3,$B$2:B2297))</f>
        <v>2296</v>
      </c>
      <c r="B2297" s="9" t="s">
        <v>50</v>
      </c>
      <c r="C2297" s="10" t="s">
        <v>49</v>
      </c>
      <c r="D2297" s="11">
        <v>60</v>
      </c>
      <c r="E2297" s="12">
        <f t="shared" si="35"/>
        <v>43735</v>
      </c>
    </row>
    <row r="2298" spans="1:5" x14ac:dyDescent="0.25">
      <c r="A2298" s="2">
        <f>IF(B2298="","",SUBTOTAL(3,$B$2:B2298))</f>
        <v>2297</v>
      </c>
      <c r="B2298" s="9" t="s">
        <v>55</v>
      </c>
      <c r="C2298" s="10" t="s">
        <v>49</v>
      </c>
      <c r="D2298" s="11">
        <v>92.625</v>
      </c>
      <c r="E2298" s="12">
        <f t="shared" si="35"/>
        <v>43736</v>
      </c>
    </row>
    <row r="2299" spans="1:5" x14ac:dyDescent="0.25">
      <c r="A2299" s="2">
        <f>IF(B2299="","",SUBTOTAL(3,$B$2:B2299))</f>
        <v>2298</v>
      </c>
      <c r="B2299" s="9" t="s">
        <v>55</v>
      </c>
      <c r="C2299" s="10" t="s">
        <v>49</v>
      </c>
      <c r="D2299" s="11">
        <v>2.2749999999999999</v>
      </c>
      <c r="E2299" s="12">
        <f t="shared" si="35"/>
        <v>43737</v>
      </c>
    </row>
    <row r="2300" spans="1:5" x14ac:dyDescent="0.25">
      <c r="A2300" s="2">
        <f>IF(B2300="","",SUBTOTAL(3,$B$2:B2300))</f>
        <v>2299</v>
      </c>
      <c r="B2300" s="9" t="s">
        <v>55</v>
      </c>
      <c r="C2300" s="10" t="s">
        <v>49</v>
      </c>
      <c r="D2300" s="11">
        <v>11.31</v>
      </c>
      <c r="E2300" s="12">
        <f t="shared" si="35"/>
        <v>43738</v>
      </c>
    </row>
    <row r="2301" spans="1:5" x14ac:dyDescent="0.25">
      <c r="A2301" s="2">
        <f>IF(B2301="","",SUBTOTAL(3,$B$2:B2301))</f>
        <v>2300</v>
      </c>
      <c r="B2301" s="9" t="s">
        <v>48</v>
      </c>
      <c r="C2301" s="10" t="s">
        <v>49</v>
      </c>
      <c r="D2301" s="11">
        <v>123.22858903265558</v>
      </c>
      <c r="E2301" s="12">
        <f t="shared" si="35"/>
        <v>43739</v>
      </c>
    </row>
    <row r="2302" spans="1:5" x14ac:dyDescent="0.25">
      <c r="A2302" s="2">
        <f>IF(B2302="","",SUBTOTAL(3,$B$2:B2302))</f>
        <v>2301</v>
      </c>
      <c r="B2302" s="9" t="s">
        <v>48</v>
      </c>
      <c r="C2302" s="10" t="s">
        <v>49</v>
      </c>
      <c r="D2302" s="11">
        <v>277.26432532347508</v>
      </c>
      <c r="E2302" s="12">
        <f t="shared" si="35"/>
        <v>43740</v>
      </c>
    </row>
    <row r="2303" spans="1:5" x14ac:dyDescent="0.25">
      <c r="A2303" s="2">
        <f>IF(B2303="","",SUBTOTAL(3,$B$2:B2303))</f>
        <v>2302</v>
      </c>
      <c r="B2303" s="9" t="s">
        <v>55</v>
      </c>
      <c r="C2303" s="10" t="s">
        <v>49</v>
      </c>
      <c r="D2303" s="11">
        <v>99.493729039371516</v>
      </c>
      <c r="E2303" s="12">
        <f t="shared" si="35"/>
        <v>43741</v>
      </c>
    </row>
    <row r="2304" spans="1:5" x14ac:dyDescent="0.25">
      <c r="A2304" s="2">
        <f>IF(B2304="","",SUBTOTAL(3,$B$2:B2304))</f>
        <v>2303</v>
      </c>
      <c r="B2304" s="9" t="s">
        <v>55</v>
      </c>
      <c r="C2304" s="10" t="s">
        <v>49</v>
      </c>
      <c r="D2304" s="11">
        <v>102.73808976891625</v>
      </c>
      <c r="E2304" s="12">
        <f t="shared" si="35"/>
        <v>43742</v>
      </c>
    </row>
    <row r="2305" spans="1:5" x14ac:dyDescent="0.25">
      <c r="A2305" s="2">
        <f>IF(B2305="","",SUBTOTAL(3,$B$2:B2305))</f>
        <v>2304</v>
      </c>
      <c r="B2305" s="9" t="s">
        <v>51</v>
      </c>
      <c r="C2305" s="10" t="s">
        <v>52</v>
      </c>
      <c r="D2305" s="11">
        <v>105.89854918987609</v>
      </c>
      <c r="E2305" s="12">
        <f t="shared" si="35"/>
        <v>43743</v>
      </c>
    </row>
    <row r="2306" spans="1:5" x14ac:dyDescent="0.25">
      <c r="A2306" s="2">
        <f>IF(B2306="","",SUBTOTAL(3,$B$2:B2306))</f>
        <v>2305</v>
      </c>
      <c r="B2306" s="9" t="s">
        <v>50</v>
      </c>
      <c r="C2306" s="10" t="s">
        <v>49</v>
      </c>
      <c r="D2306" s="11">
        <v>194.00352733686069</v>
      </c>
      <c r="E2306" s="12">
        <f t="shared" si="35"/>
        <v>43744</v>
      </c>
    </row>
    <row r="2307" spans="1:5" x14ac:dyDescent="0.25">
      <c r="A2307" s="2">
        <f>IF(B2307="","",SUBTOTAL(3,$B$2:B2307))</f>
        <v>2306</v>
      </c>
      <c r="B2307" s="9" t="s">
        <v>55</v>
      </c>
      <c r="C2307" s="10" t="s">
        <v>57</v>
      </c>
      <c r="D2307" s="11">
        <v>3258.9212970506765</v>
      </c>
      <c r="E2307" s="12">
        <f t="shared" si="35"/>
        <v>43745</v>
      </c>
    </row>
    <row r="2308" spans="1:5" x14ac:dyDescent="0.25">
      <c r="A2308" s="2">
        <f>IF(B2308="","",SUBTOTAL(3,$B$2:B2308))</f>
        <v>2307</v>
      </c>
      <c r="B2308" s="9" t="s">
        <v>50</v>
      </c>
      <c r="C2308" s="10" t="s">
        <v>49</v>
      </c>
      <c r="D2308" s="11">
        <v>195.868430335097</v>
      </c>
      <c r="E2308" s="12">
        <f t="shared" ref="E2308:E2371" si="36">E2307+1</f>
        <v>43746</v>
      </c>
    </row>
    <row r="2309" spans="1:5" x14ac:dyDescent="0.25">
      <c r="A2309" s="2">
        <f>IF(B2309="","",SUBTOTAL(3,$B$2:B2309))</f>
        <v>2308</v>
      </c>
      <c r="B2309" s="9" t="s">
        <v>50</v>
      </c>
      <c r="C2309" s="10" t="s">
        <v>52</v>
      </c>
      <c r="D2309" s="11">
        <v>55.114638447971785</v>
      </c>
      <c r="E2309" s="12">
        <f t="shared" si="36"/>
        <v>43747</v>
      </c>
    </row>
    <row r="2310" spans="1:5" x14ac:dyDescent="0.25">
      <c r="A2310" s="2">
        <f>IF(B2310="","",SUBTOTAL(3,$B$2:B2310))</f>
        <v>2309</v>
      </c>
      <c r="B2310" s="9" t="s">
        <v>51</v>
      </c>
      <c r="C2310" s="10" t="s">
        <v>54</v>
      </c>
      <c r="D2310" s="11">
        <v>63.539129513925651</v>
      </c>
      <c r="E2310" s="12">
        <f t="shared" si="36"/>
        <v>43748</v>
      </c>
    </row>
    <row r="2311" spans="1:5" x14ac:dyDescent="0.25">
      <c r="A2311" s="2">
        <f>IF(B2311="","",SUBTOTAL(3,$B$2:B2311))</f>
        <v>2310</v>
      </c>
      <c r="B2311" s="9" t="s">
        <v>51</v>
      </c>
      <c r="C2311" s="10" t="s">
        <v>54</v>
      </c>
      <c r="D2311" s="11">
        <v>63.539129513925651</v>
      </c>
      <c r="E2311" s="12">
        <f t="shared" si="36"/>
        <v>43749</v>
      </c>
    </row>
    <row r="2312" spans="1:5" x14ac:dyDescent="0.25">
      <c r="A2312" s="2">
        <f>IF(B2312="","",SUBTOTAL(3,$B$2:B2312))</f>
        <v>2311</v>
      </c>
      <c r="B2312" s="9" t="s">
        <v>51</v>
      </c>
      <c r="C2312" s="10" t="s">
        <v>54</v>
      </c>
      <c r="D2312" s="11">
        <v>95.308694270888495</v>
      </c>
      <c r="E2312" s="12">
        <f t="shared" si="36"/>
        <v>43750</v>
      </c>
    </row>
    <row r="2313" spans="1:5" x14ac:dyDescent="0.25">
      <c r="A2313" s="2">
        <f>IF(B2313="","",SUBTOTAL(3,$B$2:B2313))</f>
        <v>2312</v>
      </c>
      <c r="B2313" s="9" t="s">
        <v>51</v>
      </c>
      <c r="C2313" s="10" t="s">
        <v>54</v>
      </c>
      <c r="D2313" s="11">
        <v>81.030710639332298</v>
      </c>
      <c r="E2313" s="12">
        <f t="shared" si="36"/>
        <v>43751</v>
      </c>
    </row>
    <row r="2314" spans="1:5" x14ac:dyDescent="0.25">
      <c r="A2314" s="2">
        <f>IF(B2314="","",SUBTOTAL(3,$B$2:B2314))</f>
        <v>2313</v>
      </c>
      <c r="B2314" s="9" t="s">
        <v>51</v>
      </c>
      <c r="C2314" s="10" t="s">
        <v>52</v>
      </c>
      <c r="D2314" s="11">
        <v>81.030710639332298</v>
      </c>
      <c r="E2314" s="12">
        <f t="shared" si="36"/>
        <v>43752</v>
      </c>
    </row>
    <row r="2315" spans="1:5" x14ac:dyDescent="0.25">
      <c r="A2315" s="2">
        <f>IF(B2315="","",SUBTOTAL(3,$B$2:B2315))</f>
        <v>2314</v>
      </c>
      <c r="B2315" s="9" t="s">
        <v>50</v>
      </c>
      <c r="C2315" s="10" t="s">
        <v>49</v>
      </c>
      <c r="D2315" s="11">
        <v>165.34391534391534</v>
      </c>
      <c r="E2315" s="12">
        <f t="shared" si="36"/>
        <v>43753</v>
      </c>
    </row>
    <row r="2316" spans="1:5" x14ac:dyDescent="0.25">
      <c r="A2316" s="2">
        <f>IF(B2316="","",SUBTOTAL(3,$B$2:B2316))</f>
        <v>2315</v>
      </c>
      <c r="B2316" s="9" t="s">
        <v>50</v>
      </c>
      <c r="C2316" s="10" t="s">
        <v>49</v>
      </c>
      <c r="D2316" s="11">
        <v>18.04052028218695</v>
      </c>
      <c r="E2316" s="12">
        <f t="shared" si="36"/>
        <v>43754</v>
      </c>
    </row>
    <row r="2317" spans="1:5" x14ac:dyDescent="0.25">
      <c r="A2317" s="2">
        <f>IF(B2317="","",SUBTOTAL(3,$B$2:B2317))</f>
        <v>2316</v>
      </c>
      <c r="B2317" s="9" t="s">
        <v>55</v>
      </c>
      <c r="C2317" s="10" t="s">
        <v>49</v>
      </c>
      <c r="D2317" s="11">
        <v>600</v>
      </c>
      <c r="E2317" s="12">
        <f t="shared" si="36"/>
        <v>43755</v>
      </c>
    </row>
    <row r="2318" spans="1:5" x14ac:dyDescent="0.25">
      <c r="A2318" s="2">
        <f>IF(B2318="","",SUBTOTAL(3,$B$2:B2318))</f>
        <v>2317</v>
      </c>
      <c r="B2318" s="9" t="s">
        <v>50</v>
      </c>
      <c r="C2318" s="10" t="s">
        <v>52</v>
      </c>
      <c r="D2318" s="11">
        <v>66.137566137566139</v>
      </c>
      <c r="E2318" s="12">
        <f t="shared" si="36"/>
        <v>43756</v>
      </c>
    </row>
    <row r="2319" spans="1:5" x14ac:dyDescent="0.25">
      <c r="A2319" s="2">
        <f>IF(B2319="","",SUBTOTAL(3,$B$2:B2319))</f>
        <v>2318</v>
      </c>
      <c r="B2319" s="9" t="s">
        <v>50</v>
      </c>
      <c r="C2319" s="10" t="s">
        <v>49</v>
      </c>
      <c r="D2319" s="11">
        <v>97.934215167548501</v>
      </c>
      <c r="E2319" s="12">
        <f t="shared" si="36"/>
        <v>43757</v>
      </c>
    </row>
    <row r="2320" spans="1:5" x14ac:dyDescent="0.25">
      <c r="A2320" s="2">
        <f>IF(B2320="","",SUBTOTAL(3,$B$2:B2320))</f>
        <v>2319</v>
      </c>
      <c r="B2320" s="9" t="s">
        <v>50</v>
      </c>
      <c r="C2320" s="10" t="s">
        <v>49</v>
      </c>
      <c r="D2320" s="11">
        <v>293.80264550264553</v>
      </c>
      <c r="E2320" s="12">
        <f t="shared" si="36"/>
        <v>43758</v>
      </c>
    </row>
    <row r="2321" spans="1:5" x14ac:dyDescent="0.25">
      <c r="A2321" s="2">
        <f>IF(B2321="","",SUBTOTAL(3,$B$2:B2321))</f>
        <v>2320</v>
      </c>
      <c r="B2321" s="9" t="s">
        <v>50</v>
      </c>
      <c r="C2321" s="10" t="s">
        <v>49</v>
      </c>
      <c r="D2321" s="11">
        <v>110.22927689594357</v>
      </c>
      <c r="E2321" s="12">
        <f t="shared" si="36"/>
        <v>43759</v>
      </c>
    </row>
    <row r="2322" spans="1:5" x14ac:dyDescent="0.25">
      <c r="A2322" s="2">
        <f>IF(B2322="","",SUBTOTAL(3,$B$2:B2322))</f>
        <v>2321</v>
      </c>
      <c r="B2322" s="9" t="s">
        <v>50</v>
      </c>
      <c r="C2322" s="10" t="s">
        <v>52</v>
      </c>
      <c r="D2322" s="11">
        <v>5.6437389770723099E-3</v>
      </c>
      <c r="E2322" s="12">
        <f t="shared" si="36"/>
        <v>43760</v>
      </c>
    </row>
    <row r="2323" spans="1:5" x14ac:dyDescent="0.25">
      <c r="A2323" s="2">
        <f>IF(B2323="","",SUBTOTAL(3,$B$2:B2323))</f>
        <v>2322</v>
      </c>
      <c r="B2323" s="9" t="s">
        <v>50</v>
      </c>
      <c r="C2323" s="10" t="s">
        <v>52</v>
      </c>
      <c r="D2323" s="11">
        <v>5.5114638447971778E-3</v>
      </c>
      <c r="E2323" s="12">
        <f t="shared" si="36"/>
        <v>43761</v>
      </c>
    </row>
    <row r="2324" spans="1:5" x14ac:dyDescent="0.25">
      <c r="A2324" s="2">
        <f>IF(B2324="","",SUBTOTAL(3,$B$2:B2324))</f>
        <v>2323</v>
      </c>
      <c r="B2324" s="9" t="s">
        <v>48</v>
      </c>
      <c r="C2324" s="10" t="s">
        <v>49</v>
      </c>
      <c r="D2324" s="11">
        <v>154.03573629081947</v>
      </c>
      <c r="E2324" s="12">
        <f t="shared" si="36"/>
        <v>43762</v>
      </c>
    </row>
    <row r="2325" spans="1:5" x14ac:dyDescent="0.25">
      <c r="A2325" s="2">
        <f>IF(B2325="","",SUBTOTAL(3,$B$2:B2325))</f>
        <v>2324</v>
      </c>
      <c r="B2325" s="9" t="s">
        <v>48</v>
      </c>
      <c r="C2325" s="10" t="s">
        <v>54</v>
      </c>
      <c r="D2325" s="11">
        <v>107.82501540357363</v>
      </c>
      <c r="E2325" s="12">
        <f t="shared" si="36"/>
        <v>43763</v>
      </c>
    </row>
    <row r="2326" spans="1:5" x14ac:dyDescent="0.25">
      <c r="A2326" s="2">
        <f>IF(B2326="","",SUBTOTAL(3,$B$2:B2326))</f>
        <v>2325</v>
      </c>
      <c r="B2326" s="9" t="s">
        <v>51</v>
      </c>
      <c r="C2326" s="10" t="s">
        <v>49</v>
      </c>
      <c r="D2326" s="11">
        <v>52.949274594938046</v>
      </c>
      <c r="E2326" s="12">
        <f t="shared" si="36"/>
        <v>43764</v>
      </c>
    </row>
    <row r="2327" spans="1:5" x14ac:dyDescent="0.25">
      <c r="A2327" s="2">
        <f>IF(B2327="","",SUBTOTAL(3,$B$2:B2327))</f>
        <v>2326</v>
      </c>
      <c r="B2327" s="9" t="s">
        <v>50</v>
      </c>
      <c r="C2327" s="10" t="s">
        <v>49</v>
      </c>
      <c r="D2327" s="11">
        <v>110.22927689594357</v>
      </c>
      <c r="E2327" s="12">
        <f t="shared" si="36"/>
        <v>43765</v>
      </c>
    </row>
    <row r="2328" spans="1:5" x14ac:dyDescent="0.25">
      <c r="A2328" s="2">
        <f>IF(B2328="","",SUBTOTAL(3,$B$2:B2328))</f>
        <v>2327</v>
      </c>
      <c r="B2328" s="9" t="s">
        <v>48</v>
      </c>
      <c r="C2328" s="10" t="s">
        <v>49</v>
      </c>
      <c r="D2328" s="11">
        <v>15.403573629081947</v>
      </c>
      <c r="E2328" s="12">
        <f t="shared" si="36"/>
        <v>43766</v>
      </c>
    </row>
    <row r="2329" spans="1:5" x14ac:dyDescent="0.25">
      <c r="A2329" s="2">
        <f>IF(B2329="","",SUBTOTAL(3,$B$2:B2329))</f>
        <v>2328</v>
      </c>
      <c r="B2329" s="9" t="s">
        <v>48</v>
      </c>
      <c r="C2329" s="10" t="s">
        <v>49</v>
      </c>
      <c r="D2329" s="11">
        <v>15.403573629081947</v>
      </c>
      <c r="E2329" s="12">
        <f t="shared" si="36"/>
        <v>43767</v>
      </c>
    </row>
    <row r="2330" spans="1:5" x14ac:dyDescent="0.25">
      <c r="A2330" s="2">
        <f>IF(B2330="","",SUBTOTAL(3,$B$2:B2330))</f>
        <v>2329</v>
      </c>
      <c r="B2330" s="9" t="s">
        <v>48</v>
      </c>
      <c r="C2330" s="10" t="s">
        <v>49</v>
      </c>
      <c r="D2330" s="11">
        <v>15.403573629081947</v>
      </c>
      <c r="E2330" s="12">
        <f t="shared" si="36"/>
        <v>43768</v>
      </c>
    </row>
    <row r="2331" spans="1:5" x14ac:dyDescent="0.25">
      <c r="A2331" s="2">
        <f>IF(B2331="","",SUBTOTAL(3,$B$2:B2331))</f>
        <v>2330</v>
      </c>
      <c r="B2331" s="9" t="s">
        <v>48</v>
      </c>
      <c r="C2331" s="10" t="s">
        <v>49</v>
      </c>
      <c r="D2331" s="11">
        <v>15.403573629081947</v>
      </c>
      <c r="E2331" s="12">
        <f t="shared" si="36"/>
        <v>43769</v>
      </c>
    </row>
    <row r="2332" spans="1:5" x14ac:dyDescent="0.25">
      <c r="A2332" s="2">
        <f>IF(B2332="","",SUBTOTAL(3,$B$2:B2332))</f>
        <v>2331</v>
      </c>
      <c r="B2332" s="9" t="s">
        <v>48</v>
      </c>
      <c r="C2332" s="10" t="s">
        <v>49</v>
      </c>
      <c r="D2332" s="11">
        <v>15.403573629081947</v>
      </c>
      <c r="E2332" s="12">
        <f t="shared" si="36"/>
        <v>43770</v>
      </c>
    </row>
    <row r="2333" spans="1:5" x14ac:dyDescent="0.25">
      <c r="A2333" s="2">
        <f>IF(B2333="","",SUBTOTAL(3,$B$2:B2333))</f>
        <v>2332</v>
      </c>
      <c r="B2333" s="9" t="s">
        <v>48</v>
      </c>
      <c r="C2333" s="10" t="s">
        <v>49</v>
      </c>
      <c r="D2333" s="11">
        <v>15.403573629081947</v>
      </c>
      <c r="E2333" s="12">
        <f t="shared" si="36"/>
        <v>43771</v>
      </c>
    </row>
    <row r="2334" spans="1:5" x14ac:dyDescent="0.25">
      <c r="A2334" s="2">
        <f>IF(B2334="","",SUBTOTAL(3,$B$2:B2334))</f>
        <v>2333</v>
      </c>
      <c r="B2334" s="9" t="s">
        <v>48</v>
      </c>
      <c r="C2334" s="10" t="s">
        <v>49</v>
      </c>
      <c r="D2334" s="11">
        <v>15.403573629081947</v>
      </c>
      <c r="E2334" s="12">
        <f t="shared" si="36"/>
        <v>43772</v>
      </c>
    </row>
    <row r="2335" spans="1:5" x14ac:dyDescent="0.25">
      <c r="A2335" s="2">
        <f>IF(B2335="","",SUBTOTAL(3,$B$2:B2335))</f>
        <v>2334</v>
      </c>
      <c r="B2335" s="9" t="s">
        <v>48</v>
      </c>
      <c r="C2335" s="10" t="s">
        <v>49</v>
      </c>
      <c r="D2335" s="11">
        <v>5.3853154084798343</v>
      </c>
      <c r="E2335" s="12">
        <f t="shared" si="36"/>
        <v>43773</v>
      </c>
    </row>
    <row r="2336" spans="1:5" x14ac:dyDescent="0.25">
      <c r="A2336" s="2">
        <f>IF(B2336="","",SUBTOTAL(3,$B$2:B2336))</f>
        <v>2335</v>
      </c>
      <c r="B2336" s="9" t="s">
        <v>51</v>
      </c>
      <c r="C2336" s="10" t="s">
        <v>52</v>
      </c>
      <c r="D2336" s="11">
        <v>317.69564756962825</v>
      </c>
      <c r="E2336" s="12">
        <f t="shared" si="36"/>
        <v>43774</v>
      </c>
    </row>
    <row r="2337" spans="1:5" x14ac:dyDescent="0.25">
      <c r="A2337" s="2">
        <f>IF(B2337="","",SUBTOTAL(3,$B$2:B2337))</f>
        <v>2336</v>
      </c>
      <c r="B2337" s="9" t="s">
        <v>48</v>
      </c>
      <c r="C2337" s="10" t="s">
        <v>49</v>
      </c>
      <c r="D2337" s="11">
        <v>61.614294516327789</v>
      </c>
      <c r="E2337" s="12">
        <f t="shared" si="36"/>
        <v>43775</v>
      </c>
    </row>
    <row r="2338" spans="1:5" x14ac:dyDescent="0.25">
      <c r="A2338" s="2">
        <f>IF(B2338="","",SUBTOTAL(3,$B$2:B2338))</f>
        <v>2337</v>
      </c>
      <c r="B2338" s="9" t="s">
        <v>55</v>
      </c>
      <c r="C2338" s="10" t="s">
        <v>57</v>
      </c>
      <c r="D2338" s="11">
        <v>45.941103505306202</v>
      </c>
      <c r="E2338" s="12">
        <f t="shared" si="36"/>
        <v>43776</v>
      </c>
    </row>
    <row r="2339" spans="1:5" x14ac:dyDescent="0.25">
      <c r="A2339" s="2">
        <f>IF(B2339="","",SUBTOTAL(3,$B$2:B2339))</f>
        <v>2338</v>
      </c>
      <c r="B2339" s="9" t="s">
        <v>48</v>
      </c>
      <c r="C2339" s="10" t="s">
        <v>49</v>
      </c>
      <c r="D2339" s="11">
        <v>154.03573629081947</v>
      </c>
      <c r="E2339" s="12">
        <f t="shared" si="36"/>
        <v>43777</v>
      </c>
    </row>
    <row r="2340" spans="1:5" x14ac:dyDescent="0.25">
      <c r="A2340" s="2">
        <f>IF(B2340="","",SUBTOTAL(3,$B$2:B2340))</f>
        <v>2339</v>
      </c>
      <c r="B2340" s="9" t="s">
        <v>50</v>
      </c>
      <c r="C2340" s="10" t="s">
        <v>49</v>
      </c>
      <c r="D2340" s="11">
        <v>110.22927689594357</v>
      </c>
      <c r="E2340" s="12">
        <f t="shared" si="36"/>
        <v>43778</v>
      </c>
    </row>
    <row r="2341" spans="1:5" x14ac:dyDescent="0.25">
      <c r="A2341" s="2">
        <f>IF(B2341="","",SUBTOTAL(3,$B$2:B2341))</f>
        <v>2340</v>
      </c>
      <c r="B2341" s="9" t="s">
        <v>50</v>
      </c>
      <c r="C2341" s="10" t="s">
        <v>52</v>
      </c>
      <c r="D2341" s="11">
        <v>176.3668430335097</v>
      </c>
      <c r="E2341" s="12">
        <f t="shared" si="36"/>
        <v>43779</v>
      </c>
    </row>
    <row r="2342" spans="1:5" x14ac:dyDescent="0.25">
      <c r="A2342" s="2">
        <f>IF(B2342="","",SUBTOTAL(3,$B$2:B2342))</f>
        <v>2341</v>
      </c>
      <c r="B2342" s="9" t="s">
        <v>55</v>
      </c>
      <c r="C2342" s="10" t="s">
        <v>49</v>
      </c>
      <c r="D2342" s="11">
        <v>1.7823657350434661</v>
      </c>
      <c r="E2342" s="12">
        <f t="shared" si="36"/>
        <v>43780</v>
      </c>
    </row>
    <row r="2343" spans="1:5" x14ac:dyDescent="0.25">
      <c r="A2343" s="2">
        <f>IF(B2343="","",SUBTOTAL(3,$B$2:B2343))</f>
        <v>2342</v>
      </c>
      <c r="B2343" s="9" t="s">
        <v>48</v>
      </c>
      <c r="C2343" s="10" t="s">
        <v>49</v>
      </c>
      <c r="D2343" s="11">
        <v>308.07147258163894</v>
      </c>
      <c r="E2343" s="12">
        <f t="shared" si="36"/>
        <v>43781</v>
      </c>
    </row>
    <row r="2344" spans="1:5" x14ac:dyDescent="0.25">
      <c r="A2344" s="2">
        <f>IF(B2344="","",SUBTOTAL(3,$B$2:B2344))</f>
        <v>2343</v>
      </c>
      <c r="B2344" s="9" t="s">
        <v>48</v>
      </c>
      <c r="C2344" s="10" t="s">
        <v>49</v>
      </c>
      <c r="D2344" s="11">
        <v>15.403573629081947</v>
      </c>
      <c r="E2344" s="12">
        <f t="shared" si="36"/>
        <v>43782</v>
      </c>
    </row>
    <row r="2345" spans="1:5" x14ac:dyDescent="0.25">
      <c r="A2345" s="2">
        <f>IF(B2345="","",SUBTOTAL(3,$B$2:B2345))</f>
        <v>2344</v>
      </c>
      <c r="B2345" s="9" t="s">
        <v>50</v>
      </c>
      <c r="C2345" s="10" t="s">
        <v>49</v>
      </c>
      <c r="D2345" s="11">
        <v>36.081018518518519</v>
      </c>
      <c r="E2345" s="12">
        <f t="shared" si="36"/>
        <v>43783</v>
      </c>
    </row>
    <row r="2346" spans="1:5" x14ac:dyDescent="0.25">
      <c r="A2346" s="2">
        <f>IF(B2346="","",SUBTOTAL(3,$B$2:B2346))</f>
        <v>2345</v>
      </c>
      <c r="B2346" s="9" t="s">
        <v>50</v>
      </c>
      <c r="C2346" s="10" t="s">
        <v>54</v>
      </c>
      <c r="D2346" s="11">
        <v>2.9895502645502647</v>
      </c>
      <c r="E2346" s="12">
        <f t="shared" si="36"/>
        <v>43784</v>
      </c>
    </row>
    <row r="2347" spans="1:5" x14ac:dyDescent="0.25">
      <c r="A2347" s="2">
        <f>IF(B2347="","",SUBTOTAL(3,$B$2:B2347))</f>
        <v>2346</v>
      </c>
      <c r="B2347" s="9" t="s">
        <v>51</v>
      </c>
      <c r="C2347" s="10" t="s">
        <v>52</v>
      </c>
      <c r="D2347" s="11">
        <v>81.030710639332298</v>
      </c>
      <c r="E2347" s="12">
        <f t="shared" si="36"/>
        <v>43785</v>
      </c>
    </row>
    <row r="2348" spans="1:5" x14ac:dyDescent="0.25">
      <c r="A2348" s="2">
        <f>IF(B2348="","",SUBTOTAL(3,$B$2:B2348))</f>
        <v>2347</v>
      </c>
      <c r="B2348" s="9" t="s">
        <v>48</v>
      </c>
      <c r="C2348" s="10" t="s">
        <v>49</v>
      </c>
      <c r="D2348" s="11">
        <v>86.177180282661155</v>
      </c>
      <c r="E2348" s="12">
        <f t="shared" si="36"/>
        <v>43786</v>
      </c>
    </row>
    <row r="2349" spans="1:5" x14ac:dyDescent="0.25">
      <c r="A2349" s="2">
        <f>IF(B2349="","",SUBTOTAL(3,$B$2:B2349))</f>
        <v>2348</v>
      </c>
      <c r="B2349" s="9" t="s">
        <v>50</v>
      </c>
      <c r="C2349" s="10" t="s">
        <v>52</v>
      </c>
      <c r="D2349" s="11">
        <v>440.91710758377428</v>
      </c>
      <c r="E2349" s="12">
        <f t="shared" si="36"/>
        <v>43787</v>
      </c>
    </row>
    <row r="2350" spans="1:5" x14ac:dyDescent="0.25">
      <c r="A2350" s="2">
        <f>IF(B2350="","",SUBTOTAL(3,$B$2:B2350))</f>
        <v>2349</v>
      </c>
      <c r="B2350" s="9" t="s">
        <v>48</v>
      </c>
      <c r="C2350" s="10" t="s">
        <v>54</v>
      </c>
      <c r="D2350" s="11">
        <v>25.696041524803107</v>
      </c>
      <c r="E2350" s="12">
        <f t="shared" si="36"/>
        <v>43788</v>
      </c>
    </row>
    <row r="2351" spans="1:5" x14ac:dyDescent="0.25">
      <c r="A2351" s="2">
        <f>IF(B2351="","",SUBTOTAL(3,$B$2:B2351))</f>
        <v>2350</v>
      </c>
      <c r="B2351" s="9" t="s">
        <v>51</v>
      </c>
      <c r="C2351" s="10" t="s">
        <v>49</v>
      </c>
      <c r="D2351" s="11">
        <v>137.66811394683893</v>
      </c>
      <c r="E2351" s="12">
        <f t="shared" si="36"/>
        <v>43789</v>
      </c>
    </row>
    <row r="2352" spans="1:5" x14ac:dyDescent="0.25">
      <c r="A2352" s="2">
        <f>IF(B2352="","",SUBTOTAL(3,$B$2:B2352))</f>
        <v>2351</v>
      </c>
      <c r="B2352" s="9" t="s">
        <v>51</v>
      </c>
      <c r="C2352" s="10" t="s">
        <v>54</v>
      </c>
      <c r="D2352" s="11">
        <v>105.89854918987609</v>
      </c>
      <c r="E2352" s="12">
        <f t="shared" si="36"/>
        <v>43790</v>
      </c>
    </row>
    <row r="2353" spans="1:5" x14ac:dyDescent="0.25">
      <c r="A2353" s="2">
        <f>IF(B2353="","",SUBTOTAL(3,$B$2:B2353))</f>
        <v>2352</v>
      </c>
      <c r="B2353" s="9" t="s">
        <v>50</v>
      </c>
      <c r="C2353" s="10" t="s">
        <v>52</v>
      </c>
      <c r="D2353" s="11">
        <v>22.045855379188712</v>
      </c>
      <c r="E2353" s="12">
        <f t="shared" si="36"/>
        <v>43791</v>
      </c>
    </row>
    <row r="2354" spans="1:5" x14ac:dyDescent="0.25">
      <c r="A2354" s="2">
        <f>IF(B2354="","",SUBTOTAL(3,$B$2:B2354))</f>
        <v>2353</v>
      </c>
      <c r="B2354" s="9" t="s">
        <v>50</v>
      </c>
      <c r="C2354" s="10" t="s">
        <v>49</v>
      </c>
      <c r="D2354" s="11">
        <v>391.73686067019401</v>
      </c>
      <c r="E2354" s="12">
        <f t="shared" si="36"/>
        <v>43792</v>
      </c>
    </row>
    <row r="2355" spans="1:5" x14ac:dyDescent="0.25">
      <c r="A2355" s="2">
        <f>IF(B2355="","",SUBTOTAL(3,$B$2:B2355))</f>
        <v>2354</v>
      </c>
      <c r="B2355" s="9" t="s">
        <v>50</v>
      </c>
      <c r="C2355" s="10" t="s">
        <v>49</v>
      </c>
      <c r="D2355" s="11">
        <v>2204.5855379188711</v>
      </c>
      <c r="E2355" s="12">
        <f t="shared" si="36"/>
        <v>43793</v>
      </c>
    </row>
    <row r="2356" spans="1:5" x14ac:dyDescent="0.25">
      <c r="A2356" s="2">
        <f>IF(B2356="","",SUBTOTAL(3,$B$2:B2356))</f>
        <v>2355</v>
      </c>
      <c r="B2356" s="9" t="s">
        <v>50</v>
      </c>
      <c r="C2356" s="10" t="s">
        <v>49</v>
      </c>
      <c r="D2356" s="11">
        <v>36.081018518518519</v>
      </c>
      <c r="E2356" s="12">
        <f t="shared" si="36"/>
        <v>43794</v>
      </c>
    </row>
    <row r="2357" spans="1:5" x14ac:dyDescent="0.25">
      <c r="A2357" s="2">
        <f>IF(B2357="","",SUBTOTAL(3,$B$2:B2357))</f>
        <v>2356</v>
      </c>
      <c r="B2357" s="9" t="s">
        <v>55</v>
      </c>
      <c r="C2357" s="10" t="s">
        <v>54</v>
      </c>
      <c r="D2357" s="11">
        <v>100</v>
      </c>
      <c r="E2357" s="12">
        <f t="shared" si="36"/>
        <v>43795</v>
      </c>
    </row>
    <row r="2358" spans="1:5" x14ac:dyDescent="0.25">
      <c r="A2358" s="2">
        <f>IF(B2358="","",SUBTOTAL(3,$B$2:B2358))</f>
        <v>2357</v>
      </c>
      <c r="B2358" s="9" t="s">
        <v>50</v>
      </c>
      <c r="C2358" s="10" t="s">
        <v>49</v>
      </c>
      <c r="D2358" s="11">
        <v>165.34391534391534</v>
      </c>
      <c r="E2358" s="12">
        <f t="shared" si="36"/>
        <v>43796</v>
      </c>
    </row>
    <row r="2359" spans="1:5" x14ac:dyDescent="0.25">
      <c r="A2359" s="2">
        <f>IF(B2359="","",SUBTOTAL(3,$B$2:B2359))</f>
        <v>2358</v>
      </c>
      <c r="B2359" s="9" t="s">
        <v>50</v>
      </c>
      <c r="C2359" s="10" t="s">
        <v>49</v>
      </c>
      <c r="D2359" s="11">
        <v>22.045855379188712</v>
      </c>
      <c r="E2359" s="12">
        <f t="shared" si="36"/>
        <v>43797</v>
      </c>
    </row>
    <row r="2360" spans="1:5" x14ac:dyDescent="0.25">
      <c r="A2360" s="2">
        <f>IF(B2360="","",SUBTOTAL(3,$B$2:B2360))</f>
        <v>2359</v>
      </c>
      <c r="B2360" s="9" t="s">
        <v>50</v>
      </c>
      <c r="C2360" s="10" t="s">
        <v>52</v>
      </c>
      <c r="D2360" s="11">
        <v>79.365079365079367</v>
      </c>
      <c r="E2360" s="12">
        <f t="shared" si="36"/>
        <v>43798</v>
      </c>
    </row>
    <row r="2361" spans="1:5" x14ac:dyDescent="0.25">
      <c r="A2361" s="2">
        <f>IF(B2361="","",SUBTOTAL(3,$B$2:B2361))</f>
        <v>2360</v>
      </c>
      <c r="B2361" s="9" t="s">
        <v>51</v>
      </c>
      <c r="C2361" s="10" t="s">
        <v>49</v>
      </c>
      <c r="D2361" s="11">
        <v>211.79709837975219</v>
      </c>
      <c r="E2361" s="12">
        <f t="shared" si="36"/>
        <v>43799</v>
      </c>
    </row>
    <row r="2362" spans="1:5" x14ac:dyDescent="0.25">
      <c r="A2362" s="2">
        <f>IF(B2362="","",SUBTOTAL(3,$B$2:B2362))</f>
        <v>2361</v>
      </c>
      <c r="B2362" s="9" t="s">
        <v>50</v>
      </c>
      <c r="C2362" s="10" t="s">
        <v>49</v>
      </c>
      <c r="D2362" s="11">
        <v>24.483553791887125</v>
      </c>
      <c r="E2362" s="12">
        <f t="shared" si="36"/>
        <v>43800</v>
      </c>
    </row>
    <row r="2363" spans="1:5" x14ac:dyDescent="0.25">
      <c r="A2363" s="2">
        <f>IF(B2363="","",SUBTOTAL(3,$B$2:B2363))</f>
        <v>2362</v>
      </c>
      <c r="B2363" s="9" t="s">
        <v>53</v>
      </c>
      <c r="C2363" s="10" t="s">
        <v>49</v>
      </c>
      <c r="D2363" s="11">
        <v>293.0751829430244</v>
      </c>
      <c r="E2363" s="12">
        <f t="shared" si="36"/>
        <v>43801</v>
      </c>
    </row>
    <row r="2364" spans="1:5" x14ac:dyDescent="0.25">
      <c r="A2364" s="2">
        <f>IF(B2364="","",SUBTOTAL(3,$B$2:B2364))</f>
        <v>2363</v>
      </c>
      <c r="B2364" s="9" t="s">
        <v>53</v>
      </c>
      <c r="C2364" s="10" t="s">
        <v>54</v>
      </c>
      <c r="D2364" s="11">
        <v>27.475798400908538</v>
      </c>
      <c r="E2364" s="12">
        <f t="shared" si="36"/>
        <v>43802</v>
      </c>
    </row>
    <row r="2365" spans="1:5" x14ac:dyDescent="0.25">
      <c r="A2365" s="2">
        <f>IF(B2365="","",SUBTOTAL(3,$B$2:B2365))</f>
        <v>2364</v>
      </c>
      <c r="B2365" s="9" t="s">
        <v>53</v>
      </c>
      <c r="C2365" s="10" t="s">
        <v>54</v>
      </c>
      <c r="D2365" s="11">
        <v>26.559938454211583</v>
      </c>
      <c r="E2365" s="12">
        <f t="shared" si="36"/>
        <v>43803</v>
      </c>
    </row>
    <row r="2366" spans="1:5" x14ac:dyDescent="0.25">
      <c r="A2366" s="2">
        <f>IF(B2366="","",SUBTOTAL(3,$B$2:B2366))</f>
        <v>2365</v>
      </c>
      <c r="B2366" s="9" t="s">
        <v>53</v>
      </c>
      <c r="C2366" s="10" t="s">
        <v>49</v>
      </c>
      <c r="D2366" s="11">
        <v>91.585994669695125</v>
      </c>
      <c r="E2366" s="12">
        <f t="shared" si="36"/>
        <v>43804</v>
      </c>
    </row>
    <row r="2367" spans="1:5" x14ac:dyDescent="0.25">
      <c r="A2367" s="2">
        <f>IF(B2367="","",SUBTOTAL(3,$B$2:B2367))</f>
        <v>2366</v>
      </c>
      <c r="B2367" s="9" t="s">
        <v>53</v>
      </c>
      <c r="C2367" s="10" t="s">
        <v>54</v>
      </c>
      <c r="D2367" s="11">
        <v>9.1585994669695125</v>
      </c>
      <c r="E2367" s="12">
        <f t="shared" si="36"/>
        <v>43805</v>
      </c>
    </row>
    <row r="2368" spans="1:5" x14ac:dyDescent="0.25">
      <c r="A2368" s="2">
        <f>IF(B2368="","",SUBTOTAL(3,$B$2:B2368))</f>
        <v>2367</v>
      </c>
      <c r="B2368" s="9" t="s">
        <v>48</v>
      </c>
      <c r="C2368" s="10" t="s">
        <v>49</v>
      </c>
      <c r="D2368" s="11">
        <v>23.57807652533609</v>
      </c>
      <c r="E2368" s="12">
        <f t="shared" si="36"/>
        <v>43806</v>
      </c>
    </row>
    <row r="2369" spans="1:5" x14ac:dyDescent="0.25">
      <c r="A2369" s="2">
        <f>IF(B2369="","",SUBTOTAL(3,$B$2:B2369))</f>
        <v>2368</v>
      </c>
      <c r="B2369" s="9" t="s">
        <v>53</v>
      </c>
      <c r="C2369" s="10" t="s">
        <v>49</v>
      </c>
      <c r="D2369" s="11">
        <v>457.92997334847558</v>
      </c>
      <c r="E2369" s="12">
        <f t="shared" si="36"/>
        <v>43807</v>
      </c>
    </row>
    <row r="2370" spans="1:5" x14ac:dyDescent="0.25">
      <c r="A2370" s="2">
        <f>IF(B2370="","",SUBTOTAL(3,$B$2:B2370))</f>
        <v>2369</v>
      </c>
      <c r="B2370" s="9" t="s">
        <v>48</v>
      </c>
      <c r="C2370" s="10" t="s">
        <v>49</v>
      </c>
      <c r="D2370" s="11">
        <v>15.733540158566012</v>
      </c>
      <c r="E2370" s="12">
        <f t="shared" si="36"/>
        <v>43808</v>
      </c>
    </row>
    <row r="2371" spans="1:5" x14ac:dyDescent="0.25">
      <c r="A2371" s="2">
        <f>IF(B2371="","",SUBTOTAL(3,$B$2:B2371))</f>
        <v>2370</v>
      </c>
      <c r="B2371" s="9" t="s">
        <v>48</v>
      </c>
      <c r="C2371" s="10" t="s">
        <v>49</v>
      </c>
      <c r="D2371" s="11">
        <v>77.017868145409736</v>
      </c>
      <c r="E2371" s="12">
        <f t="shared" si="36"/>
        <v>43809</v>
      </c>
    </row>
    <row r="2372" spans="1:5" x14ac:dyDescent="0.25">
      <c r="A2372" s="2">
        <f>IF(B2372="","",SUBTOTAL(3,$B$2:B2372))</f>
        <v>2371</v>
      </c>
      <c r="B2372" s="9" t="s">
        <v>50</v>
      </c>
      <c r="C2372" s="10" t="s">
        <v>49</v>
      </c>
      <c r="D2372" s="11">
        <v>110.22927689594357</v>
      </c>
      <c r="E2372" s="12">
        <f t="shared" ref="E2372:E2435" si="37">E2371+1</f>
        <v>43810</v>
      </c>
    </row>
    <row r="2373" spans="1:5" x14ac:dyDescent="0.25">
      <c r="A2373" s="2">
        <f>IF(B2373="","",SUBTOTAL(3,$B$2:B2373))</f>
        <v>2372</v>
      </c>
      <c r="B2373" s="9" t="s">
        <v>50</v>
      </c>
      <c r="C2373" s="10" t="s">
        <v>49</v>
      </c>
      <c r="D2373" s="11">
        <v>194.00352733686069</v>
      </c>
      <c r="E2373" s="12">
        <f t="shared" si="37"/>
        <v>43811</v>
      </c>
    </row>
    <row r="2374" spans="1:5" x14ac:dyDescent="0.25">
      <c r="A2374" s="2">
        <f>IF(B2374="","",SUBTOTAL(3,$B$2:B2374))</f>
        <v>2373</v>
      </c>
      <c r="B2374" s="9" t="s">
        <v>50</v>
      </c>
      <c r="C2374" s="10" t="s">
        <v>52</v>
      </c>
      <c r="D2374" s="11">
        <v>100</v>
      </c>
      <c r="E2374" s="12">
        <f t="shared" si="37"/>
        <v>43812</v>
      </c>
    </row>
    <row r="2375" spans="1:5" x14ac:dyDescent="0.25">
      <c r="A2375" s="2">
        <f>IF(B2375="","",SUBTOTAL(3,$B$2:B2375))</f>
        <v>2374</v>
      </c>
      <c r="B2375" s="9" t="s">
        <v>55</v>
      </c>
      <c r="C2375" s="10" t="s">
        <v>49</v>
      </c>
      <c r="D2375" s="11">
        <v>11.375</v>
      </c>
      <c r="E2375" s="12">
        <f t="shared" si="37"/>
        <v>43813</v>
      </c>
    </row>
    <row r="2376" spans="1:5" x14ac:dyDescent="0.25">
      <c r="A2376" s="2">
        <f>IF(B2376="","",SUBTOTAL(3,$B$2:B2376))</f>
        <v>2375</v>
      </c>
      <c r="B2376" s="9" t="s">
        <v>48</v>
      </c>
      <c r="C2376" s="10" t="s">
        <v>49</v>
      </c>
      <c r="D2376" s="11">
        <v>30.807147258163894</v>
      </c>
      <c r="E2376" s="12">
        <f t="shared" si="37"/>
        <v>43814</v>
      </c>
    </row>
    <row r="2377" spans="1:5" x14ac:dyDescent="0.25">
      <c r="A2377" s="2">
        <f>IF(B2377="","",SUBTOTAL(3,$B$2:B2377))</f>
        <v>2376</v>
      </c>
      <c r="B2377" s="9" t="s">
        <v>48</v>
      </c>
      <c r="C2377" s="10" t="s">
        <v>49</v>
      </c>
      <c r="D2377" s="11">
        <v>138.63216266173754</v>
      </c>
      <c r="E2377" s="12">
        <f t="shared" si="37"/>
        <v>43815</v>
      </c>
    </row>
    <row r="2378" spans="1:5" x14ac:dyDescent="0.25">
      <c r="A2378" s="2">
        <f>IF(B2378="","",SUBTOTAL(3,$B$2:B2378))</f>
        <v>2377</v>
      </c>
      <c r="B2378" s="9" t="s">
        <v>48</v>
      </c>
      <c r="C2378" s="10" t="s">
        <v>49</v>
      </c>
      <c r="D2378" s="11">
        <v>61.614294516327789</v>
      </c>
      <c r="E2378" s="12">
        <f t="shared" si="37"/>
        <v>43816</v>
      </c>
    </row>
    <row r="2379" spans="1:5" x14ac:dyDescent="0.25">
      <c r="A2379" s="2">
        <f>IF(B2379="","",SUBTOTAL(3,$B$2:B2379))</f>
        <v>2378</v>
      </c>
      <c r="B2379" s="9" t="s">
        <v>50</v>
      </c>
      <c r="C2379" s="10" t="s">
        <v>49</v>
      </c>
      <c r="D2379" s="11">
        <v>388.00705467372137</v>
      </c>
      <c r="E2379" s="12">
        <f t="shared" si="37"/>
        <v>43817</v>
      </c>
    </row>
    <row r="2380" spans="1:5" x14ac:dyDescent="0.25">
      <c r="A2380" s="2">
        <f>IF(B2380="","",SUBTOTAL(3,$B$2:B2380))</f>
        <v>2379</v>
      </c>
      <c r="B2380" s="9" t="s">
        <v>50</v>
      </c>
      <c r="C2380" s="10" t="s">
        <v>49</v>
      </c>
      <c r="D2380" s="11">
        <v>661.37566137566137</v>
      </c>
      <c r="E2380" s="12">
        <f t="shared" si="37"/>
        <v>43818</v>
      </c>
    </row>
    <row r="2381" spans="1:5" x14ac:dyDescent="0.25">
      <c r="A2381" s="2">
        <f>IF(B2381="","",SUBTOTAL(3,$B$2:B2381))</f>
        <v>2380</v>
      </c>
      <c r="B2381" s="9" t="s">
        <v>51</v>
      </c>
      <c r="C2381" s="10" t="s">
        <v>52</v>
      </c>
      <c r="D2381" s="11">
        <v>105.89854918987609</v>
      </c>
      <c r="E2381" s="12">
        <f t="shared" si="37"/>
        <v>43819</v>
      </c>
    </row>
    <row r="2382" spans="1:5" x14ac:dyDescent="0.25">
      <c r="A2382" s="2">
        <f>IF(B2382="","",SUBTOTAL(3,$B$2:B2382))</f>
        <v>2381</v>
      </c>
      <c r="B2382" s="9" t="s">
        <v>48</v>
      </c>
      <c r="C2382" s="10" t="s">
        <v>49</v>
      </c>
      <c r="D2382" s="11">
        <v>27.726432532347506</v>
      </c>
      <c r="E2382" s="12">
        <f t="shared" si="37"/>
        <v>43820</v>
      </c>
    </row>
    <row r="2383" spans="1:5" x14ac:dyDescent="0.25">
      <c r="A2383" s="2">
        <f>IF(B2383="","",SUBTOTAL(3,$B$2:B2383))</f>
        <v>2382</v>
      </c>
      <c r="B2383" s="9" t="s">
        <v>48</v>
      </c>
      <c r="C2383" s="10" t="s">
        <v>54</v>
      </c>
      <c r="D2383" s="11">
        <v>9.2421441774491679</v>
      </c>
      <c r="E2383" s="12">
        <f t="shared" si="37"/>
        <v>43821</v>
      </c>
    </row>
    <row r="2384" spans="1:5" x14ac:dyDescent="0.25">
      <c r="A2384" s="2">
        <f>IF(B2384="","",SUBTOTAL(3,$B$2:B2384))</f>
        <v>2383</v>
      </c>
      <c r="B2384" s="9" t="s">
        <v>48</v>
      </c>
      <c r="C2384" s="10" t="s">
        <v>54</v>
      </c>
      <c r="D2384" s="11">
        <v>9.2421441774491679</v>
      </c>
      <c r="E2384" s="12">
        <f t="shared" si="37"/>
        <v>43822</v>
      </c>
    </row>
    <row r="2385" spans="1:5" x14ac:dyDescent="0.25">
      <c r="A2385" s="2">
        <f>IF(B2385="","",SUBTOTAL(3,$B$2:B2385))</f>
        <v>2384</v>
      </c>
      <c r="B2385" s="9" t="s">
        <v>48</v>
      </c>
      <c r="C2385" s="10" t="s">
        <v>49</v>
      </c>
      <c r="D2385" s="11">
        <v>60.0739371534196</v>
      </c>
      <c r="E2385" s="12">
        <f t="shared" si="37"/>
        <v>43823</v>
      </c>
    </row>
    <row r="2386" spans="1:5" x14ac:dyDescent="0.25">
      <c r="A2386" s="2">
        <f>IF(B2386="","",SUBTOTAL(3,$B$2:B2386))</f>
        <v>2385</v>
      </c>
      <c r="B2386" s="9" t="s">
        <v>48</v>
      </c>
      <c r="C2386" s="10" t="s">
        <v>52</v>
      </c>
      <c r="D2386" s="11">
        <v>38.54406228720466</v>
      </c>
      <c r="E2386" s="12">
        <f t="shared" si="37"/>
        <v>43824</v>
      </c>
    </row>
    <row r="2387" spans="1:5" x14ac:dyDescent="0.25">
      <c r="A2387" s="2">
        <f>IF(B2387="","",SUBTOTAL(3,$B$2:B2387))</f>
        <v>2386</v>
      </c>
      <c r="B2387" s="9" t="s">
        <v>50</v>
      </c>
      <c r="C2387" s="10" t="s">
        <v>49</v>
      </c>
      <c r="D2387" s="11">
        <v>220.45855379188714</v>
      </c>
      <c r="E2387" s="12">
        <f t="shared" si="37"/>
        <v>43825</v>
      </c>
    </row>
    <row r="2388" spans="1:5" x14ac:dyDescent="0.25">
      <c r="A2388" s="2">
        <f>IF(B2388="","",SUBTOTAL(3,$B$2:B2388))</f>
        <v>2387</v>
      </c>
      <c r="B2388" s="9" t="s">
        <v>48</v>
      </c>
      <c r="C2388" s="10" t="s">
        <v>49</v>
      </c>
      <c r="D2388" s="11">
        <v>30.835249829763725</v>
      </c>
      <c r="E2388" s="12">
        <f t="shared" si="37"/>
        <v>43826</v>
      </c>
    </row>
    <row r="2389" spans="1:5" x14ac:dyDescent="0.25">
      <c r="A2389" s="2">
        <f>IF(B2389="","",SUBTOTAL(3,$B$2:B2389))</f>
        <v>2388</v>
      </c>
      <c r="B2389" s="9" t="s">
        <v>50</v>
      </c>
      <c r="C2389" s="10" t="s">
        <v>52</v>
      </c>
      <c r="D2389" s="11">
        <v>440.91710758377428</v>
      </c>
      <c r="E2389" s="12">
        <f t="shared" si="37"/>
        <v>43827</v>
      </c>
    </row>
    <row r="2390" spans="1:5" x14ac:dyDescent="0.25">
      <c r="A2390" s="2">
        <f>IF(B2390="","",SUBTOTAL(3,$B$2:B2390))</f>
        <v>2389</v>
      </c>
      <c r="B2390" s="9" t="s">
        <v>48</v>
      </c>
      <c r="C2390" s="10" t="s">
        <v>52</v>
      </c>
      <c r="D2390" s="11">
        <v>100.2145619467321</v>
      </c>
      <c r="E2390" s="12">
        <f t="shared" si="37"/>
        <v>43828</v>
      </c>
    </row>
    <row r="2391" spans="1:5" x14ac:dyDescent="0.25">
      <c r="A2391" s="2">
        <f>IF(B2391="","",SUBTOTAL(3,$B$2:B2391))</f>
        <v>2390</v>
      </c>
      <c r="B2391" s="9" t="s">
        <v>51</v>
      </c>
      <c r="C2391" s="10" t="s">
        <v>52</v>
      </c>
      <c r="D2391" s="11">
        <v>158.84782378481412</v>
      </c>
      <c r="E2391" s="12">
        <f t="shared" si="37"/>
        <v>43829</v>
      </c>
    </row>
    <row r="2392" spans="1:5" x14ac:dyDescent="0.25">
      <c r="A2392" s="2">
        <f>IF(B2392="","",SUBTOTAL(3,$B$2:B2392))</f>
        <v>2391</v>
      </c>
      <c r="B2392" s="9" t="s">
        <v>55</v>
      </c>
      <c r="C2392" s="10" t="s">
        <v>52</v>
      </c>
      <c r="D2392" s="11">
        <v>50</v>
      </c>
      <c r="E2392" s="12">
        <f t="shared" si="37"/>
        <v>43830</v>
      </c>
    </row>
    <row r="2393" spans="1:5" x14ac:dyDescent="0.25">
      <c r="A2393" s="2">
        <f>IF(B2393="","",SUBTOTAL(3,$B$2:B2393))</f>
        <v>2392</v>
      </c>
      <c r="B2393" s="9" t="s">
        <v>48</v>
      </c>
      <c r="C2393" s="10" t="s">
        <v>54</v>
      </c>
      <c r="D2393" s="11">
        <v>19.416314416764095</v>
      </c>
      <c r="E2393" s="12">
        <f t="shared" si="37"/>
        <v>43831</v>
      </c>
    </row>
    <row r="2394" spans="1:5" x14ac:dyDescent="0.25">
      <c r="A2394" s="2">
        <f>IF(B2394="","",SUBTOTAL(3,$B$2:B2394))</f>
        <v>2393</v>
      </c>
      <c r="B2394" s="9" t="s">
        <v>50</v>
      </c>
      <c r="C2394" s="10" t="s">
        <v>49</v>
      </c>
      <c r="D2394" s="11">
        <v>11.022927689594356</v>
      </c>
      <c r="E2394" s="12">
        <f t="shared" si="37"/>
        <v>43832</v>
      </c>
    </row>
    <row r="2395" spans="1:5" x14ac:dyDescent="0.25">
      <c r="A2395" s="2">
        <f>IF(B2395="","",SUBTOTAL(3,$B$2:B2395))</f>
        <v>2394</v>
      </c>
      <c r="B2395" s="9" t="s">
        <v>55</v>
      </c>
      <c r="C2395" s="10" t="s">
        <v>52</v>
      </c>
      <c r="D2395" s="11">
        <v>20</v>
      </c>
      <c r="E2395" s="12">
        <f t="shared" si="37"/>
        <v>43833</v>
      </c>
    </row>
    <row r="2396" spans="1:5" x14ac:dyDescent="0.25">
      <c r="A2396" s="2">
        <f>IF(B2396="","",SUBTOTAL(3,$B$2:B2396))</f>
        <v>2395</v>
      </c>
      <c r="B2396" s="9" t="s">
        <v>55</v>
      </c>
      <c r="C2396" s="10" t="s">
        <v>49</v>
      </c>
      <c r="D2396" s="11">
        <v>2.2749999999999999</v>
      </c>
      <c r="E2396" s="12">
        <f t="shared" si="37"/>
        <v>43834</v>
      </c>
    </row>
    <row r="2397" spans="1:5" x14ac:dyDescent="0.25">
      <c r="A2397" s="2">
        <f>IF(B2397="","",SUBTOTAL(3,$B$2:B2397))</f>
        <v>2396</v>
      </c>
      <c r="B2397" s="9" t="s">
        <v>51</v>
      </c>
      <c r="C2397" s="10" t="s">
        <v>49</v>
      </c>
      <c r="D2397" s="11">
        <v>40.515355319666149</v>
      </c>
      <c r="E2397" s="12">
        <f t="shared" si="37"/>
        <v>43835</v>
      </c>
    </row>
    <row r="2398" spans="1:5" x14ac:dyDescent="0.25">
      <c r="A2398" s="2">
        <f>IF(B2398="","",SUBTOTAL(3,$B$2:B2398))</f>
        <v>2397</v>
      </c>
      <c r="B2398" s="9" t="s">
        <v>51</v>
      </c>
      <c r="C2398" s="10" t="s">
        <v>49</v>
      </c>
      <c r="D2398" s="11">
        <v>4.0515355319666151</v>
      </c>
      <c r="E2398" s="12">
        <f t="shared" si="37"/>
        <v>43836</v>
      </c>
    </row>
    <row r="2399" spans="1:5" x14ac:dyDescent="0.25">
      <c r="A2399" s="2">
        <f>IF(B2399="","",SUBTOTAL(3,$B$2:B2399))</f>
        <v>2398</v>
      </c>
      <c r="B2399" s="9" t="s">
        <v>51</v>
      </c>
      <c r="C2399" s="10" t="s">
        <v>49</v>
      </c>
      <c r="D2399" s="11">
        <v>8.1030710639332302</v>
      </c>
      <c r="E2399" s="12">
        <f t="shared" si="37"/>
        <v>43837</v>
      </c>
    </row>
    <row r="2400" spans="1:5" x14ac:dyDescent="0.25">
      <c r="A2400" s="2">
        <f>IF(B2400="","",SUBTOTAL(3,$B$2:B2400))</f>
        <v>2399</v>
      </c>
      <c r="B2400" s="9" t="s">
        <v>51</v>
      </c>
      <c r="C2400" s="10" t="s">
        <v>49</v>
      </c>
      <c r="D2400" s="11">
        <v>16.20614212786646</v>
      </c>
      <c r="E2400" s="12">
        <f t="shared" si="37"/>
        <v>43838</v>
      </c>
    </row>
    <row r="2401" spans="1:5" x14ac:dyDescent="0.25">
      <c r="A2401" s="2">
        <f>IF(B2401="","",SUBTOTAL(3,$B$2:B2401))</f>
        <v>2400</v>
      </c>
      <c r="B2401" s="9" t="s">
        <v>51</v>
      </c>
      <c r="C2401" s="10" t="s">
        <v>49</v>
      </c>
      <c r="D2401" s="11">
        <v>16.20614212786646</v>
      </c>
      <c r="E2401" s="12">
        <f t="shared" si="37"/>
        <v>43839</v>
      </c>
    </row>
    <row r="2402" spans="1:5" x14ac:dyDescent="0.25">
      <c r="A2402" s="2">
        <f>IF(B2402="","",SUBTOTAL(3,$B$2:B2402))</f>
        <v>2401</v>
      </c>
      <c r="B2402" s="9" t="s">
        <v>50</v>
      </c>
      <c r="C2402" s="10" t="s">
        <v>49</v>
      </c>
      <c r="D2402" s="11">
        <v>110.22927689594357</v>
      </c>
      <c r="E2402" s="12">
        <f t="shared" si="37"/>
        <v>43840</v>
      </c>
    </row>
    <row r="2403" spans="1:5" x14ac:dyDescent="0.25">
      <c r="A2403" s="2">
        <f>IF(B2403="","",SUBTOTAL(3,$B$2:B2403))</f>
        <v>2402</v>
      </c>
      <c r="B2403" s="9" t="s">
        <v>50</v>
      </c>
      <c r="C2403" s="10" t="s">
        <v>49</v>
      </c>
      <c r="D2403" s="11">
        <v>66.137566137566139</v>
      </c>
      <c r="E2403" s="12">
        <f t="shared" si="37"/>
        <v>43841</v>
      </c>
    </row>
    <row r="2404" spans="1:5" x14ac:dyDescent="0.25">
      <c r="A2404" s="2">
        <f>IF(B2404="","",SUBTOTAL(3,$B$2:B2404))</f>
        <v>2403</v>
      </c>
      <c r="B2404" s="9" t="s">
        <v>55</v>
      </c>
      <c r="C2404" s="10" t="s">
        <v>49</v>
      </c>
      <c r="D2404" s="11">
        <v>148.06820350493891</v>
      </c>
      <c r="E2404" s="12">
        <f t="shared" si="37"/>
        <v>43842</v>
      </c>
    </row>
    <row r="2405" spans="1:5" x14ac:dyDescent="0.25">
      <c r="A2405" s="2">
        <f>IF(B2405="","",SUBTOTAL(3,$B$2:B2405))</f>
        <v>2404</v>
      </c>
      <c r="B2405" s="9" t="s">
        <v>51</v>
      </c>
      <c r="C2405" s="10" t="s">
        <v>52</v>
      </c>
      <c r="D2405" s="11">
        <v>52.949274594938046</v>
      </c>
      <c r="E2405" s="12">
        <f t="shared" si="37"/>
        <v>43843</v>
      </c>
    </row>
    <row r="2406" spans="1:5" x14ac:dyDescent="0.25">
      <c r="A2406" s="2">
        <f>IF(B2406="","",SUBTOTAL(3,$B$2:B2406))</f>
        <v>2405</v>
      </c>
      <c r="B2406" s="9" t="s">
        <v>51</v>
      </c>
      <c r="C2406" s="10" t="s">
        <v>52</v>
      </c>
      <c r="D2406" s="11">
        <v>79.423911892407062</v>
      </c>
      <c r="E2406" s="12">
        <f t="shared" si="37"/>
        <v>43844</v>
      </c>
    </row>
    <row r="2407" spans="1:5" x14ac:dyDescent="0.25">
      <c r="A2407" s="2">
        <f>IF(B2407="","",SUBTOTAL(3,$B$2:B2407))</f>
        <v>2406</v>
      </c>
      <c r="B2407" s="9" t="s">
        <v>51</v>
      </c>
      <c r="C2407" s="10" t="s">
        <v>52</v>
      </c>
      <c r="D2407" s="11">
        <v>52.949274594938046</v>
      </c>
      <c r="E2407" s="12">
        <f t="shared" si="37"/>
        <v>43845</v>
      </c>
    </row>
    <row r="2408" spans="1:5" x14ac:dyDescent="0.25">
      <c r="A2408" s="2">
        <f>IF(B2408="","",SUBTOTAL(3,$B$2:B2408))</f>
        <v>2407</v>
      </c>
      <c r="B2408" s="9" t="s">
        <v>51</v>
      </c>
      <c r="C2408" s="10" t="s">
        <v>49</v>
      </c>
      <c r="D2408" s="11">
        <v>2.6474637297469026</v>
      </c>
      <c r="E2408" s="12">
        <f t="shared" si="37"/>
        <v>43846</v>
      </c>
    </row>
    <row r="2409" spans="1:5" x14ac:dyDescent="0.25">
      <c r="A2409" s="2">
        <f>IF(B2409="","",SUBTOTAL(3,$B$2:B2409))</f>
        <v>2408</v>
      </c>
      <c r="B2409" s="9" t="s">
        <v>48</v>
      </c>
      <c r="C2409" s="10" t="s">
        <v>49</v>
      </c>
      <c r="D2409" s="11">
        <v>13.788348845225784</v>
      </c>
      <c r="E2409" s="12">
        <f t="shared" si="37"/>
        <v>43847</v>
      </c>
    </row>
    <row r="2410" spans="1:5" x14ac:dyDescent="0.25">
      <c r="A2410" s="2">
        <f>IF(B2410="","",SUBTOTAL(3,$B$2:B2410))</f>
        <v>2409</v>
      </c>
      <c r="B2410" s="9" t="s">
        <v>50</v>
      </c>
      <c r="C2410" s="10" t="s">
        <v>49</v>
      </c>
      <c r="D2410" s="11">
        <v>22.045855379188712</v>
      </c>
      <c r="E2410" s="12">
        <f t="shared" si="37"/>
        <v>43848</v>
      </c>
    </row>
    <row r="2411" spans="1:5" x14ac:dyDescent="0.25">
      <c r="A2411" s="2">
        <f>IF(B2411="","",SUBTOTAL(3,$B$2:B2411))</f>
        <v>2410</v>
      </c>
      <c r="B2411" s="9" t="s">
        <v>48</v>
      </c>
      <c r="C2411" s="10" t="s">
        <v>49</v>
      </c>
      <c r="D2411" s="11">
        <v>34.470872113064452</v>
      </c>
      <c r="E2411" s="12">
        <f t="shared" si="37"/>
        <v>43849</v>
      </c>
    </row>
    <row r="2412" spans="1:5" x14ac:dyDescent="0.25">
      <c r="A2412" s="2">
        <f>IF(B2412="","",SUBTOTAL(3,$B$2:B2412))</f>
        <v>2411</v>
      </c>
      <c r="B2412" s="9" t="s">
        <v>50</v>
      </c>
      <c r="C2412" s="10" t="s">
        <v>49</v>
      </c>
      <c r="D2412" s="11">
        <v>15.873015873015873</v>
      </c>
      <c r="E2412" s="12">
        <f t="shared" si="37"/>
        <v>43850</v>
      </c>
    </row>
    <row r="2413" spans="1:5" x14ac:dyDescent="0.25">
      <c r="A2413" s="2">
        <f>IF(B2413="","",SUBTOTAL(3,$B$2:B2413))</f>
        <v>2412</v>
      </c>
      <c r="B2413" s="9" t="s">
        <v>55</v>
      </c>
      <c r="C2413" s="10" t="s">
        <v>54</v>
      </c>
      <c r="D2413" s="11">
        <v>987.12135669959264</v>
      </c>
      <c r="E2413" s="12">
        <f t="shared" si="37"/>
        <v>43851</v>
      </c>
    </row>
    <row r="2414" spans="1:5" x14ac:dyDescent="0.25">
      <c r="A2414" s="2">
        <f>IF(B2414="","",SUBTOTAL(3,$B$2:B2414))</f>
        <v>2413</v>
      </c>
      <c r="B2414" s="9" t="s">
        <v>50</v>
      </c>
      <c r="C2414" s="10" t="s">
        <v>52</v>
      </c>
      <c r="D2414" s="11">
        <v>50</v>
      </c>
      <c r="E2414" s="12">
        <f t="shared" si="37"/>
        <v>43852</v>
      </c>
    </row>
    <row r="2415" spans="1:5" x14ac:dyDescent="0.25">
      <c r="A2415" s="2">
        <f>IF(B2415="","",SUBTOTAL(3,$B$2:B2415))</f>
        <v>2414</v>
      </c>
      <c r="B2415" s="9" t="s">
        <v>50</v>
      </c>
      <c r="C2415" s="10" t="s">
        <v>49</v>
      </c>
      <c r="D2415" s="11">
        <v>391.73686067019401</v>
      </c>
      <c r="E2415" s="12">
        <f t="shared" si="37"/>
        <v>43853</v>
      </c>
    </row>
    <row r="2416" spans="1:5" x14ac:dyDescent="0.25">
      <c r="A2416" s="2">
        <f>IF(B2416="","",SUBTOTAL(3,$B$2:B2416))</f>
        <v>2415</v>
      </c>
      <c r="B2416" s="9" t="s">
        <v>55</v>
      </c>
      <c r="C2416" s="10" t="s">
        <v>54</v>
      </c>
      <c r="D2416" s="11">
        <v>164.52022611659876</v>
      </c>
      <c r="E2416" s="12">
        <f t="shared" si="37"/>
        <v>43854</v>
      </c>
    </row>
    <row r="2417" spans="1:5" x14ac:dyDescent="0.25">
      <c r="A2417" s="2">
        <f>IF(B2417="","",SUBTOTAL(3,$B$2:B2417))</f>
        <v>2416</v>
      </c>
      <c r="B2417" s="9" t="s">
        <v>50</v>
      </c>
      <c r="C2417" s="10" t="s">
        <v>52</v>
      </c>
      <c r="D2417" s="11">
        <v>66.137566137566139</v>
      </c>
      <c r="E2417" s="12">
        <f t="shared" si="37"/>
        <v>43855</v>
      </c>
    </row>
    <row r="2418" spans="1:5" x14ac:dyDescent="0.25">
      <c r="A2418" s="2">
        <f>IF(B2418="","",SUBTOTAL(3,$B$2:B2418))</f>
        <v>2417</v>
      </c>
      <c r="B2418" s="9" t="s">
        <v>55</v>
      </c>
      <c r="C2418" s="10" t="s">
        <v>54</v>
      </c>
      <c r="D2418" s="11">
        <v>822.60113058299385</v>
      </c>
      <c r="E2418" s="12">
        <f t="shared" si="37"/>
        <v>43856</v>
      </c>
    </row>
    <row r="2419" spans="1:5" x14ac:dyDescent="0.25">
      <c r="A2419" s="2">
        <f>IF(B2419="","",SUBTOTAL(3,$B$2:B2419))</f>
        <v>2418</v>
      </c>
      <c r="B2419" s="9" t="s">
        <v>55</v>
      </c>
      <c r="C2419" s="10" t="s">
        <v>49</v>
      </c>
      <c r="D2419" s="11">
        <v>92.625</v>
      </c>
      <c r="E2419" s="12">
        <f t="shared" si="37"/>
        <v>43857</v>
      </c>
    </row>
    <row r="2420" spans="1:5" x14ac:dyDescent="0.25">
      <c r="A2420" s="2">
        <f>IF(B2420="","",SUBTOTAL(3,$B$2:B2420))</f>
        <v>2419</v>
      </c>
      <c r="B2420" s="9" t="s">
        <v>50</v>
      </c>
      <c r="C2420" s="10" t="s">
        <v>49</v>
      </c>
      <c r="D2420" s="11">
        <v>48.500881834215171</v>
      </c>
      <c r="E2420" s="12">
        <f t="shared" si="37"/>
        <v>43858</v>
      </c>
    </row>
    <row r="2421" spans="1:5" x14ac:dyDescent="0.25">
      <c r="A2421" s="2">
        <f>IF(B2421="","",SUBTOTAL(3,$B$2:B2421))</f>
        <v>2420</v>
      </c>
      <c r="B2421" s="9" t="s">
        <v>48</v>
      </c>
      <c r="C2421" s="10" t="s">
        <v>54</v>
      </c>
      <c r="D2421" s="11">
        <v>68.941744226128904</v>
      </c>
      <c r="E2421" s="12">
        <f t="shared" si="37"/>
        <v>43859</v>
      </c>
    </row>
    <row r="2422" spans="1:5" x14ac:dyDescent="0.25">
      <c r="A2422" s="2">
        <f>IF(B2422="","",SUBTOTAL(3,$B$2:B2422))</f>
        <v>2421</v>
      </c>
      <c r="B2422" s="9" t="s">
        <v>48</v>
      </c>
      <c r="C2422" s="10" t="s">
        <v>52</v>
      </c>
      <c r="D2422" s="11">
        <v>103.41261633919338</v>
      </c>
      <c r="E2422" s="12">
        <f t="shared" si="37"/>
        <v>43860</v>
      </c>
    </row>
    <row r="2423" spans="1:5" x14ac:dyDescent="0.25">
      <c r="A2423" s="2">
        <f>IF(B2423="","",SUBTOTAL(3,$B$2:B2423))</f>
        <v>2422</v>
      </c>
      <c r="B2423" s="9" t="s">
        <v>48</v>
      </c>
      <c r="C2423" s="10" t="s">
        <v>49</v>
      </c>
      <c r="D2423" s="11">
        <v>4.529698199992291</v>
      </c>
      <c r="E2423" s="12">
        <f t="shared" si="37"/>
        <v>43861</v>
      </c>
    </row>
    <row r="2424" spans="1:5" x14ac:dyDescent="0.25">
      <c r="A2424" s="2">
        <f>IF(B2424="","",SUBTOTAL(3,$B$2:B2424))</f>
        <v>2423</v>
      </c>
      <c r="B2424" s="9" t="s">
        <v>55</v>
      </c>
      <c r="C2424" s="10" t="s">
        <v>52</v>
      </c>
      <c r="D2424" s="11">
        <v>31.00996921946065</v>
      </c>
      <c r="E2424" s="12">
        <f t="shared" si="37"/>
        <v>43862</v>
      </c>
    </row>
    <row r="2425" spans="1:5" x14ac:dyDescent="0.25">
      <c r="A2425" s="2">
        <f>IF(B2425="","",SUBTOTAL(3,$B$2:B2425))</f>
        <v>2424</v>
      </c>
      <c r="B2425" s="9" t="s">
        <v>50</v>
      </c>
      <c r="C2425" s="10" t="s">
        <v>49</v>
      </c>
      <c r="D2425" s="11">
        <v>41.235449735449734</v>
      </c>
      <c r="E2425" s="12">
        <f t="shared" si="37"/>
        <v>43863</v>
      </c>
    </row>
    <row r="2426" spans="1:5" x14ac:dyDescent="0.25">
      <c r="A2426" s="2">
        <f>IF(B2426="","",SUBTOTAL(3,$B$2:B2426))</f>
        <v>2425</v>
      </c>
      <c r="B2426" s="9" t="s">
        <v>50</v>
      </c>
      <c r="C2426" s="10" t="s">
        <v>56</v>
      </c>
      <c r="D2426" s="11">
        <v>103.08862433862434</v>
      </c>
      <c r="E2426" s="12">
        <f t="shared" si="37"/>
        <v>43864</v>
      </c>
    </row>
    <row r="2427" spans="1:5" x14ac:dyDescent="0.25">
      <c r="A2427" s="2">
        <f>IF(B2427="","",SUBTOTAL(3,$B$2:B2427))</f>
        <v>2426</v>
      </c>
      <c r="B2427" s="9" t="s">
        <v>50</v>
      </c>
      <c r="C2427" s="10" t="s">
        <v>49</v>
      </c>
      <c r="D2427" s="11">
        <v>194.00352733686069</v>
      </c>
      <c r="E2427" s="12">
        <f t="shared" si="37"/>
        <v>43865</v>
      </c>
    </row>
    <row r="2428" spans="1:5" x14ac:dyDescent="0.25">
      <c r="A2428" s="2">
        <f>IF(B2428="","",SUBTOTAL(3,$B$2:B2428))</f>
        <v>2427</v>
      </c>
      <c r="B2428" s="9" t="s">
        <v>51</v>
      </c>
      <c r="C2428" s="10" t="s">
        <v>52</v>
      </c>
      <c r="D2428" s="11">
        <v>121.54606595899845</v>
      </c>
      <c r="E2428" s="12">
        <f t="shared" si="37"/>
        <v>43866</v>
      </c>
    </row>
    <row r="2429" spans="1:5" x14ac:dyDescent="0.25">
      <c r="A2429" s="2">
        <f>IF(B2429="","",SUBTOTAL(3,$B$2:B2429))</f>
        <v>2428</v>
      </c>
      <c r="B2429" s="9" t="s">
        <v>50</v>
      </c>
      <c r="C2429" s="10" t="s">
        <v>49</v>
      </c>
      <c r="D2429" s="11">
        <v>198.4126984126984</v>
      </c>
      <c r="E2429" s="12">
        <f t="shared" si="37"/>
        <v>43867</v>
      </c>
    </row>
    <row r="2430" spans="1:5" x14ac:dyDescent="0.25">
      <c r="A2430" s="2">
        <f>IF(B2430="","",SUBTOTAL(3,$B$2:B2430))</f>
        <v>2429</v>
      </c>
      <c r="B2430" s="9" t="s">
        <v>50</v>
      </c>
      <c r="C2430" s="10" t="s">
        <v>49</v>
      </c>
      <c r="D2430" s="11">
        <v>293.80257936507934</v>
      </c>
      <c r="E2430" s="12">
        <f t="shared" si="37"/>
        <v>43868</v>
      </c>
    </row>
    <row r="2431" spans="1:5" x14ac:dyDescent="0.25">
      <c r="A2431" s="2">
        <f>IF(B2431="","",SUBTOTAL(3,$B$2:B2431))</f>
        <v>2430</v>
      </c>
      <c r="B2431" s="9" t="s">
        <v>50</v>
      </c>
      <c r="C2431" s="10" t="s">
        <v>49</v>
      </c>
      <c r="D2431" s="11">
        <v>293.80257936507934</v>
      </c>
      <c r="E2431" s="12">
        <f t="shared" si="37"/>
        <v>43869</v>
      </c>
    </row>
    <row r="2432" spans="1:5" x14ac:dyDescent="0.25">
      <c r="A2432" s="2">
        <f>IF(B2432="","",SUBTOTAL(3,$B$2:B2432))</f>
        <v>2431</v>
      </c>
      <c r="B2432" s="9" t="s">
        <v>50</v>
      </c>
      <c r="C2432" s="10" t="s">
        <v>57</v>
      </c>
      <c r="D2432" s="11">
        <v>0.44091710758377428</v>
      </c>
      <c r="E2432" s="12">
        <f t="shared" si="37"/>
        <v>43870</v>
      </c>
    </row>
    <row r="2433" spans="1:5" x14ac:dyDescent="0.25">
      <c r="A2433" s="2">
        <f>IF(B2433="","",SUBTOTAL(3,$B$2:B2433))</f>
        <v>2432</v>
      </c>
      <c r="B2433" s="9" t="s">
        <v>50</v>
      </c>
      <c r="C2433" s="10" t="s">
        <v>49</v>
      </c>
      <c r="D2433" s="11">
        <v>82.470899470899468</v>
      </c>
      <c r="E2433" s="12">
        <f t="shared" si="37"/>
        <v>43871</v>
      </c>
    </row>
    <row r="2434" spans="1:5" x14ac:dyDescent="0.25">
      <c r="A2434" s="2">
        <f>IF(B2434="","",SUBTOTAL(3,$B$2:B2434))</f>
        <v>2433</v>
      </c>
      <c r="B2434" s="9" t="s">
        <v>51</v>
      </c>
      <c r="C2434" s="10" t="s">
        <v>52</v>
      </c>
      <c r="D2434" s="11">
        <v>211.79709837975219</v>
      </c>
      <c r="E2434" s="12">
        <f t="shared" si="37"/>
        <v>43872</v>
      </c>
    </row>
    <row r="2435" spans="1:5" x14ac:dyDescent="0.25">
      <c r="A2435" s="2">
        <f>IF(B2435="","",SUBTOTAL(3,$B$2:B2435))</f>
        <v>2434</v>
      </c>
      <c r="B2435" s="9" t="s">
        <v>55</v>
      </c>
      <c r="C2435" s="10" t="s">
        <v>49</v>
      </c>
      <c r="D2435" s="11">
        <v>97.767638911520294</v>
      </c>
      <c r="E2435" s="12">
        <f t="shared" si="37"/>
        <v>43873</v>
      </c>
    </row>
    <row r="2436" spans="1:5" x14ac:dyDescent="0.25">
      <c r="A2436" s="2">
        <f>IF(B2436="","",SUBTOTAL(3,$B$2:B2436))</f>
        <v>2435</v>
      </c>
      <c r="B2436" s="9" t="s">
        <v>50</v>
      </c>
      <c r="C2436" s="10" t="s">
        <v>49</v>
      </c>
      <c r="D2436" s="11">
        <v>35.493827160493829</v>
      </c>
      <c r="E2436" s="12">
        <f t="shared" ref="E2436:E2499" si="38">E2435+1</f>
        <v>43874</v>
      </c>
    </row>
    <row r="2437" spans="1:5" x14ac:dyDescent="0.25">
      <c r="A2437" s="2">
        <f>IF(B2437="","",SUBTOTAL(3,$B$2:B2437))</f>
        <v>2436</v>
      </c>
      <c r="B2437" s="9" t="s">
        <v>50</v>
      </c>
      <c r="C2437" s="10" t="s">
        <v>49</v>
      </c>
      <c r="D2437" s="11">
        <v>110.22927689594357</v>
      </c>
      <c r="E2437" s="12">
        <f t="shared" si="38"/>
        <v>43875</v>
      </c>
    </row>
    <row r="2438" spans="1:5" x14ac:dyDescent="0.25">
      <c r="A2438" s="2">
        <f>IF(B2438="","",SUBTOTAL(3,$B$2:B2438))</f>
        <v>2437</v>
      </c>
      <c r="B2438" s="9" t="s">
        <v>51</v>
      </c>
      <c r="C2438" s="10" t="s">
        <v>52</v>
      </c>
      <c r="D2438" s="11">
        <v>529.49274594938049</v>
      </c>
      <c r="E2438" s="12">
        <f t="shared" si="38"/>
        <v>43876</v>
      </c>
    </row>
    <row r="2439" spans="1:5" x14ac:dyDescent="0.25">
      <c r="A2439" s="2">
        <f>IF(B2439="","",SUBTOTAL(3,$B$2:B2439))</f>
        <v>2438</v>
      </c>
      <c r="B2439" s="9" t="s">
        <v>50</v>
      </c>
      <c r="C2439" s="10" t="s">
        <v>49</v>
      </c>
      <c r="D2439" s="11">
        <v>36.067019400352734</v>
      </c>
      <c r="E2439" s="12">
        <f t="shared" si="38"/>
        <v>43877</v>
      </c>
    </row>
    <row r="2440" spans="1:5" x14ac:dyDescent="0.25">
      <c r="A2440" s="2">
        <f>IF(B2440="","",SUBTOTAL(3,$B$2:B2440))</f>
        <v>2439</v>
      </c>
      <c r="B2440" s="9" t="s">
        <v>55</v>
      </c>
      <c r="C2440" s="10" t="s">
        <v>49</v>
      </c>
      <c r="D2440" s="11">
        <v>1.7549999999999999</v>
      </c>
      <c r="E2440" s="12">
        <f t="shared" si="38"/>
        <v>43878</v>
      </c>
    </row>
    <row r="2441" spans="1:5" x14ac:dyDescent="0.25">
      <c r="A2441" s="2">
        <f>IF(B2441="","",SUBTOTAL(3,$B$2:B2441))</f>
        <v>2440</v>
      </c>
      <c r="B2441" s="9" t="s">
        <v>48</v>
      </c>
      <c r="C2441" s="10" t="s">
        <v>49</v>
      </c>
      <c r="D2441" s="11">
        <v>68.941744226128904</v>
      </c>
      <c r="E2441" s="12">
        <f t="shared" si="38"/>
        <v>43879</v>
      </c>
    </row>
    <row r="2442" spans="1:5" x14ac:dyDescent="0.25">
      <c r="A2442" s="2">
        <f>IF(B2442="","",SUBTOTAL(3,$B$2:B2442))</f>
        <v>2441</v>
      </c>
      <c r="B2442" s="9" t="s">
        <v>55</v>
      </c>
      <c r="C2442" s="10" t="s">
        <v>52</v>
      </c>
      <c r="D2442" s="11">
        <v>0.68911655257959292</v>
      </c>
      <c r="E2442" s="12">
        <f t="shared" si="38"/>
        <v>43880</v>
      </c>
    </row>
    <row r="2443" spans="1:5" x14ac:dyDescent="0.25">
      <c r="A2443" s="2">
        <f>IF(B2443="","",SUBTOTAL(3,$B$2:B2443))</f>
        <v>2442</v>
      </c>
      <c r="B2443" s="9" t="s">
        <v>50</v>
      </c>
      <c r="C2443" s="10" t="s">
        <v>52</v>
      </c>
      <c r="D2443" s="11">
        <v>44.091710758377424</v>
      </c>
      <c r="E2443" s="12">
        <f t="shared" si="38"/>
        <v>43881</v>
      </c>
    </row>
    <row r="2444" spans="1:5" x14ac:dyDescent="0.25">
      <c r="A2444" s="2">
        <f>IF(B2444="","",SUBTOTAL(3,$B$2:B2444))</f>
        <v>2443</v>
      </c>
      <c r="B2444" s="9" t="s">
        <v>48</v>
      </c>
      <c r="C2444" s="10" t="s">
        <v>57</v>
      </c>
      <c r="D2444" s="11">
        <v>64.24010381200776</v>
      </c>
      <c r="E2444" s="12">
        <f t="shared" si="38"/>
        <v>43882</v>
      </c>
    </row>
    <row r="2445" spans="1:5" x14ac:dyDescent="0.25">
      <c r="A2445" s="2">
        <f>IF(B2445="","",SUBTOTAL(3,$B$2:B2445))</f>
        <v>2444</v>
      </c>
      <c r="B2445" s="9" t="s">
        <v>55</v>
      </c>
      <c r="C2445" s="10" t="s">
        <v>49</v>
      </c>
      <c r="D2445" s="11">
        <v>4012.1970791205267</v>
      </c>
      <c r="E2445" s="12">
        <f t="shared" si="38"/>
        <v>43883</v>
      </c>
    </row>
    <row r="2446" spans="1:5" x14ac:dyDescent="0.25">
      <c r="A2446" s="2">
        <f>IF(B2446="","",SUBTOTAL(3,$B$2:B2446))</f>
        <v>2445</v>
      </c>
      <c r="B2446" s="9" t="s">
        <v>50</v>
      </c>
      <c r="C2446" s="10" t="s">
        <v>49</v>
      </c>
      <c r="D2446" s="11">
        <v>142.26230158730161</v>
      </c>
      <c r="E2446" s="12">
        <f t="shared" si="38"/>
        <v>43884</v>
      </c>
    </row>
    <row r="2447" spans="1:5" x14ac:dyDescent="0.25">
      <c r="A2447" s="2">
        <f>IF(B2447="","",SUBTOTAL(3,$B$2:B2447))</f>
        <v>2446</v>
      </c>
      <c r="B2447" s="9" t="s">
        <v>50</v>
      </c>
      <c r="C2447" s="10" t="s">
        <v>49</v>
      </c>
      <c r="D2447" s="11">
        <v>71.749691358024691</v>
      </c>
      <c r="E2447" s="12">
        <f t="shared" si="38"/>
        <v>43885</v>
      </c>
    </row>
    <row r="2448" spans="1:5" x14ac:dyDescent="0.25">
      <c r="A2448" s="2">
        <f>IF(B2448="","",SUBTOTAL(3,$B$2:B2448))</f>
        <v>2447</v>
      </c>
      <c r="B2448" s="9" t="s">
        <v>50</v>
      </c>
      <c r="C2448" s="10" t="s">
        <v>49</v>
      </c>
      <c r="D2448" s="11">
        <v>144.3241622574956</v>
      </c>
      <c r="E2448" s="12">
        <f t="shared" si="38"/>
        <v>43886</v>
      </c>
    </row>
    <row r="2449" spans="1:5" x14ac:dyDescent="0.25">
      <c r="A2449" s="2">
        <f>IF(B2449="","",SUBTOTAL(3,$B$2:B2449))</f>
        <v>2448</v>
      </c>
      <c r="B2449" s="9" t="s">
        <v>50</v>
      </c>
      <c r="C2449" s="10" t="s">
        <v>52</v>
      </c>
      <c r="D2449" s="11">
        <v>17.782186948853614</v>
      </c>
      <c r="E2449" s="12">
        <f t="shared" si="38"/>
        <v>43887</v>
      </c>
    </row>
    <row r="2450" spans="1:5" x14ac:dyDescent="0.25">
      <c r="A2450" s="2">
        <f>IF(B2450="","",SUBTOTAL(3,$B$2:B2450))</f>
        <v>2449</v>
      </c>
      <c r="B2450" s="9" t="s">
        <v>50</v>
      </c>
      <c r="C2450" s="10" t="s">
        <v>49</v>
      </c>
      <c r="D2450" s="11">
        <v>44.091710758377424</v>
      </c>
      <c r="E2450" s="12">
        <f t="shared" si="38"/>
        <v>43888</v>
      </c>
    </row>
    <row r="2451" spans="1:5" x14ac:dyDescent="0.25">
      <c r="A2451" s="2">
        <f>IF(B2451="","",SUBTOTAL(3,$B$2:B2451))</f>
        <v>2450</v>
      </c>
      <c r="B2451" s="9" t="s">
        <v>50</v>
      </c>
      <c r="C2451" s="10" t="s">
        <v>57</v>
      </c>
      <c r="D2451" s="11">
        <v>11</v>
      </c>
      <c r="E2451" s="12">
        <f t="shared" si="38"/>
        <v>43889</v>
      </c>
    </row>
    <row r="2452" spans="1:5" x14ac:dyDescent="0.25">
      <c r="A2452" s="2">
        <f>IF(B2452="","",SUBTOTAL(3,$B$2:B2452))</f>
        <v>2451</v>
      </c>
      <c r="B2452" s="9" t="s">
        <v>53</v>
      </c>
      <c r="C2452" s="10" t="s">
        <v>49</v>
      </c>
      <c r="D2452" s="11">
        <v>64.110196268786581</v>
      </c>
      <c r="E2452" s="12">
        <f t="shared" si="38"/>
        <v>43890</v>
      </c>
    </row>
    <row r="2453" spans="1:5" x14ac:dyDescent="0.25">
      <c r="A2453" s="2">
        <f>IF(B2453="","",SUBTOTAL(3,$B$2:B2453))</f>
        <v>2452</v>
      </c>
      <c r="B2453" s="9" t="s">
        <v>53</v>
      </c>
      <c r="C2453" s="10" t="s">
        <v>54</v>
      </c>
      <c r="D2453" s="11">
        <v>27.475798400908538</v>
      </c>
      <c r="E2453" s="12">
        <f t="shared" si="38"/>
        <v>43891</v>
      </c>
    </row>
    <row r="2454" spans="1:5" x14ac:dyDescent="0.25">
      <c r="A2454" s="2">
        <f>IF(B2454="","",SUBTOTAL(3,$B$2:B2454))</f>
        <v>2453</v>
      </c>
      <c r="B2454" s="9" t="s">
        <v>53</v>
      </c>
      <c r="C2454" s="10" t="s">
        <v>49</v>
      </c>
      <c r="D2454" s="11">
        <v>91.585994669695125</v>
      </c>
      <c r="E2454" s="12">
        <f t="shared" si="38"/>
        <v>43892</v>
      </c>
    </row>
    <row r="2455" spans="1:5" x14ac:dyDescent="0.25">
      <c r="A2455" s="2">
        <f>IF(B2455="","",SUBTOTAL(3,$B$2:B2455))</f>
        <v>2454</v>
      </c>
      <c r="B2455" s="9" t="s">
        <v>53</v>
      </c>
      <c r="C2455" s="10" t="s">
        <v>49</v>
      </c>
      <c r="D2455" s="11">
        <v>45.792997334847563</v>
      </c>
      <c r="E2455" s="12">
        <f t="shared" si="38"/>
        <v>43893</v>
      </c>
    </row>
    <row r="2456" spans="1:5" x14ac:dyDescent="0.25">
      <c r="A2456" s="2">
        <f>IF(B2456="","",SUBTOTAL(3,$B$2:B2456))</f>
        <v>2455</v>
      </c>
      <c r="B2456" s="9" t="s">
        <v>48</v>
      </c>
      <c r="C2456" s="10" t="s">
        <v>49</v>
      </c>
      <c r="D2456" s="11">
        <v>107.70596346087555</v>
      </c>
      <c r="E2456" s="12">
        <f t="shared" si="38"/>
        <v>43894</v>
      </c>
    </row>
    <row r="2457" spans="1:5" x14ac:dyDescent="0.25">
      <c r="A2457" s="2">
        <f>IF(B2457="","",SUBTOTAL(3,$B$2:B2457))</f>
        <v>2456</v>
      </c>
      <c r="B2457" s="9" t="s">
        <v>48</v>
      </c>
      <c r="C2457" s="10" t="s">
        <v>49</v>
      </c>
      <c r="D2457" s="11">
        <v>68.941744226128904</v>
      </c>
      <c r="E2457" s="12">
        <f t="shared" si="38"/>
        <v>43895</v>
      </c>
    </row>
    <row r="2458" spans="1:5" x14ac:dyDescent="0.25">
      <c r="A2458" s="2">
        <f>IF(B2458="","",SUBTOTAL(3,$B$2:B2458))</f>
        <v>2457</v>
      </c>
      <c r="B2458" s="9" t="s">
        <v>48</v>
      </c>
      <c r="C2458" s="10" t="s">
        <v>49</v>
      </c>
      <c r="D2458" s="11">
        <v>17.235436056532226</v>
      </c>
      <c r="E2458" s="12">
        <f t="shared" si="38"/>
        <v>43896</v>
      </c>
    </row>
    <row r="2459" spans="1:5" x14ac:dyDescent="0.25">
      <c r="A2459" s="2">
        <f>IF(B2459="","",SUBTOTAL(3,$B$2:B2459))</f>
        <v>2458</v>
      </c>
      <c r="B2459" s="9" t="s">
        <v>48</v>
      </c>
      <c r="C2459" s="10" t="s">
        <v>49</v>
      </c>
      <c r="D2459" s="11">
        <v>38.54406228720466</v>
      </c>
      <c r="E2459" s="12">
        <f t="shared" si="38"/>
        <v>43897</v>
      </c>
    </row>
    <row r="2460" spans="1:5" x14ac:dyDescent="0.25">
      <c r="A2460" s="2">
        <f>IF(B2460="","",SUBTOTAL(3,$B$2:B2460))</f>
        <v>2459</v>
      </c>
      <c r="B2460" s="9" t="s">
        <v>48</v>
      </c>
      <c r="C2460" s="10" t="s">
        <v>49</v>
      </c>
      <c r="D2460" s="11">
        <v>92.421441774491683</v>
      </c>
      <c r="E2460" s="12">
        <f t="shared" si="38"/>
        <v>43898</v>
      </c>
    </row>
    <row r="2461" spans="1:5" x14ac:dyDescent="0.25">
      <c r="A2461" s="2">
        <f>IF(B2461="","",SUBTOTAL(3,$B$2:B2461))</f>
        <v>2460</v>
      </c>
      <c r="B2461" s="9" t="s">
        <v>48</v>
      </c>
      <c r="C2461" s="10" t="s">
        <v>52</v>
      </c>
      <c r="D2461" s="11">
        <v>61.922365988909426</v>
      </c>
      <c r="E2461" s="12">
        <f t="shared" si="38"/>
        <v>43899</v>
      </c>
    </row>
    <row r="2462" spans="1:5" x14ac:dyDescent="0.25">
      <c r="A2462" s="2">
        <f>IF(B2462="","",SUBTOTAL(3,$B$2:B2462))</f>
        <v>2461</v>
      </c>
      <c r="B2462" s="9" t="s">
        <v>50</v>
      </c>
      <c r="C2462" s="10" t="s">
        <v>52</v>
      </c>
      <c r="D2462" s="11">
        <v>100</v>
      </c>
      <c r="E2462" s="12">
        <f t="shared" si="38"/>
        <v>43900</v>
      </c>
    </row>
    <row r="2463" spans="1:5" x14ac:dyDescent="0.25">
      <c r="A2463" s="2">
        <f>IF(B2463="","",SUBTOTAL(3,$B$2:B2463))</f>
        <v>2462</v>
      </c>
      <c r="B2463" s="9" t="s">
        <v>50</v>
      </c>
      <c r="C2463" s="10" t="s">
        <v>49</v>
      </c>
      <c r="D2463" s="11">
        <v>220.45855379188714</v>
      </c>
      <c r="E2463" s="12">
        <f t="shared" si="38"/>
        <v>43901</v>
      </c>
    </row>
    <row r="2464" spans="1:5" x14ac:dyDescent="0.25">
      <c r="A2464" s="2">
        <f>IF(B2464="","",SUBTOTAL(3,$B$2:B2464))</f>
        <v>2463</v>
      </c>
      <c r="B2464" s="9" t="s">
        <v>51</v>
      </c>
      <c r="C2464" s="10" t="s">
        <v>49</v>
      </c>
      <c r="D2464" s="11">
        <v>529.49274594938049</v>
      </c>
      <c r="E2464" s="12">
        <f t="shared" si="38"/>
        <v>43902</v>
      </c>
    </row>
    <row r="2465" spans="1:5" x14ac:dyDescent="0.25">
      <c r="A2465" s="2">
        <f>IF(B2465="","",SUBTOTAL(3,$B$2:B2465))</f>
        <v>2464</v>
      </c>
      <c r="B2465" s="9" t="s">
        <v>51</v>
      </c>
      <c r="C2465" s="10" t="s">
        <v>54</v>
      </c>
      <c r="D2465" s="11">
        <v>405.15355319666151</v>
      </c>
      <c r="E2465" s="12">
        <f t="shared" si="38"/>
        <v>43903</v>
      </c>
    </row>
    <row r="2466" spans="1:5" x14ac:dyDescent="0.25">
      <c r="A2466" s="2">
        <f>IF(B2466="","",SUBTOTAL(3,$B$2:B2466))</f>
        <v>2465</v>
      </c>
      <c r="B2466" s="9" t="s">
        <v>50</v>
      </c>
      <c r="C2466" s="10" t="s">
        <v>52</v>
      </c>
      <c r="D2466" s="11">
        <v>22.045855379188712</v>
      </c>
      <c r="E2466" s="12">
        <f t="shared" si="38"/>
        <v>43904</v>
      </c>
    </row>
    <row r="2467" spans="1:5" x14ac:dyDescent="0.25">
      <c r="A2467" s="2">
        <f>IF(B2467="","",SUBTOTAL(3,$B$2:B2467))</f>
        <v>2466</v>
      </c>
      <c r="B2467" s="9" t="s">
        <v>48</v>
      </c>
      <c r="C2467" s="10" t="s">
        <v>52</v>
      </c>
      <c r="D2467" s="11">
        <v>25.696041524803107</v>
      </c>
      <c r="E2467" s="12">
        <f t="shared" si="38"/>
        <v>43905</v>
      </c>
    </row>
    <row r="2468" spans="1:5" x14ac:dyDescent="0.25">
      <c r="A2468" s="2">
        <f>IF(B2468="","",SUBTOTAL(3,$B$2:B2468))</f>
        <v>2467</v>
      </c>
      <c r="B2468" s="9" t="s">
        <v>55</v>
      </c>
      <c r="C2468" s="10" t="s">
        <v>49</v>
      </c>
      <c r="D2468" s="11">
        <v>11.375</v>
      </c>
      <c r="E2468" s="12">
        <f t="shared" si="38"/>
        <v>43906</v>
      </c>
    </row>
    <row r="2469" spans="1:5" x14ac:dyDescent="0.25">
      <c r="A2469" s="2">
        <f>IF(B2469="","",SUBTOTAL(3,$B$2:B2469))</f>
        <v>2468</v>
      </c>
      <c r="B2469" s="9" t="s">
        <v>50</v>
      </c>
      <c r="C2469" s="10" t="s">
        <v>49</v>
      </c>
      <c r="D2469" s="11">
        <v>83.774250440917115</v>
      </c>
      <c r="E2469" s="12">
        <f t="shared" si="38"/>
        <v>43907</v>
      </c>
    </row>
    <row r="2470" spans="1:5" x14ac:dyDescent="0.25">
      <c r="A2470" s="2">
        <f>IF(B2470="","",SUBTOTAL(3,$B$2:B2470))</f>
        <v>2469</v>
      </c>
      <c r="B2470" s="9" t="s">
        <v>55</v>
      </c>
      <c r="C2470" s="10" t="s">
        <v>49</v>
      </c>
      <c r="D2470" s="11">
        <v>23.75</v>
      </c>
      <c r="E2470" s="12">
        <f t="shared" si="38"/>
        <v>43908</v>
      </c>
    </row>
    <row r="2471" spans="1:5" x14ac:dyDescent="0.25">
      <c r="A2471" s="2">
        <f>IF(B2471="","",SUBTOTAL(3,$B$2:B2471))</f>
        <v>2470</v>
      </c>
      <c r="B2471" s="9" t="s">
        <v>48</v>
      </c>
      <c r="C2471" s="10" t="s">
        <v>49</v>
      </c>
      <c r="D2471" s="11">
        <v>1.2848020762401553</v>
      </c>
      <c r="E2471" s="12">
        <f t="shared" si="38"/>
        <v>43909</v>
      </c>
    </row>
    <row r="2472" spans="1:5" x14ac:dyDescent="0.25">
      <c r="A2472" s="2">
        <f>IF(B2472="","",SUBTOTAL(3,$B$2:B2472))</f>
        <v>2471</v>
      </c>
      <c r="B2472" s="9" t="s">
        <v>55</v>
      </c>
      <c r="C2472" s="10" t="s">
        <v>49</v>
      </c>
      <c r="D2472" s="11">
        <v>26.071370376405412</v>
      </c>
      <c r="E2472" s="12">
        <f t="shared" si="38"/>
        <v>43910</v>
      </c>
    </row>
    <row r="2473" spans="1:5" x14ac:dyDescent="0.25">
      <c r="A2473" s="2">
        <f>IF(B2473="","",SUBTOTAL(3,$B$2:B2473))</f>
        <v>2472</v>
      </c>
      <c r="B2473" s="9" t="s">
        <v>48</v>
      </c>
      <c r="C2473" s="10" t="s">
        <v>49</v>
      </c>
      <c r="D2473" s="11">
        <v>51.706308169596689</v>
      </c>
      <c r="E2473" s="12">
        <f t="shared" si="38"/>
        <v>43911</v>
      </c>
    </row>
    <row r="2474" spans="1:5" x14ac:dyDescent="0.25">
      <c r="A2474" s="2">
        <f>IF(B2474="","",SUBTOTAL(3,$B$2:B2474))</f>
        <v>2473</v>
      </c>
      <c r="B2474" s="9" t="s">
        <v>50</v>
      </c>
      <c r="C2474" s="10" t="s">
        <v>49</v>
      </c>
      <c r="D2474" s="11">
        <v>110.22927689594357</v>
      </c>
      <c r="E2474" s="12">
        <f t="shared" si="38"/>
        <v>43912</v>
      </c>
    </row>
    <row r="2475" spans="1:5" x14ac:dyDescent="0.25">
      <c r="A2475" s="2">
        <f>IF(B2475="","",SUBTOTAL(3,$B$2:B2475))</f>
        <v>2474</v>
      </c>
      <c r="B2475" s="9" t="s">
        <v>50</v>
      </c>
      <c r="C2475" s="10" t="s">
        <v>49</v>
      </c>
      <c r="D2475" s="11">
        <v>1.8040564373897707</v>
      </c>
      <c r="E2475" s="12">
        <f t="shared" si="38"/>
        <v>43913</v>
      </c>
    </row>
    <row r="2476" spans="1:5" x14ac:dyDescent="0.25">
      <c r="A2476" s="2">
        <f>IF(B2476="","",SUBTOTAL(3,$B$2:B2476))</f>
        <v>2475</v>
      </c>
      <c r="B2476" s="9" t="s">
        <v>55</v>
      </c>
      <c r="C2476" s="10" t="s">
        <v>49</v>
      </c>
      <c r="D2476" s="11">
        <v>25.684522442229063</v>
      </c>
      <c r="E2476" s="12">
        <f t="shared" si="38"/>
        <v>43914</v>
      </c>
    </row>
    <row r="2477" spans="1:5" x14ac:dyDescent="0.25">
      <c r="A2477" s="2">
        <f>IF(B2477="","",SUBTOTAL(3,$B$2:B2477))</f>
        <v>2476</v>
      </c>
      <c r="B2477" s="9" t="s">
        <v>50</v>
      </c>
      <c r="C2477" s="10" t="s">
        <v>54</v>
      </c>
      <c r="D2477" s="11">
        <v>4.409171075837742</v>
      </c>
      <c r="E2477" s="12">
        <f t="shared" si="38"/>
        <v>43915</v>
      </c>
    </row>
    <row r="2478" spans="1:5" x14ac:dyDescent="0.25">
      <c r="A2478" s="2">
        <f>IF(B2478="","",SUBTOTAL(3,$B$2:B2478))</f>
        <v>2477</v>
      </c>
      <c r="B2478" s="9" t="s">
        <v>50</v>
      </c>
      <c r="C2478" s="10" t="s">
        <v>54</v>
      </c>
      <c r="D2478" s="11">
        <v>4.409171075837742</v>
      </c>
      <c r="E2478" s="12">
        <f t="shared" si="38"/>
        <v>43916</v>
      </c>
    </row>
    <row r="2479" spans="1:5" x14ac:dyDescent="0.25">
      <c r="A2479" s="2">
        <f>IF(B2479="","",SUBTOTAL(3,$B$2:B2479))</f>
        <v>2478</v>
      </c>
      <c r="B2479" s="9" t="s">
        <v>50</v>
      </c>
      <c r="C2479" s="10" t="s">
        <v>54</v>
      </c>
      <c r="D2479" s="11">
        <v>4.409171075837742</v>
      </c>
      <c r="E2479" s="12">
        <f t="shared" si="38"/>
        <v>43917</v>
      </c>
    </row>
    <row r="2480" spans="1:5" x14ac:dyDescent="0.25">
      <c r="A2480" s="2">
        <f>IF(B2480="","",SUBTOTAL(3,$B$2:B2480))</f>
        <v>2479</v>
      </c>
      <c r="B2480" s="9" t="s">
        <v>50</v>
      </c>
      <c r="C2480" s="10" t="s">
        <v>54</v>
      </c>
      <c r="D2480" s="11">
        <v>4.409171075837742</v>
      </c>
      <c r="E2480" s="12">
        <f t="shared" si="38"/>
        <v>43918</v>
      </c>
    </row>
    <row r="2481" spans="1:5" x14ac:dyDescent="0.25">
      <c r="A2481" s="2">
        <f>IF(B2481="","",SUBTOTAL(3,$B$2:B2481))</f>
        <v>2480</v>
      </c>
      <c r="B2481" s="9" t="s">
        <v>50</v>
      </c>
      <c r="C2481" s="10" t="s">
        <v>54</v>
      </c>
      <c r="D2481" s="11">
        <v>4.409171075837742</v>
      </c>
      <c r="E2481" s="12">
        <f t="shared" si="38"/>
        <v>43919</v>
      </c>
    </row>
    <row r="2482" spans="1:5" x14ac:dyDescent="0.25">
      <c r="A2482" s="2">
        <f>IF(B2482="","",SUBTOTAL(3,$B$2:B2482))</f>
        <v>2481</v>
      </c>
      <c r="B2482" s="9" t="s">
        <v>48</v>
      </c>
      <c r="C2482" s="10" t="s">
        <v>57</v>
      </c>
      <c r="D2482" s="11">
        <v>64.24010381200776</v>
      </c>
      <c r="E2482" s="12">
        <f t="shared" si="38"/>
        <v>43920</v>
      </c>
    </row>
    <row r="2483" spans="1:5" x14ac:dyDescent="0.25">
      <c r="A2483" s="2">
        <f>IF(B2483="","",SUBTOTAL(3,$B$2:B2483))</f>
        <v>2482</v>
      </c>
      <c r="B2483" s="9" t="s">
        <v>50</v>
      </c>
      <c r="C2483" s="10" t="s">
        <v>49</v>
      </c>
      <c r="D2483" s="11">
        <v>24.483575837742503</v>
      </c>
      <c r="E2483" s="12">
        <f t="shared" si="38"/>
        <v>43921</v>
      </c>
    </row>
    <row r="2484" spans="1:5" x14ac:dyDescent="0.25">
      <c r="A2484" s="2">
        <f>IF(B2484="","",SUBTOTAL(3,$B$2:B2484))</f>
        <v>2483</v>
      </c>
      <c r="B2484" s="9" t="s">
        <v>55</v>
      </c>
      <c r="C2484" s="10" t="s">
        <v>52</v>
      </c>
      <c r="D2484" s="11">
        <v>100</v>
      </c>
      <c r="E2484" s="12">
        <f t="shared" si="38"/>
        <v>43922</v>
      </c>
    </row>
    <row r="2485" spans="1:5" x14ac:dyDescent="0.25">
      <c r="A2485" s="2">
        <f>IF(B2485="","",SUBTOTAL(3,$B$2:B2485))</f>
        <v>2484</v>
      </c>
      <c r="B2485" s="9" t="s">
        <v>55</v>
      </c>
      <c r="C2485" s="10" t="s">
        <v>49</v>
      </c>
      <c r="D2485" s="11">
        <v>50</v>
      </c>
      <c r="E2485" s="12">
        <f t="shared" si="38"/>
        <v>43923</v>
      </c>
    </row>
    <row r="2486" spans="1:5" x14ac:dyDescent="0.25">
      <c r="A2486" s="2">
        <f>IF(B2486="","",SUBTOTAL(3,$B$2:B2486))</f>
        <v>2485</v>
      </c>
      <c r="B2486" s="9" t="s">
        <v>50</v>
      </c>
      <c r="C2486" s="10" t="s">
        <v>52</v>
      </c>
      <c r="D2486" s="11">
        <v>44.091710758377424</v>
      </c>
      <c r="E2486" s="12">
        <f t="shared" si="38"/>
        <v>43924</v>
      </c>
    </row>
    <row r="2487" spans="1:5" x14ac:dyDescent="0.25">
      <c r="A2487" s="2">
        <f>IF(B2487="","",SUBTOTAL(3,$B$2:B2487))</f>
        <v>2486</v>
      </c>
      <c r="B2487" s="9" t="s">
        <v>50</v>
      </c>
      <c r="C2487" s="10" t="s">
        <v>52</v>
      </c>
      <c r="D2487" s="11">
        <v>44.091710758377424</v>
      </c>
      <c r="E2487" s="12">
        <f t="shared" si="38"/>
        <v>43925</v>
      </c>
    </row>
    <row r="2488" spans="1:5" x14ac:dyDescent="0.25">
      <c r="A2488" s="2">
        <f>IF(B2488="","",SUBTOTAL(3,$B$2:B2488))</f>
        <v>2487</v>
      </c>
      <c r="B2488" s="9" t="s">
        <v>50</v>
      </c>
      <c r="C2488" s="10" t="s">
        <v>49</v>
      </c>
      <c r="D2488" s="11">
        <v>176.3668430335097</v>
      </c>
      <c r="E2488" s="12">
        <f t="shared" si="38"/>
        <v>43926</v>
      </c>
    </row>
    <row r="2489" spans="1:5" x14ac:dyDescent="0.25">
      <c r="A2489" s="2">
        <f>IF(B2489="","",SUBTOTAL(3,$B$2:B2489))</f>
        <v>2488</v>
      </c>
      <c r="B2489" s="9" t="s">
        <v>50</v>
      </c>
      <c r="C2489" s="10" t="s">
        <v>52</v>
      </c>
      <c r="D2489" s="11">
        <v>44.091710758377424</v>
      </c>
      <c r="E2489" s="12">
        <f t="shared" si="38"/>
        <v>43927</v>
      </c>
    </row>
    <row r="2490" spans="1:5" x14ac:dyDescent="0.25">
      <c r="A2490" s="2">
        <f>IF(B2490="","",SUBTOTAL(3,$B$2:B2490))</f>
        <v>2489</v>
      </c>
      <c r="B2490" s="9" t="s">
        <v>51</v>
      </c>
      <c r="C2490" s="10" t="s">
        <v>52</v>
      </c>
      <c r="D2490" s="11">
        <v>52.949274594938046</v>
      </c>
      <c r="E2490" s="12">
        <f t="shared" si="38"/>
        <v>43928</v>
      </c>
    </row>
    <row r="2491" spans="1:5" x14ac:dyDescent="0.25">
      <c r="A2491" s="2">
        <f>IF(B2491="","",SUBTOTAL(3,$B$2:B2491))</f>
        <v>2490</v>
      </c>
      <c r="B2491" s="9" t="s">
        <v>50</v>
      </c>
      <c r="C2491" s="10" t="s">
        <v>52</v>
      </c>
      <c r="D2491" s="11">
        <v>110.22927689594357</v>
      </c>
      <c r="E2491" s="12">
        <f t="shared" si="38"/>
        <v>43929</v>
      </c>
    </row>
    <row r="2492" spans="1:5" x14ac:dyDescent="0.25">
      <c r="A2492" s="2">
        <f>IF(B2492="","",SUBTOTAL(3,$B$2:B2492))</f>
        <v>2491</v>
      </c>
      <c r="B2492" s="9" t="s">
        <v>50</v>
      </c>
      <c r="C2492" s="10" t="s">
        <v>52</v>
      </c>
      <c r="D2492" s="11">
        <v>132.27513227513228</v>
      </c>
      <c r="E2492" s="12">
        <f t="shared" si="38"/>
        <v>43930</v>
      </c>
    </row>
    <row r="2493" spans="1:5" x14ac:dyDescent="0.25">
      <c r="A2493" s="2">
        <f>IF(B2493="","",SUBTOTAL(3,$B$2:B2493))</f>
        <v>2492</v>
      </c>
      <c r="B2493" s="9" t="s">
        <v>50</v>
      </c>
      <c r="C2493" s="10" t="s">
        <v>52</v>
      </c>
      <c r="D2493" s="11">
        <v>132.27513227513228</v>
      </c>
      <c r="E2493" s="12">
        <f t="shared" si="38"/>
        <v>43931</v>
      </c>
    </row>
    <row r="2494" spans="1:5" x14ac:dyDescent="0.25">
      <c r="A2494" s="2">
        <f>IF(B2494="","",SUBTOTAL(3,$B$2:B2494))</f>
        <v>2493</v>
      </c>
      <c r="B2494" s="9" t="s">
        <v>51</v>
      </c>
      <c r="C2494" s="10" t="s">
        <v>52</v>
      </c>
      <c r="D2494" s="11">
        <v>79.423911892407062</v>
      </c>
      <c r="E2494" s="12">
        <f t="shared" si="38"/>
        <v>43932</v>
      </c>
    </row>
    <row r="2495" spans="1:5" x14ac:dyDescent="0.25">
      <c r="A2495" s="2">
        <f>IF(B2495="","",SUBTOTAL(3,$B$2:B2495))</f>
        <v>2494</v>
      </c>
      <c r="B2495" s="9" t="s">
        <v>55</v>
      </c>
      <c r="C2495" s="10" t="s">
        <v>52</v>
      </c>
      <c r="D2495" s="11">
        <v>159.64533468093904</v>
      </c>
      <c r="E2495" s="12">
        <f t="shared" si="38"/>
        <v>43933</v>
      </c>
    </row>
    <row r="2496" spans="1:5" x14ac:dyDescent="0.25">
      <c r="A2496" s="2">
        <f>IF(B2496="","",SUBTOTAL(3,$B$2:B2496))</f>
        <v>2495</v>
      </c>
      <c r="B2496" s="9" t="s">
        <v>51</v>
      </c>
      <c r="C2496" s="10" t="s">
        <v>49</v>
      </c>
      <c r="D2496" s="11">
        <v>8.4718839351900872</v>
      </c>
      <c r="E2496" s="12">
        <f t="shared" si="38"/>
        <v>43934</v>
      </c>
    </row>
    <row r="2497" spans="1:5" x14ac:dyDescent="0.25">
      <c r="A2497" s="2">
        <f>IF(B2497="","",SUBTOTAL(3,$B$2:B2497))</f>
        <v>2496</v>
      </c>
      <c r="B2497" s="9" t="s">
        <v>51</v>
      </c>
      <c r="C2497" s="10" t="s">
        <v>49</v>
      </c>
      <c r="D2497" s="11">
        <v>42.359419675950441</v>
      </c>
      <c r="E2497" s="12">
        <f t="shared" si="38"/>
        <v>43935</v>
      </c>
    </row>
    <row r="2498" spans="1:5" x14ac:dyDescent="0.25">
      <c r="A2498" s="2">
        <f>IF(B2498="","",SUBTOTAL(3,$B$2:B2498))</f>
        <v>2497</v>
      </c>
      <c r="B2498" s="9" t="s">
        <v>50</v>
      </c>
      <c r="C2498" s="10" t="s">
        <v>52</v>
      </c>
      <c r="D2498" s="11">
        <v>44.091710758377424</v>
      </c>
      <c r="E2498" s="12">
        <f t="shared" si="38"/>
        <v>43936</v>
      </c>
    </row>
    <row r="2499" spans="1:5" x14ac:dyDescent="0.25">
      <c r="A2499" s="2">
        <f>IF(B2499="","",SUBTOTAL(3,$B$2:B2499))</f>
        <v>2498</v>
      </c>
      <c r="B2499" s="9" t="s">
        <v>50</v>
      </c>
      <c r="C2499" s="10" t="s">
        <v>52</v>
      </c>
      <c r="D2499" s="11">
        <v>44.091710758377424</v>
      </c>
      <c r="E2499" s="12">
        <f t="shared" si="38"/>
        <v>43937</v>
      </c>
    </row>
    <row r="2500" spans="1:5" x14ac:dyDescent="0.25">
      <c r="A2500" s="2">
        <f>IF(B2500="","",SUBTOTAL(3,$B$2:B2500))</f>
        <v>2499</v>
      </c>
      <c r="B2500" s="9" t="s">
        <v>50</v>
      </c>
      <c r="C2500" s="10" t="s">
        <v>52</v>
      </c>
      <c r="D2500" s="11">
        <v>88.183421516754848</v>
      </c>
      <c r="E2500" s="12">
        <f t="shared" ref="E2500:E2563" si="39">E2499+1</f>
        <v>43938</v>
      </c>
    </row>
    <row r="2501" spans="1:5" x14ac:dyDescent="0.25">
      <c r="A2501" s="2">
        <f>IF(B2501="","",SUBTOTAL(3,$B$2:B2501))</f>
        <v>2500</v>
      </c>
      <c r="B2501" s="9" t="s">
        <v>51</v>
      </c>
      <c r="C2501" s="10" t="s">
        <v>49</v>
      </c>
      <c r="D2501" s="11">
        <v>158.84782378481412</v>
      </c>
      <c r="E2501" s="12">
        <f t="shared" si="39"/>
        <v>43939</v>
      </c>
    </row>
    <row r="2502" spans="1:5" x14ac:dyDescent="0.25">
      <c r="A2502" s="2">
        <f>IF(B2502="","",SUBTOTAL(3,$B$2:B2502))</f>
        <v>2501</v>
      </c>
      <c r="B2502" s="9" t="s">
        <v>55</v>
      </c>
      <c r="C2502" s="10" t="s">
        <v>57</v>
      </c>
      <c r="D2502" s="11">
        <v>40</v>
      </c>
      <c r="E2502" s="12">
        <f t="shared" si="39"/>
        <v>43940</v>
      </c>
    </row>
    <row r="2503" spans="1:5" x14ac:dyDescent="0.25">
      <c r="A2503" s="2">
        <f>IF(B2503="","",SUBTOTAL(3,$B$2:B2503))</f>
        <v>2502</v>
      </c>
      <c r="B2503" s="9" t="s">
        <v>48</v>
      </c>
      <c r="C2503" s="10" t="s">
        <v>52</v>
      </c>
      <c r="D2503" s="11">
        <v>64.24010381200776</v>
      </c>
      <c r="E2503" s="12">
        <f t="shared" si="39"/>
        <v>43941</v>
      </c>
    </row>
    <row r="2504" spans="1:5" x14ac:dyDescent="0.25">
      <c r="A2504" s="2">
        <f>IF(B2504="","",SUBTOTAL(3,$B$2:B2504))</f>
        <v>2503</v>
      </c>
      <c r="B2504" s="9" t="s">
        <v>50</v>
      </c>
      <c r="C2504" s="10" t="s">
        <v>49</v>
      </c>
      <c r="D2504" s="11">
        <v>33.06878306878307</v>
      </c>
      <c r="E2504" s="12">
        <f t="shared" si="39"/>
        <v>43942</v>
      </c>
    </row>
    <row r="2505" spans="1:5" x14ac:dyDescent="0.25">
      <c r="A2505" s="2">
        <f>IF(B2505="","",SUBTOTAL(3,$B$2:B2505))</f>
        <v>2504</v>
      </c>
      <c r="B2505" s="9" t="s">
        <v>51</v>
      </c>
      <c r="C2505" s="10" t="s">
        <v>52</v>
      </c>
      <c r="D2505" s="11">
        <v>60.773032979499227</v>
      </c>
      <c r="E2505" s="12">
        <f t="shared" si="39"/>
        <v>43943</v>
      </c>
    </row>
    <row r="2506" spans="1:5" x14ac:dyDescent="0.25">
      <c r="A2506" s="2">
        <f>IF(B2506="","",SUBTOTAL(3,$B$2:B2506))</f>
        <v>2505</v>
      </c>
      <c r="B2506" s="9" t="s">
        <v>48</v>
      </c>
      <c r="C2506" s="10" t="s">
        <v>54</v>
      </c>
      <c r="D2506" s="11">
        <v>77.088124574409321</v>
      </c>
      <c r="E2506" s="12">
        <f t="shared" si="39"/>
        <v>43944</v>
      </c>
    </row>
    <row r="2507" spans="1:5" x14ac:dyDescent="0.25">
      <c r="A2507" s="2">
        <f>IF(B2507="","",SUBTOTAL(3,$B$2:B2507))</f>
        <v>2506</v>
      </c>
      <c r="B2507" s="9" t="s">
        <v>55</v>
      </c>
      <c r="C2507" s="10" t="s">
        <v>49</v>
      </c>
      <c r="D2507" s="11">
        <v>154.10713465337437</v>
      </c>
      <c r="E2507" s="12">
        <f t="shared" si="39"/>
        <v>43945</v>
      </c>
    </row>
    <row r="2508" spans="1:5" x14ac:dyDescent="0.25">
      <c r="A2508" s="2">
        <f>IF(B2508="","",SUBTOTAL(3,$B$2:B2508))</f>
        <v>2507</v>
      </c>
      <c r="B2508" s="9" t="s">
        <v>48</v>
      </c>
      <c r="C2508" s="10" t="s">
        <v>49</v>
      </c>
      <c r="D2508" s="11">
        <v>86.177180282661155</v>
      </c>
      <c r="E2508" s="12">
        <f t="shared" si="39"/>
        <v>43946</v>
      </c>
    </row>
    <row r="2509" spans="1:5" x14ac:dyDescent="0.25">
      <c r="A2509" s="2">
        <f>IF(B2509="","",SUBTOTAL(3,$B$2:B2509))</f>
        <v>2508</v>
      </c>
      <c r="B2509" s="9" t="s">
        <v>48</v>
      </c>
      <c r="C2509" s="10" t="s">
        <v>49</v>
      </c>
      <c r="D2509" s="11">
        <v>22.652345406190175</v>
      </c>
      <c r="E2509" s="12">
        <f t="shared" si="39"/>
        <v>43947</v>
      </c>
    </row>
    <row r="2510" spans="1:5" x14ac:dyDescent="0.25">
      <c r="A2510" s="2">
        <f>IF(B2510="","",SUBTOTAL(3,$B$2:B2510))</f>
        <v>2509</v>
      </c>
      <c r="B2510" s="9" t="s">
        <v>48</v>
      </c>
      <c r="C2510" s="10" t="s">
        <v>49</v>
      </c>
      <c r="D2510" s="11">
        <v>62.047569803516026</v>
      </c>
      <c r="E2510" s="12">
        <f t="shared" si="39"/>
        <v>43948</v>
      </c>
    </row>
    <row r="2511" spans="1:5" x14ac:dyDescent="0.25">
      <c r="A2511" s="2">
        <f>IF(B2511="","",SUBTOTAL(3,$B$2:B2511))</f>
        <v>2510</v>
      </c>
      <c r="B2511" s="9" t="s">
        <v>50</v>
      </c>
      <c r="C2511" s="10" t="s">
        <v>49</v>
      </c>
      <c r="D2511" s="11">
        <v>97.934215167548501</v>
      </c>
      <c r="E2511" s="12">
        <f t="shared" si="39"/>
        <v>43949</v>
      </c>
    </row>
    <row r="2512" spans="1:5" x14ac:dyDescent="0.25">
      <c r="A2512" s="2">
        <f>IF(B2512="","",SUBTOTAL(3,$B$2:B2512))</f>
        <v>2511</v>
      </c>
      <c r="B2512" s="9" t="s">
        <v>48</v>
      </c>
      <c r="C2512" s="10" t="s">
        <v>49</v>
      </c>
      <c r="D2512" s="11">
        <v>29.550447753523571</v>
      </c>
      <c r="E2512" s="12">
        <f t="shared" si="39"/>
        <v>43950</v>
      </c>
    </row>
    <row r="2513" spans="1:5" x14ac:dyDescent="0.25">
      <c r="A2513" s="2">
        <f>IF(B2513="","",SUBTOTAL(3,$B$2:B2513))</f>
        <v>2512</v>
      </c>
      <c r="B2513" s="9" t="s">
        <v>50</v>
      </c>
      <c r="C2513" s="10" t="s">
        <v>49</v>
      </c>
      <c r="D2513" s="11">
        <v>110.22927689594357</v>
      </c>
      <c r="E2513" s="12">
        <f t="shared" si="39"/>
        <v>43951</v>
      </c>
    </row>
    <row r="2514" spans="1:5" x14ac:dyDescent="0.25">
      <c r="A2514" s="2">
        <f>IF(B2514="","",SUBTOTAL(3,$B$2:B2514))</f>
        <v>2513</v>
      </c>
      <c r="B2514" s="9" t="s">
        <v>50</v>
      </c>
      <c r="C2514" s="10" t="s">
        <v>49</v>
      </c>
      <c r="D2514" s="11">
        <v>110.22927689594357</v>
      </c>
      <c r="E2514" s="12">
        <f t="shared" si="39"/>
        <v>43952</v>
      </c>
    </row>
    <row r="2515" spans="1:5" x14ac:dyDescent="0.25">
      <c r="A2515" s="2">
        <f>IF(B2515="","",SUBTOTAL(3,$B$2:B2515))</f>
        <v>2514</v>
      </c>
      <c r="B2515" s="9" t="s">
        <v>55</v>
      </c>
      <c r="C2515" s="10" t="s">
        <v>49</v>
      </c>
      <c r="D2515" s="11">
        <v>0</v>
      </c>
      <c r="E2515" s="12">
        <f t="shared" si="39"/>
        <v>43953</v>
      </c>
    </row>
    <row r="2516" spans="1:5" x14ac:dyDescent="0.25">
      <c r="A2516" s="2">
        <f>IF(B2516="","",SUBTOTAL(3,$B$2:B2516))</f>
        <v>2515</v>
      </c>
      <c r="B2516" s="9" t="s">
        <v>48</v>
      </c>
      <c r="C2516" s="10" t="s">
        <v>49</v>
      </c>
      <c r="D2516" s="11">
        <v>449.68072668405438</v>
      </c>
      <c r="E2516" s="12">
        <f t="shared" si="39"/>
        <v>43954</v>
      </c>
    </row>
    <row r="2517" spans="1:5" x14ac:dyDescent="0.25">
      <c r="A2517" s="2">
        <f>IF(B2517="","",SUBTOTAL(3,$B$2:B2517))</f>
        <v>2516</v>
      </c>
      <c r="B2517" s="9" t="s">
        <v>50</v>
      </c>
      <c r="C2517" s="10" t="s">
        <v>49</v>
      </c>
      <c r="D2517" s="11">
        <v>99.206349206349202</v>
      </c>
      <c r="E2517" s="12">
        <f t="shared" si="39"/>
        <v>43955</v>
      </c>
    </row>
    <row r="2518" spans="1:5" x14ac:dyDescent="0.25">
      <c r="A2518" s="2">
        <f>IF(B2518="","",SUBTOTAL(3,$B$2:B2518))</f>
        <v>2517</v>
      </c>
      <c r="B2518" s="9" t="s">
        <v>50</v>
      </c>
      <c r="C2518" s="10" t="s">
        <v>49</v>
      </c>
      <c r="D2518" s="11">
        <v>146.90145502645501</v>
      </c>
      <c r="E2518" s="12">
        <f t="shared" si="39"/>
        <v>43956</v>
      </c>
    </row>
    <row r="2519" spans="1:5" x14ac:dyDescent="0.25">
      <c r="A2519" s="2">
        <f>IF(B2519="","",SUBTOTAL(3,$B$2:B2519))</f>
        <v>2518</v>
      </c>
      <c r="B2519" s="9" t="s">
        <v>50</v>
      </c>
      <c r="C2519" s="10" t="s">
        <v>49</v>
      </c>
      <c r="D2519" s="11">
        <v>2.204585537918871</v>
      </c>
      <c r="E2519" s="12">
        <f t="shared" si="39"/>
        <v>43957</v>
      </c>
    </row>
    <row r="2520" spans="1:5" x14ac:dyDescent="0.25">
      <c r="A2520" s="2">
        <f>IF(B2520="","",SUBTOTAL(3,$B$2:B2520))</f>
        <v>2519</v>
      </c>
      <c r="B2520" s="9" t="s">
        <v>50</v>
      </c>
      <c r="C2520" s="10" t="s">
        <v>52</v>
      </c>
      <c r="D2520" s="11">
        <v>6.6137566137566139</v>
      </c>
      <c r="E2520" s="12">
        <f t="shared" si="39"/>
        <v>43958</v>
      </c>
    </row>
    <row r="2521" spans="1:5" x14ac:dyDescent="0.25">
      <c r="A2521" s="2">
        <f>IF(B2521="","",SUBTOTAL(3,$B$2:B2521))</f>
        <v>2520</v>
      </c>
      <c r="B2521" s="9" t="s">
        <v>48</v>
      </c>
      <c r="C2521" s="10" t="s">
        <v>49</v>
      </c>
      <c r="D2521" s="11">
        <v>48.259220958290243</v>
      </c>
      <c r="E2521" s="12">
        <f t="shared" si="39"/>
        <v>43959</v>
      </c>
    </row>
    <row r="2522" spans="1:5" x14ac:dyDescent="0.25">
      <c r="A2522" s="2">
        <f>IF(B2522="","",SUBTOTAL(3,$B$2:B2522))</f>
        <v>2521</v>
      </c>
      <c r="B2522" s="9" t="s">
        <v>48</v>
      </c>
      <c r="C2522" s="10" t="s">
        <v>49</v>
      </c>
      <c r="D2522" s="11">
        <v>15.733540158566012</v>
      </c>
      <c r="E2522" s="12">
        <f t="shared" si="39"/>
        <v>43960</v>
      </c>
    </row>
    <row r="2523" spans="1:5" x14ac:dyDescent="0.25">
      <c r="A2523" s="2">
        <f>IF(B2523="","",SUBTOTAL(3,$B$2:B2523))</f>
        <v>2522</v>
      </c>
      <c r="B2523" s="9" t="s">
        <v>48</v>
      </c>
      <c r="C2523" s="10" t="s">
        <v>56</v>
      </c>
      <c r="D2523" s="11">
        <v>616.14294516327789</v>
      </c>
      <c r="E2523" s="12">
        <f t="shared" si="39"/>
        <v>43961</v>
      </c>
    </row>
    <row r="2524" spans="1:5" x14ac:dyDescent="0.25">
      <c r="A2524" s="2">
        <f>IF(B2524="","",SUBTOTAL(3,$B$2:B2524))</f>
        <v>2523</v>
      </c>
      <c r="B2524" s="9" t="s">
        <v>50</v>
      </c>
      <c r="C2524" s="10" t="s">
        <v>56</v>
      </c>
      <c r="D2524" s="11">
        <v>32.675999999999995</v>
      </c>
      <c r="E2524" s="12">
        <f t="shared" si="39"/>
        <v>43962</v>
      </c>
    </row>
    <row r="2525" spans="1:5" x14ac:dyDescent="0.25">
      <c r="A2525" s="2">
        <f>IF(B2525="","",SUBTOTAL(3,$B$2:B2525))</f>
        <v>2524</v>
      </c>
      <c r="B2525" s="9" t="s">
        <v>55</v>
      </c>
      <c r="C2525" s="10" t="s">
        <v>56</v>
      </c>
      <c r="D2525" s="11">
        <v>32.589212970506765</v>
      </c>
      <c r="E2525" s="12">
        <f t="shared" si="39"/>
        <v>43963</v>
      </c>
    </row>
    <row r="2526" spans="1:5" x14ac:dyDescent="0.25">
      <c r="A2526" s="2">
        <f>IF(B2526="","",SUBTOTAL(3,$B$2:B2526))</f>
        <v>2525</v>
      </c>
      <c r="B2526" s="9" t="s">
        <v>55</v>
      </c>
      <c r="C2526" s="10" t="s">
        <v>56</v>
      </c>
      <c r="D2526" s="11">
        <v>32.589212970506765</v>
      </c>
      <c r="E2526" s="12">
        <f t="shared" si="39"/>
        <v>43964</v>
      </c>
    </row>
    <row r="2527" spans="1:5" x14ac:dyDescent="0.25">
      <c r="A2527" s="2">
        <f>IF(B2527="","",SUBTOTAL(3,$B$2:B2527))</f>
        <v>2526</v>
      </c>
      <c r="B2527" s="9" t="s">
        <v>48</v>
      </c>
      <c r="C2527" s="10" t="s">
        <v>49</v>
      </c>
      <c r="D2527" s="11">
        <v>92.421441774491683</v>
      </c>
      <c r="E2527" s="12">
        <f t="shared" si="39"/>
        <v>43965</v>
      </c>
    </row>
    <row r="2528" spans="1:5" x14ac:dyDescent="0.25">
      <c r="A2528" s="2">
        <f>IF(B2528="","",SUBTOTAL(3,$B$2:B2528))</f>
        <v>2527</v>
      </c>
      <c r="B2528" s="9" t="s">
        <v>48</v>
      </c>
      <c r="C2528" s="10" t="s">
        <v>52</v>
      </c>
      <c r="D2528" s="11">
        <v>138.63216266173754</v>
      </c>
      <c r="E2528" s="12">
        <f t="shared" si="39"/>
        <v>43966</v>
      </c>
    </row>
    <row r="2529" spans="1:5" x14ac:dyDescent="0.25">
      <c r="A2529" s="2">
        <f>IF(B2529="","",SUBTOTAL(3,$B$2:B2529))</f>
        <v>2528</v>
      </c>
      <c r="B2529" s="9" t="s">
        <v>51</v>
      </c>
      <c r="C2529" s="10" t="s">
        <v>49</v>
      </c>
      <c r="D2529" s="11">
        <v>450</v>
      </c>
      <c r="E2529" s="12">
        <f t="shared" si="39"/>
        <v>43967</v>
      </c>
    </row>
    <row r="2530" spans="1:5" x14ac:dyDescent="0.25">
      <c r="A2530" s="2">
        <f>IF(B2530="","",SUBTOTAL(3,$B$2:B2530))</f>
        <v>2529</v>
      </c>
      <c r="B2530" s="9" t="s">
        <v>51</v>
      </c>
      <c r="C2530" s="10" t="s">
        <v>54</v>
      </c>
      <c r="D2530" s="11">
        <v>158.84782378481412</v>
      </c>
      <c r="E2530" s="12">
        <f t="shared" si="39"/>
        <v>43968</v>
      </c>
    </row>
    <row r="2531" spans="1:5" x14ac:dyDescent="0.25">
      <c r="A2531" s="2">
        <f>IF(B2531="","",SUBTOTAL(3,$B$2:B2531))</f>
        <v>2530</v>
      </c>
      <c r="B2531" s="9" t="s">
        <v>51</v>
      </c>
      <c r="C2531" s="10" t="s">
        <v>49</v>
      </c>
      <c r="D2531" s="11">
        <v>423.59419675950437</v>
      </c>
      <c r="E2531" s="12">
        <f t="shared" si="39"/>
        <v>43969</v>
      </c>
    </row>
    <row r="2532" spans="1:5" x14ac:dyDescent="0.25">
      <c r="A2532" s="2">
        <f>IF(B2532="","",SUBTOTAL(3,$B$2:B2532))</f>
        <v>2531</v>
      </c>
      <c r="B2532" s="9" t="s">
        <v>51</v>
      </c>
      <c r="C2532" s="10" t="s">
        <v>49</v>
      </c>
      <c r="D2532" s="11">
        <v>26.474637297469023</v>
      </c>
      <c r="E2532" s="12">
        <f t="shared" si="39"/>
        <v>43970</v>
      </c>
    </row>
    <row r="2533" spans="1:5" x14ac:dyDescent="0.25">
      <c r="A2533" s="2">
        <f>IF(B2533="","",SUBTOTAL(3,$B$2:B2533))</f>
        <v>2532</v>
      </c>
      <c r="B2533" s="9" t="s">
        <v>50</v>
      </c>
      <c r="C2533" s="10" t="s">
        <v>49</v>
      </c>
      <c r="D2533" s="11">
        <v>36.0810405643739</v>
      </c>
      <c r="E2533" s="12">
        <f t="shared" si="39"/>
        <v>43971</v>
      </c>
    </row>
    <row r="2534" spans="1:5" x14ac:dyDescent="0.25">
      <c r="A2534" s="2">
        <f>IF(B2534="","",SUBTOTAL(3,$B$2:B2534))</f>
        <v>2533</v>
      </c>
      <c r="B2534" s="9" t="s">
        <v>48</v>
      </c>
      <c r="C2534" s="10" t="s">
        <v>52</v>
      </c>
      <c r="D2534" s="11">
        <v>32.12005190600388</v>
      </c>
      <c r="E2534" s="12">
        <f t="shared" si="39"/>
        <v>43972</v>
      </c>
    </row>
    <row r="2535" spans="1:5" x14ac:dyDescent="0.25">
      <c r="A2535" s="2">
        <f>IF(B2535="","",SUBTOTAL(3,$B$2:B2535))</f>
        <v>2534</v>
      </c>
      <c r="B2535" s="9" t="s">
        <v>50</v>
      </c>
      <c r="C2535" s="10" t="s">
        <v>49</v>
      </c>
      <c r="D2535" s="11">
        <v>88.183421516754848</v>
      </c>
      <c r="E2535" s="12">
        <f t="shared" si="39"/>
        <v>43973</v>
      </c>
    </row>
    <row r="2536" spans="1:5" x14ac:dyDescent="0.25">
      <c r="A2536" s="2">
        <f>IF(B2536="","",SUBTOTAL(3,$B$2:B2536))</f>
        <v>2535</v>
      </c>
      <c r="B2536" s="9" t="s">
        <v>48</v>
      </c>
      <c r="C2536" s="10" t="s">
        <v>49</v>
      </c>
      <c r="D2536" s="11">
        <v>231.05360443622922</v>
      </c>
      <c r="E2536" s="12">
        <f t="shared" si="39"/>
        <v>43974</v>
      </c>
    </row>
    <row r="2537" spans="1:5" x14ac:dyDescent="0.25">
      <c r="A2537" s="2">
        <f>IF(B2537="","",SUBTOTAL(3,$B$2:B2537))</f>
        <v>2536</v>
      </c>
      <c r="B2537" s="9" t="s">
        <v>50</v>
      </c>
      <c r="C2537" s="10" t="s">
        <v>52</v>
      </c>
      <c r="D2537" s="11">
        <v>55.114638447971785</v>
      </c>
      <c r="E2537" s="12">
        <f t="shared" si="39"/>
        <v>43975</v>
      </c>
    </row>
    <row r="2538" spans="1:5" x14ac:dyDescent="0.25">
      <c r="A2538" s="2">
        <f>IF(B2538="","",SUBTOTAL(3,$B$2:B2538))</f>
        <v>2537</v>
      </c>
      <c r="B2538" s="9" t="s">
        <v>50</v>
      </c>
      <c r="C2538" s="10" t="s">
        <v>52</v>
      </c>
      <c r="D2538" s="11">
        <v>143.29805996472663</v>
      </c>
      <c r="E2538" s="12">
        <f t="shared" si="39"/>
        <v>43976</v>
      </c>
    </row>
    <row r="2539" spans="1:5" x14ac:dyDescent="0.25">
      <c r="A2539" s="2">
        <f>IF(B2539="","",SUBTOTAL(3,$B$2:B2539))</f>
        <v>2538</v>
      </c>
      <c r="B2539" s="9" t="s">
        <v>51</v>
      </c>
      <c r="C2539" s="10" t="s">
        <v>54</v>
      </c>
      <c r="D2539" s="11">
        <v>52.949274594938046</v>
      </c>
      <c r="E2539" s="12">
        <f t="shared" si="39"/>
        <v>43977</v>
      </c>
    </row>
    <row r="2540" spans="1:5" x14ac:dyDescent="0.25">
      <c r="A2540" s="2">
        <f>IF(B2540="","",SUBTOTAL(3,$B$2:B2540))</f>
        <v>2539</v>
      </c>
      <c r="B2540" s="9" t="s">
        <v>50</v>
      </c>
      <c r="C2540" s="10" t="s">
        <v>49</v>
      </c>
      <c r="D2540" s="11">
        <v>120</v>
      </c>
      <c r="E2540" s="12">
        <f t="shared" si="39"/>
        <v>43978</v>
      </c>
    </row>
    <row r="2541" spans="1:5" x14ac:dyDescent="0.25">
      <c r="A2541" s="2">
        <f>IF(B2541="","",SUBTOTAL(3,$B$2:B2541))</f>
        <v>2540</v>
      </c>
      <c r="B2541" s="9" t="s">
        <v>53</v>
      </c>
      <c r="C2541" s="10" t="s">
        <v>54</v>
      </c>
      <c r="D2541" s="11">
        <v>9.1585994669695125</v>
      </c>
      <c r="E2541" s="12">
        <f t="shared" si="39"/>
        <v>43979</v>
      </c>
    </row>
    <row r="2542" spans="1:5" x14ac:dyDescent="0.25">
      <c r="A2542" s="2">
        <f>IF(B2542="","",SUBTOTAL(3,$B$2:B2542))</f>
        <v>2541</v>
      </c>
      <c r="B2542" s="9" t="s">
        <v>48</v>
      </c>
      <c r="C2542" s="10" t="s">
        <v>49</v>
      </c>
      <c r="D2542" s="11">
        <v>3.8508934072704868</v>
      </c>
      <c r="E2542" s="12">
        <f t="shared" si="39"/>
        <v>43980</v>
      </c>
    </row>
    <row r="2543" spans="1:5" x14ac:dyDescent="0.25">
      <c r="A2543" s="2">
        <f>IF(B2543="","",SUBTOTAL(3,$B$2:B2543))</f>
        <v>2542</v>
      </c>
      <c r="B2543" s="9" t="s">
        <v>53</v>
      </c>
      <c r="C2543" s="10" t="s">
        <v>49</v>
      </c>
      <c r="D2543" s="11">
        <v>4.5792997334847563</v>
      </c>
      <c r="E2543" s="12">
        <f t="shared" si="39"/>
        <v>43981</v>
      </c>
    </row>
    <row r="2544" spans="1:5" x14ac:dyDescent="0.25">
      <c r="A2544" s="2">
        <f>IF(B2544="","",SUBTOTAL(3,$B$2:B2544))</f>
        <v>2543</v>
      </c>
      <c r="B2544" s="9" t="s">
        <v>48</v>
      </c>
      <c r="C2544" s="10" t="s">
        <v>49</v>
      </c>
      <c r="D2544" s="11">
        <v>15.403573629081947</v>
      </c>
      <c r="E2544" s="12">
        <f t="shared" si="39"/>
        <v>43982</v>
      </c>
    </row>
    <row r="2545" spans="1:5" x14ac:dyDescent="0.25">
      <c r="A2545" s="2">
        <f>IF(B2545="","",SUBTOTAL(3,$B$2:B2545))</f>
        <v>2544</v>
      </c>
      <c r="B2545" s="9" t="s">
        <v>51</v>
      </c>
      <c r="C2545" s="10" t="s">
        <v>49</v>
      </c>
      <c r="D2545" s="11">
        <v>105.89854918987609</v>
      </c>
      <c r="E2545" s="12">
        <f t="shared" si="39"/>
        <v>43983</v>
      </c>
    </row>
    <row r="2546" spans="1:5" x14ac:dyDescent="0.25">
      <c r="A2546" s="2">
        <f>IF(B2546="","",SUBTOTAL(3,$B$2:B2546))</f>
        <v>2545</v>
      </c>
      <c r="B2546" s="9" t="s">
        <v>48</v>
      </c>
      <c r="C2546" s="10" t="s">
        <v>49</v>
      </c>
      <c r="D2546" s="11">
        <v>308.07147258163894</v>
      </c>
      <c r="E2546" s="12">
        <f t="shared" si="39"/>
        <v>43984</v>
      </c>
    </row>
    <row r="2547" spans="1:5" x14ac:dyDescent="0.25">
      <c r="A2547" s="2">
        <f>IF(B2547="","",SUBTOTAL(3,$B$2:B2547))</f>
        <v>2546</v>
      </c>
      <c r="B2547" s="9" t="s">
        <v>48</v>
      </c>
      <c r="C2547" s="10" t="s">
        <v>49</v>
      </c>
      <c r="D2547" s="11">
        <v>19.100431300061611</v>
      </c>
      <c r="E2547" s="12">
        <f t="shared" si="39"/>
        <v>43985</v>
      </c>
    </row>
    <row r="2548" spans="1:5" x14ac:dyDescent="0.25">
      <c r="A2548" s="2">
        <f>IF(B2548="","",SUBTOTAL(3,$B$2:B2548))</f>
        <v>2547</v>
      </c>
      <c r="B2548" s="9" t="s">
        <v>48</v>
      </c>
      <c r="C2548" s="10" t="s">
        <v>52</v>
      </c>
      <c r="D2548" s="11">
        <v>61.614294516327789</v>
      </c>
      <c r="E2548" s="12">
        <f t="shared" si="39"/>
        <v>43986</v>
      </c>
    </row>
    <row r="2549" spans="1:5" x14ac:dyDescent="0.25">
      <c r="A2549" s="2">
        <f>IF(B2549="","",SUBTOTAL(3,$B$2:B2549))</f>
        <v>2548</v>
      </c>
      <c r="B2549" s="9" t="s">
        <v>55</v>
      </c>
      <c r="C2549" s="10" t="s">
        <v>54</v>
      </c>
      <c r="D2549" s="11">
        <v>85.213251117092341</v>
      </c>
      <c r="E2549" s="12">
        <f t="shared" si="39"/>
        <v>43987</v>
      </c>
    </row>
    <row r="2550" spans="1:5" x14ac:dyDescent="0.25">
      <c r="A2550" s="2">
        <f>IF(B2550="","",SUBTOTAL(3,$B$2:B2550))</f>
        <v>2549</v>
      </c>
      <c r="B2550" s="9" t="s">
        <v>48</v>
      </c>
      <c r="C2550" s="10" t="s">
        <v>49</v>
      </c>
      <c r="D2550" s="11">
        <v>4.621072088724584</v>
      </c>
      <c r="E2550" s="12">
        <f t="shared" si="39"/>
        <v>43988</v>
      </c>
    </row>
    <row r="2551" spans="1:5" x14ac:dyDescent="0.25">
      <c r="A2551" s="2">
        <f>IF(B2551="","",SUBTOTAL(3,$B$2:B2551))</f>
        <v>2550</v>
      </c>
      <c r="B2551" s="9" t="s">
        <v>55</v>
      </c>
      <c r="C2551" s="10" t="s">
        <v>49</v>
      </c>
      <c r="D2551" s="11">
        <v>325.89212970506765</v>
      </c>
      <c r="E2551" s="12">
        <f t="shared" si="39"/>
        <v>43989</v>
      </c>
    </row>
    <row r="2552" spans="1:5" x14ac:dyDescent="0.25">
      <c r="A2552" s="2">
        <f>IF(B2552="","",SUBTOTAL(3,$B$2:B2552))</f>
        <v>2551</v>
      </c>
      <c r="B2552" s="9" t="s">
        <v>55</v>
      </c>
      <c r="C2552" s="10" t="s">
        <v>52</v>
      </c>
      <c r="D2552" s="11">
        <v>45.941103505306202</v>
      </c>
      <c r="E2552" s="12">
        <f t="shared" si="39"/>
        <v>43990</v>
      </c>
    </row>
    <row r="2553" spans="1:5" x14ac:dyDescent="0.25">
      <c r="A2553" s="2">
        <f>IF(B2553="","",SUBTOTAL(3,$B$2:B2553))</f>
        <v>2552</v>
      </c>
      <c r="B2553" s="9" t="s">
        <v>53</v>
      </c>
      <c r="C2553" s="10" t="s">
        <v>49</v>
      </c>
      <c r="D2553" s="11">
        <v>165.77065035214815</v>
      </c>
      <c r="E2553" s="12">
        <f t="shared" si="39"/>
        <v>43991</v>
      </c>
    </row>
    <row r="2554" spans="1:5" x14ac:dyDescent="0.25">
      <c r="A2554" s="2">
        <f>IF(B2554="","",SUBTOTAL(3,$B$2:B2554))</f>
        <v>2553</v>
      </c>
      <c r="B2554" s="9" t="s">
        <v>53</v>
      </c>
      <c r="C2554" s="10" t="s">
        <v>49</v>
      </c>
      <c r="D2554" s="11">
        <v>91.585994669695125</v>
      </c>
      <c r="E2554" s="12">
        <f t="shared" si="39"/>
        <v>43992</v>
      </c>
    </row>
    <row r="2555" spans="1:5" x14ac:dyDescent="0.25">
      <c r="A2555" s="2">
        <f>IF(B2555="","",SUBTOTAL(3,$B$2:B2555))</f>
        <v>2554</v>
      </c>
      <c r="B2555" s="9" t="s">
        <v>53</v>
      </c>
      <c r="C2555" s="10" t="s">
        <v>49</v>
      </c>
      <c r="D2555" s="11">
        <v>109.90319360363415</v>
      </c>
      <c r="E2555" s="12">
        <f t="shared" si="39"/>
        <v>43993</v>
      </c>
    </row>
    <row r="2556" spans="1:5" x14ac:dyDescent="0.25">
      <c r="A2556" s="2">
        <f>IF(B2556="","",SUBTOTAL(3,$B$2:B2556))</f>
        <v>2555</v>
      </c>
      <c r="B2556" s="9" t="s">
        <v>53</v>
      </c>
      <c r="C2556" s="10" t="s">
        <v>54</v>
      </c>
      <c r="D2556" s="11">
        <v>26.285180470202501</v>
      </c>
      <c r="E2556" s="12">
        <f t="shared" si="39"/>
        <v>43994</v>
      </c>
    </row>
    <row r="2557" spans="1:5" x14ac:dyDescent="0.25">
      <c r="A2557" s="2">
        <f>IF(B2557="","",SUBTOTAL(3,$B$2:B2557))</f>
        <v>2556</v>
      </c>
      <c r="B2557" s="9" t="s">
        <v>55</v>
      </c>
      <c r="C2557" s="10" t="s">
        <v>52</v>
      </c>
      <c r="D2557" s="11">
        <v>45.941103505306202</v>
      </c>
      <c r="E2557" s="12">
        <f t="shared" si="39"/>
        <v>43995</v>
      </c>
    </row>
    <row r="2558" spans="1:5" x14ac:dyDescent="0.25">
      <c r="A2558" s="2">
        <f>IF(B2558="","",SUBTOTAL(3,$B$2:B2558))</f>
        <v>2557</v>
      </c>
      <c r="B2558" s="9" t="s">
        <v>55</v>
      </c>
      <c r="C2558" s="10" t="s">
        <v>49</v>
      </c>
      <c r="D2558" s="11">
        <v>50</v>
      </c>
      <c r="E2558" s="12">
        <f t="shared" si="39"/>
        <v>43996</v>
      </c>
    </row>
    <row r="2559" spans="1:5" x14ac:dyDescent="0.25">
      <c r="A2559" s="2">
        <f>IF(B2559="","",SUBTOTAL(3,$B$2:B2559))</f>
        <v>2558</v>
      </c>
      <c r="B2559" s="9" t="s">
        <v>55</v>
      </c>
      <c r="C2559" s="10" t="s">
        <v>49</v>
      </c>
      <c r="D2559" s="11">
        <v>64.887214590894473</v>
      </c>
      <c r="E2559" s="12">
        <f t="shared" si="39"/>
        <v>43997</v>
      </c>
    </row>
    <row r="2560" spans="1:5" x14ac:dyDescent="0.25">
      <c r="A2560" s="2">
        <f>IF(B2560="","",SUBTOTAL(3,$B$2:B2560))</f>
        <v>2559</v>
      </c>
      <c r="B2560" s="9" t="s">
        <v>50</v>
      </c>
      <c r="C2560" s="10" t="s">
        <v>49</v>
      </c>
      <c r="D2560" s="11">
        <v>110.22927689594357</v>
      </c>
      <c r="E2560" s="12">
        <f t="shared" si="39"/>
        <v>43998</v>
      </c>
    </row>
    <row r="2561" spans="1:5" x14ac:dyDescent="0.25">
      <c r="A2561" s="2">
        <f>IF(B2561="","",SUBTOTAL(3,$B$2:B2561))</f>
        <v>2560</v>
      </c>
      <c r="B2561" s="9" t="s">
        <v>55</v>
      </c>
      <c r="C2561" s="10" t="s">
        <v>49</v>
      </c>
      <c r="D2561" s="11">
        <v>39.484854267983707</v>
      </c>
      <c r="E2561" s="12">
        <f t="shared" si="39"/>
        <v>43999</v>
      </c>
    </row>
    <row r="2562" spans="1:5" x14ac:dyDescent="0.25">
      <c r="A2562" s="2">
        <f>IF(B2562="","",SUBTOTAL(3,$B$2:B2562))</f>
        <v>2561</v>
      </c>
      <c r="B2562" s="9" t="s">
        <v>51</v>
      </c>
      <c r="C2562" s="10" t="s">
        <v>52</v>
      </c>
      <c r="D2562" s="11">
        <v>6.0773032979499231</v>
      </c>
      <c r="E2562" s="12">
        <f t="shared" si="39"/>
        <v>44000</v>
      </c>
    </row>
    <row r="2563" spans="1:5" x14ac:dyDescent="0.25">
      <c r="A2563" s="2">
        <f>IF(B2563="","",SUBTOTAL(3,$B$2:B2563))</f>
        <v>2562</v>
      </c>
      <c r="B2563" s="9" t="s">
        <v>51</v>
      </c>
      <c r="C2563" s="10" t="s">
        <v>49</v>
      </c>
      <c r="D2563" s="11">
        <v>52.949274594938046</v>
      </c>
      <c r="E2563" s="12">
        <f t="shared" si="39"/>
        <v>44001</v>
      </c>
    </row>
    <row r="2564" spans="1:5" x14ac:dyDescent="0.25">
      <c r="A2564" s="2">
        <f>IF(B2564="","",SUBTOTAL(3,$B$2:B2564))</f>
        <v>2563</v>
      </c>
      <c r="B2564" s="9" t="s">
        <v>48</v>
      </c>
      <c r="C2564" s="10" t="s">
        <v>49</v>
      </c>
      <c r="D2564" s="11">
        <v>154.03573629081947</v>
      </c>
      <c r="E2564" s="12">
        <f t="shared" ref="E2564:E2627" si="40">E2563+1</f>
        <v>44002</v>
      </c>
    </row>
    <row r="2565" spans="1:5" x14ac:dyDescent="0.25">
      <c r="A2565" s="2">
        <f>IF(B2565="","",SUBTOTAL(3,$B$2:B2565))</f>
        <v>2564</v>
      </c>
      <c r="B2565" s="9" t="s">
        <v>48</v>
      </c>
      <c r="C2565" s="10" t="s">
        <v>52</v>
      </c>
      <c r="D2565" s="11">
        <v>123.22858903265558</v>
      </c>
      <c r="E2565" s="12">
        <f t="shared" si="40"/>
        <v>44003</v>
      </c>
    </row>
    <row r="2566" spans="1:5" x14ac:dyDescent="0.25">
      <c r="A2566" s="2">
        <f>IF(B2566="","",SUBTOTAL(3,$B$2:B2566))</f>
        <v>2565</v>
      </c>
      <c r="B2566" s="9" t="s">
        <v>51</v>
      </c>
      <c r="C2566" s="10" t="s">
        <v>54</v>
      </c>
      <c r="D2566" s="11">
        <v>529.49274594938049</v>
      </c>
      <c r="E2566" s="12">
        <f t="shared" si="40"/>
        <v>44004</v>
      </c>
    </row>
    <row r="2567" spans="1:5" x14ac:dyDescent="0.25">
      <c r="A2567" s="2">
        <f>IF(B2567="","",SUBTOTAL(3,$B$2:B2567))</f>
        <v>2566</v>
      </c>
      <c r="B2567" s="9" t="s">
        <v>51</v>
      </c>
      <c r="C2567" s="10" t="s">
        <v>49</v>
      </c>
      <c r="D2567" s="11">
        <v>529.49274594938049</v>
      </c>
      <c r="E2567" s="12">
        <f t="shared" si="40"/>
        <v>44005</v>
      </c>
    </row>
    <row r="2568" spans="1:5" x14ac:dyDescent="0.25">
      <c r="A2568" s="2">
        <f>IF(B2568="","",SUBTOTAL(3,$B$2:B2568))</f>
        <v>2567</v>
      </c>
      <c r="B2568" s="9" t="s">
        <v>55</v>
      </c>
      <c r="C2568" s="10" t="s">
        <v>49</v>
      </c>
      <c r="D2568" s="11">
        <v>200</v>
      </c>
      <c r="E2568" s="12">
        <f t="shared" si="40"/>
        <v>44006</v>
      </c>
    </row>
    <row r="2569" spans="1:5" x14ac:dyDescent="0.25">
      <c r="A2569" s="2">
        <f>IF(B2569="","",SUBTOTAL(3,$B$2:B2569))</f>
        <v>2568</v>
      </c>
      <c r="B2569" s="9" t="s">
        <v>48</v>
      </c>
      <c r="C2569" s="10" t="s">
        <v>54</v>
      </c>
      <c r="D2569" s="11">
        <v>51.706308169596689</v>
      </c>
      <c r="E2569" s="12">
        <f t="shared" si="40"/>
        <v>44007</v>
      </c>
    </row>
    <row r="2570" spans="1:5" x14ac:dyDescent="0.25">
      <c r="A2570" s="2">
        <f>IF(B2570="","",SUBTOTAL(3,$B$2:B2570))</f>
        <v>2569</v>
      </c>
      <c r="B2570" s="9" t="s">
        <v>48</v>
      </c>
      <c r="C2570" s="10" t="s">
        <v>49</v>
      </c>
      <c r="D2570" s="11">
        <v>15.403573629081947</v>
      </c>
      <c r="E2570" s="12">
        <f t="shared" si="40"/>
        <v>44008</v>
      </c>
    </row>
    <row r="2571" spans="1:5" x14ac:dyDescent="0.25">
      <c r="A2571" s="2">
        <f>IF(B2571="","",SUBTOTAL(3,$B$2:B2571))</f>
        <v>2570</v>
      </c>
      <c r="B2571" s="9" t="s">
        <v>53</v>
      </c>
      <c r="C2571" s="10" t="s">
        <v>49</v>
      </c>
      <c r="D2571" s="11">
        <v>274.75798400908536</v>
      </c>
      <c r="E2571" s="12">
        <f t="shared" si="40"/>
        <v>44009</v>
      </c>
    </row>
    <row r="2572" spans="1:5" x14ac:dyDescent="0.25">
      <c r="A2572" s="2">
        <f>IF(B2572="","",SUBTOTAL(3,$B$2:B2572))</f>
        <v>2571</v>
      </c>
      <c r="B2572" s="9" t="s">
        <v>53</v>
      </c>
      <c r="C2572" s="10" t="s">
        <v>54</v>
      </c>
      <c r="D2572" s="11">
        <v>86.61745445886416</v>
      </c>
      <c r="E2572" s="12">
        <f t="shared" si="40"/>
        <v>44010</v>
      </c>
    </row>
    <row r="2573" spans="1:5" x14ac:dyDescent="0.25">
      <c r="A2573" s="2">
        <f>IF(B2573="","",SUBTOTAL(3,$B$2:B2573))</f>
        <v>2572</v>
      </c>
      <c r="B2573" s="9" t="s">
        <v>53</v>
      </c>
      <c r="C2573" s="10" t="s">
        <v>54</v>
      </c>
      <c r="D2573" s="11">
        <v>80.842957494939881</v>
      </c>
      <c r="E2573" s="12">
        <f t="shared" si="40"/>
        <v>44011</v>
      </c>
    </row>
    <row r="2574" spans="1:5" x14ac:dyDescent="0.25">
      <c r="A2574" s="2">
        <f>IF(B2574="","",SUBTOTAL(3,$B$2:B2574))</f>
        <v>2573</v>
      </c>
      <c r="B2574" s="9" t="s">
        <v>53</v>
      </c>
      <c r="C2574" s="10" t="s">
        <v>49</v>
      </c>
      <c r="D2574" s="11">
        <v>45.792997334847563</v>
      </c>
      <c r="E2574" s="12">
        <f t="shared" si="40"/>
        <v>44012</v>
      </c>
    </row>
    <row r="2575" spans="1:5" x14ac:dyDescent="0.25">
      <c r="A2575" s="2">
        <f>IF(B2575="","",SUBTOTAL(3,$B$2:B2575))</f>
        <v>2574</v>
      </c>
      <c r="B2575" s="9" t="s">
        <v>50</v>
      </c>
      <c r="C2575" s="10" t="s">
        <v>49</v>
      </c>
      <c r="D2575" s="11">
        <v>440.91710758377428</v>
      </c>
      <c r="E2575" s="12">
        <f t="shared" si="40"/>
        <v>44013</v>
      </c>
    </row>
    <row r="2576" spans="1:5" x14ac:dyDescent="0.25">
      <c r="A2576" s="2">
        <f>IF(B2576="","",SUBTOTAL(3,$B$2:B2576))</f>
        <v>2575</v>
      </c>
      <c r="B2576" s="9" t="s">
        <v>48</v>
      </c>
      <c r="C2576" s="10" t="s">
        <v>49</v>
      </c>
      <c r="D2576" s="11">
        <v>231.05360443622922</v>
      </c>
      <c r="E2576" s="12">
        <f t="shared" si="40"/>
        <v>44014</v>
      </c>
    </row>
    <row r="2577" spans="1:5" x14ac:dyDescent="0.25">
      <c r="A2577" s="2">
        <f>IF(B2577="","",SUBTOTAL(3,$B$2:B2577))</f>
        <v>2576</v>
      </c>
      <c r="B2577" s="9" t="s">
        <v>48</v>
      </c>
      <c r="C2577" s="10" t="s">
        <v>57</v>
      </c>
      <c r="D2577" s="11">
        <v>77.017868145409736</v>
      </c>
      <c r="E2577" s="12">
        <f t="shared" si="40"/>
        <v>44015</v>
      </c>
    </row>
    <row r="2578" spans="1:5" x14ac:dyDescent="0.25">
      <c r="A2578" s="2">
        <f>IF(B2578="","",SUBTOTAL(3,$B$2:B2578))</f>
        <v>2577</v>
      </c>
      <c r="B2578" s="9" t="s">
        <v>50</v>
      </c>
      <c r="C2578" s="10" t="s">
        <v>49</v>
      </c>
      <c r="D2578" s="11">
        <v>176.3668430335097</v>
      </c>
      <c r="E2578" s="12">
        <f t="shared" si="40"/>
        <v>44016</v>
      </c>
    </row>
    <row r="2579" spans="1:5" x14ac:dyDescent="0.25">
      <c r="A2579" s="2">
        <f>IF(B2579="","",SUBTOTAL(3,$B$2:B2579))</f>
        <v>2578</v>
      </c>
      <c r="B2579" s="9" t="s">
        <v>55</v>
      </c>
      <c r="C2579" s="10" t="s">
        <v>52</v>
      </c>
      <c r="D2579" s="11">
        <v>11.5</v>
      </c>
      <c r="E2579" s="12">
        <f t="shared" si="40"/>
        <v>44017</v>
      </c>
    </row>
    <row r="2580" spans="1:5" x14ac:dyDescent="0.25">
      <c r="A2580" s="2">
        <f>IF(B2580="","",SUBTOTAL(3,$B$2:B2580))</f>
        <v>2579</v>
      </c>
      <c r="B2580" s="9" t="s">
        <v>50</v>
      </c>
      <c r="C2580" s="10" t="s">
        <v>52</v>
      </c>
      <c r="D2580" s="11">
        <v>66.137566137566139</v>
      </c>
      <c r="E2580" s="12">
        <f t="shared" si="40"/>
        <v>44018</v>
      </c>
    </row>
    <row r="2581" spans="1:5" x14ac:dyDescent="0.25">
      <c r="A2581" s="2">
        <f>IF(B2581="","",SUBTOTAL(3,$B$2:B2581))</f>
        <v>2580</v>
      </c>
      <c r="B2581" s="9" t="s">
        <v>48</v>
      </c>
      <c r="C2581" s="10" t="s">
        <v>49</v>
      </c>
      <c r="D2581" s="11">
        <v>154.03573629081947</v>
      </c>
      <c r="E2581" s="12">
        <f t="shared" si="40"/>
        <v>44019</v>
      </c>
    </row>
    <row r="2582" spans="1:5" x14ac:dyDescent="0.25">
      <c r="A2582" s="2">
        <f>IF(B2582="","",SUBTOTAL(3,$B$2:B2582))</f>
        <v>2581</v>
      </c>
      <c r="B2582" s="9" t="s">
        <v>48</v>
      </c>
      <c r="C2582" s="10" t="s">
        <v>49</v>
      </c>
      <c r="D2582" s="11">
        <v>129.39001848428836</v>
      </c>
      <c r="E2582" s="12">
        <f t="shared" si="40"/>
        <v>44020</v>
      </c>
    </row>
    <row r="2583" spans="1:5" x14ac:dyDescent="0.25">
      <c r="A2583" s="2">
        <f>IF(B2583="","",SUBTOTAL(3,$B$2:B2583))</f>
        <v>2582</v>
      </c>
      <c r="B2583" s="9" t="s">
        <v>51</v>
      </c>
      <c r="C2583" s="10" t="s">
        <v>49</v>
      </c>
      <c r="D2583" s="11">
        <v>0</v>
      </c>
      <c r="E2583" s="12">
        <f t="shared" si="40"/>
        <v>44021</v>
      </c>
    </row>
    <row r="2584" spans="1:5" x14ac:dyDescent="0.25">
      <c r="A2584" s="2">
        <f>IF(B2584="","",SUBTOTAL(3,$B$2:B2584))</f>
        <v>2583</v>
      </c>
      <c r="B2584" s="9" t="s">
        <v>50</v>
      </c>
      <c r="C2584" s="10" t="s">
        <v>56</v>
      </c>
      <c r="D2584" s="11">
        <v>440.91710758377428</v>
      </c>
      <c r="E2584" s="12">
        <f t="shared" si="40"/>
        <v>44022</v>
      </c>
    </row>
    <row r="2585" spans="1:5" x14ac:dyDescent="0.25">
      <c r="A2585" s="2">
        <f>IF(B2585="","",SUBTOTAL(3,$B$2:B2585))</f>
        <v>2584</v>
      </c>
      <c r="B2585" s="9" t="s">
        <v>48</v>
      </c>
      <c r="C2585" s="10" t="s">
        <v>49</v>
      </c>
      <c r="D2585" s="11">
        <v>169.43930991990143</v>
      </c>
      <c r="E2585" s="12">
        <f t="shared" si="40"/>
        <v>44023</v>
      </c>
    </row>
    <row r="2586" spans="1:5" x14ac:dyDescent="0.25">
      <c r="A2586" s="2">
        <f>IF(B2586="","",SUBTOTAL(3,$B$2:B2586))</f>
        <v>2585</v>
      </c>
      <c r="B2586" s="9" t="s">
        <v>55</v>
      </c>
      <c r="C2586" s="10" t="s">
        <v>52</v>
      </c>
      <c r="D2586" s="11">
        <v>20.466025745478248</v>
      </c>
      <c r="E2586" s="12">
        <f t="shared" si="40"/>
        <v>44024</v>
      </c>
    </row>
    <row r="2587" spans="1:5" x14ac:dyDescent="0.25">
      <c r="A2587" s="2">
        <f>IF(B2587="","",SUBTOTAL(3,$B$2:B2587))</f>
        <v>2586</v>
      </c>
      <c r="B2587" s="9" t="s">
        <v>50</v>
      </c>
      <c r="C2587" s="10" t="s">
        <v>49</v>
      </c>
      <c r="D2587" s="11">
        <v>110.22927689594357</v>
      </c>
      <c r="E2587" s="12">
        <f t="shared" si="40"/>
        <v>44025</v>
      </c>
    </row>
    <row r="2588" spans="1:5" x14ac:dyDescent="0.25">
      <c r="A2588" s="2">
        <f>IF(B2588="","",SUBTOTAL(3,$B$2:B2588))</f>
        <v>2587</v>
      </c>
      <c r="B2588" s="9" t="s">
        <v>50</v>
      </c>
      <c r="C2588" s="10" t="s">
        <v>52</v>
      </c>
      <c r="D2588" s="11">
        <v>220.45855379188714</v>
      </c>
      <c r="E2588" s="12">
        <f t="shared" si="40"/>
        <v>44026</v>
      </c>
    </row>
    <row r="2589" spans="1:5" x14ac:dyDescent="0.25">
      <c r="A2589" s="2">
        <f>IF(B2589="","",SUBTOTAL(3,$B$2:B2589))</f>
        <v>2588</v>
      </c>
      <c r="B2589" s="9" t="s">
        <v>50</v>
      </c>
      <c r="C2589" s="10" t="s">
        <v>49</v>
      </c>
      <c r="D2589" s="11">
        <v>88.183421516754848</v>
      </c>
      <c r="E2589" s="12">
        <f t="shared" si="40"/>
        <v>44027</v>
      </c>
    </row>
    <row r="2590" spans="1:5" x14ac:dyDescent="0.25">
      <c r="A2590" s="2">
        <f>IF(B2590="","",SUBTOTAL(3,$B$2:B2590))</f>
        <v>2589</v>
      </c>
      <c r="B2590" s="9" t="s">
        <v>50</v>
      </c>
      <c r="C2590" s="10" t="s">
        <v>52</v>
      </c>
      <c r="D2590" s="11">
        <v>44.091710758377424</v>
      </c>
      <c r="E2590" s="12">
        <f t="shared" si="40"/>
        <v>44028</v>
      </c>
    </row>
    <row r="2591" spans="1:5" x14ac:dyDescent="0.25">
      <c r="A2591" s="2">
        <f>IF(B2591="","",SUBTOTAL(3,$B$2:B2591))</f>
        <v>2590</v>
      </c>
      <c r="B2591" s="9" t="s">
        <v>55</v>
      </c>
      <c r="C2591" s="10" t="s">
        <v>54</v>
      </c>
      <c r="D2591" s="11">
        <v>2.1633766650617878</v>
      </c>
      <c r="E2591" s="12">
        <f t="shared" si="40"/>
        <v>44029</v>
      </c>
    </row>
    <row r="2592" spans="1:5" x14ac:dyDescent="0.25">
      <c r="A2592" s="2">
        <f>IF(B2592="","",SUBTOTAL(3,$B$2:B2592))</f>
        <v>2591</v>
      </c>
      <c r="B2592" s="9" t="s">
        <v>55</v>
      </c>
      <c r="C2592" s="10" t="s">
        <v>52</v>
      </c>
      <c r="D2592" s="11">
        <v>18.634791197684567</v>
      </c>
      <c r="E2592" s="12">
        <f t="shared" si="40"/>
        <v>44030</v>
      </c>
    </row>
    <row r="2593" spans="1:5" x14ac:dyDescent="0.25">
      <c r="A2593" s="2">
        <f>IF(B2593="","",SUBTOTAL(3,$B$2:B2593))</f>
        <v>2592</v>
      </c>
      <c r="B2593" s="9" t="s">
        <v>48</v>
      </c>
      <c r="C2593" s="10" t="s">
        <v>49</v>
      </c>
      <c r="D2593" s="11">
        <v>48.259220958290243</v>
      </c>
      <c r="E2593" s="12">
        <f t="shared" si="40"/>
        <v>44031</v>
      </c>
    </row>
    <row r="2594" spans="1:5" x14ac:dyDescent="0.25">
      <c r="A2594" s="2">
        <f>IF(B2594="","",SUBTOTAL(3,$B$2:B2594))</f>
        <v>2593</v>
      </c>
      <c r="B2594" s="9" t="s">
        <v>51</v>
      </c>
      <c r="C2594" s="10" t="s">
        <v>49</v>
      </c>
      <c r="D2594" s="11">
        <v>349.46521232659114</v>
      </c>
      <c r="E2594" s="12">
        <f t="shared" si="40"/>
        <v>44032</v>
      </c>
    </row>
    <row r="2595" spans="1:5" x14ac:dyDescent="0.25">
      <c r="A2595" s="2">
        <f>IF(B2595="","",SUBTOTAL(3,$B$2:B2595))</f>
        <v>2594</v>
      </c>
      <c r="B2595" s="9" t="s">
        <v>51</v>
      </c>
      <c r="C2595" s="10" t="s">
        <v>49</v>
      </c>
      <c r="D2595" s="11">
        <v>63.539129513925651</v>
      </c>
      <c r="E2595" s="12">
        <f t="shared" si="40"/>
        <v>44033</v>
      </c>
    </row>
    <row r="2596" spans="1:5" x14ac:dyDescent="0.25">
      <c r="A2596" s="2">
        <f>IF(B2596="","",SUBTOTAL(3,$B$2:B2596))</f>
        <v>2595</v>
      </c>
      <c r="B2596" s="9" t="s">
        <v>50</v>
      </c>
      <c r="C2596" s="10" t="s">
        <v>49</v>
      </c>
      <c r="D2596" s="11">
        <v>99.206349206349202</v>
      </c>
      <c r="E2596" s="12">
        <f t="shared" si="40"/>
        <v>44034</v>
      </c>
    </row>
    <row r="2597" spans="1:5" x14ac:dyDescent="0.25">
      <c r="A2597" s="2">
        <f>IF(B2597="","",SUBTOTAL(3,$B$2:B2597))</f>
        <v>2596</v>
      </c>
      <c r="B2597" s="9" t="s">
        <v>50</v>
      </c>
      <c r="C2597" s="10" t="s">
        <v>49</v>
      </c>
      <c r="D2597" s="11">
        <v>15.4320987654321</v>
      </c>
      <c r="E2597" s="12">
        <f t="shared" si="40"/>
        <v>44035</v>
      </c>
    </row>
    <row r="2598" spans="1:5" x14ac:dyDescent="0.25">
      <c r="A2598" s="2">
        <f>IF(B2598="","",SUBTOTAL(3,$B$2:B2598))</f>
        <v>2597</v>
      </c>
      <c r="B2598" s="9" t="s">
        <v>51</v>
      </c>
      <c r="C2598" s="10" t="s">
        <v>49</v>
      </c>
      <c r="D2598" s="11">
        <v>74.128984432913256</v>
      </c>
      <c r="E2598" s="12">
        <f t="shared" si="40"/>
        <v>44036</v>
      </c>
    </row>
    <row r="2599" spans="1:5" x14ac:dyDescent="0.25">
      <c r="A2599" s="2">
        <f>IF(B2599="","",SUBTOTAL(3,$B$2:B2599))</f>
        <v>2598</v>
      </c>
      <c r="B2599" s="9" t="s">
        <v>51</v>
      </c>
      <c r="C2599" s="10" t="s">
        <v>49</v>
      </c>
      <c r="D2599" s="11">
        <v>105.89854918987609</v>
      </c>
      <c r="E2599" s="12">
        <f t="shared" si="40"/>
        <v>44037</v>
      </c>
    </row>
    <row r="2600" spans="1:5" x14ac:dyDescent="0.25">
      <c r="A2600" s="2">
        <f>IF(B2600="","",SUBTOTAL(3,$B$2:B2600))</f>
        <v>2599</v>
      </c>
      <c r="B2600" s="9" t="s">
        <v>48</v>
      </c>
      <c r="C2600" s="10" t="s">
        <v>54</v>
      </c>
      <c r="D2600" s="11">
        <v>32.12005190600388</v>
      </c>
      <c r="E2600" s="12">
        <f t="shared" si="40"/>
        <v>44038</v>
      </c>
    </row>
    <row r="2601" spans="1:5" x14ac:dyDescent="0.25">
      <c r="A2601" s="2">
        <f>IF(B2601="","",SUBTOTAL(3,$B$2:B2601))</f>
        <v>2600</v>
      </c>
      <c r="B2601" s="9" t="s">
        <v>50</v>
      </c>
      <c r="C2601" s="10" t="s">
        <v>52</v>
      </c>
      <c r="D2601" s="11">
        <v>55.114638447971785</v>
      </c>
      <c r="E2601" s="12">
        <f t="shared" si="40"/>
        <v>44039</v>
      </c>
    </row>
    <row r="2602" spans="1:5" x14ac:dyDescent="0.25">
      <c r="A2602" s="2">
        <f>IF(B2602="","",SUBTOTAL(3,$B$2:B2602))</f>
        <v>2601</v>
      </c>
      <c r="B2602" s="9" t="s">
        <v>50</v>
      </c>
      <c r="C2602" s="10" t="s">
        <v>52</v>
      </c>
      <c r="D2602" s="11">
        <v>44.091710758377424</v>
      </c>
      <c r="E2602" s="12">
        <f t="shared" si="40"/>
        <v>44040</v>
      </c>
    </row>
    <row r="2603" spans="1:5" x14ac:dyDescent="0.25">
      <c r="A2603" s="2">
        <f>IF(B2603="","",SUBTOTAL(3,$B$2:B2603))</f>
        <v>2602</v>
      </c>
      <c r="B2603" s="9" t="s">
        <v>50</v>
      </c>
      <c r="C2603" s="10" t="s">
        <v>52</v>
      </c>
      <c r="D2603" s="11">
        <v>55.114638447971785</v>
      </c>
      <c r="E2603" s="12">
        <f t="shared" si="40"/>
        <v>44041</v>
      </c>
    </row>
    <row r="2604" spans="1:5" x14ac:dyDescent="0.25">
      <c r="A2604" s="2">
        <f>IF(B2604="","",SUBTOTAL(3,$B$2:B2604))</f>
        <v>2603</v>
      </c>
      <c r="B2604" s="9" t="s">
        <v>50</v>
      </c>
      <c r="C2604" s="10" t="s">
        <v>52</v>
      </c>
      <c r="D2604" s="11">
        <v>55.114638447971785</v>
      </c>
      <c r="E2604" s="12">
        <f t="shared" si="40"/>
        <v>44042</v>
      </c>
    </row>
    <row r="2605" spans="1:5" x14ac:dyDescent="0.25">
      <c r="A2605" s="2">
        <f>IF(B2605="","",SUBTOTAL(3,$B$2:B2605))</f>
        <v>2604</v>
      </c>
      <c r="B2605" s="9" t="s">
        <v>50</v>
      </c>
      <c r="C2605" s="10" t="s">
        <v>52</v>
      </c>
      <c r="D2605" s="11">
        <v>55.114638447971785</v>
      </c>
      <c r="E2605" s="12">
        <f t="shared" si="40"/>
        <v>44043</v>
      </c>
    </row>
    <row r="2606" spans="1:5" x14ac:dyDescent="0.25">
      <c r="A2606" s="2">
        <f>IF(B2606="","",SUBTOTAL(3,$B$2:B2606))</f>
        <v>2605</v>
      </c>
      <c r="B2606" s="9" t="s">
        <v>50</v>
      </c>
      <c r="C2606" s="10" t="s">
        <v>52</v>
      </c>
      <c r="D2606" s="11">
        <v>55.114638447971785</v>
      </c>
      <c r="E2606" s="12">
        <f t="shared" si="40"/>
        <v>44044</v>
      </c>
    </row>
    <row r="2607" spans="1:5" x14ac:dyDescent="0.25">
      <c r="A2607" s="2">
        <f>IF(B2607="","",SUBTOTAL(3,$B$2:B2607))</f>
        <v>2606</v>
      </c>
      <c r="B2607" s="9" t="s">
        <v>53</v>
      </c>
      <c r="C2607" s="10" t="s">
        <v>54</v>
      </c>
      <c r="D2607" s="11">
        <v>45.792997334847563</v>
      </c>
      <c r="E2607" s="12">
        <f t="shared" si="40"/>
        <v>44045</v>
      </c>
    </row>
    <row r="2608" spans="1:5" x14ac:dyDescent="0.25">
      <c r="A2608" s="2">
        <f>IF(B2608="","",SUBTOTAL(3,$B$2:B2608))</f>
        <v>2607</v>
      </c>
      <c r="B2608" s="9" t="s">
        <v>48</v>
      </c>
      <c r="C2608" s="10" t="s">
        <v>49</v>
      </c>
      <c r="D2608" s="11">
        <v>277.26432532347508</v>
      </c>
      <c r="E2608" s="12">
        <f t="shared" si="40"/>
        <v>44046</v>
      </c>
    </row>
    <row r="2609" spans="1:5" x14ac:dyDescent="0.25">
      <c r="A2609" s="2">
        <f>IF(B2609="","",SUBTOTAL(3,$B$2:B2609))</f>
        <v>2608</v>
      </c>
      <c r="B2609" s="9" t="s">
        <v>48</v>
      </c>
      <c r="C2609" s="10" t="s">
        <v>52</v>
      </c>
      <c r="D2609" s="11">
        <v>77.017868145409736</v>
      </c>
      <c r="E2609" s="12">
        <f t="shared" si="40"/>
        <v>44047</v>
      </c>
    </row>
    <row r="2610" spans="1:5" x14ac:dyDescent="0.25">
      <c r="A2610" s="2">
        <f>IF(B2610="","",SUBTOTAL(3,$B$2:B2610))</f>
        <v>2609</v>
      </c>
      <c r="B2610" s="9" t="s">
        <v>48</v>
      </c>
      <c r="C2610" s="10" t="s">
        <v>49</v>
      </c>
      <c r="D2610" s="11">
        <v>12.322858903265558</v>
      </c>
      <c r="E2610" s="12">
        <f t="shared" si="40"/>
        <v>44048</v>
      </c>
    </row>
    <row r="2611" spans="1:5" x14ac:dyDescent="0.25">
      <c r="A2611" s="2">
        <f>IF(B2611="","",SUBTOTAL(3,$B$2:B2611))</f>
        <v>2610</v>
      </c>
      <c r="B2611" s="9" t="s">
        <v>50</v>
      </c>
      <c r="C2611" s="10" t="s">
        <v>49</v>
      </c>
      <c r="D2611" s="11">
        <v>3.7477954144620811</v>
      </c>
      <c r="E2611" s="12">
        <f t="shared" si="40"/>
        <v>44049</v>
      </c>
    </row>
    <row r="2612" spans="1:5" x14ac:dyDescent="0.25">
      <c r="A2612" s="2">
        <f>IF(B2612="","",SUBTOTAL(3,$B$2:B2612))</f>
        <v>2611</v>
      </c>
      <c r="B2612" s="9" t="s">
        <v>48</v>
      </c>
      <c r="C2612" s="10" t="s">
        <v>49</v>
      </c>
      <c r="D2612" s="11">
        <v>77.017868145409736</v>
      </c>
      <c r="E2612" s="12">
        <f t="shared" si="40"/>
        <v>44050</v>
      </c>
    </row>
    <row r="2613" spans="1:5" x14ac:dyDescent="0.25">
      <c r="A2613" s="2">
        <f>IF(B2613="","",SUBTOTAL(3,$B$2:B2613))</f>
        <v>2612</v>
      </c>
      <c r="B2613" s="9" t="s">
        <v>50</v>
      </c>
      <c r="C2613" s="10" t="s">
        <v>49</v>
      </c>
      <c r="D2613" s="11">
        <v>293.80257936507934</v>
      </c>
      <c r="E2613" s="12">
        <f t="shared" si="40"/>
        <v>44051</v>
      </c>
    </row>
    <row r="2614" spans="1:5" x14ac:dyDescent="0.25">
      <c r="A2614" s="2">
        <f>IF(B2614="","",SUBTOTAL(3,$B$2:B2614))</f>
        <v>2613</v>
      </c>
      <c r="B2614" s="9" t="s">
        <v>55</v>
      </c>
      <c r="C2614" s="10" t="s">
        <v>49</v>
      </c>
      <c r="D2614" s="11">
        <v>154.10713465337437</v>
      </c>
      <c r="E2614" s="12">
        <f t="shared" si="40"/>
        <v>44052</v>
      </c>
    </row>
    <row r="2615" spans="1:5" x14ac:dyDescent="0.25">
      <c r="A2615" s="2">
        <f>IF(B2615="","",SUBTOTAL(3,$B$2:B2615))</f>
        <v>2614</v>
      </c>
      <c r="B2615" s="9" t="s">
        <v>50</v>
      </c>
      <c r="C2615" s="10" t="s">
        <v>49</v>
      </c>
      <c r="D2615" s="11">
        <v>97.934303350970012</v>
      </c>
      <c r="E2615" s="12">
        <f t="shared" si="40"/>
        <v>44053</v>
      </c>
    </row>
    <row r="2616" spans="1:5" x14ac:dyDescent="0.25">
      <c r="A2616" s="2">
        <f>IF(B2616="","",SUBTOTAL(3,$B$2:B2616))</f>
        <v>2615</v>
      </c>
      <c r="B2616" s="9" t="s">
        <v>50</v>
      </c>
      <c r="C2616" s="10" t="s">
        <v>52</v>
      </c>
      <c r="D2616" s="11">
        <v>33.06878306878307</v>
      </c>
      <c r="E2616" s="12">
        <f t="shared" si="40"/>
        <v>44054</v>
      </c>
    </row>
    <row r="2617" spans="1:5" x14ac:dyDescent="0.25">
      <c r="A2617" s="2">
        <f>IF(B2617="","",SUBTOTAL(3,$B$2:B2617))</f>
        <v>2616</v>
      </c>
      <c r="B2617" s="9" t="s">
        <v>48</v>
      </c>
      <c r="C2617" s="10" t="s">
        <v>49</v>
      </c>
      <c r="D2617" s="11">
        <v>15.403573629081947</v>
      </c>
      <c r="E2617" s="12">
        <f t="shared" si="40"/>
        <v>44055</v>
      </c>
    </row>
    <row r="2618" spans="1:5" x14ac:dyDescent="0.25">
      <c r="A2618" s="2">
        <f>IF(B2618="","",SUBTOTAL(3,$B$2:B2618))</f>
        <v>2617</v>
      </c>
      <c r="B2618" s="9" t="s">
        <v>48</v>
      </c>
      <c r="C2618" s="10" t="s">
        <v>54</v>
      </c>
      <c r="D2618" s="11">
        <v>9.1455360220613588</v>
      </c>
      <c r="E2618" s="12">
        <f t="shared" si="40"/>
        <v>44056</v>
      </c>
    </row>
    <row r="2619" spans="1:5" x14ac:dyDescent="0.25">
      <c r="A2619" s="2">
        <f>IF(B2619="","",SUBTOTAL(3,$B$2:B2619))</f>
        <v>2618</v>
      </c>
      <c r="B2619" s="9" t="s">
        <v>50</v>
      </c>
      <c r="C2619" s="10" t="s">
        <v>52</v>
      </c>
      <c r="D2619" s="11">
        <v>44.091710758377424</v>
      </c>
      <c r="E2619" s="12">
        <f t="shared" si="40"/>
        <v>44057</v>
      </c>
    </row>
    <row r="2620" spans="1:5" x14ac:dyDescent="0.25">
      <c r="A2620" s="2">
        <f>IF(B2620="","",SUBTOTAL(3,$B$2:B2620))</f>
        <v>2619</v>
      </c>
      <c r="B2620" s="9" t="s">
        <v>50</v>
      </c>
      <c r="C2620" s="10" t="s">
        <v>52</v>
      </c>
      <c r="D2620" s="11">
        <v>88.183421516754848</v>
      </c>
      <c r="E2620" s="12">
        <f t="shared" si="40"/>
        <v>44058</v>
      </c>
    </row>
    <row r="2621" spans="1:5" x14ac:dyDescent="0.25">
      <c r="A2621" s="2">
        <f>IF(B2621="","",SUBTOTAL(3,$B$2:B2621))</f>
        <v>2620</v>
      </c>
      <c r="B2621" s="9" t="s">
        <v>51</v>
      </c>
      <c r="C2621" s="10" t="s">
        <v>49</v>
      </c>
      <c r="D2621" s="11">
        <v>20.652335063009637</v>
      </c>
      <c r="E2621" s="12">
        <f t="shared" si="40"/>
        <v>44059</v>
      </c>
    </row>
    <row r="2622" spans="1:5" x14ac:dyDescent="0.25">
      <c r="A2622" s="2">
        <f>IF(B2622="","",SUBTOTAL(3,$B$2:B2622))</f>
        <v>2621</v>
      </c>
      <c r="B2622" s="9" t="s">
        <v>51</v>
      </c>
      <c r="C2622" s="10" t="s">
        <v>49</v>
      </c>
      <c r="D2622" s="11">
        <v>127.0782590278513</v>
      </c>
      <c r="E2622" s="12">
        <f t="shared" si="40"/>
        <v>44060</v>
      </c>
    </row>
    <row r="2623" spans="1:5" x14ac:dyDescent="0.25">
      <c r="A2623" s="2">
        <f>IF(B2623="","",SUBTOTAL(3,$B$2:B2623))</f>
        <v>2622</v>
      </c>
      <c r="B2623" s="9" t="s">
        <v>51</v>
      </c>
      <c r="C2623" s="10" t="s">
        <v>49</v>
      </c>
      <c r="D2623" s="11">
        <v>211.79709837975219</v>
      </c>
      <c r="E2623" s="12">
        <f t="shared" si="40"/>
        <v>44061</v>
      </c>
    </row>
    <row r="2624" spans="1:5" x14ac:dyDescent="0.25">
      <c r="A2624" s="2">
        <f>IF(B2624="","",SUBTOTAL(3,$B$2:B2624))</f>
        <v>2623</v>
      </c>
      <c r="B2624" s="9" t="s">
        <v>50</v>
      </c>
      <c r="C2624" s="10" t="s">
        <v>49</v>
      </c>
      <c r="D2624" s="11">
        <v>125.66137566137566</v>
      </c>
      <c r="E2624" s="12">
        <f t="shared" si="40"/>
        <v>44062</v>
      </c>
    </row>
    <row r="2625" spans="1:5" x14ac:dyDescent="0.25">
      <c r="A2625" s="2">
        <f>IF(B2625="","",SUBTOTAL(3,$B$2:B2625))</f>
        <v>2624</v>
      </c>
      <c r="B2625" s="9" t="s">
        <v>50</v>
      </c>
      <c r="C2625" s="10" t="s">
        <v>49</v>
      </c>
      <c r="D2625" s="11">
        <v>110.22927689594357</v>
      </c>
      <c r="E2625" s="12">
        <f t="shared" si="40"/>
        <v>44063</v>
      </c>
    </row>
    <row r="2626" spans="1:5" x14ac:dyDescent="0.25">
      <c r="A2626" s="2">
        <f>IF(B2626="","",SUBTOTAL(3,$B$2:B2626))</f>
        <v>2625</v>
      </c>
      <c r="B2626" s="9" t="s">
        <v>48</v>
      </c>
      <c r="C2626" s="10" t="s">
        <v>52</v>
      </c>
      <c r="D2626" s="11">
        <v>128.48020762401552</v>
      </c>
      <c r="E2626" s="12">
        <f t="shared" si="40"/>
        <v>44064</v>
      </c>
    </row>
    <row r="2627" spans="1:5" x14ac:dyDescent="0.25">
      <c r="A2627" s="2">
        <f>IF(B2627="","",SUBTOTAL(3,$B$2:B2627))</f>
        <v>2626</v>
      </c>
      <c r="B2627" s="9" t="s">
        <v>51</v>
      </c>
      <c r="C2627" s="10" t="s">
        <v>52</v>
      </c>
      <c r="D2627" s="11">
        <v>264.74637297469025</v>
      </c>
      <c r="E2627" s="12">
        <f t="shared" si="40"/>
        <v>44065</v>
      </c>
    </row>
    <row r="2628" spans="1:5" x14ac:dyDescent="0.25">
      <c r="A2628" s="2">
        <f>IF(B2628="","",SUBTOTAL(3,$B$2:B2628))</f>
        <v>2627</v>
      </c>
      <c r="B2628" s="9" t="s">
        <v>55</v>
      </c>
      <c r="C2628" s="10" t="s">
        <v>54</v>
      </c>
      <c r="D2628" s="11">
        <v>12.977442918178895</v>
      </c>
      <c r="E2628" s="12">
        <f t="shared" ref="E2628:E2691" si="41">E2627+1</f>
        <v>44066</v>
      </c>
    </row>
    <row r="2629" spans="1:5" x14ac:dyDescent="0.25">
      <c r="A2629" s="2">
        <f>IF(B2629="","",SUBTOTAL(3,$B$2:B2629))</f>
        <v>2628</v>
      </c>
      <c r="B2629" s="9" t="s">
        <v>55</v>
      </c>
      <c r="C2629" s="10" t="s">
        <v>49</v>
      </c>
      <c r="D2629" s="11">
        <v>154.10713465337437</v>
      </c>
      <c r="E2629" s="12">
        <f t="shared" si="41"/>
        <v>44067</v>
      </c>
    </row>
    <row r="2630" spans="1:5" x14ac:dyDescent="0.25">
      <c r="A2630" s="2">
        <f>IF(B2630="","",SUBTOTAL(3,$B$2:B2630))</f>
        <v>2629</v>
      </c>
      <c r="B2630" s="9" t="s">
        <v>55</v>
      </c>
      <c r="C2630" s="10" t="s">
        <v>49</v>
      </c>
      <c r="D2630" s="11">
        <v>1.75</v>
      </c>
      <c r="E2630" s="12">
        <f t="shared" si="41"/>
        <v>44068</v>
      </c>
    </row>
    <row r="2631" spans="1:5" x14ac:dyDescent="0.25">
      <c r="A2631" s="2">
        <f>IF(B2631="","",SUBTOTAL(3,$B$2:B2631))</f>
        <v>2630</v>
      </c>
      <c r="B2631" s="9" t="s">
        <v>50</v>
      </c>
      <c r="C2631" s="10" t="s">
        <v>52</v>
      </c>
      <c r="D2631" s="11">
        <v>66.137566137566139</v>
      </c>
      <c r="E2631" s="12">
        <f t="shared" si="41"/>
        <v>44069</v>
      </c>
    </row>
    <row r="2632" spans="1:5" x14ac:dyDescent="0.25">
      <c r="A2632" s="2">
        <f>IF(B2632="","",SUBTOTAL(3,$B$2:B2632))</f>
        <v>2631</v>
      </c>
      <c r="B2632" s="9" t="s">
        <v>48</v>
      </c>
      <c r="C2632" s="10" t="s">
        <v>49</v>
      </c>
      <c r="D2632" s="11">
        <v>38.54406228720466</v>
      </c>
      <c r="E2632" s="12">
        <f t="shared" si="41"/>
        <v>44070</v>
      </c>
    </row>
    <row r="2633" spans="1:5" x14ac:dyDescent="0.25">
      <c r="A2633" s="2">
        <f>IF(B2633="","",SUBTOTAL(3,$B$2:B2633))</f>
        <v>2632</v>
      </c>
      <c r="B2633" s="9" t="s">
        <v>50</v>
      </c>
      <c r="C2633" s="10" t="s">
        <v>49</v>
      </c>
      <c r="D2633" s="11">
        <v>24</v>
      </c>
      <c r="E2633" s="12">
        <f t="shared" si="41"/>
        <v>44071</v>
      </c>
    </row>
    <row r="2634" spans="1:5" x14ac:dyDescent="0.25">
      <c r="A2634" s="2">
        <f>IF(B2634="","",SUBTOTAL(3,$B$2:B2634))</f>
        <v>2633</v>
      </c>
      <c r="B2634" s="9" t="s">
        <v>48</v>
      </c>
      <c r="C2634" s="10" t="s">
        <v>49</v>
      </c>
      <c r="D2634" s="11">
        <v>231.05360443622922</v>
      </c>
      <c r="E2634" s="12">
        <f t="shared" si="41"/>
        <v>44072</v>
      </c>
    </row>
    <row r="2635" spans="1:5" x14ac:dyDescent="0.25">
      <c r="A2635" s="2">
        <f>IF(B2635="","",SUBTOTAL(3,$B$2:B2635))</f>
        <v>2634</v>
      </c>
      <c r="B2635" s="9" t="s">
        <v>55</v>
      </c>
      <c r="C2635" s="10" t="s">
        <v>54</v>
      </c>
      <c r="D2635" s="11">
        <v>600</v>
      </c>
      <c r="E2635" s="12">
        <f t="shared" si="41"/>
        <v>44073</v>
      </c>
    </row>
    <row r="2636" spans="1:5" x14ac:dyDescent="0.25">
      <c r="A2636" s="2">
        <f>IF(B2636="","",SUBTOTAL(3,$B$2:B2636))</f>
        <v>2635</v>
      </c>
      <c r="B2636" s="9" t="s">
        <v>55</v>
      </c>
      <c r="C2636" s="10" t="s">
        <v>52</v>
      </c>
      <c r="D2636" s="11">
        <v>275.64662103183719</v>
      </c>
      <c r="E2636" s="12">
        <f t="shared" si="41"/>
        <v>44074</v>
      </c>
    </row>
    <row r="2637" spans="1:5" x14ac:dyDescent="0.25">
      <c r="A2637" s="2">
        <f>IF(B2637="","",SUBTOTAL(3,$B$2:B2637))</f>
        <v>2636</v>
      </c>
      <c r="B2637" s="9" t="s">
        <v>50</v>
      </c>
      <c r="C2637" s="10" t="s">
        <v>52</v>
      </c>
      <c r="D2637" s="11">
        <v>51.544312169312171</v>
      </c>
      <c r="E2637" s="12">
        <f t="shared" si="41"/>
        <v>44075</v>
      </c>
    </row>
    <row r="2638" spans="1:5" x14ac:dyDescent="0.25">
      <c r="A2638" s="2">
        <f>IF(B2638="","",SUBTOTAL(3,$B$2:B2638))</f>
        <v>2637</v>
      </c>
      <c r="B2638" s="9" t="s">
        <v>55</v>
      </c>
      <c r="C2638" s="10" t="s">
        <v>49</v>
      </c>
      <c r="D2638" s="11">
        <v>32.589212970506765</v>
      </c>
      <c r="E2638" s="12">
        <f t="shared" si="41"/>
        <v>44076</v>
      </c>
    </row>
    <row r="2639" spans="1:5" x14ac:dyDescent="0.25">
      <c r="A2639" s="2">
        <f>IF(B2639="","",SUBTOTAL(3,$B$2:B2639))</f>
        <v>2638</v>
      </c>
      <c r="B2639" s="9" t="s">
        <v>50</v>
      </c>
      <c r="C2639" s="10" t="s">
        <v>52</v>
      </c>
      <c r="D2639" s="11">
        <v>132.27513227513228</v>
      </c>
      <c r="E2639" s="12">
        <f t="shared" si="41"/>
        <v>44077</v>
      </c>
    </row>
    <row r="2640" spans="1:5" x14ac:dyDescent="0.25">
      <c r="A2640" s="2">
        <f>IF(B2640="","",SUBTOTAL(3,$B$2:B2640))</f>
        <v>2639</v>
      </c>
      <c r="B2640" s="9" t="s">
        <v>50</v>
      </c>
      <c r="C2640" s="10" t="s">
        <v>52</v>
      </c>
      <c r="D2640" s="11">
        <v>22.045855379188712</v>
      </c>
      <c r="E2640" s="12">
        <f t="shared" si="41"/>
        <v>44078</v>
      </c>
    </row>
    <row r="2641" spans="1:5" x14ac:dyDescent="0.25">
      <c r="A2641" s="2">
        <f>IF(B2641="","",SUBTOTAL(3,$B$2:B2641))</f>
        <v>2640</v>
      </c>
      <c r="B2641" s="9" t="s">
        <v>50</v>
      </c>
      <c r="C2641" s="10" t="s">
        <v>56</v>
      </c>
      <c r="D2641" s="11">
        <v>5511.4638447971784</v>
      </c>
      <c r="E2641" s="12">
        <f t="shared" si="41"/>
        <v>44079</v>
      </c>
    </row>
    <row r="2642" spans="1:5" x14ac:dyDescent="0.25">
      <c r="A2642" s="2">
        <f>IF(B2642="","",SUBTOTAL(3,$B$2:B2642))</f>
        <v>2641</v>
      </c>
      <c r="B2642" s="9" t="s">
        <v>50</v>
      </c>
      <c r="C2642" s="10" t="s">
        <v>49</v>
      </c>
      <c r="D2642" s="11">
        <v>132.27513227513228</v>
      </c>
      <c r="E2642" s="12">
        <f t="shared" si="41"/>
        <v>44080</v>
      </c>
    </row>
    <row r="2643" spans="1:5" x14ac:dyDescent="0.25">
      <c r="A2643" s="2">
        <f>IF(B2643="","",SUBTOTAL(3,$B$2:B2643))</f>
        <v>2642</v>
      </c>
      <c r="B2643" s="9" t="s">
        <v>50</v>
      </c>
      <c r="C2643" s="10" t="s">
        <v>49</v>
      </c>
      <c r="D2643" s="11">
        <v>220.45855379188714</v>
      </c>
      <c r="E2643" s="12">
        <f t="shared" si="41"/>
        <v>44081</v>
      </c>
    </row>
    <row r="2644" spans="1:5" x14ac:dyDescent="0.25">
      <c r="A2644" s="2">
        <f>IF(B2644="","",SUBTOTAL(3,$B$2:B2644))</f>
        <v>2643</v>
      </c>
      <c r="B2644" s="9" t="s">
        <v>51</v>
      </c>
      <c r="C2644" s="10" t="s">
        <v>52</v>
      </c>
      <c r="D2644" s="11">
        <v>64.824568511465841</v>
      </c>
      <c r="E2644" s="12">
        <f t="shared" si="41"/>
        <v>44082</v>
      </c>
    </row>
    <row r="2645" spans="1:5" x14ac:dyDescent="0.25">
      <c r="A2645" s="2">
        <f>IF(B2645="","",SUBTOTAL(3,$B$2:B2645))</f>
        <v>2644</v>
      </c>
      <c r="B2645" s="9" t="s">
        <v>55</v>
      </c>
      <c r="C2645" s="10" t="s">
        <v>49</v>
      </c>
      <c r="D2645" s="11">
        <v>40.212481668567705</v>
      </c>
      <c r="E2645" s="12">
        <f t="shared" si="41"/>
        <v>44083</v>
      </c>
    </row>
    <row r="2646" spans="1:5" x14ac:dyDescent="0.25">
      <c r="A2646" s="2">
        <f>IF(B2646="","",SUBTOTAL(3,$B$2:B2646))</f>
        <v>2645</v>
      </c>
      <c r="B2646" s="9" t="s">
        <v>55</v>
      </c>
      <c r="C2646" s="10" t="s">
        <v>49</v>
      </c>
      <c r="D2646" s="11">
        <v>802.43941582410525</v>
      </c>
      <c r="E2646" s="12">
        <f t="shared" si="41"/>
        <v>44084</v>
      </c>
    </row>
    <row r="2647" spans="1:5" x14ac:dyDescent="0.25">
      <c r="A2647" s="2">
        <f>IF(B2647="","",SUBTOTAL(3,$B$2:B2647))</f>
        <v>2646</v>
      </c>
      <c r="B2647" s="9" t="s">
        <v>48</v>
      </c>
      <c r="C2647" s="10" t="s">
        <v>49</v>
      </c>
      <c r="D2647" s="11">
        <v>92.421441774491683</v>
      </c>
      <c r="E2647" s="12">
        <f t="shared" si="41"/>
        <v>44085</v>
      </c>
    </row>
    <row r="2648" spans="1:5" x14ac:dyDescent="0.25">
      <c r="A2648" s="2">
        <f>IF(B2648="","",SUBTOTAL(3,$B$2:B2648))</f>
        <v>2647</v>
      </c>
      <c r="B2648" s="9" t="s">
        <v>50</v>
      </c>
      <c r="C2648" s="10" t="s">
        <v>54</v>
      </c>
      <c r="D2648" s="11">
        <v>66.137566137566139</v>
      </c>
      <c r="E2648" s="12">
        <f t="shared" si="41"/>
        <v>44086</v>
      </c>
    </row>
    <row r="2649" spans="1:5" x14ac:dyDescent="0.25">
      <c r="A2649" s="2">
        <f>IF(B2649="","",SUBTOTAL(3,$B$2:B2649))</f>
        <v>2648</v>
      </c>
      <c r="B2649" s="9" t="s">
        <v>48</v>
      </c>
      <c r="C2649" s="10" t="s">
        <v>54</v>
      </c>
      <c r="D2649" s="11">
        <v>770.17868145409739</v>
      </c>
      <c r="E2649" s="12">
        <f t="shared" si="41"/>
        <v>44087</v>
      </c>
    </row>
    <row r="2650" spans="1:5" x14ac:dyDescent="0.25">
      <c r="A2650" s="2">
        <f>IF(B2650="","",SUBTOTAL(3,$B$2:B2650))</f>
        <v>2649</v>
      </c>
      <c r="B2650" s="9" t="s">
        <v>48</v>
      </c>
      <c r="C2650" s="10" t="s">
        <v>49</v>
      </c>
      <c r="D2650" s="11">
        <v>847.19654959950708</v>
      </c>
      <c r="E2650" s="12">
        <f t="shared" si="41"/>
        <v>44088</v>
      </c>
    </row>
    <row r="2651" spans="1:5" x14ac:dyDescent="0.25">
      <c r="A2651" s="2">
        <f>IF(B2651="","",SUBTOTAL(3,$B$2:B2651))</f>
        <v>2650</v>
      </c>
      <c r="B2651" s="9" t="s">
        <v>48</v>
      </c>
      <c r="C2651" s="10" t="s">
        <v>49</v>
      </c>
      <c r="D2651" s="11">
        <v>8471.9654959950713</v>
      </c>
      <c r="E2651" s="12">
        <f t="shared" si="41"/>
        <v>44089</v>
      </c>
    </row>
    <row r="2652" spans="1:5" x14ac:dyDescent="0.25">
      <c r="A2652" s="2">
        <f>IF(B2652="","",SUBTOTAL(3,$B$2:B2652))</f>
        <v>2651</v>
      </c>
      <c r="B2652" s="9" t="s">
        <v>48</v>
      </c>
      <c r="C2652" s="10" t="s">
        <v>49</v>
      </c>
      <c r="D2652" s="11">
        <v>120.64805239572561</v>
      </c>
      <c r="E2652" s="12">
        <f t="shared" si="41"/>
        <v>44090</v>
      </c>
    </row>
    <row r="2653" spans="1:5" x14ac:dyDescent="0.25">
      <c r="A2653" s="2">
        <f>IF(B2653="","",SUBTOTAL(3,$B$2:B2653))</f>
        <v>2652</v>
      </c>
      <c r="B2653" s="9" t="s">
        <v>55</v>
      </c>
      <c r="C2653" s="10" t="s">
        <v>49</v>
      </c>
      <c r="D2653" s="11">
        <v>50</v>
      </c>
      <c r="E2653" s="12">
        <f t="shared" si="41"/>
        <v>44091</v>
      </c>
    </row>
    <row r="2654" spans="1:5" x14ac:dyDescent="0.25">
      <c r="A2654" s="2">
        <f>IF(B2654="","",SUBTOTAL(3,$B$2:B2654))</f>
        <v>2653</v>
      </c>
      <c r="B2654" s="9" t="s">
        <v>48</v>
      </c>
      <c r="C2654" s="10" t="s">
        <v>49</v>
      </c>
      <c r="D2654" s="11">
        <v>308.07147258163894</v>
      </c>
      <c r="E2654" s="12">
        <f t="shared" si="41"/>
        <v>44092</v>
      </c>
    </row>
    <row r="2655" spans="1:5" x14ac:dyDescent="0.25">
      <c r="A2655" s="2">
        <f>IF(B2655="","",SUBTOTAL(3,$B$2:B2655))</f>
        <v>2654</v>
      </c>
      <c r="B2655" s="9" t="s">
        <v>50</v>
      </c>
      <c r="C2655" s="10" t="s">
        <v>52</v>
      </c>
      <c r="D2655" s="11">
        <v>66.137566137566139</v>
      </c>
      <c r="E2655" s="12">
        <f t="shared" si="41"/>
        <v>44093</v>
      </c>
    </row>
    <row r="2656" spans="1:5" x14ac:dyDescent="0.25">
      <c r="A2656" s="2">
        <f>IF(B2656="","",SUBTOTAL(3,$B$2:B2656))</f>
        <v>2655</v>
      </c>
      <c r="B2656" s="9" t="s">
        <v>50</v>
      </c>
      <c r="C2656" s="10" t="s">
        <v>52</v>
      </c>
      <c r="D2656" s="11">
        <v>5.511463844797178</v>
      </c>
      <c r="E2656" s="12">
        <f t="shared" si="41"/>
        <v>44094</v>
      </c>
    </row>
    <row r="2657" spans="1:5" x14ac:dyDescent="0.25">
      <c r="A2657" s="2">
        <f>IF(B2657="","",SUBTOTAL(3,$B$2:B2657))</f>
        <v>2656</v>
      </c>
      <c r="B2657" s="9" t="s">
        <v>50</v>
      </c>
      <c r="C2657" s="10" t="s">
        <v>52</v>
      </c>
      <c r="D2657" s="11">
        <v>110.22927689594357</v>
      </c>
      <c r="E2657" s="12">
        <f t="shared" si="41"/>
        <v>44095</v>
      </c>
    </row>
    <row r="2658" spans="1:5" x14ac:dyDescent="0.25">
      <c r="A2658" s="2">
        <f>IF(B2658="","",SUBTOTAL(3,$B$2:B2658))</f>
        <v>2657</v>
      </c>
      <c r="B2658" s="9" t="s">
        <v>50</v>
      </c>
      <c r="C2658" s="10" t="s">
        <v>49</v>
      </c>
      <c r="D2658" s="11">
        <v>220.45855379188714</v>
      </c>
      <c r="E2658" s="12">
        <f t="shared" si="41"/>
        <v>44096</v>
      </c>
    </row>
    <row r="2659" spans="1:5" x14ac:dyDescent="0.25">
      <c r="A2659" s="2">
        <f>IF(B2659="","",SUBTOTAL(3,$B$2:B2659))</f>
        <v>2658</v>
      </c>
      <c r="B2659" s="9" t="s">
        <v>48</v>
      </c>
      <c r="C2659" s="10" t="s">
        <v>54</v>
      </c>
      <c r="D2659" s="11">
        <v>15.511892450879007</v>
      </c>
      <c r="E2659" s="12">
        <f t="shared" si="41"/>
        <v>44097</v>
      </c>
    </row>
    <row r="2660" spans="1:5" x14ac:dyDescent="0.25">
      <c r="A2660" s="2">
        <f>IF(B2660="","",SUBTOTAL(3,$B$2:B2660))</f>
        <v>2659</v>
      </c>
      <c r="B2660" s="9" t="s">
        <v>50</v>
      </c>
      <c r="C2660" s="10" t="s">
        <v>57</v>
      </c>
      <c r="D2660" s="11">
        <v>440.91710758377428</v>
      </c>
      <c r="E2660" s="12">
        <f t="shared" si="41"/>
        <v>44098</v>
      </c>
    </row>
    <row r="2661" spans="1:5" x14ac:dyDescent="0.25">
      <c r="A2661" s="2">
        <f>IF(B2661="","",SUBTOTAL(3,$B$2:B2661))</f>
        <v>2660</v>
      </c>
      <c r="B2661" s="9" t="s">
        <v>55</v>
      </c>
      <c r="C2661" s="10" t="s">
        <v>49</v>
      </c>
      <c r="D2661" s="11">
        <v>100</v>
      </c>
      <c r="E2661" s="12">
        <f t="shared" si="41"/>
        <v>44099</v>
      </c>
    </row>
    <row r="2662" spans="1:5" x14ac:dyDescent="0.25">
      <c r="A2662" s="2">
        <f>IF(B2662="","",SUBTOTAL(3,$B$2:B2662))</f>
        <v>2661</v>
      </c>
      <c r="B2662" s="9" t="s">
        <v>55</v>
      </c>
      <c r="C2662" s="10" t="s">
        <v>52</v>
      </c>
      <c r="D2662" s="11">
        <v>162.94606485253382</v>
      </c>
      <c r="E2662" s="12">
        <f t="shared" si="41"/>
        <v>44100</v>
      </c>
    </row>
    <row r="2663" spans="1:5" x14ac:dyDescent="0.25">
      <c r="A2663" s="2">
        <f>IF(B2663="","",SUBTOTAL(3,$B$2:B2663))</f>
        <v>2662</v>
      </c>
      <c r="B2663" s="9" t="s">
        <v>48</v>
      </c>
      <c r="C2663" s="10" t="s">
        <v>49</v>
      </c>
      <c r="D2663" s="11">
        <v>42.054463977938639</v>
      </c>
      <c r="E2663" s="12">
        <f t="shared" si="41"/>
        <v>44101</v>
      </c>
    </row>
    <row r="2664" spans="1:5" x14ac:dyDescent="0.25">
      <c r="A2664" s="2">
        <f>IF(B2664="","",SUBTOTAL(3,$B$2:B2664))</f>
        <v>2663</v>
      </c>
      <c r="B2664" s="9" t="s">
        <v>48</v>
      </c>
      <c r="C2664" s="10" t="s">
        <v>49</v>
      </c>
      <c r="D2664" s="11">
        <v>11.375387797311273</v>
      </c>
      <c r="E2664" s="12">
        <f t="shared" si="41"/>
        <v>44102</v>
      </c>
    </row>
    <row r="2665" spans="1:5" x14ac:dyDescent="0.25">
      <c r="A2665" s="2">
        <f>IF(B2665="","",SUBTOTAL(3,$B$2:B2665))</f>
        <v>2664</v>
      </c>
      <c r="B2665" s="9" t="s">
        <v>53</v>
      </c>
      <c r="C2665" s="10" t="s">
        <v>54</v>
      </c>
      <c r="D2665" s="11">
        <v>27.475798400908538</v>
      </c>
      <c r="E2665" s="12">
        <f t="shared" si="41"/>
        <v>44103</v>
      </c>
    </row>
    <row r="2666" spans="1:5" x14ac:dyDescent="0.25">
      <c r="A2666" s="2">
        <f>IF(B2666="","",SUBTOTAL(3,$B$2:B2666))</f>
        <v>2665</v>
      </c>
      <c r="B2666" s="9" t="s">
        <v>53</v>
      </c>
      <c r="C2666" s="10" t="s">
        <v>49</v>
      </c>
      <c r="D2666" s="11">
        <v>36.63439786787805</v>
      </c>
      <c r="E2666" s="12">
        <f t="shared" si="41"/>
        <v>44104</v>
      </c>
    </row>
    <row r="2667" spans="1:5" x14ac:dyDescent="0.25">
      <c r="A2667" s="2">
        <f>IF(B2667="","",SUBTOTAL(3,$B$2:B2667))</f>
        <v>2666</v>
      </c>
      <c r="B2667" s="9" t="s">
        <v>48</v>
      </c>
      <c r="C2667" s="10" t="s">
        <v>56</v>
      </c>
      <c r="D2667" s="11">
        <v>369.68576709796673</v>
      </c>
      <c r="E2667" s="12">
        <f t="shared" si="41"/>
        <v>44105</v>
      </c>
    </row>
    <row r="2668" spans="1:5" x14ac:dyDescent="0.25">
      <c r="A2668" s="2">
        <f>IF(B2668="","",SUBTOTAL(3,$B$2:B2668))</f>
        <v>2667</v>
      </c>
      <c r="B2668" s="9" t="s">
        <v>51</v>
      </c>
      <c r="C2668" s="10" t="s">
        <v>56</v>
      </c>
      <c r="D2668" s="11">
        <v>264.74637297469025</v>
      </c>
      <c r="E2668" s="12">
        <f t="shared" si="41"/>
        <v>44106</v>
      </c>
    </row>
    <row r="2669" spans="1:5" x14ac:dyDescent="0.25">
      <c r="A2669" s="2">
        <f>IF(B2669="","",SUBTOTAL(3,$B$2:B2669))</f>
        <v>2668</v>
      </c>
      <c r="B2669" s="9" t="s">
        <v>55</v>
      </c>
      <c r="C2669" s="10" t="s">
        <v>49</v>
      </c>
      <c r="D2669" s="11">
        <v>542.916746184776</v>
      </c>
      <c r="E2669" s="12">
        <f t="shared" si="41"/>
        <v>44107</v>
      </c>
    </row>
    <row r="2670" spans="1:5" x14ac:dyDescent="0.25">
      <c r="A2670" s="2">
        <f>IF(B2670="","",SUBTOTAL(3,$B$2:B2670))</f>
        <v>2669</v>
      </c>
      <c r="B2670" s="9" t="s">
        <v>50</v>
      </c>
      <c r="C2670" s="10" t="s">
        <v>52</v>
      </c>
      <c r="D2670" s="11">
        <v>4.835251322751323</v>
      </c>
      <c r="E2670" s="12">
        <f t="shared" si="41"/>
        <v>44108</v>
      </c>
    </row>
    <row r="2671" spans="1:5" x14ac:dyDescent="0.25">
      <c r="A2671" s="2">
        <f>IF(B2671="","",SUBTOTAL(3,$B$2:B2671))</f>
        <v>2670</v>
      </c>
      <c r="B2671" s="9" t="s">
        <v>51</v>
      </c>
      <c r="C2671" s="10" t="s">
        <v>52</v>
      </c>
      <c r="D2671" s="11">
        <v>52.949274594938046</v>
      </c>
      <c r="E2671" s="12">
        <f t="shared" si="41"/>
        <v>44109</v>
      </c>
    </row>
    <row r="2672" spans="1:5" x14ac:dyDescent="0.25">
      <c r="A2672" s="2">
        <f>IF(B2672="","",SUBTOTAL(3,$B$2:B2672))</f>
        <v>2671</v>
      </c>
      <c r="B2672" s="9" t="s">
        <v>48</v>
      </c>
      <c r="C2672" s="10" t="s">
        <v>54</v>
      </c>
      <c r="D2672" s="11">
        <v>35.332057096604274</v>
      </c>
      <c r="E2672" s="12">
        <f t="shared" si="41"/>
        <v>44110</v>
      </c>
    </row>
    <row r="2673" spans="1:5" x14ac:dyDescent="0.25">
      <c r="A2673" s="2">
        <f>IF(B2673="","",SUBTOTAL(3,$B$2:B2673))</f>
        <v>2672</v>
      </c>
      <c r="B2673" s="9" t="s">
        <v>48</v>
      </c>
      <c r="C2673" s="10" t="s">
        <v>54</v>
      </c>
      <c r="D2673" s="11">
        <v>48.822478897125897</v>
      </c>
      <c r="E2673" s="12">
        <f t="shared" si="41"/>
        <v>44111</v>
      </c>
    </row>
    <row r="2674" spans="1:5" x14ac:dyDescent="0.25">
      <c r="A2674" s="2">
        <f>IF(B2674="","",SUBTOTAL(3,$B$2:B2674))</f>
        <v>2673</v>
      </c>
      <c r="B2674" s="9" t="s">
        <v>48</v>
      </c>
      <c r="C2674" s="10" t="s">
        <v>49</v>
      </c>
      <c r="D2674" s="11">
        <v>89.624267493967594</v>
      </c>
      <c r="E2674" s="12">
        <f t="shared" si="41"/>
        <v>44112</v>
      </c>
    </row>
    <row r="2675" spans="1:5" x14ac:dyDescent="0.25">
      <c r="A2675" s="2">
        <f>IF(B2675="","",SUBTOTAL(3,$B$2:B2675))</f>
        <v>2674</v>
      </c>
      <c r="B2675" s="9" t="s">
        <v>50</v>
      </c>
      <c r="C2675" s="10" t="s">
        <v>54</v>
      </c>
      <c r="D2675" s="11">
        <v>110.22927689594357</v>
      </c>
      <c r="E2675" s="12">
        <f t="shared" si="41"/>
        <v>44113</v>
      </c>
    </row>
    <row r="2676" spans="1:5" x14ac:dyDescent="0.25">
      <c r="A2676" s="2">
        <f>IF(B2676="","",SUBTOTAL(3,$B$2:B2676))</f>
        <v>2675</v>
      </c>
      <c r="B2676" s="9" t="s">
        <v>50</v>
      </c>
      <c r="C2676" s="10" t="s">
        <v>54</v>
      </c>
      <c r="D2676" s="11">
        <v>110.22927689594357</v>
      </c>
      <c r="E2676" s="12">
        <f t="shared" si="41"/>
        <v>44114</v>
      </c>
    </row>
    <row r="2677" spans="1:5" x14ac:dyDescent="0.25">
      <c r="A2677" s="2">
        <f>IF(B2677="","",SUBTOTAL(3,$B$2:B2677))</f>
        <v>2676</v>
      </c>
      <c r="B2677" s="9" t="s">
        <v>48</v>
      </c>
      <c r="C2677" s="10" t="s">
        <v>49</v>
      </c>
      <c r="D2677" s="11">
        <v>160.19716574245226</v>
      </c>
      <c r="E2677" s="12">
        <f t="shared" si="41"/>
        <v>44115</v>
      </c>
    </row>
    <row r="2678" spans="1:5" x14ac:dyDescent="0.25">
      <c r="A2678" s="2">
        <f>IF(B2678="","",SUBTOTAL(3,$B$2:B2678))</f>
        <v>2677</v>
      </c>
      <c r="B2678" s="9" t="s">
        <v>55</v>
      </c>
      <c r="C2678" s="10" t="s">
        <v>52</v>
      </c>
      <c r="D2678" s="11">
        <v>1000</v>
      </c>
      <c r="E2678" s="12">
        <f t="shared" si="41"/>
        <v>44116</v>
      </c>
    </row>
    <row r="2679" spans="1:5" x14ac:dyDescent="0.25">
      <c r="A2679" s="2">
        <f>IF(B2679="","",SUBTOTAL(3,$B$2:B2679))</f>
        <v>2678</v>
      </c>
      <c r="B2679" s="9" t="s">
        <v>48</v>
      </c>
      <c r="C2679" s="10" t="s">
        <v>52</v>
      </c>
      <c r="D2679" s="11">
        <v>25.696041524803107</v>
      </c>
      <c r="E2679" s="12">
        <f t="shared" si="41"/>
        <v>44117</v>
      </c>
    </row>
    <row r="2680" spans="1:5" x14ac:dyDescent="0.25">
      <c r="A2680" s="2">
        <f>IF(B2680="","",SUBTOTAL(3,$B$2:B2680))</f>
        <v>2679</v>
      </c>
      <c r="B2680" s="9" t="s">
        <v>48</v>
      </c>
      <c r="C2680" s="10" t="s">
        <v>52</v>
      </c>
      <c r="D2680" s="11">
        <v>25.696041524803107</v>
      </c>
      <c r="E2680" s="12">
        <f t="shared" si="41"/>
        <v>44118</v>
      </c>
    </row>
    <row r="2681" spans="1:5" x14ac:dyDescent="0.25">
      <c r="A2681" s="2">
        <f>IF(B2681="","",SUBTOTAL(3,$B$2:B2681))</f>
        <v>2680</v>
      </c>
      <c r="B2681" s="9" t="s">
        <v>48</v>
      </c>
      <c r="C2681" s="10" t="s">
        <v>52</v>
      </c>
      <c r="D2681" s="11">
        <v>25.696041524803107</v>
      </c>
      <c r="E2681" s="12">
        <f t="shared" si="41"/>
        <v>44119</v>
      </c>
    </row>
    <row r="2682" spans="1:5" x14ac:dyDescent="0.25">
      <c r="A2682" s="2">
        <f>IF(B2682="","",SUBTOTAL(3,$B$2:B2682))</f>
        <v>2681</v>
      </c>
      <c r="B2682" s="9" t="s">
        <v>50</v>
      </c>
      <c r="C2682" s="10" t="s">
        <v>49</v>
      </c>
      <c r="D2682" s="11">
        <v>17.636684303350968</v>
      </c>
      <c r="E2682" s="12">
        <f t="shared" si="41"/>
        <v>44120</v>
      </c>
    </row>
    <row r="2683" spans="1:5" x14ac:dyDescent="0.25">
      <c r="A2683" s="2">
        <f>IF(B2683="","",SUBTOTAL(3,$B$2:B2683))</f>
        <v>2682</v>
      </c>
      <c r="B2683" s="9" t="s">
        <v>48</v>
      </c>
      <c r="C2683" s="10" t="s">
        <v>49</v>
      </c>
      <c r="D2683" s="11">
        <v>154.03573629081947</v>
      </c>
      <c r="E2683" s="12">
        <f t="shared" si="41"/>
        <v>44121</v>
      </c>
    </row>
    <row r="2684" spans="1:5" x14ac:dyDescent="0.25">
      <c r="A2684" s="2">
        <f>IF(B2684="","",SUBTOTAL(3,$B$2:B2684))</f>
        <v>2683</v>
      </c>
      <c r="B2684" s="9" t="s">
        <v>48</v>
      </c>
      <c r="C2684" s="10" t="s">
        <v>49</v>
      </c>
      <c r="D2684" s="11">
        <v>385.08934072704869</v>
      </c>
      <c r="E2684" s="12">
        <f t="shared" si="41"/>
        <v>44122</v>
      </c>
    </row>
    <row r="2685" spans="1:5" x14ac:dyDescent="0.25">
      <c r="A2685" s="2">
        <f>IF(B2685="","",SUBTOTAL(3,$B$2:B2685))</f>
        <v>2684</v>
      </c>
      <c r="B2685" s="9" t="s">
        <v>48</v>
      </c>
      <c r="C2685" s="10" t="s">
        <v>52</v>
      </c>
      <c r="D2685" s="11">
        <v>53.912507701786815</v>
      </c>
      <c r="E2685" s="12">
        <f t="shared" si="41"/>
        <v>44123</v>
      </c>
    </row>
    <row r="2686" spans="1:5" x14ac:dyDescent="0.25">
      <c r="A2686" s="2">
        <f>IF(B2686="","",SUBTOTAL(3,$B$2:B2686))</f>
        <v>2685</v>
      </c>
      <c r="B2686" s="9" t="s">
        <v>48</v>
      </c>
      <c r="C2686" s="10" t="s">
        <v>49</v>
      </c>
      <c r="D2686" s="11">
        <v>77.017868145409736</v>
      </c>
      <c r="E2686" s="12">
        <f t="shared" si="41"/>
        <v>44124</v>
      </c>
    </row>
    <row r="2687" spans="1:5" x14ac:dyDescent="0.25">
      <c r="A2687" s="2">
        <f>IF(B2687="","",SUBTOTAL(3,$B$2:B2687))</f>
        <v>2686</v>
      </c>
      <c r="B2687" s="9" t="s">
        <v>48</v>
      </c>
      <c r="C2687" s="10" t="s">
        <v>56</v>
      </c>
      <c r="D2687" s="11">
        <v>369.68576709796673</v>
      </c>
      <c r="E2687" s="12">
        <f t="shared" si="41"/>
        <v>44125</v>
      </c>
    </row>
    <row r="2688" spans="1:5" x14ac:dyDescent="0.25">
      <c r="A2688" s="2">
        <f>IF(B2688="","",SUBTOTAL(3,$B$2:B2688))</f>
        <v>2687</v>
      </c>
      <c r="B2688" s="9" t="s">
        <v>50</v>
      </c>
      <c r="C2688" s="10" t="s">
        <v>49</v>
      </c>
      <c r="D2688" s="11">
        <v>48.170194003527335</v>
      </c>
      <c r="E2688" s="12">
        <f t="shared" si="41"/>
        <v>44126</v>
      </c>
    </row>
    <row r="2689" spans="1:5" x14ac:dyDescent="0.25">
      <c r="A2689" s="2">
        <f>IF(B2689="","",SUBTOTAL(3,$B$2:B2689))</f>
        <v>2688</v>
      </c>
      <c r="B2689" s="9" t="s">
        <v>50</v>
      </c>
      <c r="C2689" s="10" t="s">
        <v>52</v>
      </c>
      <c r="D2689" s="11">
        <v>187.38977072310408</v>
      </c>
      <c r="E2689" s="12">
        <f t="shared" si="41"/>
        <v>44127</v>
      </c>
    </row>
    <row r="2690" spans="1:5" x14ac:dyDescent="0.25">
      <c r="A2690" s="2">
        <f>IF(B2690="","",SUBTOTAL(3,$B$2:B2690))</f>
        <v>2689</v>
      </c>
      <c r="B2690" s="9" t="s">
        <v>55</v>
      </c>
      <c r="C2690" s="10" t="s">
        <v>49</v>
      </c>
      <c r="D2690" s="11">
        <v>75</v>
      </c>
      <c r="E2690" s="12">
        <f t="shared" si="41"/>
        <v>44128</v>
      </c>
    </row>
    <row r="2691" spans="1:5" x14ac:dyDescent="0.25">
      <c r="A2691" s="2">
        <f>IF(B2691="","",SUBTOTAL(3,$B$2:B2691))</f>
        <v>2690</v>
      </c>
      <c r="B2691" s="9" t="s">
        <v>55</v>
      </c>
      <c r="C2691" s="10" t="s">
        <v>54</v>
      </c>
      <c r="D2691" s="11">
        <v>29.9</v>
      </c>
      <c r="E2691" s="12">
        <f t="shared" si="41"/>
        <v>44129</v>
      </c>
    </row>
    <row r="2692" spans="1:5" x14ac:dyDescent="0.25">
      <c r="A2692" s="2">
        <f>IF(B2692="","",SUBTOTAL(3,$B$2:B2692))</f>
        <v>2691</v>
      </c>
      <c r="B2692" s="9" t="s">
        <v>50</v>
      </c>
      <c r="C2692" s="10" t="s">
        <v>49</v>
      </c>
      <c r="D2692" s="11">
        <v>587.6</v>
      </c>
      <c r="E2692" s="12">
        <f t="shared" ref="E2692:E2755" si="42">E2691+1</f>
        <v>44130</v>
      </c>
    </row>
    <row r="2693" spans="1:5" x14ac:dyDescent="0.25">
      <c r="A2693" s="2">
        <f>IF(B2693="","",SUBTOTAL(3,$B$2:B2693))</f>
        <v>2692</v>
      </c>
      <c r="B2693" s="9" t="s">
        <v>48</v>
      </c>
      <c r="C2693" s="10" t="s">
        <v>49</v>
      </c>
      <c r="D2693" s="11">
        <v>29.550447753523571</v>
      </c>
      <c r="E2693" s="12">
        <f t="shared" si="42"/>
        <v>44131</v>
      </c>
    </row>
    <row r="2694" spans="1:5" x14ac:dyDescent="0.25">
      <c r="A2694" s="2">
        <f>IF(B2694="","",SUBTOTAL(3,$B$2:B2694))</f>
        <v>2693</v>
      </c>
      <c r="B2694" s="9" t="s">
        <v>48</v>
      </c>
      <c r="C2694" s="10" t="s">
        <v>49</v>
      </c>
      <c r="D2694" s="11">
        <v>51.392083049606214</v>
      </c>
      <c r="E2694" s="12">
        <f t="shared" si="42"/>
        <v>44132</v>
      </c>
    </row>
    <row r="2695" spans="1:5" x14ac:dyDescent="0.25">
      <c r="A2695" s="2">
        <f>IF(B2695="","",SUBTOTAL(3,$B$2:B2695))</f>
        <v>2694</v>
      </c>
      <c r="B2695" s="9" t="s">
        <v>50</v>
      </c>
      <c r="C2695" s="10" t="s">
        <v>49</v>
      </c>
      <c r="D2695" s="11">
        <v>99.583597883597889</v>
      </c>
      <c r="E2695" s="12">
        <f t="shared" si="42"/>
        <v>44133</v>
      </c>
    </row>
    <row r="2696" spans="1:5" x14ac:dyDescent="0.25">
      <c r="A2696" s="2">
        <f>IF(B2696="","",SUBTOTAL(3,$B$2:B2696))</f>
        <v>2695</v>
      </c>
      <c r="B2696" s="9" t="s">
        <v>48</v>
      </c>
      <c r="C2696" s="10" t="s">
        <v>49</v>
      </c>
      <c r="D2696" s="11">
        <v>103.41261633919338</v>
      </c>
      <c r="E2696" s="12">
        <f t="shared" si="42"/>
        <v>44134</v>
      </c>
    </row>
    <row r="2697" spans="1:5" x14ac:dyDescent="0.25">
      <c r="A2697" s="2">
        <f>IF(B2697="","",SUBTOTAL(3,$B$2:B2697))</f>
        <v>2696</v>
      </c>
      <c r="B2697" s="9" t="s">
        <v>50</v>
      </c>
      <c r="C2697" s="10" t="s">
        <v>49</v>
      </c>
      <c r="D2697" s="11">
        <v>685.53935185185196</v>
      </c>
      <c r="E2697" s="12">
        <f t="shared" si="42"/>
        <v>44135</v>
      </c>
    </row>
    <row r="2698" spans="1:5" x14ac:dyDescent="0.25">
      <c r="A2698" s="2">
        <f>IF(B2698="","",SUBTOTAL(3,$B$2:B2698))</f>
        <v>2697</v>
      </c>
      <c r="B2698" s="9" t="s">
        <v>50</v>
      </c>
      <c r="C2698" s="10" t="s">
        <v>49</v>
      </c>
      <c r="D2698" s="11">
        <v>4.409171075837742</v>
      </c>
      <c r="E2698" s="12">
        <f t="shared" si="42"/>
        <v>44136</v>
      </c>
    </row>
    <row r="2699" spans="1:5" x14ac:dyDescent="0.25">
      <c r="A2699" s="2">
        <f>IF(B2699="","",SUBTOTAL(3,$B$2:B2699))</f>
        <v>2698</v>
      </c>
      <c r="B2699" s="9" t="s">
        <v>55</v>
      </c>
      <c r="C2699" s="10" t="s">
        <v>49</v>
      </c>
      <c r="D2699" s="11">
        <v>102.73808976891625</v>
      </c>
      <c r="E2699" s="12">
        <f t="shared" si="42"/>
        <v>44137</v>
      </c>
    </row>
    <row r="2700" spans="1:5" x14ac:dyDescent="0.25">
      <c r="A2700" s="2">
        <f>IF(B2700="","",SUBTOTAL(3,$B$2:B2700))</f>
        <v>2699</v>
      </c>
      <c r="B2700" s="9" t="s">
        <v>48</v>
      </c>
      <c r="C2700" s="10" t="s">
        <v>49</v>
      </c>
      <c r="D2700" s="11">
        <v>38.508934072704868</v>
      </c>
      <c r="E2700" s="12">
        <f t="shared" si="42"/>
        <v>44138</v>
      </c>
    </row>
    <row r="2701" spans="1:5" x14ac:dyDescent="0.25">
      <c r="A2701" s="2">
        <f>IF(B2701="","",SUBTOTAL(3,$B$2:B2701))</f>
        <v>2700</v>
      </c>
      <c r="B2701" s="9" t="s">
        <v>48</v>
      </c>
      <c r="C2701" s="10" t="s">
        <v>49</v>
      </c>
      <c r="D2701" s="11">
        <v>38.508934072704868</v>
      </c>
      <c r="E2701" s="12">
        <f t="shared" si="42"/>
        <v>44139</v>
      </c>
    </row>
    <row r="2702" spans="1:5" x14ac:dyDescent="0.25">
      <c r="A2702" s="2">
        <f>IF(B2702="","",SUBTOTAL(3,$B$2:B2702))</f>
        <v>2701</v>
      </c>
      <c r="B2702" s="9" t="s">
        <v>50</v>
      </c>
      <c r="C2702" s="10" t="s">
        <v>52</v>
      </c>
      <c r="D2702" s="11">
        <v>30.8641975308642</v>
      </c>
      <c r="E2702" s="12">
        <f t="shared" si="42"/>
        <v>44140</v>
      </c>
    </row>
    <row r="2703" spans="1:5" x14ac:dyDescent="0.25">
      <c r="A2703" s="2">
        <f>IF(B2703="","",SUBTOTAL(3,$B$2:B2703))</f>
        <v>2702</v>
      </c>
      <c r="B2703" s="9" t="s">
        <v>50</v>
      </c>
      <c r="C2703" s="10" t="s">
        <v>52</v>
      </c>
      <c r="D2703" s="11">
        <v>55.114638447971785</v>
      </c>
      <c r="E2703" s="12">
        <f t="shared" si="42"/>
        <v>44141</v>
      </c>
    </row>
    <row r="2704" spans="1:5" x14ac:dyDescent="0.25">
      <c r="A2704" s="2">
        <f>IF(B2704="","",SUBTOTAL(3,$B$2:B2704))</f>
        <v>2703</v>
      </c>
      <c r="B2704" s="9" t="s">
        <v>50</v>
      </c>
      <c r="C2704" s="10" t="s">
        <v>52</v>
      </c>
      <c r="D2704" s="11">
        <v>132.27513227513228</v>
      </c>
      <c r="E2704" s="12">
        <f t="shared" si="42"/>
        <v>44142</v>
      </c>
    </row>
    <row r="2705" spans="1:5" x14ac:dyDescent="0.25">
      <c r="A2705" s="2">
        <f>IF(B2705="","",SUBTOTAL(3,$B$2:B2705))</f>
        <v>2704</v>
      </c>
      <c r="B2705" s="9" t="s">
        <v>48</v>
      </c>
      <c r="C2705" s="10" t="s">
        <v>54</v>
      </c>
      <c r="D2705" s="11">
        <v>38.54406228720466</v>
      </c>
      <c r="E2705" s="12">
        <f t="shared" si="42"/>
        <v>44143</v>
      </c>
    </row>
    <row r="2706" spans="1:5" x14ac:dyDescent="0.25">
      <c r="A2706" s="2">
        <f>IF(B2706="","",SUBTOTAL(3,$B$2:B2706))</f>
        <v>2705</v>
      </c>
      <c r="B2706" s="9" t="s">
        <v>48</v>
      </c>
      <c r="C2706" s="10" t="s">
        <v>52</v>
      </c>
      <c r="D2706" s="11">
        <v>230.4374614910659</v>
      </c>
      <c r="E2706" s="12">
        <f t="shared" si="42"/>
        <v>44144</v>
      </c>
    </row>
    <row r="2707" spans="1:5" x14ac:dyDescent="0.25">
      <c r="A2707" s="2">
        <f>IF(B2707="","",SUBTOTAL(3,$B$2:B2707))</f>
        <v>2706</v>
      </c>
      <c r="B2707" s="9" t="s">
        <v>48</v>
      </c>
      <c r="C2707" s="10" t="s">
        <v>52</v>
      </c>
      <c r="D2707" s="11">
        <v>157.11645101663586</v>
      </c>
      <c r="E2707" s="12">
        <f t="shared" si="42"/>
        <v>44145</v>
      </c>
    </row>
    <row r="2708" spans="1:5" x14ac:dyDescent="0.25">
      <c r="A2708" s="2">
        <f>IF(B2708="","",SUBTOTAL(3,$B$2:B2708))</f>
        <v>2707</v>
      </c>
      <c r="B2708" s="9" t="s">
        <v>48</v>
      </c>
      <c r="C2708" s="10" t="s">
        <v>49</v>
      </c>
      <c r="D2708" s="11">
        <v>77.017868145409736</v>
      </c>
      <c r="E2708" s="12">
        <f t="shared" si="42"/>
        <v>44146</v>
      </c>
    </row>
    <row r="2709" spans="1:5" x14ac:dyDescent="0.25">
      <c r="A2709" s="2">
        <f>IF(B2709="","",SUBTOTAL(3,$B$2:B2709))</f>
        <v>2708</v>
      </c>
      <c r="B2709" s="9" t="s">
        <v>50</v>
      </c>
      <c r="C2709" s="10" t="s">
        <v>52</v>
      </c>
      <c r="D2709" s="11">
        <v>55.114638447971785</v>
      </c>
      <c r="E2709" s="12">
        <f t="shared" si="42"/>
        <v>44147</v>
      </c>
    </row>
    <row r="2710" spans="1:5" x14ac:dyDescent="0.25">
      <c r="A2710" s="2">
        <f>IF(B2710="","",SUBTOTAL(3,$B$2:B2710))</f>
        <v>2709</v>
      </c>
      <c r="B2710" s="9" t="s">
        <v>50</v>
      </c>
      <c r="C2710" s="10" t="s">
        <v>52</v>
      </c>
      <c r="D2710" s="11">
        <v>88.183421516754848</v>
      </c>
      <c r="E2710" s="12">
        <f t="shared" si="42"/>
        <v>44148</v>
      </c>
    </row>
    <row r="2711" spans="1:5" x14ac:dyDescent="0.25">
      <c r="A2711" s="2">
        <f>IF(B2711="","",SUBTOTAL(3,$B$2:B2711))</f>
        <v>2710</v>
      </c>
      <c r="B2711" s="9" t="s">
        <v>50</v>
      </c>
      <c r="C2711" s="10" t="s">
        <v>52</v>
      </c>
      <c r="D2711" s="11">
        <v>110.22927689594357</v>
      </c>
      <c r="E2711" s="12">
        <f t="shared" si="42"/>
        <v>44149</v>
      </c>
    </row>
    <row r="2712" spans="1:5" x14ac:dyDescent="0.25">
      <c r="A2712" s="2">
        <f>IF(B2712="","",SUBTOTAL(3,$B$2:B2712))</f>
        <v>2711</v>
      </c>
      <c r="B2712" s="9" t="s">
        <v>50</v>
      </c>
      <c r="C2712" s="10" t="s">
        <v>52</v>
      </c>
      <c r="D2712" s="11">
        <v>55.114638447971785</v>
      </c>
      <c r="E2712" s="12">
        <f t="shared" si="42"/>
        <v>44150</v>
      </c>
    </row>
    <row r="2713" spans="1:5" x14ac:dyDescent="0.25">
      <c r="A2713" s="2">
        <f>IF(B2713="","",SUBTOTAL(3,$B$2:B2713))</f>
        <v>2712</v>
      </c>
      <c r="B2713" s="9" t="s">
        <v>50</v>
      </c>
      <c r="C2713" s="10" t="s">
        <v>52</v>
      </c>
      <c r="D2713" s="11">
        <v>55.114638447971785</v>
      </c>
      <c r="E2713" s="12">
        <f t="shared" si="42"/>
        <v>44151</v>
      </c>
    </row>
    <row r="2714" spans="1:5" x14ac:dyDescent="0.25">
      <c r="A2714" s="2">
        <f>IF(B2714="","",SUBTOTAL(3,$B$2:B2714))</f>
        <v>2713</v>
      </c>
      <c r="B2714" s="9" t="s">
        <v>50</v>
      </c>
      <c r="C2714" s="10" t="s">
        <v>52</v>
      </c>
      <c r="D2714" s="11">
        <v>110.22927689594357</v>
      </c>
      <c r="E2714" s="12">
        <f t="shared" si="42"/>
        <v>44152</v>
      </c>
    </row>
    <row r="2715" spans="1:5" x14ac:dyDescent="0.25">
      <c r="A2715" s="2">
        <f>IF(B2715="","",SUBTOTAL(3,$B$2:B2715))</f>
        <v>2714</v>
      </c>
      <c r="B2715" s="9" t="s">
        <v>50</v>
      </c>
      <c r="C2715" s="10" t="s">
        <v>52</v>
      </c>
      <c r="D2715" s="11">
        <v>55.114638447971785</v>
      </c>
      <c r="E2715" s="12">
        <f t="shared" si="42"/>
        <v>44153</v>
      </c>
    </row>
    <row r="2716" spans="1:5" x14ac:dyDescent="0.25">
      <c r="A2716" s="2">
        <f>IF(B2716="","",SUBTOTAL(3,$B$2:B2716))</f>
        <v>2715</v>
      </c>
      <c r="B2716" s="9" t="s">
        <v>50</v>
      </c>
      <c r="C2716" s="10" t="s">
        <v>52</v>
      </c>
      <c r="D2716" s="11">
        <v>55.114638447971785</v>
      </c>
      <c r="E2716" s="12">
        <f t="shared" si="42"/>
        <v>44154</v>
      </c>
    </row>
    <row r="2717" spans="1:5" x14ac:dyDescent="0.25">
      <c r="A2717" s="2">
        <f>IF(B2717="","",SUBTOTAL(3,$B$2:B2717))</f>
        <v>2716</v>
      </c>
      <c r="B2717" s="9" t="s">
        <v>50</v>
      </c>
      <c r="C2717" s="10" t="s">
        <v>52</v>
      </c>
      <c r="D2717" s="11">
        <v>88.183421516754848</v>
      </c>
      <c r="E2717" s="12">
        <f t="shared" si="42"/>
        <v>44155</v>
      </c>
    </row>
    <row r="2718" spans="1:5" x14ac:dyDescent="0.25">
      <c r="A2718" s="2">
        <f>IF(B2718="","",SUBTOTAL(3,$B$2:B2718))</f>
        <v>2717</v>
      </c>
      <c r="B2718" s="9" t="s">
        <v>50</v>
      </c>
      <c r="C2718" s="10" t="s">
        <v>52</v>
      </c>
      <c r="D2718" s="11">
        <v>55.114638447971785</v>
      </c>
      <c r="E2718" s="12">
        <f t="shared" si="42"/>
        <v>44156</v>
      </c>
    </row>
    <row r="2719" spans="1:5" x14ac:dyDescent="0.25">
      <c r="A2719" s="2">
        <f>IF(B2719="","",SUBTOTAL(3,$B$2:B2719))</f>
        <v>2718</v>
      </c>
      <c r="B2719" s="9" t="s">
        <v>55</v>
      </c>
      <c r="C2719" s="10" t="s">
        <v>49</v>
      </c>
      <c r="D2719" s="11">
        <v>195.53527782304059</v>
      </c>
      <c r="E2719" s="12">
        <f t="shared" si="42"/>
        <v>44157</v>
      </c>
    </row>
    <row r="2720" spans="1:5" x14ac:dyDescent="0.25">
      <c r="A2720" s="2">
        <f>IF(B2720="","",SUBTOTAL(3,$B$2:B2720))</f>
        <v>2719</v>
      </c>
      <c r="B2720" s="9" t="s">
        <v>50</v>
      </c>
      <c r="C2720" s="10" t="s">
        <v>52</v>
      </c>
      <c r="D2720" s="11">
        <v>2.204585537918871</v>
      </c>
      <c r="E2720" s="12">
        <f t="shared" si="42"/>
        <v>44158</v>
      </c>
    </row>
    <row r="2721" spans="1:5" x14ac:dyDescent="0.25">
      <c r="A2721" s="2">
        <f>IF(B2721="","",SUBTOTAL(3,$B$2:B2721))</f>
        <v>2720</v>
      </c>
      <c r="B2721" s="9" t="s">
        <v>50</v>
      </c>
      <c r="C2721" s="10" t="s">
        <v>52</v>
      </c>
      <c r="D2721" s="11">
        <v>2.204585537918871</v>
      </c>
      <c r="E2721" s="12">
        <f t="shared" si="42"/>
        <v>44159</v>
      </c>
    </row>
    <row r="2722" spans="1:5" x14ac:dyDescent="0.25">
      <c r="A2722" s="2">
        <f>IF(B2722="","",SUBTOTAL(3,$B$2:B2722))</f>
        <v>2721</v>
      </c>
      <c r="B2722" s="9" t="s">
        <v>50</v>
      </c>
      <c r="C2722" s="10" t="s">
        <v>52</v>
      </c>
      <c r="D2722" s="11">
        <v>5.511463844797178</v>
      </c>
      <c r="E2722" s="12">
        <f t="shared" si="42"/>
        <v>44160</v>
      </c>
    </row>
    <row r="2723" spans="1:5" x14ac:dyDescent="0.25">
      <c r="A2723" s="2">
        <f>IF(B2723="","",SUBTOTAL(3,$B$2:B2723))</f>
        <v>2722</v>
      </c>
      <c r="B2723" s="9" t="s">
        <v>48</v>
      </c>
      <c r="C2723" s="10" t="s">
        <v>49</v>
      </c>
      <c r="D2723" s="11">
        <v>462.10720887245844</v>
      </c>
      <c r="E2723" s="12">
        <f t="shared" si="42"/>
        <v>44161</v>
      </c>
    </row>
    <row r="2724" spans="1:5" x14ac:dyDescent="0.25">
      <c r="A2724" s="2">
        <f>IF(B2724="","",SUBTOTAL(3,$B$2:B2724))</f>
        <v>2723</v>
      </c>
      <c r="B2724" s="9" t="s">
        <v>48</v>
      </c>
      <c r="C2724" s="10" t="s">
        <v>52</v>
      </c>
      <c r="D2724" s="11">
        <v>128.48020762401552</v>
      </c>
      <c r="E2724" s="12">
        <f t="shared" si="42"/>
        <v>44162</v>
      </c>
    </row>
    <row r="2725" spans="1:5" x14ac:dyDescent="0.25">
      <c r="A2725" s="2">
        <f>IF(B2725="","",SUBTOTAL(3,$B$2:B2725))</f>
        <v>2724</v>
      </c>
      <c r="B2725" s="9" t="s">
        <v>48</v>
      </c>
      <c r="C2725" s="10" t="s">
        <v>49</v>
      </c>
      <c r="D2725" s="11">
        <v>83.512134955610094</v>
      </c>
      <c r="E2725" s="12">
        <f t="shared" si="42"/>
        <v>44163</v>
      </c>
    </row>
    <row r="2726" spans="1:5" x14ac:dyDescent="0.25">
      <c r="A2726" s="2">
        <f>IF(B2726="","",SUBTOTAL(3,$B$2:B2726))</f>
        <v>2725</v>
      </c>
      <c r="B2726" s="9" t="s">
        <v>48</v>
      </c>
      <c r="C2726" s="10" t="s">
        <v>49</v>
      </c>
      <c r="D2726" s="11">
        <v>61.614294516327789</v>
      </c>
      <c r="E2726" s="12">
        <f t="shared" si="42"/>
        <v>44164</v>
      </c>
    </row>
    <row r="2727" spans="1:5" x14ac:dyDescent="0.25">
      <c r="A2727" s="2">
        <f>IF(B2727="","",SUBTOTAL(3,$B$2:B2727))</f>
        <v>2726</v>
      </c>
      <c r="B2727" s="9" t="s">
        <v>48</v>
      </c>
      <c r="C2727" s="10" t="s">
        <v>52</v>
      </c>
      <c r="D2727" s="11">
        <v>53.912507701786815</v>
      </c>
      <c r="E2727" s="12">
        <f t="shared" si="42"/>
        <v>44165</v>
      </c>
    </row>
    <row r="2728" spans="1:5" x14ac:dyDescent="0.25">
      <c r="A2728" s="2">
        <f>IF(B2728="","",SUBTOTAL(3,$B$2:B2728))</f>
        <v>2727</v>
      </c>
      <c r="B2728" s="9" t="s">
        <v>48</v>
      </c>
      <c r="C2728" s="10" t="s">
        <v>49</v>
      </c>
      <c r="D2728" s="11">
        <v>73.47504621072089</v>
      </c>
      <c r="E2728" s="12">
        <f t="shared" si="42"/>
        <v>44166</v>
      </c>
    </row>
    <row r="2729" spans="1:5" x14ac:dyDescent="0.25">
      <c r="A2729" s="2">
        <f>IF(B2729="","",SUBTOTAL(3,$B$2:B2729))</f>
        <v>2728</v>
      </c>
      <c r="B2729" s="9" t="s">
        <v>48</v>
      </c>
      <c r="C2729" s="10" t="s">
        <v>49</v>
      </c>
      <c r="D2729" s="11">
        <v>46.210720887245841</v>
      </c>
      <c r="E2729" s="12">
        <f t="shared" si="42"/>
        <v>44167</v>
      </c>
    </row>
    <row r="2730" spans="1:5" x14ac:dyDescent="0.25">
      <c r="A2730" s="2">
        <f>IF(B2730="","",SUBTOTAL(3,$B$2:B2730))</f>
        <v>2729</v>
      </c>
      <c r="B2730" s="9" t="s">
        <v>48</v>
      </c>
      <c r="C2730" s="10" t="s">
        <v>49</v>
      </c>
      <c r="D2730" s="11">
        <v>38.508934072704868</v>
      </c>
      <c r="E2730" s="12">
        <f t="shared" si="42"/>
        <v>44168</v>
      </c>
    </row>
    <row r="2731" spans="1:5" x14ac:dyDescent="0.25">
      <c r="A2731" s="2">
        <f>IF(B2731="","",SUBTOTAL(3,$B$2:B2731))</f>
        <v>2730</v>
      </c>
      <c r="B2731" s="9" t="s">
        <v>50</v>
      </c>
      <c r="C2731" s="10" t="s">
        <v>52</v>
      </c>
      <c r="D2731" s="11">
        <v>55.114638447971785</v>
      </c>
      <c r="E2731" s="12">
        <f t="shared" si="42"/>
        <v>44169</v>
      </c>
    </row>
    <row r="2732" spans="1:5" x14ac:dyDescent="0.25">
      <c r="A2732" s="2">
        <f>IF(B2732="","",SUBTOTAL(3,$B$2:B2732))</f>
        <v>2731</v>
      </c>
      <c r="B2732" s="9" t="s">
        <v>51</v>
      </c>
      <c r="C2732" s="10" t="s">
        <v>54</v>
      </c>
      <c r="D2732" s="11">
        <v>158.84782378481412</v>
      </c>
      <c r="E2732" s="12">
        <f t="shared" si="42"/>
        <v>44170</v>
      </c>
    </row>
    <row r="2733" spans="1:5" x14ac:dyDescent="0.25">
      <c r="A2733" s="2">
        <f>IF(B2733="","",SUBTOTAL(3,$B$2:B2733))</f>
        <v>2732</v>
      </c>
      <c r="B2733" s="9" t="s">
        <v>48</v>
      </c>
      <c r="C2733" s="10" t="s">
        <v>49</v>
      </c>
      <c r="D2733" s="11">
        <v>462.10720887245844</v>
      </c>
      <c r="E2733" s="12">
        <f t="shared" si="42"/>
        <v>44171</v>
      </c>
    </row>
    <row r="2734" spans="1:5" x14ac:dyDescent="0.25">
      <c r="A2734" s="2">
        <f>IF(B2734="","",SUBTOTAL(3,$B$2:B2734))</f>
        <v>2733</v>
      </c>
      <c r="B2734" s="9" t="s">
        <v>48</v>
      </c>
      <c r="C2734" s="10" t="s">
        <v>49</v>
      </c>
      <c r="D2734" s="11">
        <v>462.10720887245844</v>
      </c>
      <c r="E2734" s="12">
        <f t="shared" si="42"/>
        <v>44172</v>
      </c>
    </row>
    <row r="2735" spans="1:5" x14ac:dyDescent="0.25">
      <c r="A2735" s="2">
        <f>IF(B2735="","",SUBTOTAL(3,$B$2:B2735))</f>
        <v>2734</v>
      </c>
      <c r="B2735" s="9" t="s">
        <v>55</v>
      </c>
      <c r="C2735" s="10" t="s">
        <v>52</v>
      </c>
      <c r="D2735" s="11">
        <v>18.634796940322506</v>
      </c>
      <c r="E2735" s="12">
        <f t="shared" si="42"/>
        <v>44173</v>
      </c>
    </row>
    <row r="2736" spans="1:5" x14ac:dyDescent="0.25">
      <c r="A2736" s="2">
        <f>IF(B2736="","",SUBTOTAL(3,$B$2:B2736))</f>
        <v>2735</v>
      </c>
      <c r="B2736" s="9" t="s">
        <v>51</v>
      </c>
      <c r="C2736" s="10" t="s">
        <v>54</v>
      </c>
      <c r="D2736" s="11">
        <v>31.769564756962826</v>
      </c>
      <c r="E2736" s="12">
        <f t="shared" si="42"/>
        <v>44174</v>
      </c>
    </row>
    <row r="2737" spans="1:5" x14ac:dyDescent="0.25">
      <c r="A2737" s="2">
        <f>IF(B2737="","",SUBTOTAL(3,$B$2:B2737))</f>
        <v>2736</v>
      </c>
      <c r="B2737" s="9" t="s">
        <v>51</v>
      </c>
      <c r="C2737" s="10" t="s">
        <v>49</v>
      </c>
      <c r="D2737" s="11">
        <v>52.949274594938046</v>
      </c>
      <c r="E2737" s="12">
        <f t="shared" si="42"/>
        <v>44175</v>
      </c>
    </row>
    <row r="2738" spans="1:5" x14ac:dyDescent="0.25">
      <c r="A2738" s="2">
        <f>IF(B2738="","",SUBTOTAL(3,$B$2:B2738))</f>
        <v>2737</v>
      </c>
      <c r="B2738" s="9" t="s">
        <v>48</v>
      </c>
      <c r="C2738" s="10" t="s">
        <v>49</v>
      </c>
      <c r="D2738" s="11">
        <v>44.812133746983797</v>
      </c>
      <c r="E2738" s="12">
        <f t="shared" si="42"/>
        <v>44176</v>
      </c>
    </row>
    <row r="2739" spans="1:5" x14ac:dyDescent="0.25">
      <c r="A2739" s="2">
        <f>IF(B2739="","",SUBTOTAL(3,$B$2:B2739))</f>
        <v>2738</v>
      </c>
      <c r="B2739" s="9" t="s">
        <v>50</v>
      </c>
      <c r="C2739" s="10" t="s">
        <v>49</v>
      </c>
      <c r="D2739" s="11">
        <v>130</v>
      </c>
      <c r="E2739" s="12">
        <f t="shared" si="42"/>
        <v>44177</v>
      </c>
    </row>
    <row r="2740" spans="1:5" x14ac:dyDescent="0.25">
      <c r="A2740" s="2">
        <f>IF(B2740="","",SUBTOTAL(3,$B$2:B2740))</f>
        <v>2739</v>
      </c>
      <c r="B2740" s="9" t="s">
        <v>55</v>
      </c>
      <c r="C2740" s="10" t="s">
        <v>54</v>
      </c>
      <c r="D2740" s="11">
        <v>16.985841389340408</v>
      </c>
      <c r="E2740" s="12">
        <f t="shared" si="42"/>
        <v>44178</v>
      </c>
    </row>
    <row r="2741" spans="1:5" x14ac:dyDescent="0.25">
      <c r="A2741" s="2">
        <f>IF(B2741="","",SUBTOTAL(3,$B$2:B2741))</f>
        <v>2740</v>
      </c>
      <c r="B2741" s="9" t="s">
        <v>55</v>
      </c>
      <c r="C2741" s="10" t="s">
        <v>54</v>
      </c>
      <c r="D2741" s="11">
        <v>18.097224872825862</v>
      </c>
      <c r="E2741" s="12">
        <f t="shared" si="42"/>
        <v>44179</v>
      </c>
    </row>
    <row r="2742" spans="1:5" x14ac:dyDescent="0.25">
      <c r="A2742" s="2">
        <f>IF(B2742="","",SUBTOTAL(3,$B$2:B2742))</f>
        <v>2741</v>
      </c>
      <c r="B2742" s="9" t="s">
        <v>55</v>
      </c>
      <c r="C2742" s="10" t="s">
        <v>49</v>
      </c>
      <c r="D2742" s="11">
        <v>4.2833827990813189</v>
      </c>
      <c r="E2742" s="12">
        <f t="shared" si="42"/>
        <v>44180</v>
      </c>
    </row>
    <row r="2743" spans="1:5" x14ac:dyDescent="0.25">
      <c r="A2743" s="2">
        <f>IF(B2743="","",SUBTOTAL(3,$B$2:B2743))</f>
        <v>2742</v>
      </c>
      <c r="B2743" s="9" t="s">
        <v>48</v>
      </c>
      <c r="C2743" s="10" t="s">
        <v>49</v>
      </c>
      <c r="D2743" s="11">
        <v>15.403573629081947</v>
      </c>
      <c r="E2743" s="12">
        <f t="shared" si="42"/>
        <v>44181</v>
      </c>
    </row>
    <row r="2744" spans="1:5" x14ac:dyDescent="0.25">
      <c r="A2744" s="2">
        <f>IF(B2744="","",SUBTOTAL(3,$B$2:B2744))</f>
        <v>2743</v>
      </c>
      <c r="B2744" s="9" t="s">
        <v>48</v>
      </c>
      <c r="C2744" s="10" t="s">
        <v>49</v>
      </c>
      <c r="D2744" s="11">
        <v>51.706308169596689</v>
      </c>
      <c r="E2744" s="12">
        <f t="shared" si="42"/>
        <v>44182</v>
      </c>
    </row>
    <row r="2745" spans="1:5" x14ac:dyDescent="0.25">
      <c r="A2745" s="2">
        <f>IF(B2745="","",SUBTOTAL(3,$B$2:B2745))</f>
        <v>2744</v>
      </c>
      <c r="B2745" s="9" t="s">
        <v>55</v>
      </c>
      <c r="C2745" s="10" t="s">
        <v>52</v>
      </c>
      <c r="D2745" s="11">
        <v>500</v>
      </c>
      <c r="E2745" s="12">
        <f t="shared" si="42"/>
        <v>44183</v>
      </c>
    </row>
    <row r="2746" spans="1:5" x14ac:dyDescent="0.25">
      <c r="A2746" s="2">
        <f>IF(B2746="","",SUBTOTAL(3,$B$2:B2746))</f>
        <v>2745</v>
      </c>
      <c r="B2746" s="9" t="s">
        <v>48</v>
      </c>
      <c r="C2746" s="10" t="s">
        <v>49</v>
      </c>
      <c r="D2746" s="11">
        <v>0.79799056955276049</v>
      </c>
      <c r="E2746" s="12">
        <f t="shared" si="42"/>
        <v>44184</v>
      </c>
    </row>
    <row r="2747" spans="1:5" x14ac:dyDescent="0.25">
      <c r="A2747" s="2">
        <f>IF(B2747="","",SUBTOTAL(3,$B$2:B2747))</f>
        <v>2746</v>
      </c>
      <c r="B2747" s="9" t="s">
        <v>48</v>
      </c>
      <c r="C2747" s="10" t="s">
        <v>49</v>
      </c>
      <c r="D2747" s="11">
        <v>0.79799056955276049</v>
      </c>
      <c r="E2747" s="12">
        <f t="shared" si="42"/>
        <v>44185</v>
      </c>
    </row>
    <row r="2748" spans="1:5" x14ac:dyDescent="0.25">
      <c r="A2748" s="2">
        <f>IF(B2748="","",SUBTOTAL(3,$B$2:B2748))</f>
        <v>2747</v>
      </c>
      <c r="B2748" s="9" t="s">
        <v>55</v>
      </c>
      <c r="C2748" s="10" t="s">
        <v>52</v>
      </c>
      <c r="D2748" s="11">
        <v>3.2589212970506765</v>
      </c>
      <c r="E2748" s="12">
        <f t="shared" si="42"/>
        <v>44186</v>
      </c>
    </row>
    <row r="2749" spans="1:5" x14ac:dyDescent="0.25">
      <c r="A2749" s="2">
        <f>IF(B2749="","",SUBTOTAL(3,$B$2:B2749))</f>
        <v>2748</v>
      </c>
      <c r="B2749" s="9" t="s">
        <v>55</v>
      </c>
      <c r="C2749" s="10" t="s">
        <v>52</v>
      </c>
      <c r="D2749" s="11">
        <v>20.673496577387787</v>
      </c>
      <c r="E2749" s="12">
        <f t="shared" si="42"/>
        <v>44187</v>
      </c>
    </row>
    <row r="2750" spans="1:5" x14ac:dyDescent="0.25">
      <c r="A2750" s="2">
        <f>IF(B2750="","",SUBTOTAL(3,$B$2:B2750))</f>
        <v>2749</v>
      </c>
      <c r="B2750" s="9" t="s">
        <v>48</v>
      </c>
      <c r="C2750" s="10" t="s">
        <v>49</v>
      </c>
      <c r="D2750" s="11">
        <v>261.86075169439312</v>
      </c>
      <c r="E2750" s="12">
        <f t="shared" si="42"/>
        <v>44188</v>
      </c>
    </row>
    <row r="2751" spans="1:5" x14ac:dyDescent="0.25">
      <c r="A2751" s="2">
        <f>IF(B2751="","",SUBTOTAL(3,$B$2:B2751))</f>
        <v>2750</v>
      </c>
      <c r="B2751" s="9" t="s">
        <v>55</v>
      </c>
      <c r="C2751" s="10" t="s">
        <v>49</v>
      </c>
      <c r="D2751" s="11">
        <v>4.9356067834979633</v>
      </c>
      <c r="E2751" s="12">
        <f t="shared" si="42"/>
        <v>44189</v>
      </c>
    </row>
    <row r="2752" spans="1:5" x14ac:dyDescent="0.25">
      <c r="A2752" s="2">
        <f>IF(B2752="","",SUBTOTAL(3,$B$2:B2752))</f>
        <v>2751</v>
      </c>
      <c r="B2752" s="9" t="s">
        <v>51</v>
      </c>
      <c r="C2752" s="10" t="s">
        <v>49</v>
      </c>
      <c r="D2752" s="11">
        <v>42.359419675950441</v>
      </c>
      <c r="E2752" s="12">
        <f t="shared" si="42"/>
        <v>44190</v>
      </c>
    </row>
    <row r="2753" spans="1:5" x14ac:dyDescent="0.25">
      <c r="A2753" s="2">
        <f>IF(B2753="","",SUBTOTAL(3,$B$2:B2753))</f>
        <v>2752</v>
      </c>
      <c r="B2753" s="9" t="s">
        <v>51</v>
      </c>
      <c r="C2753" s="10" t="s">
        <v>54</v>
      </c>
      <c r="D2753" s="11">
        <v>264.74637297469025</v>
      </c>
      <c r="E2753" s="12">
        <f t="shared" si="42"/>
        <v>44191</v>
      </c>
    </row>
    <row r="2754" spans="1:5" x14ac:dyDescent="0.25">
      <c r="A2754" s="2">
        <f>IF(B2754="","",SUBTOTAL(3,$B$2:B2754))</f>
        <v>2753</v>
      </c>
      <c r="B2754" s="9" t="s">
        <v>48</v>
      </c>
      <c r="C2754" s="10" t="s">
        <v>49</v>
      </c>
      <c r="D2754" s="11">
        <v>46.210720887245841</v>
      </c>
      <c r="E2754" s="12">
        <f t="shared" si="42"/>
        <v>44192</v>
      </c>
    </row>
    <row r="2755" spans="1:5" x14ac:dyDescent="0.25">
      <c r="A2755" s="2">
        <f>IF(B2755="","",SUBTOTAL(3,$B$2:B2755))</f>
        <v>2754</v>
      </c>
      <c r="B2755" s="9" t="s">
        <v>55</v>
      </c>
      <c r="C2755" s="10" t="s">
        <v>54</v>
      </c>
      <c r="D2755" s="11">
        <v>3.77</v>
      </c>
      <c r="E2755" s="12">
        <f t="shared" si="42"/>
        <v>44193</v>
      </c>
    </row>
    <row r="2756" spans="1:5" x14ac:dyDescent="0.25">
      <c r="A2756" s="2">
        <f>IF(B2756="","",SUBTOTAL(3,$B$2:B2756))</f>
        <v>2755</v>
      </c>
      <c r="B2756" s="9" t="s">
        <v>50</v>
      </c>
      <c r="C2756" s="10" t="s">
        <v>52</v>
      </c>
      <c r="D2756" s="11">
        <v>176.3668430335097</v>
      </c>
      <c r="E2756" s="12">
        <f t="shared" ref="E2756:E2819" si="43">E2755+1</f>
        <v>44194</v>
      </c>
    </row>
    <row r="2757" spans="1:5" x14ac:dyDescent="0.25">
      <c r="A2757" s="2">
        <f>IF(B2757="","",SUBTOTAL(3,$B$2:B2757))</f>
        <v>2756</v>
      </c>
      <c r="B2757" s="9" t="s">
        <v>55</v>
      </c>
      <c r="C2757" s="10" t="s">
        <v>49</v>
      </c>
      <c r="D2757" s="11">
        <v>79.625</v>
      </c>
      <c r="E2757" s="12">
        <f t="shared" si="43"/>
        <v>44195</v>
      </c>
    </row>
    <row r="2758" spans="1:5" x14ac:dyDescent="0.25">
      <c r="A2758" s="2">
        <f>IF(B2758="","",SUBTOTAL(3,$B$2:B2758))</f>
        <v>2757</v>
      </c>
      <c r="B2758" s="9" t="s">
        <v>48</v>
      </c>
      <c r="C2758" s="10" t="s">
        <v>56</v>
      </c>
      <c r="D2758" s="11">
        <v>321.2005190600388</v>
      </c>
      <c r="E2758" s="12">
        <f t="shared" si="43"/>
        <v>44196</v>
      </c>
    </row>
    <row r="2759" spans="1:5" x14ac:dyDescent="0.25">
      <c r="A2759" s="2">
        <f>IF(B2759="","",SUBTOTAL(3,$B$2:B2759))</f>
        <v>2758</v>
      </c>
      <c r="B2759" s="9" t="s">
        <v>48</v>
      </c>
      <c r="C2759" s="10" t="s">
        <v>52</v>
      </c>
      <c r="D2759" s="11">
        <v>100.2145619467321</v>
      </c>
      <c r="E2759" s="12">
        <f t="shared" si="43"/>
        <v>44197</v>
      </c>
    </row>
    <row r="2760" spans="1:5" x14ac:dyDescent="0.25">
      <c r="A2760" s="2">
        <f>IF(B2760="","",SUBTOTAL(3,$B$2:B2760))</f>
        <v>2759</v>
      </c>
      <c r="B2760" s="9" t="s">
        <v>50</v>
      </c>
      <c r="C2760" s="10" t="s">
        <v>49</v>
      </c>
      <c r="D2760" s="11">
        <v>154.32098765432099</v>
      </c>
      <c r="E2760" s="12">
        <f t="shared" si="43"/>
        <v>44198</v>
      </c>
    </row>
    <row r="2761" spans="1:5" x14ac:dyDescent="0.25">
      <c r="A2761" s="2">
        <f>IF(B2761="","",SUBTOTAL(3,$B$2:B2761))</f>
        <v>2760</v>
      </c>
      <c r="B2761" s="9" t="s">
        <v>48</v>
      </c>
      <c r="C2761" s="10" t="s">
        <v>56</v>
      </c>
      <c r="D2761" s="11">
        <v>835.12134955610088</v>
      </c>
      <c r="E2761" s="12">
        <f t="shared" si="43"/>
        <v>44199</v>
      </c>
    </row>
    <row r="2762" spans="1:5" x14ac:dyDescent="0.25">
      <c r="A2762" s="2">
        <f>IF(B2762="","",SUBTOTAL(3,$B$2:B2762))</f>
        <v>2761</v>
      </c>
      <c r="B2762" s="9" t="s">
        <v>48</v>
      </c>
      <c r="C2762" s="10" t="s">
        <v>49</v>
      </c>
      <c r="D2762" s="11">
        <v>15.015224904603446</v>
      </c>
      <c r="E2762" s="12">
        <f t="shared" si="43"/>
        <v>44200</v>
      </c>
    </row>
    <row r="2763" spans="1:5" x14ac:dyDescent="0.25">
      <c r="A2763" s="2">
        <f>IF(B2763="","",SUBTOTAL(3,$B$2:B2763))</f>
        <v>2762</v>
      </c>
      <c r="B2763" s="9" t="s">
        <v>50</v>
      </c>
      <c r="C2763" s="10" t="s">
        <v>49</v>
      </c>
      <c r="D2763" s="11">
        <v>418.87125220458552</v>
      </c>
      <c r="E2763" s="12">
        <f t="shared" si="43"/>
        <v>44201</v>
      </c>
    </row>
    <row r="2764" spans="1:5" x14ac:dyDescent="0.25">
      <c r="A2764" s="2">
        <f>IF(B2764="","",SUBTOTAL(3,$B$2:B2764))</f>
        <v>2763</v>
      </c>
      <c r="B2764" s="9" t="s">
        <v>48</v>
      </c>
      <c r="C2764" s="10" t="s">
        <v>52</v>
      </c>
      <c r="D2764" s="11">
        <v>38.54406228720466</v>
      </c>
      <c r="E2764" s="12">
        <f t="shared" si="43"/>
        <v>44202</v>
      </c>
    </row>
    <row r="2765" spans="1:5" x14ac:dyDescent="0.25">
      <c r="A2765" s="2">
        <f>IF(B2765="","",SUBTOTAL(3,$B$2:B2765))</f>
        <v>2764</v>
      </c>
      <c r="B2765" s="9" t="s">
        <v>55</v>
      </c>
      <c r="C2765" s="10" t="s">
        <v>52</v>
      </c>
      <c r="D2765" s="11">
        <v>16.048788316482106</v>
      </c>
      <c r="E2765" s="12">
        <f t="shared" si="43"/>
        <v>44203</v>
      </c>
    </row>
    <row r="2766" spans="1:5" x14ac:dyDescent="0.25">
      <c r="A2766" s="2">
        <f>IF(B2766="","",SUBTOTAL(3,$B$2:B2766))</f>
        <v>2765</v>
      </c>
      <c r="B2766" s="9" t="s">
        <v>55</v>
      </c>
      <c r="C2766" s="10" t="s">
        <v>52</v>
      </c>
      <c r="D2766" s="11">
        <v>8.0243941582410532</v>
      </c>
      <c r="E2766" s="12">
        <f t="shared" si="43"/>
        <v>44204</v>
      </c>
    </row>
    <row r="2767" spans="1:5" x14ac:dyDescent="0.25">
      <c r="A2767" s="2">
        <f>IF(B2767="","",SUBTOTAL(3,$B$2:B2767))</f>
        <v>2766</v>
      </c>
      <c r="B2767" s="9" t="s">
        <v>50</v>
      </c>
      <c r="C2767" s="10" t="s">
        <v>49</v>
      </c>
      <c r="D2767" s="11">
        <v>3.9682539682539684</v>
      </c>
      <c r="E2767" s="12">
        <f t="shared" si="43"/>
        <v>44205</v>
      </c>
    </row>
    <row r="2768" spans="1:5" x14ac:dyDescent="0.25">
      <c r="A2768" s="2">
        <f>IF(B2768="","",SUBTOTAL(3,$B$2:B2768))</f>
        <v>2767</v>
      </c>
      <c r="B2768" s="9" t="s">
        <v>50</v>
      </c>
      <c r="C2768" s="10" t="s">
        <v>52</v>
      </c>
      <c r="D2768" s="11">
        <v>44.091710758377424</v>
      </c>
      <c r="E2768" s="12">
        <f t="shared" si="43"/>
        <v>44206</v>
      </c>
    </row>
    <row r="2769" spans="1:5" x14ac:dyDescent="0.25">
      <c r="A2769" s="2">
        <f>IF(B2769="","",SUBTOTAL(3,$B$2:B2769))</f>
        <v>2768</v>
      </c>
      <c r="B2769" s="9" t="s">
        <v>55</v>
      </c>
      <c r="C2769" s="10" t="s">
        <v>52</v>
      </c>
      <c r="D2769" s="11">
        <v>52.832269031102129</v>
      </c>
      <c r="E2769" s="12">
        <f t="shared" si="43"/>
        <v>44207</v>
      </c>
    </row>
    <row r="2770" spans="1:5" x14ac:dyDescent="0.25">
      <c r="A2770" s="2">
        <f>IF(B2770="","",SUBTOTAL(3,$B$2:B2770))</f>
        <v>2769</v>
      </c>
      <c r="B2770" s="9" t="s">
        <v>50</v>
      </c>
      <c r="C2770" s="10" t="s">
        <v>52</v>
      </c>
      <c r="D2770" s="11">
        <v>44.091710758377424</v>
      </c>
      <c r="E2770" s="12">
        <f t="shared" si="43"/>
        <v>44208</v>
      </c>
    </row>
    <row r="2771" spans="1:5" x14ac:dyDescent="0.25">
      <c r="A2771" s="2">
        <f>IF(B2771="","",SUBTOTAL(3,$B$2:B2771))</f>
        <v>2770</v>
      </c>
      <c r="B2771" s="9" t="s">
        <v>48</v>
      </c>
      <c r="C2771" s="10" t="s">
        <v>49</v>
      </c>
      <c r="D2771" s="11">
        <v>3.7538062261508616</v>
      </c>
      <c r="E2771" s="12">
        <f t="shared" si="43"/>
        <v>44209</v>
      </c>
    </row>
    <row r="2772" spans="1:5" x14ac:dyDescent="0.25">
      <c r="A2772" s="2">
        <f>IF(B2772="","",SUBTOTAL(3,$B$2:B2772))</f>
        <v>2771</v>
      </c>
      <c r="B2772" s="9" t="s">
        <v>48</v>
      </c>
      <c r="C2772" s="10" t="s">
        <v>49</v>
      </c>
      <c r="D2772" s="11">
        <v>68.941744226128904</v>
      </c>
      <c r="E2772" s="12">
        <f t="shared" si="43"/>
        <v>44210</v>
      </c>
    </row>
    <row r="2773" spans="1:5" x14ac:dyDescent="0.25">
      <c r="A2773" s="2">
        <f>IF(B2773="","",SUBTOTAL(3,$B$2:B2773))</f>
        <v>2772</v>
      </c>
      <c r="B2773" s="9" t="s">
        <v>51</v>
      </c>
      <c r="C2773" s="10" t="s">
        <v>54</v>
      </c>
      <c r="D2773" s="11">
        <v>105.89854918987609</v>
      </c>
      <c r="E2773" s="12">
        <f t="shared" si="43"/>
        <v>44211</v>
      </c>
    </row>
    <row r="2774" spans="1:5" x14ac:dyDescent="0.25">
      <c r="A2774" s="2">
        <f>IF(B2774="","",SUBTOTAL(3,$B$2:B2774))</f>
        <v>2773</v>
      </c>
      <c r="B2774" s="9" t="s">
        <v>51</v>
      </c>
      <c r="C2774" s="10" t="s">
        <v>52</v>
      </c>
      <c r="D2774" s="11">
        <v>0.1058985491898761</v>
      </c>
      <c r="E2774" s="12">
        <f t="shared" si="43"/>
        <v>44212</v>
      </c>
    </row>
    <row r="2775" spans="1:5" x14ac:dyDescent="0.25">
      <c r="A2775" s="2">
        <f>IF(B2775="","",SUBTOTAL(3,$B$2:B2775))</f>
        <v>2774</v>
      </c>
      <c r="B2775" s="9" t="s">
        <v>51</v>
      </c>
      <c r="C2775" s="10" t="s">
        <v>52</v>
      </c>
      <c r="D2775" s="11">
        <v>52.949274594938046</v>
      </c>
      <c r="E2775" s="12">
        <f t="shared" si="43"/>
        <v>44213</v>
      </c>
    </row>
    <row r="2776" spans="1:5" x14ac:dyDescent="0.25">
      <c r="A2776" s="2">
        <f>IF(B2776="","",SUBTOTAL(3,$B$2:B2776))</f>
        <v>2775</v>
      </c>
      <c r="B2776" s="9" t="s">
        <v>48</v>
      </c>
      <c r="C2776" s="10" t="s">
        <v>52</v>
      </c>
      <c r="D2776" s="11">
        <v>86.177180282661155</v>
      </c>
      <c r="E2776" s="12">
        <f t="shared" si="43"/>
        <v>44214</v>
      </c>
    </row>
    <row r="2777" spans="1:5" x14ac:dyDescent="0.25">
      <c r="A2777" s="2">
        <f>IF(B2777="","",SUBTOTAL(3,$B$2:B2777))</f>
        <v>2776</v>
      </c>
      <c r="B2777" s="9" t="s">
        <v>48</v>
      </c>
      <c r="C2777" s="10" t="s">
        <v>52</v>
      </c>
      <c r="D2777" s="11">
        <v>86.177180282661155</v>
      </c>
      <c r="E2777" s="12">
        <f t="shared" si="43"/>
        <v>44215</v>
      </c>
    </row>
    <row r="2778" spans="1:5" x14ac:dyDescent="0.25">
      <c r="A2778" s="2">
        <f>IF(B2778="","",SUBTOTAL(3,$B$2:B2778))</f>
        <v>2777</v>
      </c>
      <c r="B2778" s="9" t="s">
        <v>48</v>
      </c>
      <c r="C2778" s="10" t="s">
        <v>49</v>
      </c>
      <c r="D2778" s="11">
        <v>6.8941744226128918</v>
      </c>
      <c r="E2778" s="12">
        <f t="shared" si="43"/>
        <v>44216</v>
      </c>
    </row>
    <row r="2779" spans="1:5" x14ac:dyDescent="0.25">
      <c r="A2779" s="2">
        <f>IF(B2779="","",SUBTOTAL(3,$B$2:B2779))</f>
        <v>2778</v>
      </c>
      <c r="B2779" s="9" t="s">
        <v>48</v>
      </c>
      <c r="C2779" s="10" t="s">
        <v>52</v>
      </c>
      <c r="D2779" s="11">
        <v>1441.7744916820702</v>
      </c>
      <c r="E2779" s="12">
        <f t="shared" si="43"/>
        <v>44217</v>
      </c>
    </row>
    <row r="2780" spans="1:5" x14ac:dyDescent="0.25">
      <c r="A2780" s="2">
        <f>IF(B2780="","",SUBTOTAL(3,$B$2:B2780))</f>
        <v>2779</v>
      </c>
      <c r="B2780" s="9" t="s">
        <v>48</v>
      </c>
      <c r="C2780" s="10" t="s">
        <v>57</v>
      </c>
      <c r="D2780" s="11">
        <v>77.017868145409736</v>
      </c>
      <c r="E2780" s="12">
        <f t="shared" si="43"/>
        <v>44218</v>
      </c>
    </row>
    <row r="2781" spans="1:5" x14ac:dyDescent="0.25">
      <c r="A2781" s="2">
        <f>IF(B2781="","",SUBTOTAL(3,$B$2:B2781))</f>
        <v>2780</v>
      </c>
      <c r="B2781" s="9" t="s">
        <v>53</v>
      </c>
      <c r="C2781" s="10" t="s">
        <v>49</v>
      </c>
      <c r="D2781" s="11">
        <v>91.585994669695125</v>
      </c>
      <c r="E2781" s="12">
        <f t="shared" si="43"/>
        <v>44219</v>
      </c>
    </row>
    <row r="2782" spans="1:5" x14ac:dyDescent="0.25">
      <c r="A2782" s="2">
        <f>IF(B2782="","",SUBTOTAL(3,$B$2:B2782))</f>
        <v>2781</v>
      </c>
      <c r="B2782" s="9" t="s">
        <v>53</v>
      </c>
      <c r="C2782" s="10" t="s">
        <v>49</v>
      </c>
      <c r="D2782" s="11">
        <v>91.585994669695125</v>
      </c>
      <c r="E2782" s="12">
        <f t="shared" si="43"/>
        <v>44220</v>
      </c>
    </row>
    <row r="2783" spans="1:5" x14ac:dyDescent="0.25">
      <c r="A2783" s="2">
        <f>IF(B2783="","",SUBTOTAL(3,$B$2:B2783))</f>
        <v>2782</v>
      </c>
      <c r="B2783" s="9" t="s">
        <v>53</v>
      </c>
      <c r="C2783" s="10" t="s">
        <v>49</v>
      </c>
      <c r="D2783" s="11">
        <v>71.883595116634766</v>
      </c>
      <c r="E2783" s="12">
        <f t="shared" si="43"/>
        <v>44221</v>
      </c>
    </row>
    <row r="2784" spans="1:5" x14ac:dyDescent="0.25">
      <c r="A2784" s="2">
        <f>IF(B2784="","",SUBTOTAL(3,$B$2:B2784))</f>
        <v>2783</v>
      </c>
      <c r="B2784" s="9" t="s">
        <v>48</v>
      </c>
      <c r="C2784" s="10" t="s">
        <v>54</v>
      </c>
      <c r="D2784" s="11">
        <v>308.07147258163894</v>
      </c>
      <c r="E2784" s="12">
        <f t="shared" si="43"/>
        <v>44222</v>
      </c>
    </row>
    <row r="2785" spans="1:5" x14ac:dyDescent="0.25">
      <c r="A2785" s="2">
        <f>IF(B2785="","",SUBTOTAL(3,$B$2:B2785))</f>
        <v>2784</v>
      </c>
      <c r="B2785" s="9" t="s">
        <v>48</v>
      </c>
      <c r="C2785" s="10" t="s">
        <v>49</v>
      </c>
      <c r="D2785" s="11">
        <v>46.210720887245841</v>
      </c>
      <c r="E2785" s="12">
        <f t="shared" si="43"/>
        <v>44223</v>
      </c>
    </row>
    <row r="2786" spans="1:5" x14ac:dyDescent="0.25">
      <c r="A2786" s="2">
        <f>IF(B2786="","",SUBTOTAL(3,$B$2:B2786))</f>
        <v>2785</v>
      </c>
      <c r="B2786" s="9" t="s">
        <v>53</v>
      </c>
      <c r="C2786" s="10" t="s">
        <v>54</v>
      </c>
      <c r="D2786" s="11">
        <v>45.792997334847563</v>
      </c>
      <c r="E2786" s="12">
        <f t="shared" si="43"/>
        <v>44224</v>
      </c>
    </row>
    <row r="2787" spans="1:5" x14ac:dyDescent="0.25">
      <c r="A2787" s="2">
        <f>IF(B2787="","",SUBTOTAL(3,$B$2:B2787))</f>
        <v>2786</v>
      </c>
      <c r="B2787" s="9" t="s">
        <v>50</v>
      </c>
      <c r="C2787" s="10" t="s">
        <v>52</v>
      </c>
      <c r="D2787" s="11">
        <v>88.183421516754848</v>
      </c>
      <c r="E2787" s="12">
        <f t="shared" si="43"/>
        <v>44225</v>
      </c>
    </row>
    <row r="2788" spans="1:5" x14ac:dyDescent="0.25">
      <c r="A2788" s="2">
        <f>IF(B2788="","",SUBTOTAL(3,$B$2:B2788))</f>
        <v>2787</v>
      </c>
      <c r="B2788" s="9" t="s">
        <v>50</v>
      </c>
      <c r="C2788" s="10" t="s">
        <v>52</v>
      </c>
      <c r="D2788" s="11">
        <v>88.183421516754848</v>
      </c>
      <c r="E2788" s="12">
        <f t="shared" si="43"/>
        <v>44226</v>
      </c>
    </row>
    <row r="2789" spans="1:5" x14ac:dyDescent="0.25">
      <c r="A2789" s="2">
        <f>IF(B2789="","",SUBTOTAL(3,$B$2:B2789))</f>
        <v>2788</v>
      </c>
      <c r="B2789" s="9" t="s">
        <v>50</v>
      </c>
      <c r="C2789" s="10" t="s">
        <v>52</v>
      </c>
      <c r="D2789" s="11">
        <v>88.183421516754848</v>
      </c>
      <c r="E2789" s="12">
        <f t="shared" si="43"/>
        <v>44227</v>
      </c>
    </row>
    <row r="2790" spans="1:5" x14ac:dyDescent="0.25">
      <c r="A2790" s="2">
        <f>IF(B2790="","",SUBTOTAL(3,$B$2:B2790))</f>
        <v>2789</v>
      </c>
      <c r="B2790" s="9" t="s">
        <v>50</v>
      </c>
      <c r="C2790" s="10" t="s">
        <v>52</v>
      </c>
      <c r="D2790" s="11">
        <v>88.183421516754848</v>
      </c>
      <c r="E2790" s="12">
        <f t="shared" si="43"/>
        <v>44228</v>
      </c>
    </row>
    <row r="2791" spans="1:5" x14ac:dyDescent="0.25">
      <c r="A2791" s="2">
        <f>IF(B2791="","",SUBTOTAL(3,$B$2:B2791))</f>
        <v>2790</v>
      </c>
      <c r="B2791" s="9" t="s">
        <v>50</v>
      </c>
      <c r="C2791" s="10" t="s">
        <v>52</v>
      </c>
      <c r="D2791" s="11">
        <v>88.183421516754848</v>
      </c>
      <c r="E2791" s="12">
        <f t="shared" si="43"/>
        <v>44229</v>
      </c>
    </row>
    <row r="2792" spans="1:5" x14ac:dyDescent="0.25">
      <c r="A2792" s="2">
        <f>IF(B2792="","",SUBTOTAL(3,$B$2:B2792))</f>
        <v>2791</v>
      </c>
      <c r="B2792" s="9" t="s">
        <v>50</v>
      </c>
      <c r="C2792" s="10" t="s">
        <v>49</v>
      </c>
      <c r="D2792" s="11">
        <v>220.45855379188714</v>
      </c>
      <c r="E2792" s="12">
        <f t="shared" si="43"/>
        <v>44230</v>
      </c>
    </row>
    <row r="2793" spans="1:5" x14ac:dyDescent="0.25">
      <c r="A2793" s="2">
        <f>IF(B2793="","",SUBTOTAL(3,$B$2:B2793))</f>
        <v>2792</v>
      </c>
      <c r="B2793" s="9" t="s">
        <v>50</v>
      </c>
      <c r="C2793" s="10" t="s">
        <v>52</v>
      </c>
      <c r="D2793" s="11">
        <v>88.183421516754848</v>
      </c>
      <c r="E2793" s="12">
        <f t="shared" si="43"/>
        <v>44231</v>
      </c>
    </row>
    <row r="2794" spans="1:5" x14ac:dyDescent="0.25">
      <c r="A2794" s="2">
        <f>IF(B2794="","",SUBTOTAL(3,$B$2:B2794))</f>
        <v>2793</v>
      </c>
      <c r="B2794" s="9" t="s">
        <v>50</v>
      </c>
      <c r="C2794" s="10" t="s">
        <v>52</v>
      </c>
      <c r="D2794" s="11">
        <v>88.183421516754848</v>
      </c>
      <c r="E2794" s="12">
        <f t="shared" si="43"/>
        <v>44232</v>
      </c>
    </row>
    <row r="2795" spans="1:5" x14ac:dyDescent="0.25">
      <c r="A2795" s="2">
        <f>IF(B2795="","",SUBTOTAL(3,$B$2:B2795))</f>
        <v>2794</v>
      </c>
      <c r="B2795" s="9" t="s">
        <v>50</v>
      </c>
      <c r="C2795" s="10" t="s">
        <v>52</v>
      </c>
      <c r="D2795" s="11">
        <v>88.183421516754848</v>
      </c>
      <c r="E2795" s="12">
        <f t="shared" si="43"/>
        <v>44233</v>
      </c>
    </row>
    <row r="2796" spans="1:5" x14ac:dyDescent="0.25">
      <c r="A2796" s="2">
        <f>IF(B2796="","",SUBTOTAL(3,$B$2:B2796))</f>
        <v>2795</v>
      </c>
      <c r="B2796" s="9" t="s">
        <v>50</v>
      </c>
      <c r="C2796" s="10" t="s">
        <v>52</v>
      </c>
      <c r="D2796" s="11">
        <v>88.183421516754848</v>
      </c>
      <c r="E2796" s="12">
        <f t="shared" si="43"/>
        <v>44234</v>
      </c>
    </row>
    <row r="2797" spans="1:5" x14ac:dyDescent="0.25">
      <c r="A2797" s="2">
        <f>IF(B2797="","",SUBTOTAL(3,$B$2:B2797))</f>
        <v>2796</v>
      </c>
      <c r="B2797" s="9" t="s">
        <v>48</v>
      </c>
      <c r="C2797" s="10" t="s">
        <v>52</v>
      </c>
      <c r="D2797" s="11">
        <v>86.177180282661155</v>
      </c>
      <c r="E2797" s="12">
        <f t="shared" si="43"/>
        <v>44235</v>
      </c>
    </row>
    <row r="2798" spans="1:5" x14ac:dyDescent="0.25">
      <c r="A2798" s="2">
        <f>IF(B2798="","",SUBTOTAL(3,$B$2:B2798))</f>
        <v>2797</v>
      </c>
      <c r="B2798" s="9" t="s">
        <v>55</v>
      </c>
      <c r="C2798" s="10" t="s">
        <v>56</v>
      </c>
      <c r="D2798" s="11">
        <v>70.614668592521269</v>
      </c>
      <c r="E2798" s="12">
        <f t="shared" si="43"/>
        <v>44236</v>
      </c>
    </row>
    <row r="2799" spans="1:5" x14ac:dyDescent="0.25">
      <c r="A2799" s="2">
        <f>IF(B2799="","",SUBTOTAL(3,$B$2:B2799))</f>
        <v>2798</v>
      </c>
      <c r="B2799" s="9" t="s">
        <v>55</v>
      </c>
      <c r="C2799" s="10" t="s">
        <v>56</v>
      </c>
      <c r="D2799" s="11">
        <v>32.097576632964213</v>
      </c>
      <c r="E2799" s="12">
        <f t="shared" si="43"/>
        <v>44237</v>
      </c>
    </row>
    <row r="2800" spans="1:5" x14ac:dyDescent="0.25">
      <c r="A2800" s="2">
        <f>IF(B2800="","",SUBTOTAL(3,$B$2:B2800))</f>
        <v>2799</v>
      </c>
      <c r="B2800" s="9" t="s">
        <v>51</v>
      </c>
      <c r="C2800" s="10" t="s">
        <v>49</v>
      </c>
      <c r="D2800" s="11">
        <v>635.3912951392565</v>
      </c>
      <c r="E2800" s="12">
        <f t="shared" si="43"/>
        <v>44238</v>
      </c>
    </row>
    <row r="2801" spans="1:5" x14ac:dyDescent="0.25">
      <c r="A2801" s="2">
        <f>IF(B2801="","",SUBTOTAL(3,$B$2:B2801))</f>
        <v>2800</v>
      </c>
      <c r="B2801" s="9" t="s">
        <v>55</v>
      </c>
      <c r="C2801" s="10" t="s">
        <v>54</v>
      </c>
      <c r="D2801" s="11">
        <v>64.195153265928425</v>
      </c>
      <c r="E2801" s="12">
        <f t="shared" si="43"/>
        <v>44239</v>
      </c>
    </row>
    <row r="2802" spans="1:5" x14ac:dyDescent="0.25">
      <c r="A2802" s="2">
        <f>IF(B2802="","",SUBTOTAL(3,$B$2:B2802))</f>
        <v>2801</v>
      </c>
      <c r="B2802" s="9" t="s">
        <v>51</v>
      </c>
      <c r="C2802" s="10" t="s">
        <v>54</v>
      </c>
      <c r="D2802" s="11">
        <v>52.949274594938046</v>
      </c>
      <c r="E2802" s="12">
        <f t="shared" si="43"/>
        <v>44240</v>
      </c>
    </row>
    <row r="2803" spans="1:5" x14ac:dyDescent="0.25">
      <c r="A2803" s="2">
        <f>IF(B2803="","",SUBTOTAL(3,$B$2:B2803))</f>
        <v>2802</v>
      </c>
      <c r="B2803" s="9" t="s">
        <v>55</v>
      </c>
      <c r="C2803" s="10" t="s">
        <v>52</v>
      </c>
      <c r="D2803" s="11">
        <v>344.55827628979654</v>
      </c>
      <c r="E2803" s="12">
        <f t="shared" si="43"/>
        <v>44241</v>
      </c>
    </row>
    <row r="2804" spans="1:5" x14ac:dyDescent="0.25">
      <c r="A2804" s="2">
        <f>IF(B2804="","",SUBTOTAL(3,$B$2:B2804))</f>
        <v>2803</v>
      </c>
      <c r="B2804" s="9" t="s">
        <v>51</v>
      </c>
      <c r="C2804" s="10" t="s">
        <v>49</v>
      </c>
      <c r="D2804" s="11">
        <v>158.84782378481412</v>
      </c>
      <c r="E2804" s="12">
        <f t="shared" si="43"/>
        <v>44242</v>
      </c>
    </row>
    <row r="2805" spans="1:5" x14ac:dyDescent="0.25">
      <c r="A2805" s="2">
        <f>IF(B2805="","",SUBTOTAL(3,$B$2:B2805))</f>
        <v>2804</v>
      </c>
      <c r="B2805" s="9" t="s">
        <v>51</v>
      </c>
      <c r="C2805" s="10" t="s">
        <v>49</v>
      </c>
      <c r="D2805" s="11">
        <v>0</v>
      </c>
      <c r="E2805" s="12">
        <f t="shared" si="43"/>
        <v>44243</v>
      </c>
    </row>
    <row r="2806" spans="1:5" x14ac:dyDescent="0.25">
      <c r="A2806" s="2">
        <f>IF(B2806="","",SUBTOTAL(3,$B$2:B2806))</f>
        <v>2805</v>
      </c>
      <c r="B2806" s="9" t="s">
        <v>55</v>
      </c>
      <c r="C2806" s="10" t="s">
        <v>49</v>
      </c>
      <c r="D2806" s="11">
        <v>37.850875178021781</v>
      </c>
      <c r="E2806" s="12">
        <f t="shared" si="43"/>
        <v>44244</v>
      </c>
    </row>
    <row r="2807" spans="1:5" x14ac:dyDescent="0.25">
      <c r="A2807" s="2">
        <f>IF(B2807="","",SUBTOTAL(3,$B$2:B2807))</f>
        <v>2806</v>
      </c>
      <c r="B2807" s="9" t="s">
        <v>50</v>
      </c>
      <c r="C2807" s="10" t="s">
        <v>52</v>
      </c>
      <c r="D2807" s="11">
        <v>77.160493827160494</v>
      </c>
      <c r="E2807" s="12">
        <f t="shared" si="43"/>
        <v>44245</v>
      </c>
    </row>
    <row r="2808" spans="1:5" x14ac:dyDescent="0.25">
      <c r="A2808" s="2">
        <f>IF(B2808="","",SUBTOTAL(3,$B$2:B2808))</f>
        <v>2807</v>
      </c>
      <c r="B2808" s="9" t="s">
        <v>50</v>
      </c>
      <c r="C2808" s="10" t="s">
        <v>52</v>
      </c>
      <c r="D2808" s="11">
        <v>88.183421516754848</v>
      </c>
      <c r="E2808" s="12">
        <f t="shared" si="43"/>
        <v>44246</v>
      </c>
    </row>
    <row r="2809" spans="1:5" x14ac:dyDescent="0.25">
      <c r="A2809" s="2">
        <f>IF(B2809="","",SUBTOTAL(3,$B$2:B2809))</f>
        <v>2808</v>
      </c>
      <c r="B2809" s="9" t="s">
        <v>48</v>
      </c>
      <c r="C2809" s="10" t="s">
        <v>49</v>
      </c>
      <c r="D2809" s="11">
        <v>92.421441774491683</v>
      </c>
      <c r="E2809" s="12">
        <f t="shared" si="43"/>
        <v>44247</v>
      </c>
    </row>
    <row r="2810" spans="1:5" x14ac:dyDescent="0.25">
      <c r="A2810" s="2">
        <f>IF(B2810="","",SUBTOTAL(3,$B$2:B2810))</f>
        <v>2809</v>
      </c>
      <c r="B2810" s="9" t="s">
        <v>48</v>
      </c>
      <c r="C2810" s="10" t="s">
        <v>49</v>
      </c>
      <c r="D2810" s="11">
        <v>25.696041524803107</v>
      </c>
      <c r="E2810" s="12">
        <f t="shared" si="43"/>
        <v>44248</v>
      </c>
    </row>
    <row r="2811" spans="1:5" x14ac:dyDescent="0.25">
      <c r="A2811" s="2">
        <f>IF(B2811="","",SUBTOTAL(3,$B$2:B2811))</f>
        <v>2810</v>
      </c>
      <c r="B2811" s="9" t="s">
        <v>48</v>
      </c>
      <c r="C2811" s="10" t="s">
        <v>49</v>
      </c>
      <c r="D2811" s="11">
        <v>17.987229067362172</v>
      </c>
      <c r="E2811" s="12">
        <f t="shared" si="43"/>
        <v>44249</v>
      </c>
    </row>
    <row r="2812" spans="1:5" x14ac:dyDescent="0.25">
      <c r="A2812" s="2">
        <f>IF(B2812="","",SUBTOTAL(3,$B$2:B2812))</f>
        <v>2811</v>
      </c>
      <c r="B2812" s="9" t="s">
        <v>55</v>
      </c>
      <c r="C2812" s="10" t="s">
        <v>52</v>
      </c>
      <c r="D2812" s="11">
        <v>162.94606485253382</v>
      </c>
      <c r="E2812" s="12">
        <f t="shared" si="43"/>
        <v>44250</v>
      </c>
    </row>
    <row r="2813" spans="1:5" x14ac:dyDescent="0.25">
      <c r="A2813" s="2">
        <f>IF(B2813="","",SUBTOTAL(3,$B$2:B2813))</f>
        <v>2812</v>
      </c>
      <c r="B2813" s="9" t="s">
        <v>55</v>
      </c>
      <c r="C2813" s="10" t="s">
        <v>49</v>
      </c>
      <c r="D2813" s="11">
        <v>3.77</v>
      </c>
      <c r="E2813" s="12">
        <f t="shared" si="43"/>
        <v>44251</v>
      </c>
    </row>
    <row r="2814" spans="1:5" x14ac:dyDescent="0.25">
      <c r="A2814" s="2">
        <f>IF(B2814="","",SUBTOTAL(3,$B$2:B2814))</f>
        <v>2813</v>
      </c>
      <c r="B2814" s="9" t="s">
        <v>50</v>
      </c>
      <c r="C2814" s="10" t="s">
        <v>52</v>
      </c>
      <c r="D2814" s="11">
        <v>66.137566137566139</v>
      </c>
      <c r="E2814" s="12">
        <f t="shared" si="43"/>
        <v>44252</v>
      </c>
    </row>
    <row r="2815" spans="1:5" x14ac:dyDescent="0.25">
      <c r="A2815" s="2">
        <f>IF(B2815="","",SUBTOTAL(3,$B$2:B2815))</f>
        <v>2814</v>
      </c>
      <c r="B2815" s="9" t="s">
        <v>48</v>
      </c>
      <c r="C2815" s="10" t="s">
        <v>54</v>
      </c>
      <c r="D2815" s="11">
        <v>308.07147258163894</v>
      </c>
      <c r="E2815" s="12">
        <f t="shared" si="43"/>
        <v>44253</v>
      </c>
    </row>
    <row r="2816" spans="1:5" x14ac:dyDescent="0.25">
      <c r="A2816" s="2">
        <f>IF(B2816="","",SUBTOTAL(3,$B$2:B2816))</f>
        <v>2815</v>
      </c>
      <c r="B2816" s="9" t="s">
        <v>48</v>
      </c>
      <c r="C2816" s="10" t="s">
        <v>54</v>
      </c>
      <c r="D2816" s="11">
        <v>154.03573629081947</v>
      </c>
      <c r="E2816" s="12">
        <f t="shared" si="43"/>
        <v>44254</v>
      </c>
    </row>
    <row r="2817" spans="1:5" x14ac:dyDescent="0.25">
      <c r="A2817" s="2">
        <f>IF(B2817="","",SUBTOTAL(3,$B$2:B2817))</f>
        <v>2816</v>
      </c>
      <c r="B2817" s="9" t="s">
        <v>48</v>
      </c>
      <c r="C2817" s="10" t="s">
        <v>54</v>
      </c>
      <c r="D2817" s="11">
        <v>154.03573629081947</v>
      </c>
      <c r="E2817" s="12">
        <f t="shared" si="43"/>
        <v>44255</v>
      </c>
    </row>
    <row r="2818" spans="1:5" x14ac:dyDescent="0.25">
      <c r="A2818" s="2">
        <f>IF(B2818="","",SUBTOTAL(3,$B$2:B2818))</f>
        <v>2817</v>
      </c>
      <c r="B2818" s="9" t="s">
        <v>48</v>
      </c>
      <c r="C2818" s="10" t="s">
        <v>49</v>
      </c>
      <c r="D2818" s="11">
        <v>46.210720887245841</v>
      </c>
      <c r="E2818" s="12">
        <f t="shared" si="43"/>
        <v>44256</v>
      </c>
    </row>
    <row r="2819" spans="1:5" x14ac:dyDescent="0.25">
      <c r="A2819" s="2">
        <f>IF(B2819="","",SUBTOTAL(3,$B$2:B2819))</f>
        <v>2818</v>
      </c>
      <c r="B2819" s="9" t="s">
        <v>48</v>
      </c>
      <c r="C2819" s="10" t="s">
        <v>52</v>
      </c>
      <c r="D2819" s="11">
        <v>462.10720887245844</v>
      </c>
      <c r="E2819" s="12">
        <f t="shared" si="43"/>
        <v>44257</v>
      </c>
    </row>
    <row r="2820" spans="1:5" x14ac:dyDescent="0.25">
      <c r="A2820" s="2">
        <f>IF(B2820="","",SUBTOTAL(3,$B$2:B2820))</f>
        <v>2819</v>
      </c>
      <c r="B2820" s="9" t="s">
        <v>48</v>
      </c>
      <c r="C2820" s="10" t="s">
        <v>52</v>
      </c>
      <c r="D2820" s="11">
        <v>33.887861983980287</v>
      </c>
      <c r="E2820" s="12">
        <f t="shared" ref="E2820:E2883" si="44">E2819+1</f>
        <v>44258</v>
      </c>
    </row>
    <row r="2821" spans="1:5" x14ac:dyDescent="0.25">
      <c r="A2821" s="2">
        <f>IF(B2821="","",SUBTOTAL(3,$B$2:B2821))</f>
        <v>2820</v>
      </c>
      <c r="B2821" s="9" t="s">
        <v>53</v>
      </c>
      <c r="C2821" s="10" t="s">
        <v>49</v>
      </c>
      <c r="D2821" s="11">
        <v>183.17198933939025</v>
      </c>
      <c r="E2821" s="12">
        <f t="shared" si="44"/>
        <v>44259</v>
      </c>
    </row>
    <row r="2822" spans="1:5" x14ac:dyDescent="0.25">
      <c r="A2822" s="2">
        <f>IF(B2822="","",SUBTOTAL(3,$B$2:B2822))</f>
        <v>2821</v>
      </c>
      <c r="B2822" s="9" t="s">
        <v>53</v>
      </c>
      <c r="C2822" s="10" t="s">
        <v>49</v>
      </c>
      <c r="D2822" s="11">
        <v>45.792997334847563</v>
      </c>
      <c r="E2822" s="12">
        <f t="shared" si="44"/>
        <v>44260</v>
      </c>
    </row>
    <row r="2823" spans="1:5" x14ac:dyDescent="0.25">
      <c r="A2823" s="2">
        <f>IF(B2823="","",SUBTOTAL(3,$B$2:B2823))</f>
        <v>2822</v>
      </c>
      <c r="B2823" s="9" t="s">
        <v>53</v>
      </c>
      <c r="C2823" s="10" t="s">
        <v>54</v>
      </c>
      <c r="D2823" s="11">
        <v>137.37899200454268</v>
      </c>
      <c r="E2823" s="12">
        <f t="shared" si="44"/>
        <v>44261</v>
      </c>
    </row>
    <row r="2824" spans="1:5" x14ac:dyDescent="0.25">
      <c r="A2824" s="2">
        <f>IF(B2824="","",SUBTOTAL(3,$B$2:B2824))</f>
        <v>2823</v>
      </c>
      <c r="B2824" s="9" t="s">
        <v>53</v>
      </c>
      <c r="C2824" s="10" t="s">
        <v>54</v>
      </c>
      <c r="D2824" s="11">
        <v>64.110196268786581</v>
      </c>
      <c r="E2824" s="12">
        <f t="shared" si="44"/>
        <v>44262</v>
      </c>
    </row>
    <row r="2825" spans="1:5" x14ac:dyDescent="0.25">
      <c r="A2825" s="2">
        <f>IF(B2825="","",SUBTOTAL(3,$B$2:B2825))</f>
        <v>2824</v>
      </c>
      <c r="B2825" s="9" t="s">
        <v>48</v>
      </c>
      <c r="C2825" s="10" t="s">
        <v>49</v>
      </c>
      <c r="D2825" s="11">
        <v>84.06654343807763</v>
      </c>
      <c r="E2825" s="12">
        <f t="shared" si="44"/>
        <v>44263</v>
      </c>
    </row>
    <row r="2826" spans="1:5" x14ac:dyDescent="0.25">
      <c r="A2826" s="2">
        <f>IF(B2826="","",SUBTOTAL(3,$B$2:B2826))</f>
        <v>2825</v>
      </c>
      <c r="B2826" s="9" t="s">
        <v>48</v>
      </c>
      <c r="C2826" s="10" t="s">
        <v>49</v>
      </c>
      <c r="D2826" s="11">
        <v>46.210720887245841</v>
      </c>
      <c r="E2826" s="12">
        <f t="shared" si="44"/>
        <v>44264</v>
      </c>
    </row>
    <row r="2827" spans="1:5" x14ac:dyDescent="0.25">
      <c r="A2827" s="2">
        <f>IF(B2827="","",SUBTOTAL(3,$B$2:B2827))</f>
        <v>2826</v>
      </c>
      <c r="B2827" s="9" t="s">
        <v>53</v>
      </c>
      <c r="C2827" s="10" t="s">
        <v>54</v>
      </c>
      <c r="D2827" s="11">
        <v>366.3439786787805</v>
      </c>
      <c r="E2827" s="12">
        <f t="shared" si="44"/>
        <v>44265</v>
      </c>
    </row>
    <row r="2828" spans="1:5" x14ac:dyDescent="0.25">
      <c r="A2828" s="2">
        <f>IF(B2828="","",SUBTOTAL(3,$B$2:B2828))</f>
        <v>2827</v>
      </c>
      <c r="B2828" s="9" t="s">
        <v>53</v>
      </c>
      <c r="C2828" s="10" t="s">
        <v>49</v>
      </c>
      <c r="D2828" s="11">
        <v>183.17198933939025</v>
      </c>
      <c r="E2828" s="12">
        <f t="shared" si="44"/>
        <v>44266</v>
      </c>
    </row>
    <row r="2829" spans="1:5" x14ac:dyDescent="0.25">
      <c r="A2829" s="2">
        <f>IF(B2829="","",SUBTOTAL(3,$B$2:B2829))</f>
        <v>2828</v>
      </c>
      <c r="B2829" s="9" t="s">
        <v>53</v>
      </c>
      <c r="C2829" s="10" t="s">
        <v>49</v>
      </c>
      <c r="D2829" s="11">
        <v>457.92997334847558</v>
      </c>
      <c r="E2829" s="12">
        <f t="shared" si="44"/>
        <v>44267</v>
      </c>
    </row>
    <row r="2830" spans="1:5" x14ac:dyDescent="0.25">
      <c r="A2830" s="2">
        <f>IF(B2830="","",SUBTOTAL(3,$B$2:B2830))</f>
        <v>2829</v>
      </c>
      <c r="B2830" s="9" t="s">
        <v>53</v>
      </c>
      <c r="C2830" s="10" t="s">
        <v>49</v>
      </c>
      <c r="D2830" s="11">
        <v>53.536593184170286</v>
      </c>
      <c r="E2830" s="12">
        <f t="shared" si="44"/>
        <v>44268</v>
      </c>
    </row>
    <row r="2831" spans="1:5" x14ac:dyDescent="0.25">
      <c r="A2831" s="2">
        <f>IF(B2831="","",SUBTOTAL(3,$B$2:B2831))</f>
        <v>2830</v>
      </c>
      <c r="B2831" s="9" t="s">
        <v>50</v>
      </c>
      <c r="C2831" s="10" t="s">
        <v>52</v>
      </c>
      <c r="D2831" s="11">
        <v>55.114638447971785</v>
      </c>
      <c r="E2831" s="12">
        <f t="shared" si="44"/>
        <v>44269</v>
      </c>
    </row>
    <row r="2832" spans="1:5" x14ac:dyDescent="0.25">
      <c r="A2832" s="2">
        <f>IF(B2832="","",SUBTOTAL(3,$B$2:B2832))</f>
        <v>2831</v>
      </c>
      <c r="B2832" s="9" t="s">
        <v>55</v>
      </c>
      <c r="C2832" s="10" t="s">
        <v>49</v>
      </c>
      <c r="D2832" s="11">
        <v>68.25</v>
      </c>
      <c r="E2832" s="12">
        <f t="shared" si="44"/>
        <v>44270</v>
      </c>
    </row>
    <row r="2833" spans="1:5" x14ac:dyDescent="0.25">
      <c r="A2833" s="2">
        <f>IF(B2833="","",SUBTOTAL(3,$B$2:B2833))</f>
        <v>2832</v>
      </c>
      <c r="B2833" s="9" t="s">
        <v>50</v>
      </c>
      <c r="C2833" s="10" t="s">
        <v>56</v>
      </c>
      <c r="D2833" s="11">
        <v>551.14638447971777</v>
      </c>
      <c r="E2833" s="12">
        <f t="shared" si="44"/>
        <v>44271</v>
      </c>
    </row>
    <row r="2834" spans="1:5" x14ac:dyDescent="0.25">
      <c r="A2834" s="2">
        <f>IF(B2834="","",SUBTOTAL(3,$B$2:B2834))</f>
        <v>2833</v>
      </c>
      <c r="B2834" s="9" t="s">
        <v>50</v>
      </c>
      <c r="C2834" s="10" t="s">
        <v>52</v>
      </c>
      <c r="D2834" s="11">
        <v>110.22927689594357</v>
      </c>
      <c r="E2834" s="12">
        <f t="shared" si="44"/>
        <v>44272</v>
      </c>
    </row>
    <row r="2835" spans="1:5" x14ac:dyDescent="0.25">
      <c r="A2835" s="2">
        <f>IF(B2835="","",SUBTOTAL(3,$B$2:B2835))</f>
        <v>2834</v>
      </c>
      <c r="B2835" s="9" t="s">
        <v>53</v>
      </c>
      <c r="C2835" s="10" t="s">
        <v>49</v>
      </c>
      <c r="D2835" s="11">
        <v>73.2687957357561</v>
      </c>
      <c r="E2835" s="12">
        <f t="shared" si="44"/>
        <v>44273</v>
      </c>
    </row>
    <row r="2836" spans="1:5" x14ac:dyDescent="0.25">
      <c r="A2836" s="2">
        <f>IF(B2836="","",SUBTOTAL(3,$B$2:B2836))</f>
        <v>2835</v>
      </c>
      <c r="B2836" s="9" t="s">
        <v>53</v>
      </c>
      <c r="C2836" s="10" t="s">
        <v>49</v>
      </c>
      <c r="D2836" s="11">
        <v>73.2687957357561</v>
      </c>
      <c r="E2836" s="12">
        <f t="shared" si="44"/>
        <v>44274</v>
      </c>
    </row>
    <row r="2837" spans="1:5" x14ac:dyDescent="0.25">
      <c r="A2837" s="2">
        <f>IF(B2837="","",SUBTOTAL(3,$B$2:B2837))</f>
        <v>2836</v>
      </c>
      <c r="B2837" s="9" t="s">
        <v>53</v>
      </c>
      <c r="C2837" s="10" t="s">
        <v>54</v>
      </c>
      <c r="D2837" s="11">
        <v>36.63439786787805</v>
      </c>
      <c r="E2837" s="12">
        <f t="shared" si="44"/>
        <v>44275</v>
      </c>
    </row>
    <row r="2838" spans="1:5" x14ac:dyDescent="0.25">
      <c r="A2838" s="2">
        <f>IF(B2838="","",SUBTOTAL(3,$B$2:B2838))</f>
        <v>2837</v>
      </c>
      <c r="B2838" s="9" t="s">
        <v>53</v>
      </c>
      <c r="C2838" s="10" t="s">
        <v>49</v>
      </c>
      <c r="D2838" s="11">
        <v>43.892587945451382</v>
      </c>
      <c r="E2838" s="12">
        <f t="shared" si="44"/>
        <v>44276</v>
      </c>
    </row>
    <row r="2839" spans="1:5" x14ac:dyDescent="0.25">
      <c r="A2839" s="2">
        <f>IF(B2839="","",SUBTOTAL(3,$B$2:B2839))</f>
        <v>2838</v>
      </c>
      <c r="B2839" s="9" t="s">
        <v>55</v>
      </c>
      <c r="C2839" s="10" t="s">
        <v>54</v>
      </c>
      <c r="D2839" s="11">
        <v>0.2</v>
      </c>
      <c r="E2839" s="12">
        <f t="shared" si="44"/>
        <v>44277</v>
      </c>
    </row>
    <row r="2840" spans="1:5" x14ac:dyDescent="0.25">
      <c r="A2840" s="2">
        <f>IF(B2840="","",SUBTOTAL(3,$B$2:B2840))</f>
        <v>2839</v>
      </c>
      <c r="B2840" s="9" t="s">
        <v>55</v>
      </c>
      <c r="C2840" s="10" t="s">
        <v>54</v>
      </c>
      <c r="D2840" s="11">
        <v>0.2</v>
      </c>
      <c r="E2840" s="12">
        <f t="shared" si="44"/>
        <v>44278</v>
      </c>
    </row>
    <row r="2841" spans="1:5" x14ac:dyDescent="0.25">
      <c r="A2841" s="2">
        <f>IF(B2841="","",SUBTOTAL(3,$B$2:B2841))</f>
        <v>2840</v>
      </c>
      <c r="B2841" s="9" t="s">
        <v>55</v>
      </c>
      <c r="C2841" s="10" t="s">
        <v>52</v>
      </c>
      <c r="D2841" s="11">
        <v>16.048788316482106</v>
      </c>
      <c r="E2841" s="12">
        <f t="shared" si="44"/>
        <v>44279</v>
      </c>
    </row>
    <row r="2842" spans="1:5" x14ac:dyDescent="0.25">
      <c r="A2842" s="2">
        <f>IF(B2842="","",SUBTOTAL(3,$B$2:B2842))</f>
        <v>2841</v>
      </c>
      <c r="B2842" s="9" t="s">
        <v>55</v>
      </c>
      <c r="C2842" s="10" t="s">
        <v>49</v>
      </c>
      <c r="D2842" s="11">
        <v>469.06825615141122</v>
      </c>
      <c r="E2842" s="12">
        <f t="shared" si="44"/>
        <v>44280</v>
      </c>
    </row>
    <row r="2843" spans="1:5" x14ac:dyDescent="0.25">
      <c r="A2843" s="2">
        <f>IF(B2843="","",SUBTOTAL(3,$B$2:B2843))</f>
        <v>2842</v>
      </c>
      <c r="B2843" s="9" t="s">
        <v>51</v>
      </c>
      <c r="C2843" s="10" t="s">
        <v>49</v>
      </c>
      <c r="D2843" s="11">
        <v>31.769564756962826</v>
      </c>
      <c r="E2843" s="12">
        <f t="shared" si="44"/>
        <v>44281</v>
      </c>
    </row>
    <row r="2844" spans="1:5" x14ac:dyDescent="0.25">
      <c r="A2844" s="2">
        <f>IF(B2844="","",SUBTOTAL(3,$B$2:B2844))</f>
        <v>2843</v>
      </c>
      <c r="B2844" s="9" t="s">
        <v>48</v>
      </c>
      <c r="C2844" s="10" t="s">
        <v>49</v>
      </c>
      <c r="D2844" s="11">
        <v>10.341261633919338</v>
      </c>
      <c r="E2844" s="12">
        <f t="shared" si="44"/>
        <v>44282</v>
      </c>
    </row>
    <row r="2845" spans="1:5" x14ac:dyDescent="0.25">
      <c r="A2845" s="2">
        <f>IF(B2845="","",SUBTOTAL(3,$B$2:B2845))</f>
        <v>2844</v>
      </c>
      <c r="B2845" s="9" t="s">
        <v>48</v>
      </c>
      <c r="C2845" s="10" t="s">
        <v>49</v>
      </c>
      <c r="D2845" s="11">
        <v>184.84288354898337</v>
      </c>
      <c r="E2845" s="12">
        <f t="shared" si="44"/>
        <v>44283</v>
      </c>
    </row>
    <row r="2846" spans="1:5" x14ac:dyDescent="0.25">
      <c r="A2846" s="2">
        <f>IF(B2846="","",SUBTOTAL(3,$B$2:B2846))</f>
        <v>2845</v>
      </c>
      <c r="B2846" s="9" t="s">
        <v>48</v>
      </c>
      <c r="C2846" s="10" t="s">
        <v>52</v>
      </c>
      <c r="D2846" s="11">
        <v>154.03573629081947</v>
      </c>
      <c r="E2846" s="12">
        <f t="shared" si="44"/>
        <v>44284</v>
      </c>
    </row>
    <row r="2847" spans="1:5" x14ac:dyDescent="0.25">
      <c r="A2847" s="2">
        <f>IF(B2847="","",SUBTOTAL(3,$B$2:B2847))</f>
        <v>2846</v>
      </c>
      <c r="B2847" s="9" t="s">
        <v>55</v>
      </c>
      <c r="C2847" s="10" t="s">
        <v>56</v>
      </c>
      <c r="D2847" s="11">
        <v>30.492697801316002</v>
      </c>
      <c r="E2847" s="12">
        <f t="shared" si="44"/>
        <v>44285</v>
      </c>
    </row>
    <row r="2848" spans="1:5" x14ac:dyDescent="0.25">
      <c r="A2848" s="2">
        <f>IF(B2848="","",SUBTOTAL(3,$B$2:B2848))</f>
        <v>2847</v>
      </c>
      <c r="B2848" s="9" t="s">
        <v>48</v>
      </c>
      <c r="C2848" s="10" t="s">
        <v>49</v>
      </c>
      <c r="D2848" s="11">
        <v>46.210720887245841</v>
      </c>
      <c r="E2848" s="12">
        <f t="shared" si="44"/>
        <v>44286</v>
      </c>
    </row>
    <row r="2849" spans="1:5" x14ac:dyDescent="0.25">
      <c r="A2849" s="2">
        <f>IF(B2849="","",SUBTOTAL(3,$B$2:B2849))</f>
        <v>2848</v>
      </c>
      <c r="B2849" s="9" t="s">
        <v>48</v>
      </c>
      <c r="C2849" s="10" t="s">
        <v>52</v>
      </c>
      <c r="D2849" s="11">
        <v>308.07147258163894</v>
      </c>
      <c r="E2849" s="12">
        <f t="shared" si="44"/>
        <v>44287</v>
      </c>
    </row>
    <row r="2850" spans="1:5" x14ac:dyDescent="0.25">
      <c r="A2850" s="2">
        <f>IF(B2850="","",SUBTOTAL(3,$B$2:B2850))</f>
        <v>2849</v>
      </c>
      <c r="B2850" s="9" t="s">
        <v>48</v>
      </c>
      <c r="C2850" s="10" t="s">
        <v>49</v>
      </c>
      <c r="D2850" s="11">
        <v>77.017868145409736</v>
      </c>
      <c r="E2850" s="12">
        <f t="shared" si="44"/>
        <v>44288</v>
      </c>
    </row>
    <row r="2851" spans="1:5" x14ac:dyDescent="0.25">
      <c r="A2851" s="2">
        <f>IF(B2851="","",SUBTOTAL(3,$B$2:B2851))</f>
        <v>2850</v>
      </c>
      <c r="B2851" s="9" t="s">
        <v>48</v>
      </c>
      <c r="C2851" s="10" t="s">
        <v>52</v>
      </c>
      <c r="D2851" s="11">
        <v>100</v>
      </c>
      <c r="E2851" s="12">
        <f t="shared" si="44"/>
        <v>44289</v>
      </c>
    </row>
    <row r="2852" spans="1:5" x14ac:dyDescent="0.25">
      <c r="A2852" s="2">
        <f>IF(B2852="","",SUBTOTAL(3,$B$2:B2852))</f>
        <v>2851</v>
      </c>
      <c r="B2852" s="9" t="s">
        <v>50</v>
      </c>
      <c r="C2852" s="10" t="s">
        <v>49</v>
      </c>
      <c r="D2852" s="11">
        <v>36.081481481481482</v>
      </c>
      <c r="E2852" s="12">
        <f t="shared" si="44"/>
        <v>44290</v>
      </c>
    </row>
    <row r="2853" spans="1:5" x14ac:dyDescent="0.25">
      <c r="A2853" s="2">
        <f>IF(B2853="","",SUBTOTAL(3,$B$2:B2853))</f>
        <v>2852</v>
      </c>
      <c r="B2853" s="9" t="s">
        <v>55</v>
      </c>
      <c r="C2853" s="10" t="s">
        <v>52</v>
      </c>
      <c r="D2853" s="11">
        <v>8.0243941582410532</v>
      </c>
      <c r="E2853" s="12">
        <f t="shared" si="44"/>
        <v>44291</v>
      </c>
    </row>
    <row r="2854" spans="1:5" x14ac:dyDescent="0.25">
      <c r="A2854" s="2">
        <f>IF(B2854="","",SUBTOTAL(3,$B$2:B2854))</f>
        <v>2853</v>
      </c>
      <c r="B2854" s="9" t="s">
        <v>48</v>
      </c>
      <c r="C2854" s="10" t="s">
        <v>49</v>
      </c>
      <c r="D2854" s="11">
        <v>48.259220958290243</v>
      </c>
      <c r="E2854" s="12">
        <f t="shared" si="44"/>
        <v>44292</v>
      </c>
    </row>
    <row r="2855" spans="1:5" x14ac:dyDescent="0.25">
      <c r="A2855" s="2">
        <f>IF(B2855="","",SUBTOTAL(3,$B$2:B2855))</f>
        <v>2854</v>
      </c>
      <c r="B2855" s="9" t="s">
        <v>48</v>
      </c>
      <c r="C2855" s="10" t="s">
        <v>49</v>
      </c>
      <c r="D2855" s="11">
        <v>64.805239572561192</v>
      </c>
      <c r="E2855" s="12">
        <f t="shared" si="44"/>
        <v>44293</v>
      </c>
    </row>
    <row r="2856" spans="1:5" x14ac:dyDescent="0.25">
      <c r="A2856" s="2">
        <f>IF(B2856="","",SUBTOTAL(3,$B$2:B2856))</f>
        <v>2855</v>
      </c>
      <c r="B2856" s="9" t="s">
        <v>48</v>
      </c>
      <c r="C2856" s="10" t="s">
        <v>49</v>
      </c>
      <c r="D2856" s="11">
        <v>3.4470872113064459</v>
      </c>
      <c r="E2856" s="12">
        <f t="shared" si="44"/>
        <v>44294</v>
      </c>
    </row>
    <row r="2857" spans="1:5" x14ac:dyDescent="0.25">
      <c r="A2857" s="2">
        <f>IF(B2857="","",SUBTOTAL(3,$B$2:B2857))</f>
        <v>2856</v>
      </c>
      <c r="B2857" s="9" t="s">
        <v>48</v>
      </c>
      <c r="C2857" s="10" t="s">
        <v>52</v>
      </c>
      <c r="D2857" s="11">
        <v>5.1392083049606212</v>
      </c>
      <c r="E2857" s="12">
        <f t="shared" si="44"/>
        <v>44295</v>
      </c>
    </row>
    <row r="2858" spans="1:5" x14ac:dyDescent="0.25">
      <c r="A2858" s="2">
        <f>IF(B2858="","",SUBTOTAL(3,$B$2:B2858))</f>
        <v>2857</v>
      </c>
      <c r="B2858" s="9" t="s">
        <v>48</v>
      </c>
      <c r="C2858" s="10" t="s">
        <v>49</v>
      </c>
      <c r="D2858" s="11">
        <v>86.177180282661155</v>
      </c>
      <c r="E2858" s="12">
        <f t="shared" si="44"/>
        <v>44296</v>
      </c>
    </row>
    <row r="2859" spans="1:5" x14ac:dyDescent="0.25">
      <c r="A2859" s="2">
        <f>IF(B2859="","",SUBTOTAL(3,$B$2:B2859))</f>
        <v>2858</v>
      </c>
      <c r="B2859" s="9" t="s">
        <v>48</v>
      </c>
      <c r="C2859" s="10" t="s">
        <v>49</v>
      </c>
      <c r="D2859" s="11">
        <v>103.41261633919338</v>
      </c>
      <c r="E2859" s="12">
        <f t="shared" si="44"/>
        <v>44297</v>
      </c>
    </row>
    <row r="2860" spans="1:5" x14ac:dyDescent="0.25">
      <c r="A2860" s="2">
        <f>IF(B2860="","",SUBTOTAL(3,$B$2:B2860))</f>
        <v>2859</v>
      </c>
      <c r="B2860" s="9" t="s">
        <v>48</v>
      </c>
      <c r="C2860" s="10" t="s">
        <v>49</v>
      </c>
      <c r="D2860" s="11">
        <v>2.7576697690451564</v>
      </c>
      <c r="E2860" s="12">
        <f t="shared" si="44"/>
        <v>44298</v>
      </c>
    </row>
    <row r="2861" spans="1:5" x14ac:dyDescent="0.25">
      <c r="A2861" s="2">
        <f>IF(B2861="","",SUBTOTAL(3,$B$2:B2861))</f>
        <v>2860</v>
      </c>
      <c r="B2861" s="9" t="s">
        <v>48</v>
      </c>
      <c r="C2861" s="10" t="s">
        <v>49</v>
      </c>
      <c r="D2861" s="11">
        <v>58.093209238193722</v>
      </c>
      <c r="E2861" s="12">
        <f t="shared" si="44"/>
        <v>44299</v>
      </c>
    </row>
    <row r="2862" spans="1:5" x14ac:dyDescent="0.25">
      <c r="A2862" s="2">
        <f>IF(B2862="","",SUBTOTAL(3,$B$2:B2862))</f>
        <v>2861</v>
      </c>
      <c r="B2862" s="9" t="s">
        <v>50</v>
      </c>
      <c r="C2862" s="10" t="s">
        <v>52</v>
      </c>
      <c r="D2862" s="11">
        <v>55.114638447971785</v>
      </c>
      <c r="E2862" s="12">
        <f t="shared" si="44"/>
        <v>44300</v>
      </c>
    </row>
    <row r="2863" spans="1:5" x14ac:dyDescent="0.25">
      <c r="A2863" s="2">
        <f>IF(B2863="","",SUBTOTAL(3,$B$2:B2863))</f>
        <v>2862</v>
      </c>
      <c r="B2863" s="9" t="s">
        <v>48</v>
      </c>
      <c r="C2863" s="10" t="s">
        <v>49</v>
      </c>
      <c r="D2863" s="11">
        <v>92.421441774491683</v>
      </c>
      <c r="E2863" s="12">
        <f t="shared" si="44"/>
        <v>44301</v>
      </c>
    </row>
    <row r="2864" spans="1:5" x14ac:dyDescent="0.25">
      <c r="A2864" s="2">
        <f>IF(B2864="","",SUBTOTAL(3,$B$2:B2864))</f>
        <v>2863</v>
      </c>
      <c r="B2864" s="9" t="s">
        <v>55</v>
      </c>
      <c r="C2864" s="10" t="s">
        <v>54</v>
      </c>
      <c r="D2864" s="11">
        <v>6.8437347238064206</v>
      </c>
      <c r="E2864" s="12">
        <f t="shared" si="44"/>
        <v>44302</v>
      </c>
    </row>
    <row r="2865" spans="1:5" x14ac:dyDescent="0.25">
      <c r="A2865" s="2">
        <f>IF(B2865="","",SUBTOTAL(3,$B$2:B2865))</f>
        <v>2864</v>
      </c>
      <c r="B2865" s="9" t="s">
        <v>55</v>
      </c>
      <c r="C2865" s="10" t="s">
        <v>49</v>
      </c>
      <c r="D2865" s="11">
        <v>237.5</v>
      </c>
      <c r="E2865" s="12">
        <f t="shared" si="44"/>
        <v>44303</v>
      </c>
    </row>
    <row r="2866" spans="1:5" x14ac:dyDescent="0.25">
      <c r="A2866" s="2">
        <f>IF(B2866="","",SUBTOTAL(3,$B$2:B2866))</f>
        <v>2865</v>
      </c>
      <c r="B2866" s="9" t="s">
        <v>50</v>
      </c>
      <c r="C2866" s="10" t="s">
        <v>49</v>
      </c>
      <c r="D2866" s="11">
        <v>165.34391534391534</v>
      </c>
      <c r="E2866" s="12">
        <f t="shared" si="44"/>
        <v>44304</v>
      </c>
    </row>
    <row r="2867" spans="1:5" x14ac:dyDescent="0.25">
      <c r="A2867" s="2">
        <f>IF(B2867="","",SUBTOTAL(3,$B$2:B2867))</f>
        <v>2866</v>
      </c>
      <c r="B2867" s="9" t="s">
        <v>55</v>
      </c>
      <c r="C2867" s="10" t="s">
        <v>52</v>
      </c>
      <c r="D2867" s="11">
        <v>37.206275554738824</v>
      </c>
      <c r="E2867" s="12">
        <f t="shared" si="44"/>
        <v>44305</v>
      </c>
    </row>
    <row r="2868" spans="1:5" x14ac:dyDescent="0.25">
      <c r="A2868" s="2">
        <f>IF(B2868="","",SUBTOTAL(3,$B$2:B2868))</f>
        <v>2867</v>
      </c>
      <c r="B2868" s="9" t="s">
        <v>48</v>
      </c>
      <c r="C2868" s="10" t="s">
        <v>49</v>
      </c>
      <c r="D2868" s="11">
        <v>6.2718898153739415</v>
      </c>
      <c r="E2868" s="12">
        <f t="shared" si="44"/>
        <v>44306</v>
      </c>
    </row>
    <row r="2869" spans="1:5" x14ac:dyDescent="0.25">
      <c r="A2869" s="2">
        <f>IF(B2869="","",SUBTOTAL(3,$B$2:B2869))</f>
        <v>2868</v>
      </c>
      <c r="B2869" s="9" t="s">
        <v>48</v>
      </c>
      <c r="C2869" s="10" t="s">
        <v>49</v>
      </c>
      <c r="D2869" s="11">
        <v>7.4429355157837938</v>
      </c>
      <c r="E2869" s="12">
        <f t="shared" si="44"/>
        <v>44307</v>
      </c>
    </row>
    <row r="2870" spans="1:5" x14ac:dyDescent="0.25">
      <c r="A2870" s="2">
        <f>IF(B2870="","",SUBTOTAL(3,$B$2:B2870))</f>
        <v>2869</v>
      </c>
      <c r="B2870" s="9" t="s">
        <v>48</v>
      </c>
      <c r="C2870" s="10" t="s">
        <v>54</v>
      </c>
      <c r="D2870" s="11">
        <v>15.403573629081947</v>
      </c>
      <c r="E2870" s="12">
        <f t="shared" si="44"/>
        <v>44308</v>
      </c>
    </row>
    <row r="2871" spans="1:5" x14ac:dyDescent="0.25">
      <c r="A2871" s="2">
        <f>IF(B2871="","",SUBTOTAL(3,$B$2:B2871))</f>
        <v>2870</v>
      </c>
      <c r="B2871" s="9" t="s">
        <v>50</v>
      </c>
      <c r="C2871" s="10" t="s">
        <v>49</v>
      </c>
      <c r="D2871" s="11">
        <v>36.068827160493825</v>
      </c>
      <c r="E2871" s="12">
        <f t="shared" si="44"/>
        <v>44309</v>
      </c>
    </row>
    <row r="2872" spans="1:5" x14ac:dyDescent="0.25">
      <c r="A2872" s="2">
        <f>IF(B2872="","",SUBTOTAL(3,$B$2:B2872))</f>
        <v>2871</v>
      </c>
      <c r="B2872" s="9" t="s">
        <v>50</v>
      </c>
      <c r="C2872" s="10" t="s">
        <v>49</v>
      </c>
      <c r="D2872" s="11">
        <v>4.3874559082892421</v>
      </c>
      <c r="E2872" s="12">
        <f t="shared" si="44"/>
        <v>44310</v>
      </c>
    </row>
    <row r="2873" spans="1:5" x14ac:dyDescent="0.25">
      <c r="A2873" s="2">
        <f>IF(B2873="","",SUBTOTAL(3,$B$2:B2873))</f>
        <v>2872</v>
      </c>
      <c r="B2873" s="9" t="s">
        <v>48</v>
      </c>
      <c r="C2873" s="10" t="s">
        <v>49</v>
      </c>
      <c r="D2873" s="11">
        <v>30.807147258163894</v>
      </c>
      <c r="E2873" s="12">
        <f t="shared" si="44"/>
        <v>44311</v>
      </c>
    </row>
    <row r="2874" spans="1:5" x14ac:dyDescent="0.25">
      <c r="A2874" s="2">
        <f>IF(B2874="","",SUBTOTAL(3,$B$2:B2874))</f>
        <v>2873</v>
      </c>
      <c r="B2874" s="9" t="s">
        <v>48</v>
      </c>
      <c r="C2874" s="10" t="s">
        <v>49</v>
      </c>
      <c r="D2874" s="11">
        <v>30.807147258163894</v>
      </c>
      <c r="E2874" s="12">
        <f t="shared" si="44"/>
        <v>44312</v>
      </c>
    </row>
    <row r="2875" spans="1:5" x14ac:dyDescent="0.25">
      <c r="A2875" s="2">
        <f>IF(B2875="","",SUBTOTAL(3,$B$2:B2875))</f>
        <v>2874</v>
      </c>
      <c r="B2875" s="9" t="s">
        <v>48</v>
      </c>
      <c r="C2875" s="10" t="s">
        <v>49</v>
      </c>
      <c r="D2875" s="11">
        <v>46.210720887245841</v>
      </c>
      <c r="E2875" s="12">
        <f t="shared" si="44"/>
        <v>44313</v>
      </c>
    </row>
    <row r="2876" spans="1:5" x14ac:dyDescent="0.25">
      <c r="A2876" s="2">
        <f>IF(B2876="","",SUBTOTAL(3,$B$2:B2876))</f>
        <v>2875</v>
      </c>
      <c r="B2876" s="9" t="s">
        <v>48</v>
      </c>
      <c r="C2876" s="10" t="s">
        <v>52</v>
      </c>
      <c r="D2876" s="11">
        <v>77.017868145409736</v>
      </c>
      <c r="E2876" s="12">
        <f t="shared" si="44"/>
        <v>44314</v>
      </c>
    </row>
    <row r="2877" spans="1:5" x14ac:dyDescent="0.25">
      <c r="A2877" s="2">
        <f>IF(B2877="","",SUBTOTAL(3,$B$2:B2877))</f>
        <v>2876</v>
      </c>
      <c r="B2877" s="9" t="s">
        <v>48</v>
      </c>
      <c r="C2877" s="10" t="s">
        <v>52</v>
      </c>
      <c r="D2877" s="11">
        <v>169.43930991990143</v>
      </c>
      <c r="E2877" s="12">
        <f t="shared" si="44"/>
        <v>44315</v>
      </c>
    </row>
    <row r="2878" spans="1:5" x14ac:dyDescent="0.25">
      <c r="A2878" s="2">
        <f>IF(B2878="","",SUBTOTAL(3,$B$2:B2878))</f>
        <v>2877</v>
      </c>
      <c r="B2878" s="9" t="s">
        <v>48</v>
      </c>
      <c r="C2878" s="10" t="s">
        <v>52</v>
      </c>
      <c r="D2878" s="11">
        <v>154.03573629081947</v>
      </c>
      <c r="E2878" s="12">
        <f t="shared" si="44"/>
        <v>44316</v>
      </c>
    </row>
    <row r="2879" spans="1:5" x14ac:dyDescent="0.25">
      <c r="A2879" s="2">
        <f>IF(B2879="","",SUBTOTAL(3,$B$2:B2879))</f>
        <v>2878</v>
      </c>
      <c r="B2879" s="9" t="s">
        <v>55</v>
      </c>
      <c r="C2879" s="10" t="s">
        <v>56</v>
      </c>
      <c r="D2879" s="11">
        <v>4.0121970791205266</v>
      </c>
      <c r="E2879" s="12">
        <f t="shared" si="44"/>
        <v>44317</v>
      </c>
    </row>
    <row r="2880" spans="1:5" x14ac:dyDescent="0.25">
      <c r="A2880" s="2">
        <f>IF(B2880="","",SUBTOTAL(3,$B$2:B2880))</f>
        <v>2879</v>
      </c>
      <c r="B2880" s="9" t="s">
        <v>55</v>
      </c>
      <c r="C2880" s="10" t="s">
        <v>52</v>
      </c>
      <c r="D2880" s="11">
        <v>80.243941582410528</v>
      </c>
      <c r="E2880" s="12">
        <f t="shared" si="44"/>
        <v>44318</v>
      </c>
    </row>
    <row r="2881" spans="1:5" x14ac:dyDescent="0.25">
      <c r="A2881" s="2">
        <f>IF(B2881="","",SUBTOTAL(3,$B$2:B2881))</f>
        <v>2880</v>
      </c>
      <c r="B2881" s="9" t="s">
        <v>55</v>
      </c>
      <c r="C2881" s="10" t="s">
        <v>49</v>
      </c>
      <c r="D2881" s="11">
        <v>18.92543758901089</v>
      </c>
      <c r="E2881" s="12">
        <f t="shared" si="44"/>
        <v>44319</v>
      </c>
    </row>
    <row r="2882" spans="1:5" x14ac:dyDescent="0.25">
      <c r="A2882" s="2">
        <f>IF(B2882="","",SUBTOTAL(3,$B$2:B2882))</f>
        <v>2881</v>
      </c>
      <c r="B2882" s="9" t="s">
        <v>55</v>
      </c>
      <c r="C2882" s="10" t="s">
        <v>54</v>
      </c>
      <c r="D2882" s="11">
        <v>87.5</v>
      </c>
      <c r="E2882" s="12">
        <f t="shared" si="44"/>
        <v>44320</v>
      </c>
    </row>
    <row r="2883" spans="1:5" x14ac:dyDescent="0.25">
      <c r="A2883" s="2">
        <f>IF(B2883="","",SUBTOTAL(3,$B$2:B2883))</f>
        <v>2882</v>
      </c>
      <c r="B2883" s="9" t="s">
        <v>55</v>
      </c>
      <c r="C2883" s="10" t="s">
        <v>54</v>
      </c>
      <c r="D2883" s="11">
        <v>300</v>
      </c>
      <c r="E2883" s="12">
        <f t="shared" si="44"/>
        <v>44321</v>
      </c>
    </row>
    <row r="2884" spans="1:5" x14ac:dyDescent="0.25">
      <c r="A2884" s="2">
        <f>IF(B2884="","",SUBTOTAL(3,$B$2:B2884))</f>
        <v>2883</v>
      </c>
      <c r="B2884" s="9" t="s">
        <v>50</v>
      </c>
      <c r="C2884" s="10" t="s">
        <v>49</v>
      </c>
      <c r="D2884" s="11">
        <v>293.80264550264553</v>
      </c>
      <c r="E2884" s="12">
        <f t="shared" ref="E2884:E2947" si="45">E2883+1</f>
        <v>44322</v>
      </c>
    </row>
    <row r="2885" spans="1:5" x14ac:dyDescent="0.25">
      <c r="A2885" s="2">
        <f>IF(B2885="","",SUBTOTAL(3,$B$2:B2885))</f>
        <v>2884</v>
      </c>
      <c r="B2885" s="9" t="s">
        <v>50</v>
      </c>
      <c r="C2885" s="10" t="s">
        <v>54</v>
      </c>
      <c r="D2885" s="11">
        <v>0.56481481481481477</v>
      </c>
      <c r="E2885" s="12">
        <f t="shared" si="45"/>
        <v>44323</v>
      </c>
    </row>
    <row r="2886" spans="1:5" x14ac:dyDescent="0.25">
      <c r="A2886" s="2">
        <f>IF(B2886="","",SUBTOTAL(3,$B$2:B2886))</f>
        <v>2885</v>
      </c>
      <c r="B2886" s="9" t="s">
        <v>48</v>
      </c>
      <c r="C2886" s="10" t="s">
        <v>49</v>
      </c>
      <c r="D2886" s="11">
        <v>69.316081330868769</v>
      </c>
      <c r="E2886" s="12">
        <f t="shared" si="45"/>
        <v>44324</v>
      </c>
    </row>
    <row r="2887" spans="1:5" x14ac:dyDescent="0.25">
      <c r="A2887" s="2">
        <f>IF(B2887="","",SUBTOTAL(3,$B$2:B2887))</f>
        <v>2886</v>
      </c>
      <c r="B2887" s="9" t="s">
        <v>55</v>
      </c>
      <c r="C2887" s="10" t="s">
        <v>49</v>
      </c>
      <c r="D2887" s="11">
        <v>3.77</v>
      </c>
      <c r="E2887" s="12">
        <f t="shared" si="45"/>
        <v>44325</v>
      </c>
    </row>
    <row r="2888" spans="1:5" x14ac:dyDescent="0.25">
      <c r="A2888" s="2">
        <f>IF(B2888="","",SUBTOTAL(3,$B$2:B2888))</f>
        <v>2887</v>
      </c>
      <c r="B2888" s="9" t="s">
        <v>48</v>
      </c>
      <c r="C2888" s="10" t="s">
        <v>49</v>
      </c>
      <c r="D2888" s="11">
        <v>64.24010381200776</v>
      </c>
      <c r="E2888" s="12">
        <f t="shared" si="45"/>
        <v>44326</v>
      </c>
    </row>
    <row r="2889" spans="1:5" x14ac:dyDescent="0.25">
      <c r="A2889" s="2">
        <f>IF(B2889="","",SUBTOTAL(3,$B$2:B2889))</f>
        <v>2888</v>
      </c>
      <c r="B2889" s="9" t="s">
        <v>51</v>
      </c>
      <c r="C2889" s="10" t="s">
        <v>49</v>
      </c>
      <c r="D2889" s="11">
        <v>52.949274594938046</v>
      </c>
      <c r="E2889" s="12">
        <f t="shared" si="45"/>
        <v>44327</v>
      </c>
    </row>
    <row r="2890" spans="1:5" x14ac:dyDescent="0.25">
      <c r="A2890" s="2">
        <f>IF(B2890="","",SUBTOTAL(3,$B$2:B2890))</f>
        <v>2889</v>
      </c>
      <c r="B2890" s="9" t="s">
        <v>50</v>
      </c>
      <c r="C2890" s="10" t="s">
        <v>52</v>
      </c>
      <c r="D2890" s="11">
        <v>44.091710758377424</v>
      </c>
      <c r="E2890" s="12">
        <f t="shared" si="45"/>
        <v>44328</v>
      </c>
    </row>
    <row r="2891" spans="1:5" x14ac:dyDescent="0.25">
      <c r="A2891" s="2">
        <f>IF(B2891="","",SUBTOTAL(3,$B$2:B2891))</f>
        <v>2890</v>
      </c>
      <c r="B2891" s="9" t="s">
        <v>50</v>
      </c>
      <c r="C2891" s="10" t="s">
        <v>52</v>
      </c>
      <c r="D2891" s="11">
        <v>44.091710758377424</v>
      </c>
      <c r="E2891" s="12">
        <f t="shared" si="45"/>
        <v>44329</v>
      </c>
    </row>
    <row r="2892" spans="1:5" x14ac:dyDescent="0.25">
      <c r="A2892" s="2">
        <f>IF(B2892="","",SUBTOTAL(3,$B$2:B2892))</f>
        <v>2891</v>
      </c>
      <c r="B2892" s="9" t="s">
        <v>50</v>
      </c>
      <c r="C2892" s="10" t="s">
        <v>49</v>
      </c>
      <c r="D2892" s="11">
        <v>48.967151675485006</v>
      </c>
      <c r="E2892" s="12">
        <f t="shared" si="45"/>
        <v>44330</v>
      </c>
    </row>
    <row r="2893" spans="1:5" x14ac:dyDescent="0.25">
      <c r="A2893" s="2">
        <f>IF(B2893="","",SUBTOTAL(3,$B$2:B2893))</f>
        <v>2892</v>
      </c>
      <c r="B2893" s="9" t="s">
        <v>50</v>
      </c>
      <c r="C2893" s="10" t="s">
        <v>52</v>
      </c>
      <c r="D2893" s="11">
        <v>110.22927689594357</v>
      </c>
      <c r="E2893" s="12">
        <f t="shared" si="45"/>
        <v>44331</v>
      </c>
    </row>
    <row r="2894" spans="1:5" x14ac:dyDescent="0.25">
      <c r="A2894" s="2">
        <f>IF(B2894="","",SUBTOTAL(3,$B$2:B2894))</f>
        <v>2893</v>
      </c>
      <c r="B2894" s="9" t="s">
        <v>55</v>
      </c>
      <c r="C2894" s="10" t="s">
        <v>49</v>
      </c>
      <c r="D2894" s="11">
        <v>924.64280792024624</v>
      </c>
      <c r="E2894" s="12">
        <f t="shared" si="45"/>
        <v>44332</v>
      </c>
    </row>
    <row r="2895" spans="1:5" x14ac:dyDescent="0.25">
      <c r="A2895" s="2">
        <f>IF(B2895="","",SUBTOTAL(3,$B$2:B2895))</f>
        <v>2894</v>
      </c>
      <c r="B2895" s="9" t="s">
        <v>50</v>
      </c>
      <c r="C2895" s="10" t="s">
        <v>52</v>
      </c>
      <c r="D2895" s="11">
        <v>158.73015873015873</v>
      </c>
      <c r="E2895" s="12">
        <f t="shared" si="45"/>
        <v>44333</v>
      </c>
    </row>
    <row r="2896" spans="1:5" x14ac:dyDescent="0.25">
      <c r="A2896" s="2">
        <f>IF(B2896="","",SUBTOTAL(3,$B$2:B2896))</f>
        <v>2895</v>
      </c>
      <c r="B2896" s="9" t="s">
        <v>48</v>
      </c>
      <c r="C2896" s="10" t="s">
        <v>49</v>
      </c>
      <c r="D2896" s="11">
        <v>32.12005190600388</v>
      </c>
      <c r="E2896" s="12">
        <f t="shared" si="45"/>
        <v>44334</v>
      </c>
    </row>
    <row r="2897" spans="1:5" x14ac:dyDescent="0.25">
      <c r="A2897" s="2">
        <f>IF(B2897="","",SUBTOTAL(3,$B$2:B2897))</f>
        <v>2896</v>
      </c>
      <c r="B2897" s="9" t="s">
        <v>55</v>
      </c>
      <c r="C2897" s="10" t="s">
        <v>49</v>
      </c>
      <c r="D2897" s="11">
        <v>64.75516099949327</v>
      </c>
      <c r="E2897" s="12">
        <f t="shared" si="45"/>
        <v>44335</v>
      </c>
    </row>
    <row r="2898" spans="1:5" x14ac:dyDescent="0.25">
      <c r="A2898" s="2">
        <f>IF(B2898="","",SUBTOTAL(3,$B$2:B2898))</f>
        <v>2897</v>
      </c>
      <c r="B2898" s="9" t="s">
        <v>50</v>
      </c>
      <c r="C2898" s="10" t="s">
        <v>52</v>
      </c>
      <c r="D2898" s="11">
        <v>44.091710758377424</v>
      </c>
      <c r="E2898" s="12">
        <f t="shared" si="45"/>
        <v>44336</v>
      </c>
    </row>
    <row r="2899" spans="1:5" x14ac:dyDescent="0.25">
      <c r="A2899" s="2">
        <f>IF(B2899="","",SUBTOTAL(3,$B$2:B2899))</f>
        <v>2898</v>
      </c>
      <c r="B2899" s="9" t="s">
        <v>48</v>
      </c>
      <c r="C2899" s="10" t="s">
        <v>49</v>
      </c>
      <c r="D2899" s="11">
        <v>108.38031423290204</v>
      </c>
      <c r="E2899" s="12">
        <f t="shared" si="45"/>
        <v>44337</v>
      </c>
    </row>
    <row r="2900" spans="1:5" x14ac:dyDescent="0.25">
      <c r="A2900" s="2">
        <f>IF(B2900="","",SUBTOTAL(3,$B$2:B2900))</f>
        <v>2899</v>
      </c>
      <c r="B2900" s="9" t="s">
        <v>48</v>
      </c>
      <c r="C2900" s="10" t="s">
        <v>49</v>
      </c>
      <c r="D2900" s="11">
        <v>83.17929759704252</v>
      </c>
      <c r="E2900" s="12">
        <f t="shared" si="45"/>
        <v>44338</v>
      </c>
    </row>
    <row r="2901" spans="1:5" x14ac:dyDescent="0.25">
      <c r="A2901" s="2">
        <f>IF(B2901="","",SUBTOTAL(3,$B$2:B2901))</f>
        <v>2900</v>
      </c>
      <c r="B2901" s="9" t="s">
        <v>48</v>
      </c>
      <c r="C2901" s="10" t="s">
        <v>49</v>
      </c>
      <c r="D2901" s="11">
        <v>126.30930375847197</v>
      </c>
      <c r="E2901" s="12">
        <f t="shared" si="45"/>
        <v>44339</v>
      </c>
    </row>
    <row r="2902" spans="1:5" x14ac:dyDescent="0.25">
      <c r="A2902" s="2">
        <f>IF(B2902="","",SUBTOTAL(3,$B$2:B2902))</f>
        <v>2901</v>
      </c>
      <c r="B2902" s="9" t="s">
        <v>48</v>
      </c>
      <c r="C2902" s="10" t="s">
        <v>49</v>
      </c>
      <c r="D2902" s="11">
        <v>36.968576709796672</v>
      </c>
      <c r="E2902" s="12">
        <f t="shared" si="45"/>
        <v>44340</v>
      </c>
    </row>
    <row r="2903" spans="1:5" x14ac:dyDescent="0.25">
      <c r="A2903" s="2">
        <f>IF(B2903="","",SUBTOTAL(3,$B$2:B2903))</f>
        <v>2902</v>
      </c>
      <c r="B2903" s="9" t="s">
        <v>48</v>
      </c>
      <c r="C2903" s="10" t="s">
        <v>49</v>
      </c>
      <c r="D2903" s="11">
        <v>40.049291435613064</v>
      </c>
      <c r="E2903" s="12">
        <f t="shared" si="45"/>
        <v>44341</v>
      </c>
    </row>
    <row r="2904" spans="1:5" x14ac:dyDescent="0.25">
      <c r="A2904" s="2">
        <f>IF(B2904="","",SUBTOTAL(3,$B$2:B2904))</f>
        <v>2903</v>
      </c>
      <c r="B2904" s="9" t="s">
        <v>50</v>
      </c>
      <c r="C2904" s="10" t="s">
        <v>49</v>
      </c>
      <c r="D2904" s="11">
        <v>132.27513227513228</v>
      </c>
      <c r="E2904" s="12">
        <f t="shared" si="45"/>
        <v>44342</v>
      </c>
    </row>
    <row r="2905" spans="1:5" x14ac:dyDescent="0.25">
      <c r="A2905" s="2">
        <f>IF(B2905="","",SUBTOTAL(3,$B$2:B2905))</f>
        <v>2904</v>
      </c>
      <c r="B2905" s="9" t="s">
        <v>50</v>
      </c>
      <c r="C2905" s="10" t="s">
        <v>49</v>
      </c>
      <c r="D2905" s="11">
        <v>132.27513227513228</v>
      </c>
      <c r="E2905" s="12">
        <f t="shared" si="45"/>
        <v>44343</v>
      </c>
    </row>
    <row r="2906" spans="1:5" x14ac:dyDescent="0.25">
      <c r="A2906" s="2">
        <f>IF(B2906="","",SUBTOTAL(3,$B$2:B2906))</f>
        <v>2905</v>
      </c>
      <c r="B2906" s="9" t="s">
        <v>48</v>
      </c>
      <c r="C2906" s="10" t="s">
        <v>52</v>
      </c>
      <c r="D2906" s="11">
        <v>86.177180282661155</v>
      </c>
      <c r="E2906" s="12">
        <f t="shared" si="45"/>
        <v>44344</v>
      </c>
    </row>
    <row r="2907" spans="1:5" x14ac:dyDescent="0.25">
      <c r="A2907" s="2">
        <f>IF(B2907="","",SUBTOTAL(3,$B$2:B2907))</f>
        <v>2906</v>
      </c>
      <c r="B2907" s="9" t="s">
        <v>55</v>
      </c>
      <c r="C2907" s="10" t="s">
        <v>49</v>
      </c>
      <c r="D2907" s="11">
        <v>91.91461626201729</v>
      </c>
      <c r="E2907" s="12">
        <f t="shared" si="45"/>
        <v>44345</v>
      </c>
    </row>
    <row r="2908" spans="1:5" x14ac:dyDescent="0.25">
      <c r="A2908" s="2">
        <f>IF(B2908="","",SUBTOTAL(3,$B$2:B2908))</f>
        <v>2907</v>
      </c>
      <c r="B2908" s="9" t="s">
        <v>50</v>
      </c>
      <c r="C2908" s="10" t="s">
        <v>52</v>
      </c>
      <c r="D2908" s="11">
        <v>121.25220458553792</v>
      </c>
      <c r="E2908" s="12">
        <f t="shared" si="45"/>
        <v>44346</v>
      </c>
    </row>
    <row r="2909" spans="1:5" x14ac:dyDescent="0.25">
      <c r="A2909" s="2">
        <f>IF(B2909="","",SUBTOTAL(3,$B$2:B2909))</f>
        <v>2908</v>
      </c>
      <c r="B2909" s="9" t="s">
        <v>50</v>
      </c>
      <c r="C2909" s="10" t="s">
        <v>52</v>
      </c>
      <c r="D2909" s="11">
        <v>11.022927689594356</v>
      </c>
      <c r="E2909" s="12">
        <f t="shared" si="45"/>
        <v>44347</v>
      </c>
    </row>
    <row r="2910" spans="1:5" x14ac:dyDescent="0.25">
      <c r="A2910" s="2">
        <f>IF(B2910="","",SUBTOTAL(3,$B$2:B2910))</f>
        <v>2909</v>
      </c>
      <c r="B2910" s="9" t="s">
        <v>48</v>
      </c>
      <c r="C2910" s="10" t="s">
        <v>49</v>
      </c>
      <c r="D2910" s="11">
        <v>102.78416609921243</v>
      </c>
      <c r="E2910" s="12">
        <f t="shared" si="45"/>
        <v>44348</v>
      </c>
    </row>
    <row r="2911" spans="1:5" x14ac:dyDescent="0.25">
      <c r="A2911" s="2">
        <f>IF(B2911="","",SUBTOTAL(3,$B$2:B2911))</f>
        <v>2910</v>
      </c>
      <c r="B2911" s="9" t="s">
        <v>50</v>
      </c>
      <c r="C2911" s="10" t="s">
        <v>52</v>
      </c>
      <c r="D2911" s="11">
        <v>44.091710758377424</v>
      </c>
      <c r="E2911" s="12">
        <f t="shared" si="45"/>
        <v>44349</v>
      </c>
    </row>
    <row r="2912" spans="1:5" x14ac:dyDescent="0.25">
      <c r="A2912" s="2">
        <f>IF(B2912="","",SUBTOTAL(3,$B$2:B2912))</f>
        <v>2911</v>
      </c>
      <c r="B2912" s="9" t="s">
        <v>50</v>
      </c>
      <c r="C2912" s="10" t="s">
        <v>52</v>
      </c>
      <c r="D2912" s="11">
        <v>44.091710758377424</v>
      </c>
      <c r="E2912" s="12">
        <f t="shared" si="45"/>
        <v>44350</v>
      </c>
    </row>
    <row r="2913" spans="1:5" x14ac:dyDescent="0.25">
      <c r="A2913" s="2">
        <f>IF(B2913="","",SUBTOTAL(3,$B$2:B2913))</f>
        <v>2912</v>
      </c>
      <c r="B2913" s="9" t="s">
        <v>50</v>
      </c>
      <c r="C2913" s="10" t="s">
        <v>52</v>
      </c>
      <c r="D2913" s="11">
        <v>110.22927689594357</v>
      </c>
      <c r="E2913" s="12">
        <f t="shared" si="45"/>
        <v>44351</v>
      </c>
    </row>
    <row r="2914" spans="1:5" x14ac:dyDescent="0.25">
      <c r="A2914" s="2">
        <f>IF(B2914="","",SUBTOTAL(3,$B$2:B2914))</f>
        <v>2913</v>
      </c>
      <c r="B2914" s="9" t="s">
        <v>50</v>
      </c>
      <c r="C2914" s="10" t="s">
        <v>52</v>
      </c>
      <c r="D2914" s="11">
        <v>220.45855379188714</v>
      </c>
      <c r="E2914" s="12">
        <f t="shared" si="45"/>
        <v>44352</v>
      </c>
    </row>
    <row r="2915" spans="1:5" x14ac:dyDescent="0.25">
      <c r="A2915" s="2">
        <f>IF(B2915="","",SUBTOTAL(3,$B$2:B2915))</f>
        <v>2914</v>
      </c>
      <c r="B2915" s="9" t="s">
        <v>50</v>
      </c>
      <c r="C2915" s="10" t="s">
        <v>56</v>
      </c>
      <c r="D2915" s="11">
        <v>8818.3421516754843</v>
      </c>
      <c r="E2915" s="12">
        <f t="shared" si="45"/>
        <v>44353</v>
      </c>
    </row>
    <row r="2916" spans="1:5" x14ac:dyDescent="0.25">
      <c r="A2916" s="2">
        <f>IF(B2916="","",SUBTOTAL(3,$B$2:B2916))</f>
        <v>2915</v>
      </c>
      <c r="B2916" s="9" t="s">
        <v>50</v>
      </c>
      <c r="C2916" s="10" t="s">
        <v>52</v>
      </c>
      <c r="D2916" s="11">
        <v>176.3668430335097</v>
      </c>
      <c r="E2916" s="12">
        <f t="shared" si="45"/>
        <v>44354</v>
      </c>
    </row>
    <row r="2917" spans="1:5" x14ac:dyDescent="0.25">
      <c r="A2917" s="2">
        <f>IF(B2917="","",SUBTOTAL(3,$B$2:B2917))</f>
        <v>2916</v>
      </c>
      <c r="B2917" s="9" t="s">
        <v>48</v>
      </c>
      <c r="C2917" s="10" t="s">
        <v>52</v>
      </c>
      <c r="D2917" s="11">
        <v>77.017868145409736</v>
      </c>
      <c r="E2917" s="12">
        <f t="shared" si="45"/>
        <v>44355</v>
      </c>
    </row>
    <row r="2918" spans="1:5" x14ac:dyDescent="0.25">
      <c r="A2918" s="2">
        <f>IF(B2918="","",SUBTOTAL(3,$B$2:B2918))</f>
        <v>2917</v>
      </c>
      <c r="B2918" s="9" t="s">
        <v>48</v>
      </c>
      <c r="C2918" s="10" t="s">
        <v>52</v>
      </c>
      <c r="D2918" s="11">
        <v>92.421441774491683</v>
      </c>
      <c r="E2918" s="12">
        <f t="shared" si="45"/>
        <v>44356</v>
      </c>
    </row>
    <row r="2919" spans="1:5" x14ac:dyDescent="0.25">
      <c r="A2919" s="2">
        <f>IF(B2919="","",SUBTOTAL(3,$B$2:B2919))</f>
        <v>2918</v>
      </c>
      <c r="B2919" s="9" t="s">
        <v>50</v>
      </c>
      <c r="C2919" s="10" t="s">
        <v>52</v>
      </c>
      <c r="D2919" s="11">
        <v>88.183421516754848</v>
      </c>
      <c r="E2919" s="12">
        <f t="shared" si="45"/>
        <v>44357</v>
      </c>
    </row>
    <row r="2920" spans="1:5" x14ac:dyDescent="0.25">
      <c r="A2920" s="2">
        <f>IF(B2920="","",SUBTOTAL(3,$B$2:B2920))</f>
        <v>2919</v>
      </c>
      <c r="B2920" s="9" t="s">
        <v>50</v>
      </c>
      <c r="C2920" s="10" t="s">
        <v>52</v>
      </c>
      <c r="D2920" s="11">
        <v>44.091710758377424</v>
      </c>
      <c r="E2920" s="12">
        <f t="shared" si="45"/>
        <v>44358</v>
      </c>
    </row>
    <row r="2921" spans="1:5" x14ac:dyDescent="0.25">
      <c r="A2921" s="2">
        <f>IF(B2921="","",SUBTOTAL(3,$B$2:B2921))</f>
        <v>2920</v>
      </c>
      <c r="B2921" s="9" t="s">
        <v>55</v>
      </c>
      <c r="C2921" s="10" t="s">
        <v>57</v>
      </c>
      <c r="D2921" s="11">
        <v>100</v>
      </c>
      <c r="E2921" s="12">
        <f t="shared" si="45"/>
        <v>44359</v>
      </c>
    </row>
    <row r="2922" spans="1:5" x14ac:dyDescent="0.25">
      <c r="A2922" s="2">
        <f>IF(B2922="","",SUBTOTAL(3,$B$2:B2922))</f>
        <v>2921</v>
      </c>
      <c r="B2922" s="9" t="s">
        <v>48</v>
      </c>
      <c r="C2922" s="10" t="s">
        <v>52</v>
      </c>
      <c r="D2922" s="11">
        <v>770.17868145409739</v>
      </c>
      <c r="E2922" s="12">
        <f t="shared" si="45"/>
        <v>44360</v>
      </c>
    </row>
    <row r="2923" spans="1:5" x14ac:dyDescent="0.25">
      <c r="A2923" s="2">
        <f>IF(B2923="","",SUBTOTAL(3,$B$2:B2923))</f>
        <v>2922</v>
      </c>
      <c r="B2923" s="9" t="s">
        <v>51</v>
      </c>
      <c r="C2923" s="10" t="s">
        <v>52</v>
      </c>
      <c r="D2923" s="11">
        <v>84.718839351900883</v>
      </c>
      <c r="E2923" s="12">
        <f t="shared" si="45"/>
        <v>44361</v>
      </c>
    </row>
    <row r="2924" spans="1:5" x14ac:dyDescent="0.25">
      <c r="A2924" s="2">
        <f>IF(B2924="","",SUBTOTAL(3,$B$2:B2924))</f>
        <v>2923</v>
      </c>
      <c r="B2924" s="9" t="s">
        <v>48</v>
      </c>
      <c r="C2924" s="10" t="s">
        <v>52</v>
      </c>
      <c r="D2924" s="11">
        <v>77.017868145409736</v>
      </c>
      <c r="E2924" s="12">
        <f t="shared" si="45"/>
        <v>44362</v>
      </c>
    </row>
    <row r="2925" spans="1:5" x14ac:dyDescent="0.25">
      <c r="A2925" s="2">
        <f>IF(B2925="","",SUBTOTAL(3,$B$2:B2925))</f>
        <v>2924</v>
      </c>
      <c r="B2925" s="9" t="s">
        <v>55</v>
      </c>
      <c r="C2925" s="10" t="s">
        <v>52</v>
      </c>
      <c r="D2925" s="11">
        <v>285.17500000000001</v>
      </c>
      <c r="E2925" s="12">
        <f t="shared" si="45"/>
        <v>44363</v>
      </c>
    </row>
    <row r="2926" spans="1:5" x14ac:dyDescent="0.25">
      <c r="A2926" s="2">
        <f>IF(B2926="","",SUBTOTAL(3,$B$2:B2926))</f>
        <v>2925</v>
      </c>
      <c r="B2926" s="9" t="s">
        <v>48</v>
      </c>
      <c r="C2926" s="10" t="s">
        <v>49</v>
      </c>
      <c r="D2926" s="11">
        <v>77.017868145409736</v>
      </c>
      <c r="E2926" s="12">
        <f t="shared" si="45"/>
        <v>44364</v>
      </c>
    </row>
    <row r="2927" spans="1:5" x14ac:dyDescent="0.25">
      <c r="A2927" s="2">
        <f>IF(B2927="","",SUBTOTAL(3,$B$2:B2927))</f>
        <v>2926</v>
      </c>
      <c r="B2927" s="9" t="s">
        <v>51</v>
      </c>
      <c r="C2927" s="10" t="s">
        <v>54</v>
      </c>
      <c r="D2927" s="11">
        <v>105.89854918987609</v>
      </c>
      <c r="E2927" s="12">
        <f t="shared" si="45"/>
        <v>44365</v>
      </c>
    </row>
    <row r="2928" spans="1:5" x14ac:dyDescent="0.25">
      <c r="A2928" s="2">
        <f>IF(B2928="","",SUBTOTAL(3,$B$2:B2928))</f>
        <v>2927</v>
      </c>
      <c r="B2928" s="9" t="s">
        <v>51</v>
      </c>
      <c r="C2928" s="10" t="s">
        <v>54</v>
      </c>
      <c r="D2928" s="11">
        <v>317.69564756962825</v>
      </c>
      <c r="E2928" s="12">
        <f t="shared" si="45"/>
        <v>44366</v>
      </c>
    </row>
    <row r="2929" spans="1:5" x14ac:dyDescent="0.25">
      <c r="A2929" s="2">
        <f>IF(B2929="","",SUBTOTAL(3,$B$2:B2929))</f>
        <v>2928</v>
      </c>
      <c r="B2929" s="9" t="s">
        <v>55</v>
      </c>
      <c r="C2929" s="10" t="s">
        <v>54</v>
      </c>
      <c r="D2929" s="11">
        <v>81.473032426266911</v>
      </c>
      <c r="E2929" s="12">
        <f t="shared" si="45"/>
        <v>44367</v>
      </c>
    </row>
    <row r="2930" spans="1:5" x14ac:dyDescent="0.25">
      <c r="A2930" s="2">
        <f>IF(B2930="","",SUBTOTAL(3,$B$2:B2930))</f>
        <v>2929</v>
      </c>
      <c r="B2930" s="9" t="s">
        <v>48</v>
      </c>
      <c r="C2930" s="10" t="s">
        <v>52</v>
      </c>
      <c r="D2930" s="11">
        <v>24.260628465804068</v>
      </c>
      <c r="E2930" s="12">
        <f t="shared" si="45"/>
        <v>44368</v>
      </c>
    </row>
    <row r="2931" spans="1:5" x14ac:dyDescent="0.25">
      <c r="A2931" s="2">
        <f>IF(B2931="","",SUBTOTAL(3,$B$2:B2931))</f>
        <v>2930</v>
      </c>
      <c r="B2931" s="9" t="s">
        <v>48</v>
      </c>
      <c r="C2931" s="10" t="s">
        <v>52</v>
      </c>
      <c r="D2931" s="11">
        <v>24.260628465804068</v>
      </c>
      <c r="E2931" s="12">
        <f t="shared" si="45"/>
        <v>44369</v>
      </c>
    </row>
    <row r="2932" spans="1:5" x14ac:dyDescent="0.25">
      <c r="A2932" s="2">
        <f>IF(B2932="","",SUBTOTAL(3,$B$2:B2932))</f>
        <v>2931</v>
      </c>
      <c r="B2932" s="9" t="s">
        <v>48</v>
      </c>
      <c r="C2932" s="10" t="s">
        <v>52</v>
      </c>
      <c r="D2932" s="11">
        <v>24.260628465804068</v>
      </c>
      <c r="E2932" s="12">
        <f t="shared" si="45"/>
        <v>44370</v>
      </c>
    </row>
    <row r="2933" spans="1:5" x14ac:dyDescent="0.25">
      <c r="A2933" s="2">
        <f>IF(B2933="","",SUBTOTAL(3,$B$2:B2933))</f>
        <v>2932</v>
      </c>
      <c r="B2933" s="9" t="s">
        <v>48</v>
      </c>
      <c r="C2933" s="10" t="s">
        <v>52</v>
      </c>
      <c r="D2933" s="11">
        <v>24.260628465804068</v>
      </c>
      <c r="E2933" s="12">
        <f t="shared" si="45"/>
        <v>44371</v>
      </c>
    </row>
    <row r="2934" spans="1:5" x14ac:dyDescent="0.25">
      <c r="A2934" s="2">
        <f>IF(B2934="","",SUBTOTAL(3,$B$2:B2934))</f>
        <v>2933</v>
      </c>
      <c r="B2934" s="9" t="s">
        <v>48</v>
      </c>
      <c r="C2934" s="10" t="s">
        <v>52</v>
      </c>
      <c r="D2934" s="11">
        <v>24.260628465804068</v>
      </c>
      <c r="E2934" s="12">
        <f t="shared" si="45"/>
        <v>44372</v>
      </c>
    </row>
    <row r="2935" spans="1:5" x14ac:dyDescent="0.25">
      <c r="A2935" s="2">
        <f>IF(B2935="","",SUBTOTAL(3,$B$2:B2935))</f>
        <v>2934</v>
      </c>
      <c r="B2935" s="9" t="s">
        <v>48</v>
      </c>
      <c r="C2935" s="10" t="s">
        <v>52</v>
      </c>
      <c r="D2935" s="11">
        <v>24.260628465804068</v>
      </c>
      <c r="E2935" s="12">
        <f t="shared" si="45"/>
        <v>44373</v>
      </c>
    </row>
    <row r="2936" spans="1:5" x14ac:dyDescent="0.25">
      <c r="A2936" s="2">
        <f>IF(B2936="","",SUBTOTAL(3,$B$2:B2936))</f>
        <v>2935</v>
      </c>
      <c r="B2936" s="9" t="s">
        <v>51</v>
      </c>
      <c r="C2936" s="10" t="s">
        <v>49</v>
      </c>
      <c r="D2936" s="11">
        <v>84.718839351900883</v>
      </c>
      <c r="E2936" s="12">
        <f t="shared" si="45"/>
        <v>44374</v>
      </c>
    </row>
    <row r="2937" spans="1:5" x14ac:dyDescent="0.25">
      <c r="A2937" s="2">
        <f>IF(B2937="","",SUBTOTAL(3,$B$2:B2937))</f>
        <v>2936</v>
      </c>
      <c r="B2937" s="9" t="s">
        <v>51</v>
      </c>
      <c r="C2937" s="10" t="s">
        <v>49</v>
      </c>
      <c r="D2937" s="11">
        <v>84.718839351900883</v>
      </c>
      <c r="E2937" s="12">
        <f t="shared" si="45"/>
        <v>44375</v>
      </c>
    </row>
    <row r="2938" spans="1:5" x14ac:dyDescent="0.25">
      <c r="A2938" s="2">
        <f>IF(B2938="","",SUBTOTAL(3,$B$2:B2938))</f>
        <v>2937</v>
      </c>
      <c r="B2938" s="9" t="s">
        <v>51</v>
      </c>
      <c r="C2938" s="10" t="s">
        <v>54</v>
      </c>
      <c r="D2938" s="11">
        <v>211.79709837975219</v>
      </c>
      <c r="E2938" s="12">
        <f t="shared" si="45"/>
        <v>44376</v>
      </c>
    </row>
    <row r="2939" spans="1:5" x14ac:dyDescent="0.25">
      <c r="A2939" s="2">
        <f>IF(B2939="","",SUBTOTAL(3,$B$2:B2939))</f>
        <v>2938</v>
      </c>
      <c r="B2939" s="9" t="s">
        <v>50</v>
      </c>
      <c r="C2939" s="10" t="s">
        <v>52</v>
      </c>
      <c r="D2939" s="11">
        <v>26.455026455026456</v>
      </c>
      <c r="E2939" s="12">
        <f t="shared" si="45"/>
        <v>44377</v>
      </c>
    </row>
    <row r="2940" spans="1:5" x14ac:dyDescent="0.25">
      <c r="A2940" s="2">
        <f>IF(B2940="","",SUBTOTAL(3,$B$2:B2940))</f>
        <v>2939</v>
      </c>
      <c r="B2940" s="9" t="s">
        <v>48</v>
      </c>
      <c r="C2940" s="10" t="s">
        <v>52</v>
      </c>
      <c r="D2940" s="11">
        <v>100.2145619467321</v>
      </c>
      <c r="E2940" s="12">
        <f t="shared" si="45"/>
        <v>44378</v>
      </c>
    </row>
    <row r="2941" spans="1:5" x14ac:dyDescent="0.25">
      <c r="A2941" s="2">
        <f>IF(B2941="","",SUBTOTAL(3,$B$2:B2941))</f>
        <v>2940</v>
      </c>
      <c r="B2941" s="9" t="s">
        <v>53</v>
      </c>
      <c r="C2941" s="10" t="s">
        <v>54</v>
      </c>
      <c r="D2941" s="11">
        <v>183.17198933939025</v>
      </c>
      <c r="E2941" s="12">
        <f t="shared" si="45"/>
        <v>44379</v>
      </c>
    </row>
    <row r="2942" spans="1:5" x14ac:dyDescent="0.25">
      <c r="A2942" s="2">
        <f>IF(B2942="","",SUBTOTAL(3,$B$2:B2942))</f>
        <v>2941</v>
      </c>
      <c r="B2942" s="9" t="s">
        <v>55</v>
      </c>
      <c r="C2942" s="10" t="s">
        <v>52</v>
      </c>
      <c r="D2942" s="11">
        <v>90</v>
      </c>
      <c r="E2942" s="12">
        <f t="shared" si="45"/>
        <v>44380</v>
      </c>
    </row>
    <row r="2943" spans="1:5" x14ac:dyDescent="0.25">
      <c r="A2943" s="2">
        <f>IF(B2943="","",SUBTOTAL(3,$B$2:B2943))</f>
        <v>2942</v>
      </c>
      <c r="B2943" s="9" t="s">
        <v>50</v>
      </c>
      <c r="C2943" s="10" t="s">
        <v>49</v>
      </c>
      <c r="D2943" s="11">
        <v>391.73686067019401</v>
      </c>
      <c r="E2943" s="12">
        <f t="shared" si="45"/>
        <v>44381</v>
      </c>
    </row>
    <row r="2944" spans="1:5" x14ac:dyDescent="0.25">
      <c r="A2944" s="2">
        <f>IF(B2944="","",SUBTOTAL(3,$B$2:B2944))</f>
        <v>2943</v>
      </c>
      <c r="B2944" s="9" t="s">
        <v>48</v>
      </c>
      <c r="C2944" s="10" t="s">
        <v>49</v>
      </c>
      <c r="D2944" s="11">
        <v>82.730093071354702</v>
      </c>
      <c r="E2944" s="12">
        <f t="shared" si="45"/>
        <v>44382</v>
      </c>
    </row>
    <row r="2945" spans="1:5" x14ac:dyDescent="0.25">
      <c r="A2945" s="2">
        <f>IF(B2945="","",SUBTOTAL(3,$B$2:B2945))</f>
        <v>2944</v>
      </c>
      <c r="B2945" s="9" t="s">
        <v>51</v>
      </c>
      <c r="C2945" s="10" t="s">
        <v>52</v>
      </c>
      <c r="D2945" s="11">
        <v>211.79709837975219</v>
      </c>
      <c r="E2945" s="12">
        <f t="shared" si="45"/>
        <v>44383</v>
      </c>
    </row>
    <row r="2946" spans="1:5" x14ac:dyDescent="0.25">
      <c r="A2946" s="2">
        <f>IF(B2946="","",SUBTOTAL(3,$B$2:B2946))</f>
        <v>2945</v>
      </c>
      <c r="B2946" s="9" t="s">
        <v>50</v>
      </c>
      <c r="C2946" s="10" t="s">
        <v>52</v>
      </c>
      <c r="D2946" s="11">
        <v>88.183421516754848</v>
      </c>
      <c r="E2946" s="12">
        <f t="shared" si="45"/>
        <v>44384</v>
      </c>
    </row>
    <row r="2947" spans="1:5" x14ac:dyDescent="0.25">
      <c r="A2947" s="2">
        <f>IF(B2947="","",SUBTOTAL(3,$B$2:B2947))</f>
        <v>2946</v>
      </c>
      <c r="B2947" s="9" t="s">
        <v>50</v>
      </c>
      <c r="C2947" s="10" t="s">
        <v>54</v>
      </c>
      <c r="D2947" s="11">
        <v>99.206349206349202</v>
      </c>
      <c r="E2947" s="12">
        <f t="shared" si="45"/>
        <v>44385</v>
      </c>
    </row>
    <row r="2948" spans="1:5" x14ac:dyDescent="0.25">
      <c r="A2948" s="2">
        <f>IF(B2948="","",SUBTOTAL(3,$B$2:B2948))</f>
        <v>2947</v>
      </c>
      <c r="B2948" s="9" t="s">
        <v>50</v>
      </c>
      <c r="C2948" s="10" t="s">
        <v>49</v>
      </c>
      <c r="D2948" s="11">
        <v>100.71966490299823</v>
      </c>
      <c r="E2948" s="12">
        <f t="shared" ref="E2948:E3011" si="46">E2947+1</f>
        <v>44386</v>
      </c>
    </row>
    <row r="2949" spans="1:5" x14ac:dyDescent="0.25">
      <c r="A2949" s="2">
        <f>IF(B2949="","",SUBTOTAL(3,$B$2:B2949))</f>
        <v>2948</v>
      </c>
      <c r="B2949" s="9" t="s">
        <v>48</v>
      </c>
      <c r="C2949" s="10" t="s">
        <v>49</v>
      </c>
      <c r="D2949" s="11">
        <v>77.088124574409321</v>
      </c>
      <c r="E2949" s="12">
        <f t="shared" si="46"/>
        <v>44387</v>
      </c>
    </row>
    <row r="2950" spans="1:5" x14ac:dyDescent="0.25">
      <c r="A2950" s="2">
        <f>IF(B2950="","",SUBTOTAL(3,$B$2:B2950))</f>
        <v>2949</v>
      </c>
      <c r="B2950" s="9" t="s">
        <v>48</v>
      </c>
      <c r="C2950" s="10" t="s">
        <v>54</v>
      </c>
      <c r="D2950" s="11">
        <v>68.941744226128904</v>
      </c>
      <c r="E2950" s="12">
        <f t="shared" si="46"/>
        <v>44388</v>
      </c>
    </row>
    <row r="2951" spans="1:5" x14ac:dyDescent="0.25">
      <c r="A2951" s="2">
        <f>IF(B2951="","",SUBTOTAL(3,$B$2:B2951))</f>
        <v>2950</v>
      </c>
      <c r="B2951" s="9" t="s">
        <v>55</v>
      </c>
      <c r="C2951" s="10" t="s">
        <v>49</v>
      </c>
      <c r="D2951" s="11">
        <v>3.2904045223319754E-5</v>
      </c>
      <c r="E2951" s="12">
        <f t="shared" si="46"/>
        <v>44389</v>
      </c>
    </row>
    <row r="2952" spans="1:5" x14ac:dyDescent="0.25">
      <c r="A2952" s="2">
        <f>IF(B2952="","",SUBTOTAL(3,$B$2:B2952))</f>
        <v>2951</v>
      </c>
      <c r="B2952" s="9" t="s">
        <v>48</v>
      </c>
      <c r="C2952" s="10" t="s">
        <v>49</v>
      </c>
      <c r="D2952" s="11">
        <v>51.706308169596689</v>
      </c>
      <c r="E2952" s="12">
        <f t="shared" si="46"/>
        <v>44390</v>
      </c>
    </row>
    <row r="2953" spans="1:5" x14ac:dyDescent="0.25">
      <c r="A2953" s="2">
        <f>IF(B2953="","",SUBTOTAL(3,$B$2:B2953))</f>
        <v>2952</v>
      </c>
      <c r="B2953" s="9" t="s">
        <v>50</v>
      </c>
      <c r="C2953" s="10" t="s">
        <v>52</v>
      </c>
      <c r="D2953" s="11">
        <v>88.183421516754848</v>
      </c>
      <c r="E2953" s="12">
        <f t="shared" si="46"/>
        <v>44391</v>
      </c>
    </row>
    <row r="2954" spans="1:5" x14ac:dyDescent="0.25">
      <c r="A2954" s="2">
        <f>IF(B2954="","",SUBTOTAL(3,$B$2:B2954))</f>
        <v>2953</v>
      </c>
      <c r="B2954" s="9" t="s">
        <v>50</v>
      </c>
      <c r="C2954" s="10" t="s">
        <v>49</v>
      </c>
      <c r="D2954" s="11">
        <v>55.114638447971785</v>
      </c>
      <c r="E2954" s="12">
        <f t="shared" si="46"/>
        <v>44392</v>
      </c>
    </row>
    <row r="2955" spans="1:5" x14ac:dyDescent="0.25">
      <c r="A2955" s="2">
        <f>IF(B2955="","",SUBTOTAL(3,$B$2:B2955))</f>
        <v>2954</v>
      </c>
      <c r="B2955" s="9" t="s">
        <v>51</v>
      </c>
      <c r="C2955" s="10" t="s">
        <v>52</v>
      </c>
      <c r="D2955" s="11">
        <v>202.57677659833075</v>
      </c>
      <c r="E2955" s="12">
        <f t="shared" si="46"/>
        <v>44393</v>
      </c>
    </row>
    <row r="2956" spans="1:5" x14ac:dyDescent="0.25">
      <c r="A2956" s="2">
        <f>IF(B2956="","",SUBTOTAL(3,$B$2:B2956))</f>
        <v>2955</v>
      </c>
      <c r="B2956" s="9" t="s">
        <v>48</v>
      </c>
      <c r="C2956" s="10" t="s">
        <v>49</v>
      </c>
      <c r="D2956" s="11">
        <v>69.689206377757515</v>
      </c>
      <c r="E2956" s="12">
        <f t="shared" si="46"/>
        <v>44394</v>
      </c>
    </row>
    <row r="2957" spans="1:5" x14ac:dyDescent="0.25">
      <c r="A2957" s="2">
        <f>IF(B2957="","",SUBTOTAL(3,$B$2:B2957))</f>
        <v>2956</v>
      </c>
      <c r="B2957" s="9" t="s">
        <v>48</v>
      </c>
      <c r="C2957" s="10" t="s">
        <v>54</v>
      </c>
      <c r="D2957" s="11">
        <v>68.941744226128904</v>
      </c>
      <c r="E2957" s="12">
        <f t="shared" si="46"/>
        <v>44395</v>
      </c>
    </row>
    <row r="2958" spans="1:5" x14ac:dyDescent="0.25">
      <c r="A2958" s="2">
        <f>IF(B2958="","",SUBTOTAL(3,$B$2:B2958))</f>
        <v>2957</v>
      </c>
      <c r="B2958" s="9" t="s">
        <v>48</v>
      </c>
      <c r="C2958" s="10" t="s">
        <v>54</v>
      </c>
      <c r="D2958" s="11">
        <v>86.177180282661155</v>
      </c>
      <c r="E2958" s="12">
        <f t="shared" si="46"/>
        <v>44396</v>
      </c>
    </row>
    <row r="2959" spans="1:5" x14ac:dyDescent="0.25">
      <c r="A2959" s="2">
        <f>IF(B2959="","",SUBTOTAL(3,$B$2:B2959))</f>
        <v>2958</v>
      </c>
      <c r="B2959" s="9" t="s">
        <v>48</v>
      </c>
      <c r="C2959" s="10" t="s">
        <v>54</v>
      </c>
      <c r="D2959" s="11">
        <v>68.941744226128904</v>
      </c>
      <c r="E2959" s="12">
        <f t="shared" si="46"/>
        <v>44397</v>
      </c>
    </row>
    <row r="2960" spans="1:5" x14ac:dyDescent="0.25">
      <c r="A2960" s="2">
        <f>IF(B2960="","",SUBTOTAL(3,$B$2:B2960))</f>
        <v>2959</v>
      </c>
      <c r="B2960" s="9" t="s">
        <v>48</v>
      </c>
      <c r="C2960" s="10" t="s">
        <v>54</v>
      </c>
      <c r="D2960" s="11">
        <v>86.177180282661155</v>
      </c>
      <c r="E2960" s="12">
        <f t="shared" si="46"/>
        <v>44398</v>
      </c>
    </row>
    <row r="2961" spans="1:5" x14ac:dyDescent="0.25">
      <c r="A2961" s="2">
        <f>IF(B2961="","",SUBTOTAL(3,$B$2:B2961))</f>
        <v>2960</v>
      </c>
      <c r="B2961" s="9" t="s">
        <v>48</v>
      </c>
      <c r="C2961" s="10" t="s">
        <v>54</v>
      </c>
      <c r="D2961" s="11">
        <v>68.941744226128904</v>
      </c>
      <c r="E2961" s="12">
        <f t="shared" si="46"/>
        <v>44399</v>
      </c>
    </row>
    <row r="2962" spans="1:5" x14ac:dyDescent="0.25">
      <c r="A2962" s="2">
        <f>IF(B2962="","",SUBTOTAL(3,$B$2:B2962))</f>
        <v>2961</v>
      </c>
      <c r="B2962" s="9" t="s">
        <v>48</v>
      </c>
      <c r="C2962" s="10" t="s">
        <v>54</v>
      </c>
      <c r="D2962" s="11">
        <v>86.177180282661155</v>
      </c>
      <c r="E2962" s="12">
        <f t="shared" si="46"/>
        <v>44400</v>
      </c>
    </row>
    <row r="2963" spans="1:5" x14ac:dyDescent="0.25">
      <c r="A2963" s="2">
        <f>IF(B2963="","",SUBTOTAL(3,$B$2:B2963))</f>
        <v>2962</v>
      </c>
      <c r="B2963" s="9" t="s">
        <v>48</v>
      </c>
      <c r="C2963" s="10" t="s">
        <v>54</v>
      </c>
      <c r="D2963" s="11">
        <v>86.177180282661155</v>
      </c>
      <c r="E2963" s="12">
        <f t="shared" si="46"/>
        <v>44401</v>
      </c>
    </row>
    <row r="2964" spans="1:5" x14ac:dyDescent="0.25">
      <c r="A2964" s="2">
        <f>IF(B2964="","",SUBTOTAL(3,$B$2:B2964))</f>
        <v>2963</v>
      </c>
      <c r="B2964" s="9" t="s">
        <v>55</v>
      </c>
      <c r="C2964" s="10" t="s">
        <v>52</v>
      </c>
      <c r="D2964" s="11">
        <v>20.531204171419262</v>
      </c>
      <c r="E2964" s="12">
        <f t="shared" si="46"/>
        <v>44402</v>
      </c>
    </row>
    <row r="2965" spans="1:5" x14ac:dyDescent="0.25">
      <c r="A2965" s="2">
        <f>IF(B2965="","",SUBTOTAL(3,$B$2:B2965))</f>
        <v>2964</v>
      </c>
      <c r="B2965" s="9" t="s">
        <v>55</v>
      </c>
      <c r="C2965" s="10" t="s">
        <v>52</v>
      </c>
      <c r="D2965" s="11">
        <v>30.796806257128893</v>
      </c>
      <c r="E2965" s="12">
        <f t="shared" si="46"/>
        <v>44403</v>
      </c>
    </row>
    <row r="2966" spans="1:5" x14ac:dyDescent="0.25">
      <c r="A2966" s="2">
        <f>IF(B2966="","",SUBTOTAL(3,$B$2:B2966))</f>
        <v>2965</v>
      </c>
      <c r="B2966" s="9" t="s">
        <v>50</v>
      </c>
      <c r="C2966" s="10" t="s">
        <v>52</v>
      </c>
      <c r="D2966" s="11">
        <v>66.137566137566139</v>
      </c>
      <c r="E2966" s="12">
        <f t="shared" si="46"/>
        <v>44404</v>
      </c>
    </row>
    <row r="2967" spans="1:5" x14ac:dyDescent="0.25">
      <c r="A2967" s="2">
        <f>IF(B2967="","",SUBTOTAL(3,$B$2:B2967))</f>
        <v>2966</v>
      </c>
      <c r="B2967" s="9" t="s">
        <v>48</v>
      </c>
      <c r="C2967" s="10" t="s">
        <v>49</v>
      </c>
      <c r="D2967" s="11">
        <v>77.017868145409736</v>
      </c>
      <c r="E2967" s="12">
        <f t="shared" si="46"/>
        <v>44405</v>
      </c>
    </row>
    <row r="2968" spans="1:5" x14ac:dyDescent="0.25">
      <c r="A2968" s="2">
        <f>IF(B2968="","",SUBTOTAL(3,$B$2:B2968))</f>
        <v>2967</v>
      </c>
      <c r="B2968" s="9" t="s">
        <v>48</v>
      </c>
      <c r="C2968" s="10" t="s">
        <v>49</v>
      </c>
      <c r="D2968" s="11">
        <v>25.696041524803107</v>
      </c>
      <c r="E2968" s="12">
        <f t="shared" si="46"/>
        <v>44406</v>
      </c>
    </row>
    <row r="2969" spans="1:5" x14ac:dyDescent="0.25">
      <c r="A2969" s="2">
        <f>IF(B2969="","",SUBTOTAL(3,$B$2:B2969))</f>
        <v>2968</v>
      </c>
      <c r="B2969" s="9" t="s">
        <v>50</v>
      </c>
      <c r="C2969" s="10" t="s">
        <v>52</v>
      </c>
      <c r="D2969" s="11">
        <v>66.137566137566139</v>
      </c>
      <c r="E2969" s="12">
        <f t="shared" si="46"/>
        <v>44407</v>
      </c>
    </row>
    <row r="2970" spans="1:5" x14ac:dyDescent="0.25">
      <c r="A2970" s="2">
        <f>IF(B2970="","",SUBTOTAL(3,$B$2:B2970))</f>
        <v>2969</v>
      </c>
      <c r="B2970" s="9" t="s">
        <v>50</v>
      </c>
      <c r="C2970" s="10" t="s">
        <v>52</v>
      </c>
      <c r="D2970" s="11">
        <v>88.183421516754848</v>
      </c>
      <c r="E2970" s="12">
        <f t="shared" si="46"/>
        <v>44408</v>
      </c>
    </row>
    <row r="2971" spans="1:5" x14ac:dyDescent="0.25">
      <c r="A2971" s="2">
        <f>IF(B2971="","",SUBTOTAL(3,$B$2:B2971))</f>
        <v>2970</v>
      </c>
      <c r="B2971" s="9" t="s">
        <v>48</v>
      </c>
      <c r="C2971" s="10" t="s">
        <v>52</v>
      </c>
      <c r="D2971" s="11">
        <v>15.403573629081947</v>
      </c>
      <c r="E2971" s="12">
        <f t="shared" si="46"/>
        <v>44409</v>
      </c>
    </row>
    <row r="2972" spans="1:5" x14ac:dyDescent="0.25">
      <c r="A2972" s="2">
        <f>IF(B2972="","",SUBTOTAL(3,$B$2:B2972))</f>
        <v>2971</v>
      </c>
      <c r="B2972" s="9" t="s">
        <v>55</v>
      </c>
      <c r="C2972" s="10" t="s">
        <v>49</v>
      </c>
      <c r="D2972" s="11">
        <v>22.75</v>
      </c>
      <c r="E2972" s="12">
        <f t="shared" si="46"/>
        <v>44410</v>
      </c>
    </row>
    <row r="2973" spans="1:5" x14ac:dyDescent="0.25">
      <c r="A2973" s="2">
        <f>IF(B2973="","",SUBTOTAL(3,$B$2:B2973))</f>
        <v>2972</v>
      </c>
      <c r="B2973" s="9" t="s">
        <v>55</v>
      </c>
      <c r="C2973" s="10" t="s">
        <v>49</v>
      </c>
      <c r="D2973" s="11">
        <v>42.365976861658794</v>
      </c>
      <c r="E2973" s="12">
        <f t="shared" si="46"/>
        <v>44411</v>
      </c>
    </row>
    <row r="2974" spans="1:5" x14ac:dyDescent="0.25">
      <c r="A2974" s="2">
        <f>IF(B2974="","",SUBTOTAL(3,$B$2:B2974))</f>
        <v>2973</v>
      </c>
      <c r="B2974" s="9" t="s">
        <v>51</v>
      </c>
      <c r="C2974" s="10" t="s">
        <v>52</v>
      </c>
      <c r="D2974" s="11">
        <v>56.623954251826746</v>
      </c>
      <c r="E2974" s="12">
        <f t="shared" si="46"/>
        <v>44412</v>
      </c>
    </row>
    <row r="2975" spans="1:5" x14ac:dyDescent="0.25">
      <c r="A2975" s="2">
        <f>IF(B2975="","",SUBTOTAL(3,$B$2:B2975))</f>
        <v>2974</v>
      </c>
      <c r="B2975" s="9" t="s">
        <v>50</v>
      </c>
      <c r="C2975" s="10" t="s">
        <v>49</v>
      </c>
      <c r="D2975" s="11">
        <v>130</v>
      </c>
      <c r="E2975" s="12">
        <f t="shared" si="46"/>
        <v>44413</v>
      </c>
    </row>
    <row r="2976" spans="1:5" x14ac:dyDescent="0.25">
      <c r="A2976" s="2">
        <f>IF(B2976="","",SUBTOTAL(3,$B$2:B2976))</f>
        <v>2975</v>
      </c>
      <c r="B2976" s="9" t="s">
        <v>53</v>
      </c>
      <c r="C2976" s="10" t="s">
        <v>49</v>
      </c>
      <c r="D2976" s="11">
        <v>109.90319360363415</v>
      </c>
      <c r="E2976" s="12">
        <f t="shared" si="46"/>
        <v>44414</v>
      </c>
    </row>
    <row r="2977" spans="1:5" x14ac:dyDescent="0.25">
      <c r="A2977" s="2">
        <f>IF(B2977="","",SUBTOTAL(3,$B$2:B2977))</f>
        <v>2976</v>
      </c>
      <c r="B2977" s="9" t="s">
        <v>48</v>
      </c>
      <c r="C2977" s="10" t="s">
        <v>52</v>
      </c>
      <c r="D2977" s="11">
        <v>128.48020762401552</v>
      </c>
      <c r="E2977" s="12">
        <f t="shared" si="46"/>
        <v>44415</v>
      </c>
    </row>
    <row r="2978" spans="1:5" x14ac:dyDescent="0.25">
      <c r="A2978" s="2">
        <f>IF(B2978="","",SUBTOTAL(3,$B$2:B2978))</f>
        <v>2977</v>
      </c>
      <c r="B2978" s="9" t="s">
        <v>48</v>
      </c>
      <c r="C2978" s="10" t="s">
        <v>52</v>
      </c>
      <c r="D2978" s="11">
        <v>1284.8020762401552</v>
      </c>
      <c r="E2978" s="12">
        <f t="shared" si="46"/>
        <v>44416</v>
      </c>
    </row>
    <row r="2979" spans="1:5" x14ac:dyDescent="0.25">
      <c r="A2979" s="2">
        <f>IF(B2979="","",SUBTOTAL(3,$B$2:B2979))</f>
        <v>2978</v>
      </c>
      <c r="B2979" s="9" t="s">
        <v>48</v>
      </c>
      <c r="C2979" s="10" t="s">
        <v>49</v>
      </c>
      <c r="D2979" s="11">
        <v>137.88348845225781</v>
      </c>
      <c r="E2979" s="12">
        <f t="shared" si="46"/>
        <v>44417</v>
      </c>
    </row>
    <row r="2980" spans="1:5" x14ac:dyDescent="0.25">
      <c r="A2980" s="2">
        <f>IF(B2980="","",SUBTOTAL(3,$B$2:B2980))</f>
        <v>2979</v>
      </c>
      <c r="B2980" s="9" t="s">
        <v>48</v>
      </c>
      <c r="C2980" s="10" t="s">
        <v>49</v>
      </c>
      <c r="D2980" s="11">
        <v>27.576697690451567</v>
      </c>
      <c r="E2980" s="12">
        <f t="shared" si="46"/>
        <v>44418</v>
      </c>
    </row>
    <row r="2981" spans="1:5" x14ac:dyDescent="0.25">
      <c r="A2981" s="2">
        <f>IF(B2981="","",SUBTOTAL(3,$B$2:B2981))</f>
        <v>2980</v>
      </c>
      <c r="B2981" s="9" t="s">
        <v>48</v>
      </c>
      <c r="C2981" s="10" t="s">
        <v>49</v>
      </c>
      <c r="D2981" s="11">
        <v>27.576697690451567</v>
      </c>
      <c r="E2981" s="12">
        <f t="shared" si="46"/>
        <v>44419</v>
      </c>
    </row>
    <row r="2982" spans="1:5" x14ac:dyDescent="0.25">
      <c r="A2982" s="2">
        <f>IF(B2982="","",SUBTOTAL(3,$B$2:B2982))</f>
        <v>2981</v>
      </c>
      <c r="B2982" s="9" t="s">
        <v>48</v>
      </c>
      <c r="C2982" s="10" t="s">
        <v>49</v>
      </c>
      <c r="D2982" s="11">
        <v>27.576697690451567</v>
      </c>
      <c r="E2982" s="12">
        <f t="shared" si="46"/>
        <v>44420</v>
      </c>
    </row>
    <row r="2983" spans="1:5" x14ac:dyDescent="0.25">
      <c r="A2983" s="2">
        <f>IF(B2983="","",SUBTOTAL(3,$B$2:B2983))</f>
        <v>2982</v>
      </c>
      <c r="B2983" s="9" t="s">
        <v>48</v>
      </c>
      <c r="C2983" s="10" t="s">
        <v>49</v>
      </c>
      <c r="D2983" s="11">
        <v>172.35436056532231</v>
      </c>
      <c r="E2983" s="12">
        <f t="shared" si="46"/>
        <v>44421</v>
      </c>
    </row>
    <row r="2984" spans="1:5" x14ac:dyDescent="0.25">
      <c r="A2984" s="2">
        <f>IF(B2984="","",SUBTOTAL(3,$B$2:B2984))</f>
        <v>2983</v>
      </c>
      <c r="B2984" s="9" t="s">
        <v>50</v>
      </c>
      <c r="C2984" s="10" t="s">
        <v>56</v>
      </c>
      <c r="D2984" s="11">
        <v>110.22927689594357</v>
      </c>
      <c r="E2984" s="12">
        <f t="shared" si="46"/>
        <v>44422</v>
      </c>
    </row>
    <row r="2985" spans="1:5" x14ac:dyDescent="0.25">
      <c r="A2985" s="2">
        <f>IF(B2985="","",SUBTOTAL(3,$B$2:B2985))</f>
        <v>2984</v>
      </c>
      <c r="B2985" s="9" t="s">
        <v>51</v>
      </c>
      <c r="C2985" s="10" t="s">
        <v>52</v>
      </c>
      <c r="D2985" s="11">
        <v>358.39881393624904</v>
      </c>
      <c r="E2985" s="12">
        <f t="shared" si="46"/>
        <v>44423</v>
      </c>
    </row>
    <row r="2986" spans="1:5" x14ac:dyDescent="0.25">
      <c r="A2986" s="2">
        <f>IF(B2986="","",SUBTOTAL(3,$B$2:B2986))</f>
        <v>2985</v>
      </c>
      <c r="B2986" s="9" t="s">
        <v>48</v>
      </c>
      <c r="C2986" s="10" t="s">
        <v>52</v>
      </c>
      <c r="D2986" s="11">
        <v>77.017868145409736</v>
      </c>
      <c r="E2986" s="12">
        <f t="shared" si="46"/>
        <v>44424</v>
      </c>
    </row>
    <row r="2987" spans="1:5" x14ac:dyDescent="0.25">
      <c r="A2987" s="2">
        <f>IF(B2987="","",SUBTOTAL(3,$B$2:B2987))</f>
        <v>2986</v>
      </c>
      <c r="B2987" s="9" t="s">
        <v>48</v>
      </c>
      <c r="C2987" s="10" t="s">
        <v>52</v>
      </c>
      <c r="D2987" s="11">
        <v>77.017868145409736</v>
      </c>
      <c r="E2987" s="12">
        <f t="shared" si="46"/>
        <v>44425</v>
      </c>
    </row>
    <row r="2988" spans="1:5" x14ac:dyDescent="0.25">
      <c r="A2988" s="2">
        <f>IF(B2988="","",SUBTOTAL(3,$B$2:B2988))</f>
        <v>2987</v>
      </c>
      <c r="B2988" s="9" t="s">
        <v>55</v>
      </c>
      <c r="C2988" s="10" t="s">
        <v>52</v>
      </c>
      <c r="D2988" s="11">
        <v>1439</v>
      </c>
      <c r="E2988" s="12">
        <f t="shared" si="46"/>
        <v>44426</v>
      </c>
    </row>
    <row r="2989" spans="1:5" x14ac:dyDescent="0.25">
      <c r="A2989" s="2">
        <f>IF(B2989="","",SUBTOTAL(3,$B$2:B2989))</f>
        <v>2988</v>
      </c>
      <c r="B2989" s="9" t="s">
        <v>51</v>
      </c>
      <c r="C2989" s="10" t="s">
        <v>49</v>
      </c>
      <c r="D2989" s="11">
        <v>74.128984432913256</v>
      </c>
      <c r="E2989" s="12">
        <f t="shared" si="46"/>
        <v>44427</v>
      </c>
    </row>
    <row r="2990" spans="1:5" x14ac:dyDescent="0.25">
      <c r="A2990" s="2">
        <f>IF(B2990="","",SUBTOTAL(3,$B$2:B2990))</f>
        <v>2989</v>
      </c>
      <c r="B2990" s="9" t="s">
        <v>48</v>
      </c>
      <c r="C2990" s="10" t="s">
        <v>49</v>
      </c>
      <c r="D2990" s="11">
        <v>61.614294516327789</v>
      </c>
      <c r="E2990" s="12">
        <f t="shared" si="46"/>
        <v>44428</v>
      </c>
    </row>
    <row r="2991" spans="1:5" x14ac:dyDescent="0.25">
      <c r="A2991" s="2">
        <f>IF(B2991="","",SUBTOTAL(3,$B$2:B2991))</f>
        <v>2990</v>
      </c>
      <c r="B2991" s="9" t="s">
        <v>48</v>
      </c>
      <c r="C2991" s="10" t="s">
        <v>52</v>
      </c>
      <c r="D2991" s="11">
        <v>92.421441774491683</v>
      </c>
      <c r="E2991" s="12">
        <f t="shared" si="46"/>
        <v>44429</v>
      </c>
    </row>
    <row r="2992" spans="1:5" x14ac:dyDescent="0.25">
      <c r="A2992" s="2">
        <f>IF(B2992="","",SUBTOTAL(3,$B$2:B2992))</f>
        <v>2991</v>
      </c>
      <c r="B2992" s="9" t="s">
        <v>53</v>
      </c>
      <c r="C2992" s="10" t="s">
        <v>49</v>
      </c>
      <c r="D2992" s="11">
        <v>274.75798400908536</v>
      </c>
      <c r="E2992" s="12">
        <f t="shared" si="46"/>
        <v>44430</v>
      </c>
    </row>
    <row r="2993" spans="1:5" x14ac:dyDescent="0.25">
      <c r="A2993" s="2">
        <f>IF(B2993="","",SUBTOTAL(3,$B$2:B2993))</f>
        <v>2992</v>
      </c>
      <c r="B2993" s="9" t="s">
        <v>51</v>
      </c>
      <c r="C2993" s="10" t="s">
        <v>52</v>
      </c>
      <c r="D2993" s="11">
        <v>105.89854918987609</v>
      </c>
      <c r="E2993" s="12">
        <f t="shared" si="46"/>
        <v>44431</v>
      </c>
    </row>
    <row r="2994" spans="1:5" x14ac:dyDescent="0.25">
      <c r="A2994" s="2">
        <f>IF(B2994="","",SUBTOTAL(3,$B$2:B2994))</f>
        <v>2993</v>
      </c>
      <c r="B2994" s="9" t="s">
        <v>50</v>
      </c>
      <c r="C2994" s="10" t="s">
        <v>52</v>
      </c>
      <c r="D2994" s="11">
        <v>44.091710758377424</v>
      </c>
      <c r="E2994" s="12">
        <f t="shared" si="46"/>
        <v>44432</v>
      </c>
    </row>
    <row r="2995" spans="1:5" x14ac:dyDescent="0.25">
      <c r="A2995" s="2">
        <f>IF(B2995="","",SUBTOTAL(3,$B$2:B2995))</f>
        <v>2994</v>
      </c>
      <c r="B2995" s="9" t="s">
        <v>48</v>
      </c>
      <c r="C2995" s="10" t="s">
        <v>52</v>
      </c>
      <c r="D2995" s="11">
        <v>642.4010381200776</v>
      </c>
      <c r="E2995" s="12">
        <f t="shared" si="46"/>
        <v>44433</v>
      </c>
    </row>
    <row r="2996" spans="1:5" x14ac:dyDescent="0.25">
      <c r="A2996" s="2">
        <f>IF(B2996="","",SUBTOTAL(3,$B$2:B2996))</f>
        <v>2995</v>
      </c>
      <c r="B2996" s="9" t="s">
        <v>48</v>
      </c>
      <c r="C2996" s="10" t="s">
        <v>52</v>
      </c>
      <c r="D2996" s="11">
        <v>17.235436056532226</v>
      </c>
      <c r="E2996" s="12">
        <f t="shared" si="46"/>
        <v>44434</v>
      </c>
    </row>
    <row r="2997" spans="1:5" x14ac:dyDescent="0.25">
      <c r="A2997" s="2">
        <f>IF(B2997="","",SUBTOTAL(3,$B$2:B2997))</f>
        <v>2996</v>
      </c>
      <c r="B2997" s="9" t="s">
        <v>48</v>
      </c>
      <c r="C2997" s="10" t="s">
        <v>52</v>
      </c>
      <c r="D2997" s="11">
        <v>102.78416609921243</v>
      </c>
      <c r="E2997" s="12">
        <f t="shared" si="46"/>
        <v>44435</v>
      </c>
    </row>
    <row r="2998" spans="1:5" x14ac:dyDescent="0.25">
      <c r="A2998" s="2">
        <f>IF(B2998="","",SUBTOTAL(3,$B$2:B2998))</f>
        <v>2997</v>
      </c>
      <c r="B2998" s="9" t="s">
        <v>48</v>
      </c>
      <c r="C2998" s="10" t="s">
        <v>54</v>
      </c>
      <c r="D2998" s="11">
        <v>68.941744226128904</v>
      </c>
      <c r="E2998" s="12">
        <f t="shared" si="46"/>
        <v>44436</v>
      </c>
    </row>
    <row r="2999" spans="1:5" x14ac:dyDescent="0.25">
      <c r="A2999" s="2">
        <f>IF(B2999="","",SUBTOTAL(3,$B$2:B2999))</f>
        <v>2998</v>
      </c>
      <c r="B2999" s="9" t="s">
        <v>48</v>
      </c>
      <c r="C2999" s="10" t="s">
        <v>52</v>
      </c>
      <c r="D2999" s="11">
        <v>123.22858903265558</v>
      </c>
      <c r="E2999" s="12">
        <f t="shared" si="46"/>
        <v>44437</v>
      </c>
    </row>
    <row r="3000" spans="1:5" x14ac:dyDescent="0.25">
      <c r="A3000" s="2">
        <f>IF(B3000="","",SUBTOTAL(3,$B$2:B3000))</f>
        <v>2999</v>
      </c>
      <c r="B3000" s="9" t="s">
        <v>48</v>
      </c>
      <c r="C3000" s="10" t="s">
        <v>52</v>
      </c>
      <c r="D3000" s="11">
        <v>77.017868145409736</v>
      </c>
      <c r="E3000" s="12">
        <f t="shared" si="46"/>
        <v>44438</v>
      </c>
    </row>
    <row r="3001" spans="1:5" x14ac:dyDescent="0.25">
      <c r="A3001" s="2">
        <f>IF(B3001="","",SUBTOTAL(3,$B$2:B3001))</f>
        <v>3000</v>
      </c>
      <c r="B3001" s="9" t="s">
        <v>48</v>
      </c>
      <c r="C3001" s="10" t="s">
        <v>52</v>
      </c>
      <c r="D3001" s="11">
        <v>138.63216266173754</v>
      </c>
      <c r="E3001" s="12">
        <f t="shared" si="46"/>
        <v>44439</v>
      </c>
    </row>
    <row r="3002" spans="1:5" x14ac:dyDescent="0.25">
      <c r="A3002" s="2">
        <f>IF(B3002="","",SUBTOTAL(3,$B$2:B3002))</f>
        <v>3001</v>
      </c>
      <c r="B3002" s="9" t="s">
        <v>48</v>
      </c>
      <c r="C3002" s="10" t="s">
        <v>49</v>
      </c>
      <c r="D3002" s="11">
        <v>46.210720887245841</v>
      </c>
      <c r="E3002" s="12">
        <f t="shared" si="46"/>
        <v>44440</v>
      </c>
    </row>
    <row r="3003" spans="1:5" x14ac:dyDescent="0.25">
      <c r="A3003" s="2">
        <f>IF(B3003="","",SUBTOTAL(3,$B$2:B3003))</f>
        <v>3002</v>
      </c>
      <c r="B3003" s="9" t="s">
        <v>48</v>
      </c>
      <c r="C3003" s="10" t="s">
        <v>52</v>
      </c>
      <c r="D3003" s="11">
        <v>107.82501540357363</v>
      </c>
      <c r="E3003" s="12">
        <f t="shared" si="46"/>
        <v>44441</v>
      </c>
    </row>
    <row r="3004" spans="1:5" x14ac:dyDescent="0.25">
      <c r="A3004" s="2">
        <f>IF(B3004="","",SUBTOTAL(3,$B$2:B3004))</f>
        <v>3003</v>
      </c>
      <c r="B3004" s="9" t="s">
        <v>48</v>
      </c>
      <c r="C3004" s="10" t="s">
        <v>49</v>
      </c>
      <c r="D3004" s="11">
        <v>107.82501540357363</v>
      </c>
      <c r="E3004" s="12">
        <f t="shared" si="46"/>
        <v>44442</v>
      </c>
    </row>
    <row r="3005" spans="1:5" x14ac:dyDescent="0.25">
      <c r="A3005" s="2">
        <f>IF(B3005="","",SUBTOTAL(3,$B$2:B3005))</f>
        <v>3004</v>
      </c>
      <c r="B3005" s="9" t="s">
        <v>50</v>
      </c>
      <c r="C3005" s="10" t="s">
        <v>49</v>
      </c>
      <c r="D3005" s="11">
        <v>55.114638447971785</v>
      </c>
      <c r="E3005" s="12">
        <f t="shared" si="46"/>
        <v>44443</v>
      </c>
    </row>
    <row r="3006" spans="1:5" x14ac:dyDescent="0.25">
      <c r="A3006" s="2">
        <f>IF(B3006="","",SUBTOTAL(3,$B$2:B3006))</f>
        <v>3005</v>
      </c>
      <c r="B3006" s="9" t="s">
        <v>48</v>
      </c>
      <c r="C3006" s="10" t="s">
        <v>49</v>
      </c>
      <c r="D3006" s="11">
        <v>8.993614533681086</v>
      </c>
      <c r="E3006" s="12">
        <f t="shared" si="46"/>
        <v>44444</v>
      </c>
    </row>
    <row r="3007" spans="1:5" x14ac:dyDescent="0.25">
      <c r="A3007" s="2">
        <f>IF(B3007="","",SUBTOTAL(3,$B$2:B3007))</f>
        <v>3006</v>
      </c>
      <c r="B3007" s="9" t="s">
        <v>55</v>
      </c>
      <c r="C3007" s="10" t="s">
        <v>49</v>
      </c>
      <c r="D3007" s="11">
        <v>50</v>
      </c>
      <c r="E3007" s="12">
        <f t="shared" si="46"/>
        <v>44445</v>
      </c>
    </row>
    <row r="3008" spans="1:5" x14ac:dyDescent="0.25">
      <c r="A3008" s="2">
        <f>IF(B3008="","",SUBTOTAL(3,$B$2:B3008))</f>
        <v>3007</v>
      </c>
      <c r="B3008" s="9" t="s">
        <v>55</v>
      </c>
      <c r="C3008" s="10" t="s">
        <v>49</v>
      </c>
      <c r="D3008" s="11">
        <v>20</v>
      </c>
      <c r="E3008" s="12">
        <f t="shared" si="46"/>
        <v>44446</v>
      </c>
    </row>
    <row r="3009" spans="1:5" x14ac:dyDescent="0.25">
      <c r="A3009" s="2">
        <f>IF(B3009="","",SUBTOTAL(3,$B$2:B3009))</f>
        <v>3008</v>
      </c>
      <c r="B3009" s="9" t="s">
        <v>55</v>
      </c>
      <c r="C3009" s="10" t="s">
        <v>49</v>
      </c>
      <c r="D3009" s="11">
        <v>65.55</v>
      </c>
      <c r="E3009" s="12">
        <f t="shared" si="46"/>
        <v>44447</v>
      </c>
    </row>
    <row r="3010" spans="1:5" x14ac:dyDescent="0.25">
      <c r="A3010" s="2">
        <f>IF(B3010="","",SUBTOTAL(3,$B$2:B3010))</f>
        <v>3009</v>
      </c>
      <c r="B3010" s="9" t="s">
        <v>55</v>
      </c>
      <c r="C3010" s="10" t="s">
        <v>52</v>
      </c>
      <c r="D3010" s="11">
        <v>17.438650000000003</v>
      </c>
      <c r="E3010" s="12">
        <f t="shared" si="46"/>
        <v>44448</v>
      </c>
    </row>
    <row r="3011" spans="1:5" x14ac:dyDescent="0.25">
      <c r="A3011" s="2">
        <f>IF(B3011="","",SUBTOTAL(3,$B$2:B3011))</f>
        <v>3010</v>
      </c>
      <c r="B3011" s="9" t="s">
        <v>55</v>
      </c>
      <c r="C3011" s="10" t="s">
        <v>49</v>
      </c>
      <c r="D3011" s="11">
        <v>250</v>
      </c>
      <c r="E3011" s="12">
        <f t="shared" si="46"/>
        <v>44449</v>
      </c>
    </row>
    <row r="3012" spans="1:5" x14ac:dyDescent="0.25">
      <c r="A3012" s="2">
        <f>IF(B3012="","",SUBTOTAL(3,$B$2:B3012))</f>
        <v>3011</v>
      </c>
      <c r="B3012" s="9" t="s">
        <v>48</v>
      </c>
      <c r="C3012" s="10" t="s">
        <v>49</v>
      </c>
      <c r="D3012" s="11">
        <v>30.807147258163894</v>
      </c>
      <c r="E3012" s="12">
        <f t="shared" ref="E3012:E3075" si="47">E3011+1</f>
        <v>44450</v>
      </c>
    </row>
    <row r="3013" spans="1:5" x14ac:dyDescent="0.25">
      <c r="A3013" s="2">
        <f>IF(B3013="","",SUBTOTAL(3,$B$2:B3013))</f>
        <v>3012</v>
      </c>
      <c r="B3013" s="9" t="s">
        <v>55</v>
      </c>
      <c r="C3013" s="10" t="s">
        <v>49</v>
      </c>
      <c r="D3013" s="11">
        <v>3.2097576632964211</v>
      </c>
      <c r="E3013" s="12">
        <f t="shared" si="47"/>
        <v>44451</v>
      </c>
    </row>
    <row r="3014" spans="1:5" x14ac:dyDescent="0.25">
      <c r="A3014" s="2">
        <f>IF(B3014="","",SUBTOTAL(3,$B$2:B3014))</f>
        <v>3013</v>
      </c>
      <c r="B3014" s="9" t="s">
        <v>48</v>
      </c>
      <c r="C3014" s="10" t="s">
        <v>49</v>
      </c>
      <c r="D3014" s="11">
        <v>27.576697690451567</v>
      </c>
      <c r="E3014" s="12">
        <f t="shared" si="47"/>
        <v>44452</v>
      </c>
    </row>
    <row r="3015" spans="1:5" x14ac:dyDescent="0.25">
      <c r="A3015" s="2">
        <f>IF(B3015="","",SUBTOTAL(3,$B$2:B3015))</f>
        <v>3014</v>
      </c>
      <c r="B3015" s="9" t="s">
        <v>51</v>
      </c>
      <c r="C3015" s="10" t="s">
        <v>52</v>
      </c>
      <c r="D3015" s="11">
        <v>121.54606595899845</v>
      </c>
      <c r="E3015" s="12">
        <f t="shared" si="47"/>
        <v>44453</v>
      </c>
    </row>
    <row r="3016" spans="1:5" x14ac:dyDescent="0.25">
      <c r="A3016" s="2">
        <f>IF(B3016="","",SUBTOTAL(3,$B$2:B3016))</f>
        <v>3015</v>
      </c>
      <c r="B3016" s="9" t="s">
        <v>55</v>
      </c>
      <c r="C3016" s="10" t="s">
        <v>52</v>
      </c>
      <c r="D3016" s="11">
        <v>22.970551752653101</v>
      </c>
      <c r="E3016" s="12">
        <f t="shared" si="47"/>
        <v>44454</v>
      </c>
    </row>
    <row r="3017" spans="1:5" x14ac:dyDescent="0.25">
      <c r="A3017" s="2">
        <f>IF(B3017="","",SUBTOTAL(3,$B$2:B3017))</f>
        <v>3016</v>
      </c>
      <c r="B3017" s="9" t="s">
        <v>50</v>
      </c>
      <c r="C3017" s="10" t="s">
        <v>49</v>
      </c>
      <c r="D3017" s="11">
        <v>41.235449735449734</v>
      </c>
      <c r="E3017" s="12">
        <f t="shared" si="47"/>
        <v>44455</v>
      </c>
    </row>
    <row r="3018" spans="1:5" x14ac:dyDescent="0.25">
      <c r="A3018" s="2">
        <f>IF(B3018="","",SUBTOTAL(3,$B$2:B3018))</f>
        <v>3017</v>
      </c>
      <c r="B3018" s="9" t="s">
        <v>55</v>
      </c>
      <c r="C3018" s="10" t="s">
        <v>54</v>
      </c>
      <c r="D3018" s="11">
        <v>102.48</v>
      </c>
      <c r="E3018" s="12">
        <f t="shared" si="47"/>
        <v>44456</v>
      </c>
    </row>
    <row r="3019" spans="1:5" x14ac:dyDescent="0.25">
      <c r="A3019" s="2">
        <f>IF(B3019="","",SUBTOTAL(3,$B$2:B3019))</f>
        <v>3018</v>
      </c>
      <c r="B3019" s="9" t="s">
        <v>50</v>
      </c>
      <c r="C3019" s="10" t="s">
        <v>49</v>
      </c>
      <c r="D3019" s="11">
        <v>35.273368606701936</v>
      </c>
      <c r="E3019" s="12">
        <f t="shared" si="47"/>
        <v>44457</v>
      </c>
    </row>
    <row r="3020" spans="1:5" x14ac:dyDescent="0.25">
      <c r="A3020" s="2">
        <f>IF(B3020="","",SUBTOTAL(3,$B$2:B3020))</f>
        <v>3019</v>
      </c>
      <c r="B3020" s="9" t="s">
        <v>55</v>
      </c>
      <c r="C3020" s="10" t="s">
        <v>52</v>
      </c>
      <c r="D3020" s="11">
        <v>45.941103505306202</v>
      </c>
      <c r="E3020" s="12">
        <f t="shared" si="47"/>
        <v>44458</v>
      </c>
    </row>
    <row r="3021" spans="1:5" x14ac:dyDescent="0.25">
      <c r="A3021" s="2">
        <f>IF(B3021="","",SUBTOTAL(3,$B$2:B3021))</f>
        <v>3020</v>
      </c>
      <c r="B3021" s="9" t="s">
        <v>55</v>
      </c>
      <c r="C3021" s="10" t="s">
        <v>52</v>
      </c>
      <c r="D3021" s="11">
        <v>57.426379381632742</v>
      </c>
      <c r="E3021" s="12">
        <f t="shared" si="47"/>
        <v>44459</v>
      </c>
    </row>
    <row r="3022" spans="1:5" x14ac:dyDescent="0.25">
      <c r="A3022" s="2">
        <f>IF(B3022="","",SUBTOTAL(3,$B$2:B3022))</f>
        <v>3021</v>
      </c>
      <c r="B3022" s="9" t="s">
        <v>55</v>
      </c>
      <c r="C3022" s="10" t="s">
        <v>52</v>
      </c>
      <c r="D3022" s="11">
        <v>98.712135669959252</v>
      </c>
      <c r="E3022" s="12">
        <f t="shared" si="47"/>
        <v>44460</v>
      </c>
    </row>
    <row r="3023" spans="1:5" x14ac:dyDescent="0.25">
      <c r="A3023" s="2">
        <f>IF(B3023="","",SUBTOTAL(3,$B$2:B3023))</f>
        <v>3022</v>
      </c>
      <c r="B3023" s="9" t="s">
        <v>55</v>
      </c>
      <c r="C3023" s="10" t="s">
        <v>52</v>
      </c>
      <c r="D3023" s="11">
        <v>98.712135669959252</v>
      </c>
      <c r="E3023" s="12">
        <f t="shared" si="47"/>
        <v>44461</v>
      </c>
    </row>
    <row r="3024" spans="1:5" x14ac:dyDescent="0.25">
      <c r="A3024" s="2">
        <f>IF(B3024="","",SUBTOTAL(3,$B$2:B3024))</f>
        <v>3023</v>
      </c>
      <c r="B3024" s="9" t="s">
        <v>48</v>
      </c>
      <c r="C3024" s="10" t="s">
        <v>52</v>
      </c>
      <c r="D3024" s="11">
        <v>102.78416609921243</v>
      </c>
      <c r="E3024" s="12">
        <f t="shared" si="47"/>
        <v>44462</v>
      </c>
    </row>
    <row r="3025" spans="1:5" x14ac:dyDescent="0.25">
      <c r="A3025" s="2">
        <f>IF(B3025="","",SUBTOTAL(3,$B$2:B3025))</f>
        <v>3024</v>
      </c>
      <c r="B3025" s="9" t="s">
        <v>55</v>
      </c>
      <c r="C3025" s="10" t="s">
        <v>49</v>
      </c>
      <c r="D3025" s="11">
        <v>51.369044884458127</v>
      </c>
      <c r="E3025" s="12">
        <f t="shared" si="47"/>
        <v>44463</v>
      </c>
    </row>
    <row r="3026" spans="1:5" x14ac:dyDescent="0.25">
      <c r="A3026" s="2">
        <f>IF(B3026="","",SUBTOTAL(3,$B$2:B3026))</f>
        <v>3025</v>
      </c>
      <c r="B3026" s="9" t="s">
        <v>51</v>
      </c>
      <c r="C3026" s="10" t="s">
        <v>52</v>
      </c>
      <c r="D3026" s="11">
        <v>0.1058985491898761</v>
      </c>
      <c r="E3026" s="12">
        <f t="shared" si="47"/>
        <v>44464</v>
      </c>
    </row>
    <row r="3027" spans="1:5" x14ac:dyDescent="0.25">
      <c r="A3027" s="2">
        <f>IF(B3027="","",SUBTOTAL(3,$B$2:B3027))</f>
        <v>3026</v>
      </c>
      <c r="B3027" s="9" t="s">
        <v>48</v>
      </c>
      <c r="C3027" s="10" t="s">
        <v>52</v>
      </c>
      <c r="D3027" s="11">
        <v>64.24010381200776</v>
      </c>
      <c r="E3027" s="12">
        <f t="shared" si="47"/>
        <v>44465</v>
      </c>
    </row>
    <row r="3028" spans="1:5" x14ac:dyDescent="0.25">
      <c r="A3028" s="2">
        <f>IF(B3028="","",SUBTOTAL(3,$B$2:B3028))</f>
        <v>3027</v>
      </c>
      <c r="B3028" s="9" t="s">
        <v>50</v>
      </c>
      <c r="C3028" s="10" t="s">
        <v>52</v>
      </c>
      <c r="D3028" s="11">
        <v>110.22927689594357</v>
      </c>
      <c r="E3028" s="12">
        <f t="shared" si="47"/>
        <v>44466</v>
      </c>
    </row>
    <row r="3029" spans="1:5" x14ac:dyDescent="0.25">
      <c r="A3029" s="2">
        <f>IF(B3029="","",SUBTOTAL(3,$B$2:B3029))</f>
        <v>3028</v>
      </c>
      <c r="B3029" s="9" t="s">
        <v>50</v>
      </c>
      <c r="C3029" s="10" t="s">
        <v>52</v>
      </c>
      <c r="D3029" s="11">
        <v>88.183421516754848</v>
      </c>
      <c r="E3029" s="12">
        <f t="shared" si="47"/>
        <v>44467</v>
      </c>
    </row>
    <row r="3030" spans="1:5" x14ac:dyDescent="0.25">
      <c r="A3030" s="2">
        <f>IF(B3030="","",SUBTOTAL(3,$B$2:B3030))</f>
        <v>3029</v>
      </c>
      <c r="B3030" s="9" t="s">
        <v>48</v>
      </c>
      <c r="C3030" s="10" t="s">
        <v>52</v>
      </c>
      <c r="D3030" s="11">
        <v>107.82501540357363</v>
      </c>
      <c r="E3030" s="12">
        <f t="shared" si="47"/>
        <v>44468</v>
      </c>
    </row>
    <row r="3031" spans="1:5" x14ac:dyDescent="0.25">
      <c r="A3031" s="2">
        <f>IF(B3031="","",SUBTOTAL(3,$B$2:B3031))</f>
        <v>3030</v>
      </c>
      <c r="B3031" s="9" t="s">
        <v>48</v>
      </c>
      <c r="C3031" s="10" t="s">
        <v>52</v>
      </c>
      <c r="D3031" s="11">
        <v>77.017868145409736</v>
      </c>
      <c r="E3031" s="12">
        <f t="shared" si="47"/>
        <v>44469</v>
      </c>
    </row>
    <row r="3032" spans="1:5" x14ac:dyDescent="0.25">
      <c r="A3032" s="2">
        <f>IF(B3032="","",SUBTOTAL(3,$B$2:B3032))</f>
        <v>3031</v>
      </c>
      <c r="B3032" s="9" t="s">
        <v>50</v>
      </c>
      <c r="C3032" s="10" t="s">
        <v>52</v>
      </c>
      <c r="D3032" s="11">
        <v>66.137566137566139</v>
      </c>
      <c r="E3032" s="12">
        <f t="shared" si="47"/>
        <v>44470</v>
      </c>
    </row>
    <row r="3033" spans="1:5" x14ac:dyDescent="0.25">
      <c r="A3033" s="2">
        <f>IF(B3033="","",SUBTOTAL(3,$B$2:B3033))</f>
        <v>3032</v>
      </c>
      <c r="B3033" s="9" t="s">
        <v>50</v>
      </c>
      <c r="C3033" s="10" t="s">
        <v>52</v>
      </c>
      <c r="D3033" s="11">
        <v>88.183421516754848</v>
      </c>
      <c r="E3033" s="12">
        <f t="shared" si="47"/>
        <v>44471</v>
      </c>
    </row>
    <row r="3034" spans="1:5" x14ac:dyDescent="0.25">
      <c r="A3034" s="2">
        <f>IF(B3034="","",SUBTOTAL(3,$B$2:B3034))</f>
        <v>3033</v>
      </c>
      <c r="B3034" s="9" t="s">
        <v>50</v>
      </c>
      <c r="C3034" s="10" t="s">
        <v>49</v>
      </c>
      <c r="D3034" s="11">
        <v>132.27513227513228</v>
      </c>
      <c r="E3034" s="12">
        <f t="shared" si="47"/>
        <v>44472</v>
      </c>
    </row>
    <row r="3035" spans="1:5" x14ac:dyDescent="0.25">
      <c r="A3035" s="2">
        <f>IF(B3035="","",SUBTOTAL(3,$B$2:B3035))</f>
        <v>3034</v>
      </c>
      <c r="B3035" s="9" t="s">
        <v>55</v>
      </c>
      <c r="C3035" s="10" t="s">
        <v>56</v>
      </c>
      <c r="D3035" s="11">
        <v>20.060985395602632</v>
      </c>
      <c r="E3035" s="12">
        <f t="shared" si="47"/>
        <v>44473</v>
      </c>
    </row>
    <row r="3036" spans="1:5" x14ac:dyDescent="0.25">
      <c r="A3036" s="2">
        <f>IF(B3036="","",SUBTOTAL(3,$B$2:B3036))</f>
        <v>3035</v>
      </c>
      <c r="B3036" s="9" t="s">
        <v>55</v>
      </c>
      <c r="C3036" s="10" t="s">
        <v>49</v>
      </c>
      <c r="D3036" s="11">
        <v>79.8</v>
      </c>
      <c r="E3036" s="12">
        <f t="shared" si="47"/>
        <v>44474</v>
      </c>
    </row>
    <row r="3037" spans="1:5" x14ac:dyDescent="0.25">
      <c r="A3037" s="2">
        <f>IF(B3037="","",SUBTOTAL(3,$B$2:B3037))</f>
        <v>3036</v>
      </c>
      <c r="B3037" s="9" t="s">
        <v>55</v>
      </c>
      <c r="C3037" s="10" t="s">
        <v>49</v>
      </c>
      <c r="D3037" s="11">
        <v>65.55</v>
      </c>
      <c r="E3037" s="12">
        <f t="shared" si="47"/>
        <v>44475</v>
      </c>
    </row>
    <row r="3038" spans="1:5" x14ac:dyDescent="0.25">
      <c r="A3038" s="2">
        <f>IF(B3038="","",SUBTOTAL(3,$B$2:B3038))</f>
        <v>3037</v>
      </c>
      <c r="B3038" s="9" t="s">
        <v>48</v>
      </c>
      <c r="C3038" s="10" t="s">
        <v>52</v>
      </c>
      <c r="D3038" s="11">
        <v>154.03573629081947</v>
      </c>
      <c r="E3038" s="12">
        <f t="shared" si="47"/>
        <v>44476</v>
      </c>
    </row>
    <row r="3039" spans="1:5" x14ac:dyDescent="0.25">
      <c r="A3039" s="2">
        <f>IF(B3039="","",SUBTOTAL(3,$B$2:B3039))</f>
        <v>3038</v>
      </c>
      <c r="B3039" s="9" t="s">
        <v>48</v>
      </c>
      <c r="C3039" s="10" t="s">
        <v>49</v>
      </c>
      <c r="D3039" s="11">
        <v>19.528991558850361</v>
      </c>
      <c r="E3039" s="12">
        <f t="shared" si="47"/>
        <v>44477</v>
      </c>
    </row>
    <row r="3040" spans="1:5" x14ac:dyDescent="0.25">
      <c r="A3040" s="2">
        <f>IF(B3040="","",SUBTOTAL(3,$B$2:B3040))</f>
        <v>3039</v>
      </c>
      <c r="B3040" s="9" t="s">
        <v>48</v>
      </c>
      <c r="C3040" s="10" t="s">
        <v>49</v>
      </c>
      <c r="D3040" s="11">
        <v>1078.2501540357364</v>
      </c>
      <c r="E3040" s="12">
        <f t="shared" si="47"/>
        <v>44478</v>
      </c>
    </row>
    <row r="3041" spans="1:5" x14ac:dyDescent="0.25">
      <c r="A3041" s="2">
        <f>IF(B3041="","",SUBTOTAL(3,$B$2:B3041))</f>
        <v>3040</v>
      </c>
      <c r="B3041" s="9" t="s">
        <v>48</v>
      </c>
      <c r="C3041" s="10" t="s">
        <v>49</v>
      </c>
      <c r="D3041" s="11">
        <v>104.74430067775724</v>
      </c>
      <c r="E3041" s="12">
        <f t="shared" si="47"/>
        <v>44479</v>
      </c>
    </row>
    <row r="3042" spans="1:5" x14ac:dyDescent="0.25">
      <c r="A3042" s="2">
        <f>IF(B3042="","",SUBTOTAL(3,$B$2:B3042))</f>
        <v>3041</v>
      </c>
      <c r="B3042" s="9" t="s">
        <v>48</v>
      </c>
      <c r="C3042" s="10" t="s">
        <v>49</v>
      </c>
      <c r="D3042" s="11">
        <v>77.017868145409736</v>
      </c>
      <c r="E3042" s="12">
        <f t="shared" si="47"/>
        <v>44480</v>
      </c>
    </row>
    <row r="3043" spans="1:5" x14ac:dyDescent="0.25">
      <c r="A3043" s="2">
        <f>IF(B3043="","",SUBTOTAL(3,$B$2:B3043))</f>
        <v>3042</v>
      </c>
      <c r="B3043" s="9" t="s">
        <v>51</v>
      </c>
      <c r="C3043" s="10" t="s">
        <v>49</v>
      </c>
      <c r="D3043" s="11">
        <v>147.47589336358479</v>
      </c>
      <c r="E3043" s="12">
        <f t="shared" si="47"/>
        <v>44481</v>
      </c>
    </row>
    <row r="3044" spans="1:5" x14ac:dyDescent="0.25">
      <c r="A3044" s="2">
        <f>IF(B3044="","",SUBTOTAL(3,$B$2:B3044))</f>
        <v>3043</v>
      </c>
      <c r="B3044" s="9" t="s">
        <v>48</v>
      </c>
      <c r="C3044" s="10" t="s">
        <v>52</v>
      </c>
      <c r="D3044" s="11">
        <v>61.614294516327789</v>
      </c>
      <c r="E3044" s="12">
        <f t="shared" si="47"/>
        <v>44482</v>
      </c>
    </row>
    <row r="3045" spans="1:5" x14ac:dyDescent="0.25">
      <c r="A3045" s="2">
        <f>IF(B3045="","",SUBTOTAL(3,$B$2:B3045))</f>
        <v>3044</v>
      </c>
      <c r="B3045" s="9" t="s">
        <v>55</v>
      </c>
      <c r="C3045" s="10" t="s">
        <v>52</v>
      </c>
      <c r="D3045" s="11">
        <v>529.49274594938049</v>
      </c>
      <c r="E3045" s="12">
        <f t="shared" si="47"/>
        <v>44483</v>
      </c>
    </row>
    <row r="3046" spans="1:5" x14ac:dyDescent="0.25">
      <c r="A3046" s="2">
        <f>IF(B3046="","",SUBTOTAL(3,$B$2:B3046))</f>
        <v>3045</v>
      </c>
      <c r="B3046" s="9" t="s">
        <v>55</v>
      </c>
      <c r="C3046" s="10" t="s">
        <v>49</v>
      </c>
      <c r="D3046" s="11">
        <v>18.92543758901089</v>
      </c>
      <c r="E3046" s="12">
        <f t="shared" si="47"/>
        <v>44484</v>
      </c>
    </row>
    <row r="3047" spans="1:5" x14ac:dyDescent="0.25">
      <c r="A3047" s="2">
        <f>IF(B3047="","",SUBTOTAL(3,$B$2:B3047))</f>
        <v>3046</v>
      </c>
      <c r="B3047" s="9" t="s">
        <v>50</v>
      </c>
      <c r="C3047" s="10" t="s">
        <v>52</v>
      </c>
      <c r="D3047" s="11">
        <v>143.29805996472663</v>
      </c>
      <c r="E3047" s="12">
        <f t="shared" si="47"/>
        <v>44485</v>
      </c>
    </row>
    <row r="3048" spans="1:5" x14ac:dyDescent="0.25">
      <c r="A3048" s="2">
        <f>IF(B3048="","",SUBTOTAL(3,$B$2:B3048))</f>
        <v>3047</v>
      </c>
      <c r="B3048" s="9" t="s">
        <v>55</v>
      </c>
      <c r="C3048" s="10" t="s">
        <v>49</v>
      </c>
      <c r="D3048" s="11">
        <v>1.7549999999999999</v>
      </c>
      <c r="E3048" s="12">
        <f t="shared" si="47"/>
        <v>44486</v>
      </c>
    </row>
    <row r="3049" spans="1:5" x14ac:dyDescent="0.25">
      <c r="A3049" s="2">
        <f>IF(B3049="","",SUBTOTAL(3,$B$2:B3049))</f>
        <v>3048</v>
      </c>
      <c r="B3049" s="9" t="s">
        <v>55</v>
      </c>
      <c r="C3049" s="10" t="s">
        <v>49</v>
      </c>
      <c r="D3049" s="11">
        <v>4.7774999999999999</v>
      </c>
      <c r="E3049" s="12">
        <f t="shared" si="47"/>
        <v>44487</v>
      </c>
    </row>
    <row r="3050" spans="1:5" x14ac:dyDescent="0.25">
      <c r="A3050" s="2">
        <f>IF(B3050="","",SUBTOTAL(3,$B$2:B3050))</f>
        <v>3049</v>
      </c>
      <c r="B3050" s="9" t="s">
        <v>48</v>
      </c>
      <c r="C3050" s="10" t="s">
        <v>49</v>
      </c>
      <c r="D3050" s="11">
        <v>48.289934505342984</v>
      </c>
      <c r="E3050" s="12">
        <f t="shared" si="47"/>
        <v>44488</v>
      </c>
    </row>
    <row r="3051" spans="1:5" x14ac:dyDescent="0.25">
      <c r="A3051" s="2">
        <f>IF(B3051="","",SUBTOTAL(3,$B$2:B3051))</f>
        <v>3050</v>
      </c>
      <c r="B3051" s="9" t="s">
        <v>55</v>
      </c>
      <c r="C3051" s="10" t="s">
        <v>49</v>
      </c>
      <c r="D3051" s="11">
        <v>88</v>
      </c>
      <c r="E3051" s="12">
        <f t="shared" si="47"/>
        <v>44489</v>
      </c>
    </row>
    <row r="3052" spans="1:5" x14ac:dyDescent="0.25">
      <c r="A3052" s="2">
        <f>IF(B3052="","",SUBTOTAL(3,$B$2:B3052))</f>
        <v>3051</v>
      </c>
      <c r="B3052" s="9" t="s">
        <v>55</v>
      </c>
      <c r="C3052" s="10" t="s">
        <v>49</v>
      </c>
      <c r="D3052" s="11">
        <v>50</v>
      </c>
      <c r="E3052" s="12">
        <f t="shared" si="47"/>
        <v>44490</v>
      </c>
    </row>
    <row r="3053" spans="1:5" x14ac:dyDescent="0.25">
      <c r="A3053" s="2">
        <f>IF(B3053="","",SUBTOTAL(3,$B$2:B3053))</f>
        <v>3052</v>
      </c>
      <c r="B3053" s="9" t="s">
        <v>55</v>
      </c>
      <c r="C3053" s="10" t="s">
        <v>49</v>
      </c>
      <c r="D3053" s="11">
        <v>50</v>
      </c>
      <c r="E3053" s="12">
        <f t="shared" si="47"/>
        <v>44491</v>
      </c>
    </row>
    <row r="3054" spans="1:5" x14ac:dyDescent="0.25">
      <c r="A3054" s="2">
        <f>IF(B3054="","",SUBTOTAL(3,$B$2:B3054))</f>
        <v>3053</v>
      </c>
      <c r="B3054" s="9" t="s">
        <v>55</v>
      </c>
      <c r="C3054" s="10" t="s">
        <v>49</v>
      </c>
      <c r="D3054" s="11">
        <v>50</v>
      </c>
      <c r="E3054" s="12">
        <f t="shared" si="47"/>
        <v>44492</v>
      </c>
    </row>
    <row r="3055" spans="1:5" x14ac:dyDescent="0.25">
      <c r="A3055" s="2">
        <f>IF(B3055="","",SUBTOTAL(3,$B$2:B3055))</f>
        <v>3054</v>
      </c>
      <c r="B3055" s="9" t="s">
        <v>55</v>
      </c>
      <c r="C3055" s="10" t="s">
        <v>49</v>
      </c>
      <c r="D3055" s="11">
        <v>50</v>
      </c>
      <c r="E3055" s="12">
        <f t="shared" si="47"/>
        <v>44493</v>
      </c>
    </row>
    <row r="3056" spans="1:5" x14ac:dyDescent="0.25">
      <c r="A3056" s="2">
        <f>IF(B3056="","",SUBTOTAL(3,$B$2:B3056))</f>
        <v>3055</v>
      </c>
      <c r="B3056" s="9" t="s">
        <v>55</v>
      </c>
      <c r="C3056" s="10" t="s">
        <v>49</v>
      </c>
      <c r="D3056" s="11">
        <v>10.85</v>
      </c>
      <c r="E3056" s="12">
        <f t="shared" si="47"/>
        <v>44494</v>
      </c>
    </row>
    <row r="3057" spans="1:5" x14ac:dyDescent="0.25">
      <c r="A3057" s="2">
        <f>IF(B3057="","",SUBTOTAL(3,$B$2:B3057))</f>
        <v>3056</v>
      </c>
      <c r="B3057" s="9" t="s">
        <v>51</v>
      </c>
      <c r="C3057" s="10" t="s">
        <v>52</v>
      </c>
      <c r="D3057" s="11">
        <v>179.19940696812452</v>
      </c>
      <c r="E3057" s="12">
        <f t="shared" si="47"/>
        <v>44495</v>
      </c>
    </row>
    <row r="3058" spans="1:5" x14ac:dyDescent="0.25">
      <c r="A3058" s="2">
        <f>IF(B3058="","",SUBTOTAL(3,$B$2:B3058))</f>
        <v>3057</v>
      </c>
      <c r="B3058" s="9" t="s">
        <v>51</v>
      </c>
      <c r="C3058" s="10" t="s">
        <v>52</v>
      </c>
      <c r="D3058" s="11">
        <v>127.99957640580324</v>
      </c>
      <c r="E3058" s="12">
        <f t="shared" si="47"/>
        <v>44496</v>
      </c>
    </row>
    <row r="3059" spans="1:5" x14ac:dyDescent="0.25">
      <c r="A3059" s="2">
        <f>IF(B3059="","",SUBTOTAL(3,$B$2:B3059))</f>
        <v>3058</v>
      </c>
      <c r="B3059" s="9" t="s">
        <v>51</v>
      </c>
      <c r="C3059" s="10" t="s">
        <v>52</v>
      </c>
      <c r="D3059" s="11">
        <v>76.799745843481944</v>
      </c>
      <c r="E3059" s="12">
        <f t="shared" si="47"/>
        <v>44497</v>
      </c>
    </row>
    <row r="3060" spans="1:5" x14ac:dyDescent="0.25">
      <c r="A3060" s="2">
        <f>IF(B3060="","",SUBTOTAL(3,$B$2:B3060))</f>
        <v>3059</v>
      </c>
      <c r="B3060" s="9" t="s">
        <v>53</v>
      </c>
      <c r="C3060" s="10" t="s">
        <v>49</v>
      </c>
      <c r="D3060" s="11">
        <v>137.37899200454268</v>
      </c>
      <c r="E3060" s="12">
        <f t="shared" si="47"/>
        <v>44498</v>
      </c>
    </row>
    <row r="3061" spans="1:5" x14ac:dyDescent="0.25">
      <c r="A3061" s="2">
        <f>IF(B3061="","",SUBTOTAL(3,$B$2:B3061))</f>
        <v>3060</v>
      </c>
      <c r="B3061" s="9" t="s">
        <v>51</v>
      </c>
      <c r="C3061" s="10" t="s">
        <v>54</v>
      </c>
      <c r="D3061" s="11">
        <v>100</v>
      </c>
      <c r="E3061" s="12">
        <f t="shared" si="47"/>
        <v>44499</v>
      </c>
    </row>
    <row r="3062" spans="1:5" x14ac:dyDescent="0.25">
      <c r="A3062" s="2">
        <f>IF(B3062="","",SUBTOTAL(3,$B$2:B3062))</f>
        <v>3061</v>
      </c>
      <c r="B3062" s="9" t="s">
        <v>50</v>
      </c>
      <c r="C3062" s="10" t="s">
        <v>52</v>
      </c>
      <c r="D3062" s="11">
        <v>22.045855379188712</v>
      </c>
      <c r="E3062" s="12">
        <f t="shared" si="47"/>
        <v>44500</v>
      </c>
    </row>
    <row r="3063" spans="1:5" x14ac:dyDescent="0.25">
      <c r="A3063" s="2">
        <f>IF(B3063="","",SUBTOTAL(3,$B$2:B3063))</f>
        <v>3062</v>
      </c>
      <c r="B3063" s="9" t="s">
        <v>48</v>
      </c>
      <c r="C3063" s="10" t="s">
        <v>49</v>
      </c>
      <c r="D3063" s="11">
        <v>231.05360443622922</v>
      </c>
      <c r="E3063" s="12">
        <f t="shared" si="47"/>
        <v>44501</v>
      </c>
    </row>
    <row r="3064" spans="1:5" x14ac:dyDescent="0.25">
      <c r="A3064" s="2">
        <f>IF(B3064="","",SUBTOTAL(3,$B$2:B3064))</f>
        <v>3063</v>
      </c>
      <c r="B3064" s="9" t="s">
        <v>51</v>
      </c>
      <c r="C3064" s="10" t="s">
        <v>49</v>
      </c>
      <c r="D3064" s="11">
        <v>423.59419675950437</v>
      </c>
      <c r="E3064" s="12">
        <f t="shared" si="47"/>
        <v>44502</v>
      </c>
    </row>
    <row r="3065" spans="1:5" x14ac:dyDescent="0.25">
      <c r="A3065" s="2">
        <f>IF(B3065="","",SUBTOTAL(3,$B$2:B3065))</f>
        <v>3064</v>
      </c>
      <c r="B3065" s="9" t="s">
        <v>48</v>
      </c>
      <c r="C3065" s="10" t="s">
        <v>49</v>
      </c>
      <c r="D3065" s="11">
        <v>77.017868145409736</v>
      </c>
      <c r="E3065" s="12">
        <f t="shared" si="47"/>
        <v>44503</v>
      </c>
    </row>
    <row r="3066" spans="1:5" x14ac:dyDescent="0.25">
      <c r="A3066" s="2">
        <f>IF(B3066="","",SUBTOTAL(3,$B$2:B3066))</f>
        <v>3065</v>
      </c>
      <c r="B3066" s="9" t="s">
        <v>53</v>
      </c>
      <c r="C3066" s="10" t="s">
        <v>54</v>
      </c>
      <c r="D3066" s="11">
        <v>73.2687957357561</v>
      </c>
      <c r="E3066" s="12">
        <f t="shared" si="47"/>
        <v>44504</v>
      </c>
    </row>
    <row r="3067" spans="1:5" x14ac:dyDescent="0.25">
      <c r="A3067" s="2">
        <f>IF(B3067="","",SUBTOTAL(3,$B$2:B3067))</f>
        <v>3066</v>
      </c>
      <c r="B3067" s="9" t="s">
        <v>53</v>
      </c>
      <c r="C3067" s="10" t="s">
        <v>54</v>
      </c>
      <c r="D3067" s="11">
        <v>91.585994669695125</v>
      </c>
      <c r="E3067" s="12">
        <f t="shared" si="47"/>
        <v>44505</v>
      </c>
    </row>
    <row r="3068" spans="1:5" x14ac:dyDescent="0.25">
      <c r="A3068" s="2">
        <f>IF(B3068="","",SUBTOTAL(3,$B$2:B3068))</f>
        <v>3067</v>
      </c>
      <c r="B3068" s="9" t="s">
        <v>53</v>
      </c>
      <c r="C3068" s="10" t="s">
        <v>49</v>
      </c>
      <c r="D3068" s="11">
        <v>64.110196268786581</v>
      </c>
      <c r="E3068" s="12">
        <f t="shared" si="47"/>
        <v>44506</v>
      </c>
    </row>
    <row r="3069" spans="1:5" x14ac:dyDescent="0.25">
      <c r="A3069" s="2">
        <f>IF(B3069="","",SUBTOTAL(3,$B$2:B3069))</f>
        <v>3068</v>
      </c>
      <c r="B3069" s="9" t="s">
        <v>53</v>
      </c>
      <c r="C3069" s="10" t="s">
        <v>49</v>
      </c>
      <c r="D3069" s="11">
        <v>192.33058880635974</v>
      </c>
      <c r="E3069" s="12">
        <f t="shared" si="47"/>
        <v>44507</v>
      </c>
    </row>
    <row r="3070" spans="1:5" x14ac:dyDescent="0.25">
      <c r="A3070" s="2">
        <f>IF(B3070="","",SUBTOTAL(3,$B$2:B3070))</f>
        <v>3069</v>
      </c>
      <c r="B3070" s="9" t="s">
        <v>53</v>
      </c>
      <c r="C3070" s="10" t="s">
        <v>49</v>
      </c>
      <c r="D3070" s="11">
        <v>32.05509813439329</v>
      </c>
      <c r="E3070" s="12">
        <f t="shared" si="47"/>
        <v>44508</v>
      </c>
    </row>
    <row r="3071" spans="1:5" x14ac:dyDescent="0.25">
      <c r="A3071" s="2">
        <f>IF(B3071="","",SUBTOTAL(3,$B$2:B3071))</f>
        <v>3070</v>
      </c>
      <c r="B3071" s="9" t="s">
        <v>53</v>
      </c>
      <c r="C3071" s="10" t="s">
        <v>49</v>
      </c>
      <c r="D3071" s="11">
        <v>219.8063872072683</v>
      </c>
      <c r="E3071" s="12">
        <f t="shared" si="47"/>
        <v>44509</v>
      </c>
    </row>
    <row r="3072" spans="1:5" x14ac:dyDescent="0.25">
      <c r="A3072" s="2">
        <f>IF(B3072="","",SUBTOTAL(3,$B$2:B3072))</f>
        <v>3071</v>
      </c>
      <c r="B3072" s="9" t="s">
        <v>53</v>
      </c>
      <c r="C3072" s="10" t="s">
        <v>54</v>
      </c>
      <c r="D3072" s="11">
        <v>228.96498667423779</v>
      </c>
      <c r="E3072" s="12">
        <f t="shared" si="47"/>
        <v>44510</v>
      </c>
    </row>
    <row r="3073" spans="1:5" x14ac:dyDescent="0.25">
      <c r="A3073" s="2">
        <f>IF(B3073="","",SUBTOTAL(3,$B$2:B3073))</f>
        <v>3072</v>
      </c>
      <c r="B3073" s="9" t="s">
        <v>53</v>
      </c>
      <c r="C3073" s="10" t="s">
        <v>54</v>
      </c>
      <c r="D3073" s="11">
        <v>91.585994669695125</v>
      </c>
      <c r="E3073" s="12">
        <f t="shared" si="47"/>
        <v>44511</v>
      </c>
    </row>
    <row r="3074" spans="1:5" x14ac:dyDescent="0.25">
      <c r="A3074" s="2">
        <f>IF(B3074="","",SUBTOTAL(3,$B$2:B3074))</f>
        <v>3073</v>
      </c>
      <c r="B3074" s="9" t="s">
        <v>53</v>
      </c>
      <c r="C3074" s="10" t="s">
        <v>54</v>
      </c>
      <c r="D3074" s="11">
        <v>183.17198933939025</v>
      </c>
      <c r="E3074" s="12">
        <f t="shared" si="47"/>
        <v>44512</v>
      </c>
    </row>
    <row r="3075" spans="1:5" x14ac:dyDescent="0.25">
      <c r="A3075" s="2">
        <f>IF(B3075="","",SUBTOTAL(3,$B$2:B3075))</f>
        <v>3074</v>
      </c>
      <c r="B3075" s="9" t="s">
        <v>53</v>
      </c>
      <c r="C3075" s="10" t="s">
        <v>54</v>
      </c>
      <c r="D3075" s="11">
        <v>64.110196268786581</v>
      </c>
      <c r="E3075" s="12">
        <f t="shared" si="47"/>
        <v>44513</v>
      </c>
    </row>
    <row r="3076" spans="1:5" x14ac:dyDescent="0.25">
      <c r="A3076" s="2">
        <f>IF(B3076="","",SUBTOTAL(3,$B$2:B3076))</f>
        <v>3075</v>
      </c>
      <c r="B3076" s="9" t="s">
        <v>53</v>
      </c>
      <c r="C3076" s="10" t="s">
        <v>49</v>
      </c>
      <c r="D3076" s="11">
        <v>73.2687957357561</v>
      </c>
      <c r="E3076" s="12">
        <f t="shared" ref="E3076:E3139" si="48">E3075+1</f>
        <v>44514</v>
      </c>
    </row>
    <row r="3077" spans="1:5" x14ac:dyDescent="0.25">
      <c r="A3077" s="2">
        <f>IF(B3077="","",SUBTOTAL(3,$B$2:B3077))</f>
        <v>3076</v>
      </c>
      <c r="B3077" s="9" t="s">
        <v>55</v>
      </c>
      <c r="C3077" s="10" t="s">
        <v>49</v>
      </c>
      <c r="D3077" s="11">
        <v>46.178067717186565</v>
      </c>
      <c r="E3077" s="12">
        <f t="shared" si="48"/>
        <v>44515</v>
      </c>
    </row>
    <row r="3078" spans="1:5" x14ac:dyDescent="0.25">
      <c r="A3078" s="2">
        <f>IF(B3078="","",SUBTOTAL(3,$B$2:B3078))</f>
        <v>3077</v>
      </c>
      <c r="B3078" s="9" t="s">
        <v>53</v>
      </c>
      <c r="C3078" s="10" t="s">
        <v>49</v>
      </c>
      <c r="D3078" s="11">
        <v>45.792997334847563</v>
      </c>
      <c r="E3078" s="12">
        <f t="shared" si="48"/>
        <v>44516</v>
      </c>
    </row>
    <row r="3079" spans="1:5" x14ac:dyDescent="0.25">
      <c r="A3079" s="2">
        <f>IF(B3079="","",SUBTOTAL(3,$B$2:B3079))</f>
        <v>3078</v>
      </c>
      <c r="B3079" s="9" t="s">
        <v>53</v>
      </c>
      <c r="C3079" s="10" t="s">
        <v>49</v>
      </c>
      <c r="D3079" s="11">
        <v>9.1585994669695125</v>
      </c>
      <c r="E3079" s="12">
        <f t="shared" si="48"/>
        <v>44517</v>
      </c>
    </row>
    <row r="3080" spans="1:5" x14ac:dyDescent="0.25">
      <c r="A3080" s="2">
        <f>IF(B3080="","",SUBTOTAL(3,$B$2:B3080))</f>
        <v>3079</v>
      </c>
      <c r="B3080" s="9" t="s">
        <v>48</v>
      </c>
      <c r="C3080" s="10" t="s">
        <v>52</v>
      </c>
      <c r="D3080" s="11">
        <v>107.82501540357363</v>
      </c>
      <c r="E3080" s="12">
        <f t="shared" si="48"/>
        <v>44518</v>
      </c>
    </row>
    <row r="3081" spans="1:5" x14ac:dyDescent="0.25">
      <c r="A3081" s="2">
        <f>IF(B3081="","",SUBTOTAL(3,$B$2:B3081))</f>
        <v>3080</v>
      </c>
      <c r="B3081" s="9" t="s">
        <v>53</v>
      </c>
      <c r="C3081" s="10" t="s">
        <v>49</v>
      </c>
      <c r="D3081" s="11">
        <v>36.63439786787805</v>
      </c>
      <c r="E3081" s="12">
        <f t="shared" si="48"/>
        <v>44519</v>
      </c>
    </row>
    <row r="3082" spans="1:5" x14ac:dyDescent="0.25">
      <c r="A3082" s="2">
        <f>IF(B3082="","",SUBTOTAL(3,$B$2:B3082))</f>
        <v>3081</v>
      </c>
      <c r="B3082" s="9" t="s">
        <v>53</v>
      </c>
      <c r="C3082" s="10" t="s">
        <v>54</v>
      </c>
      <c r="D3082" s="11">
        <v>91.585994669695125</v>
      </c>
      <c r="E3082" s="12">
        <f t="shared" si="48"/>
        <v>44520</v>
      </c>
    </row>
    <row r="3083" spans="1:5" x14ac:dyDescent="0.25">
      <c r="A3083" s="2">
        <f>IF(B3083="","",SUBTOTAL(3,$B$2:B3083))</f>
        <v>3082</v>
      </c>
      <c r="B3083" s="9" t="s">
        <v>48</v>
      </c>
      <c r="C3083" s="10" t="s">
        <v>49</v>
      </c>
      <c r="D3083" s="11">
        <v>4.1365046535677346</v>
      </c>
      <c r="E3083" s="12">
        <f t="shared" si="48"/>
        <v>44521</v>
      </c>
    </row>
    <row r="3084" spans="1:5" x14ac:dyDescent="0.25">
      <c r="A3084" s="2">
        <f>IF(B3084="","",SUBTOTAL(3,$B$2:B3084))</f>
        <v>3083</v>
      </c>
      <c r="B3084" s="9" t="s">
        <v>48</v>
      </c>
      <c r="C3084" s="10" t="s">
        <v>49</v>
      </c>
      <c r="D3084" s="11">
        <v>3.4470872113064459</v>
      </c>
      <c r="E3084" s="12">
        <f t="shared" si="48"/>
        <v>44522</v>
      </c>
    </row>
    <row r="3085" spans="1:5" x14ac:dyDescent="0.25">
      <c r="A3085" s="2">
        <f>IF(B3085="","",SUBTOTAL(3,$B$2:B3085))</f>
        <v>3084</v>
      </c>
      <c r="B3085" s="9" t="s">
        <v>48</v>
      </c>
      <c r="C3085" s="10" t="s">
        <v>49</v>
      </c>
      <c r="D3085" s="11">
        <v>15.403573629081947</v>
      </c>
      <c r="E3085" s="12">
        <f t="shared" si="48"/>
        <v>44523</v>
      </c>
    </row>
    <row r="3086" spans="1:5" x14ac:dyDescent="0.25">
      <c r="A3086" s="2">
        <f>IF(B3086="","",SUBTOTAL(3,$B$2:B3086))</f>
        <v>3085</v>
      </c>
      <c r="B3086" s="9" t="s">
        <v>48</v>
      </c>
      <c r="C3086" s="10" t="s">
        <v>49</v>
      </c>
      <c r="D3086" s="11">
        <v>46.210720887245841</v>
      </c>
      <c r="E3086" s="12">
        <f t="shared" si="48"/>
        <v>44524</v>
      </c>
    </row>
    <row r="3087" spans="1:5" x14ac:dyDescent="0.25">
      <c r="A3087" s="2">
        <f>IF(B3087="","",SUBTOTAL(3,$B$2:B3087))</f>
        <v>3086</v>
      </c>
      <c r="B3087" s="9" t="s">
        <v>48</v>
      </c>
      <c r="C3087" s="10" t="s">
        <v>49</v>
      </c>
      <c r="D3087" s="11">
        <v>23.105360443622921</v>
      </c>
      <c r="E3087" s="12">
        <f t="shared" si="48"/>
        <v>44525</v>
      </c>
    </row>
    <row r="3088" spans="1:5" x14ac:dyDescent="0.25">
      <c r="A3088" s="2">
        <f>IF(B3088="","",SUBTOTAL(3,$B$2:B3088))</f>
        <v>3087</v>
      </c>
      <c r="B3088" s="9" t="s">
        <v>48</v>
      </c>
      <c r="C3088" s="10" t="s">
        <v>49</v>
      </c>
      <c r="D3088" s="11">
        <v>38.508934072704868</v>
      </c>
      <c r="E3088" s="12">
        <f t="shared" si="48"/>
        <v>44526</v>
      </c>
    </row>
    <row r="3089" spans="1:5" x14ac:dyDescent="0.25">
      <c r="A3089" s="2">
        <f>IF(B3089="","",SUBTOTAL(3,$B$2:B3089))</f>
        <v>3088</v>
      </c>
      <c r="B3089" s="9" t="s">
        <v>55</v>
      </c>
      <c r="C3089" s="10" t="s">
        <v>52</v>
      </c>
      <c r="D3089" s="11">
        <v>2.2970551752653101</v>
      </c>
      <c r="E3089" s="12">
        <f t="shared" si="48"/>
        <v>44527</v>
      </c>
    </row>
    <row r="3090" spans="1:5" x14ac:dyDescent="0.25">
      <c r="A3090" s="2">
        <f>IF(B3090="","",SUBTOTAL(3,$B$2:B3090))</f>
        <v>3089</v>
      </c>
      <c r="B3090" s="9" t="s">
        <v>48</v>
      </c>
      <c r="C3090" s="10" t="s">
        <v>52</v>
      </c>
      <c r="D3090" s="11">
        <v>86.177180282661155</v>
      </c>
      <c r="E3090" s="12">
        <f t="shared" si="48"/>
        <v>44528</v>
      </c>
    </row>
    <row r="3091" spans="1:5" x14ac:dyDescent="0.25">
      <c r="A3091" s="2">
        <f>IF(B3091="","",SUBTOTAL(3,$B$2:B3091))</f>
        <v>3090</v>
      </c>
      <c r="B3091" s="9" t="s">
        <v>55</v>
      </c>
      <c r="C3091" s="10" t="s">
        <v>49</v>
      </c>
      <c r="D3091" s="11">
        <v>32.904045223319756</v>
      </c>
      <c r="E3091" s="12">
        <f t="shared" si="48"/>
        <v>44529</v>
      </c>
    </row>
    <row r="3092" spans="1:5" x14ac:dyDescent="0.25">
      <c r="A3092" s="2">
        <f>IF(B3092="","",SUBTOTAL(3,$B$2:B3092))</f>
        <v>3091</v>
      </c>
      <c r="B3092" s="9" t="s">
        <v>48</v>
      </c>
      <c r="C3092" s="10" t="s">
        <v>49</v>
      </c>
      <c r="D3092" s="11">
        <v>23.126437372322794</v>
      </c>
      <c r="E3092" s="12">
        <f t="shared" si="48"/>
        <v>44530</v>
      </c>
    </row>
    <row r="3093" spans="1:5" x14ac:dyDescent="0.25">
      <c r="A3093" s="2">
        <f>IF(B3093="","",SUBTOTAL(3,$B$2:B3093))</f>
        <v>3092</v>
      </c>
      <c r="B3093" s="9" t="s">
        <v>48</v>
      </c>
      <c r="C3093" s="10" t="s">
        <v>52</v>
      </c>
      <c r="D3093" s="11">
        <v>154.03573629081947</v>
      </c>
      <c r="E3093" s="12">
        <f t="shared" si="48"/>
        <v>44531</v>
      </c>
    </row>
    <row r="3094" spans="1:5" x14ac:dyDescent="0.25">
      <c r="A3094" s="2">
        <f>IF(B3094="","",SUBTOTAL(3,$B$2:B3094))</f>
        <v>3093</v>
      </c>
      <c r="B3094" s="9" t="s">
        <v>48</v>
      </c>
      <c r="C3094" s="10" t="s">
        <v>52</v>
      </c>
      <c r="D3094" s="11">
        <v>154.03573629081947</v>
      </c>
      <c r="E3094" s="12">
        <f t="shared" si="48"/>
        <v>44532</v>
      </c>
    </row>
    <row r="3095" spans="1:5" x14ac:dyDescent="0.25">
      <c r="A3095" s="2">
        <f>IF(B3095="","",SUBTOTAL(3,$B$2:B3095))</f>
        <v>3094</v>
      </c>
      <c r="B3095" s="9" t="s">
        <v>50</v>
      </c>
      <c r="C3095" s="10" t="s">
        <v>49</v>
      </c>
      <c r="D3095" s="11">
        <v>22.486772486772487</v>
      </c>
      <c r="E3095" s="12">
        <f t="shared" si="48"/>
        <v>44533</v>
      </c>
    </row>
    <row r="3096" spans="1:5" x14ac:dyDescent="0.25">
      <c r="A3096" s="2">
        <f>IF(B3096="","",SUBTOTAL(3,$B$2:B3096))</f>
        <v>3095</v>
      </c>
      <c r="B3096" s="9" t="s">
        <v>51</v>
      </c>
      <c r="C3096" s="10" t="s">
        <v>52</v>
      </c>
      <c r="D3096" s="11">
        <v>84.718839351900883</v>
      </c>
      <c r="E3096" s="12">
        <f t="shared" si="48"/>
        <v>44534</v>
      </c>
    </row>
    <row r="3097" spans="1:5" x14ac:dyDescent="0.25">
      <c r="A3097" s="2">
        <f>IF(B3097="","",SUBTOTAL(3,$B$2:B3097))</f>
        <v>3096</v>
      </c>
      <c r="B3097" s="9" t="s">
        <v>51</v>
      </c>
      <c r="C3097" s="10" t="s">
        <v>49</v>
      </c>
      <c r="D3097" s="11">
        <v>84.718839351900883</v>
      </c>
      <c r="E3097" s="12">
        <f t="shared" si="48"/>
        <v>44535</v>
      </c>
    </row>
    <row r="3098" spans="1:5" x14ac:dyDescent="0.25">
      <c r="A3098" s="2">
        <f>IF(B3098="","",SUBTOTAL(3,$B$2:B3098))</f>
        <v>3097</v>
      </c>
      <c r="B3098" s="9" t="s">
        <v>50</v>
      </c>
      <c r="C3098" s="10" t="s">
        <v>52</v>
      </c>
      <c r="D3098" s="11">
        <v>88.183421516754848</v>
      </c>
      <c r="E3098" s="12">
        <f t="shared" si="48"/>
        <v>44536</v>
      </c>
    </row>
    <row r="3099" spans="1:5" x14ac:dyDescent="0.25">
      <c r="A3099" s="2">
        <f>IF(B3099="","",SUBTOTAL(3,$B$2:B3099))</f>
        <v>3098</v>
      </c>
      <c r="B3099" s="9" t="s">
        <v>48</v>
      </c>
      <c r="C3099" s="10" t="s">
        <v>49</v>
      </c>
      <c r="D3099" s="11">
        <v>375.84719654959952</v>
      </c>
      <c r="E3099" s="12">
        <f t="shared" si="48"/>
        <v>44537</v>
      </c>
    </row>
    <row r="3100" spans="1:5" x14ac:dyDescent="0.25">
      <c r="A3100" s="2">
        <f>IF(B3100="","",SUBTOTAL(3,$B$2:B3100))</f>
        <v>3099</v>
      </c>
      <c r="B3100" s="9" t="s">
        <v>55</v>
      </c>
      <c r="C3100" s="10" t="s">
        <v>49</v>
      </c>
      <c r="D3100" s="11">
        <v>40.212481668567705</v>
      </c>
      <c r="E3100" s="12">
        <f t="shared" si="48"/>
        <v>44538</v>
      </c>
    </row>
    <row r="3101" spans="1:5" x14ac:dyDescent="0.25">
      <c r="A3101" s="2">
        <f>IF(B3101="","",SUBTOTAL(3,$B$2:B3101))</f>
        <v>3100</v>
      </c>
      <c r="B3101" s="9" t="s">
        <v>48</v>
      </c>
      <c r="C3101" s="10" t="s">
        <v>49</v>
      </c>
      <c r="D3101" s="11">
        <v>13.788348845225784</v>
      </c>
      <c r="E3101" s="12">
        <f t="shared" si="48"/>
        <v>44539</v>
      </c>
    </row>
    <row r="3102" spans="1:5" x14ac:dyDescent="0.25">
      <c r="A3102" s="2">
        <f>IF(B3102="","",SUBTOTAL(3,$B$2:B3102))</f>
        <v>3101</v>
      </c>
      <c r="B3102" s="9" t="s">
        <v>48</v>
      </c>
      <c r="C3102" s="10" t="s">
        <v>52</v>
      </c>
      <c r="D3102" s="11">
        <v>385.08934072704869</v>
      </c>
      <c r="E3102" s="12">
        <f t="shared" si="48"/>
        <v>44540</v>
      </c>
    </row>
    <row r="3103" spans="1:5" x14ac:dyDescent="0.25">
      <c r="A3103" s="2">
        <f>IF(B3103="","",SUBTOTAL(3,$B$2:B3103))</f>
        <v>3102</v>
      </c>
      <c r="B3103" s="9" t="s">
        <v>48</v>
      </c>
      <c r="C3103" s="10" t="s">
        <v>52</v>
      </c>
      <c r="D3103" s="11">
        <v>38.508934072704868</v>
      </c>
      <c r="E3103" s="12">
        <f t="shared" si="48"/>
        <v>44541</v>
      </c>
    </row>
    <row r="3104" spans="1:5" x14ac:dyDescent="0.25">
      <c r="A3104" s="2">
        <f>IF(B3104="","",SUBTOTAL(3,$B$2:B3104))</f>
        <v>3103</v>
      </c>
      <c r="B3104" s="9" t="s">
        <v>48</v>
      </c>
      <c r="C3104" s="10" t="s">
        <v>52</v>
      </c>
      <c r="D3104" s="11">
        <v>154.03573629081947</v>
      </c>
      <c r="E3104" s="12">
        <f t="shared" si="48"/>
        <v>44542</v>
      </c>
    </row>
    <row r="3105" spans="1:5" x14ac:dyDescent="0.25">
      <c r="A3105" s="2">
        <f>IF(B3105="","",SUBTOTAL(3,$B$2:B3105))</f>
        <v>3104</v>
      </c>
      <c r="B3105" s="9" t="s">
        <v>50</v>
      </c>
      <c r="C3105" s="10" t="s">
        <v>52</v>
      </c>
      <c r="D3105" s="11">
        <v>44.091710758377424</v>
      </c>
      <c r="E3105" s="12">
        <f t="shared" si="48"/>
        <v>44543</v>
      </c>
    </row>
    <row r="3106" spans="1:5" x14ac:dyDescent="0.25">
      <c r="A3106" s="2">
        <f>IF(B3106="","",SUBTOTAL(3,$B$2:B3106))</f>
        <v>3105</v>
      </c>
      <c r="B3106" s="9" t="s">
        <v>48</v>
      </c>
      <c r="C3106" s="10" t="s">
        <v>49</v>
      </c>
      <c r="D3106" s="11">
        <v>14.415479295414542</v>
      </c>
      <c r="E3106" s="12">
        <f t="shared" si="48"/>
        <v>44544</v>
      </c>
    </row>
    <row r="3107" spans="1:5" x14ac:dyDescent="0.25">
      <c r="A3107" s="2">
        <f>IF(B3107="","",SUBTOTAL(3,$B$2:B3107))</f>
        <v>3106</v>
      </c>
      <c r="B3107" s="9" t="s">
        <v>48</v>
      </c>
      <c r="C3107" s="10" t="s">
        <v>49</v>
      </c>
      <c r="D3107" s="11">
        <v>32.12005190600388</v>
      </c>
      <c r="E3107" s="12">
        <f t="shared" si="48"/>
        <v>44545</v>
      </c>
    </row>
    <row r="3108" spans="1:5" x14ac:dyDescent="0.25">
      <c r="A3108" s="2">
        <f>IF(B3108="","",SUBTOTAL(3,$B$2:B3108))</f>
        <v>3107</v>
      </c>
      <c r="B3108" s="9" t="s">
        <v>50</v>
      </c>
      <c r="C3108" s="10" t="s">
        <v>49</v>
      </c>
      <c r="D3108" s="11">
        <v>47.420767195767198</v>
      </c>
      <c r="E3108" s="12">
        <f t="shared" si="48"/>
        <v>44546</v>
      </c>
    </row>
    <row r="3109" spans="1:5" x14ac:dyDescent="0.25">
      <c r="A3109" s="2">
        <f>IF(B3109="","",SUBTOTAL(3,$B$2:B3109))</f>
        <v>3108</v>
      </c>
      <c r="B3109" s="9" t="s">
        <v>50</v>
      </c>
      <c r="C3109" s="10" t="s">
        <v>49</v>
      </c>
      <c r="D3109" s="11">
        <v>22.045855379188712</v>
      </c>
      <c r="E3109" s="12">
        <f t="shared" si="48"/>
        <v>44547</v>
      </c>
    </row>
    <row r="3110" spans="1:5" x14ac:dyDescent="0.25">
      <c r="A3110" s="2">
        <f>IF(B3110="","",SUBTOTAL(3,$B$2:B3110))</f>
        <v>3109</v>
      </c>
      <c r="B3110" s="9" t="s">
        <v>48</v>
      </c>
      <c r="C3110" s="10" t="s">
        <v>49</v>
      </c>
      <c r="D3110" s="11">
        <v>77.088124574409321</v>
      </c>
      <c r="E3110" s="12">
        <f t="shared" si="48"/>
        <v>44548</v>
      </c>
    </row>
    <row r="3111" spans="1:5" x14ac:dyDescent="0.25">
      <c r="A3111" s="2">
        <f>IF(B3111="","",SUBTOTAL(3,$B$2:B3111))</f>
        <v>3110</v>
      </c>
      <c r="B3111" s="9" t="s">
        <v>50</v>
      </c>
      <c r="C3111" s="10" t="s">
        <v>52</v>
      </c>
      <c r="D3111" s="11">
        <v>55.114638447971785</v>
      </c>
      <c r="E3111" s="12">
        <f t="shared" si="48"/>
        <v>44549</v>
      </c>
    </row>
    <row r="3112" spans="1:5" x14ac:dyDescent="0.25">
      <c r="A3112" s="2">
        <f>IF(B3112="","",SUBTOTAL(3,$B$2:B3112))</f>
        <v>3111</v>
      </c>
      <c r="B3112" s="9" t="s">
        <v>50</v>
      </c>
      <c r="C3112" s="10" t="s">
        <v>52</v>
      </c>
      <c r="D3112" s="11">
        <v>66.137566137566139</v>
      </c>
      <c r="E3112" s="12">
        <f t="shared" si="48"/>
        <v>44550</v>
      </c>
    </row>
    <row r="3113" spans="1:5" x14ac:dyDescent="0.25">
      <c r="A3113" s="2">
        <f>IF(B3113="","",SUBTOTAL(3,$B$2:B3113))</f>
        <v>3112</v>
      </c>
      <c r="B3113" s="9" t="s">
        <v>50</v>
      </c>
      <c r="C3113" s="10" t="s">
        <v>52</v>
      </c>
      <c r="D3113" s="11">
        <v>44.091710758377424</v>
      </c>
      <c r="E3113" s="12">
        <f t="shared" si="48"/>
        <v>44551</v>
      </c>
    </row>
    <row r="3114" spans="1:5" x14ac:dyDescent="0.25">
      <c r="A3114" s="2">
        <f>IF(B3114="","",SUBTOTAL(3,$B$2:B3114))</f>
        <v>3113</v>
      </c>
      <c r="B3114" s="9" t="s">
        <v>50</v>
      </c>
      <c r="C3114" s="10" t="s">
        <v>52</v>
      </c>
      <c r="D3114" s="11">
        <v>55.114638447971785</v>
      </c>
      <c r="E3114" s="12">
        <f t="shared" si="48"/>
        <v>44552</v>
      </c>
    </row>
    <row r="3115" spans="1:5" x14ac:dyDescent="0.25">
      <c r="A3115" s="2">
        <f>IF(B3115="","",SUBTOTAL(3,$B$2:B3115))</f>
        <v>3114</v>
      </c>
      <c r="B3115" s="9" t="s">
        <v>51</v>
      </c>
      <c r="C3115" s="10" t="s">
        <v>52</v>
      </c>
      <c r="D3115" s="11">
        <v>529.49274594938049</v>
      </c>
      <c r="E3115" s="12">
        <f t="shared" si="48"/>
        <v>44553</v>
      </c>
    </row>
    <row r="3116" spans="1:5" x14ac:dyDescent="0.25">
      <c r="A3116" s="2">
        <f>IF(B3116="","",SUBTOTAL(3,$B$2:B3116))</f>
        <v>3115</v>
      </c>
      <c r="B3116" s="9" t="s">
        <v>51</v>
      </c>
      <c r="C3116" s="10" t="s">
        <v>52</v>
      </c>
      <c r="D3116" s="11">
        <v>105.89854918987609</v>
      </c>
      <c r="E3116" s="12">
        <f t="shared" si="48"/>
        <v>44554</v>
      </c>
    </row>
    <row r="3117" spans="1:5" x14ac:dyDescent="0.25">
      <c r="A3117" s="2">
        <f>IF(B3117="","",SUBTOTAL(3,$B$2:B3117))</f>
        <v>3116</v>
      </c>
      <c r="B3117" s="9" t="s">
        <v>51</v>
      </c>
      <c r="C3117" s="10" t="s">
        <v>54</v>
      </c>
      <c r="D3117" s="11">
        <v>105.89854918987609</v>
      </c>
      <c r="E3117" s="12">
        <f t="shared" si="48"/>
        <v>44555</v>
      </c>
    </row>
    <row r="3118" spans="1:5" x14ac:dyDescent="0.25">
      <c r="A3118" s="2">
        <f>IF(B3118="","",SUBTOTAL(3,$B$2:B3118))</f>
        <v>3117</v>
      </c>
      <c r="B3118" s="9" t="s">
        <v>50</v>
      </c>
      <c r="C3118" s="10" t="s">
        <v>52</v>
      </c>
      <c r="D3118" s="11">
        <v>55.114638447971785</v>
      </c>
      <c r="E3118" s="12">
        <f t="shared" si="48"/>
        <v>44556</v>
      </c>
    </row>
    <row r="3119" spans="1:5" x14ac:dyDescent="0.25">
      <c r="A3119" s="2">
        <f>IF(B3119="","",SUBTOTAL(3,$B$2:B3119))</f>
        <v>3118</v>
      </c>
      <c r="B3119" s="9" t="s">
        <v>55</v>
      </c>
      <c r="C3119" s="10" t="s">
        <v>49</v>
      </c>
      <c r="D3119" s="11">
        <v>156.67558689759727</v>
      </c>
      <c r="E3119" s="12">
        <f t="shared" si="48"/>
        <v>44557</v>
      </c>
    </row>
    <row r="3120" spans="1:5" x14ac:dyDescent="0.25">
      <c r="A3120" s="2">
        <f>IF(B3120="","",SUBTOTAL(3,$B$2:B3120))</f>
        <v>3119</v>
      </c>
      <c r="B3120" s="9" t="s">
        <v>51</v>
      </c>
      <c r="C3120" s="10" t="s">
        <v>52</v>
      </c>
      <c r="D3120" s="11">
        <v>335.48660383352745</v>
      </c>
      <c r="E3120" s="12">
        <f t="shared" si="48"/>
        <v>44558</v>
      </c>
    </row>
    <row r="3121" spans="1:5" x14ac:dyDescent="0.25">
      <c r="A3121" s="2">
        <f>IF(B3121="","",SUBTOTAL(3,$B$2:B3121))</f>
        <v>3120</v>
      </c>
      <c r="B3121" s="9" t="s">
        <v>51</v>
      </c>
      <c r="C3121" s="10" t="s">
        <v>49</v>
      </c>
      <c r="D3121" s="11">
        <v>24.309213191799692</v>
      </c>
      <c r="E3121" s="12">
        <f t="shared" si="48"/>
        <v>44559</v>
      </c>
    </row>
    <row r="3122" spans="1:5" x14ac:dyDescent="0.25">
      <c r="A3122" s="2">
        <f>IF(B3122="","",SUBTOTAL(3,$B$2:B3122))</f>
        <v>3121</v>
      </c>
      <c r="B3122" s="9" t="s">
        <v>48</v>
      </c>
      <c r="C3122" s="10" t="s">
        <v>52</v>
      </c>
      <c r="D3122" s="11">
        <v>51.392083049606214</v>
      </c>
      <c r="E3122" s="12">
        <f t="shared" si="48"/>
        <v>44560</v>
      </c>
    </row>
    <row r="3123" spans="1:5" x14ac:dyDescent="0.25">
      <c r="A3123" s="2">
        <f>IF(B3123="","",SUBTOTAL(3,$B$2:B3123))</f>
        <v>3122</v>
      </c>
      <c r="B3123" s="9" t="s">
        <v>53</v>
      </c>
      <c r="C3123" s="10" t="s">
        <v>54</v>
      </c>
      <c r="D3123" s="11">
        <v>228.96498667423779</v>
      </c>
      <c r="E3123" s="12">
        <f t="shared" si="48"/>
        <v>44561</v>
      </c>
    </row>
    <row r="3124" spans="1:5" x14ac:dyDescent="0.25">
      <c r="A3124" s="2">
        <f>IF(B3124="","",SUBTOTAL(3,$B$2:B3124))</f>
        <v>3123</v>
      </c>
      <c r="B3124" s="9" t="s">
        <v>51</v>
      </c>
      <c r="C3124" s="10" t="s">
        <v>49</v>
      </c>
      <c r="D3124" s="11">
        <v>84.718839351900883</v>
      </c>
      <c r="E3124" s="12">
        <f t="shared" si="48"/>
        <v>44562</v>
      </c>
    </row>
    <row r="3125" spans="1:5" x14ac:dyDescent="0.25">
      <c r="A3125" s="2">
        <f>IF(B3125="","",SUBTOTAL(3,$B$2:B3125))</f>
        <v>3124</v>
      </c>
      <c r="B3125" s="9" t="s">
        <v>51</v>
      </c>
      <c r="C3125" s="10" t="s">
        <v>52</v>
      </c>
      <c r="D3125" s="11">
        <v>51.195594620353702</v>
      </c>
      <c r="E3125" s="12">
        <f t="shared" si="48"/>
        <v>44563</v>
      </c>
    </row>
    <row r="3126" spans="1:5" x14ac:dyDescent="0.25">
      <c r="A3126" s="2">
        <f>IF(B3126="","",SUBTOTAL(3,$B$2:B3126))</f>
        <v>3125</v>
      </c>
      <c r="B3126" s="9" t="s">
        <v>51</v>
      </c>
      <c r="C3126" s="10" t="s">
        <v>49</v>
      </c>
      <c r="D3126" s="11">
        <v>211.79709837975219</v>
      </c>
      <c r="E3126" s="12">
        <f t="shared" si="48"/>
        <v>44564</v>
      </c>
    </row>
    <row r="3127" spans="1:5" x14ac:dyDescent="0.25">
      <c r="A3127" s="2">
        <f>IF(B3127="","",SUBTOTAL(3,$B$2:B3127))</f>
        <v>3126</v>
      </c>
      <c r="B3127" s="9" t="s">
        <v>50</v>
      </c>
      <c r="C3127" s="10" t="s">
        <v>49</v>
      </c>
      <c r="D3127" s="11">
        <v>115.52028218694885</v>
      </c>
      <c r="E3127" s="12">
        <f t="shared" si="48"/>
        <v>44565</v>
      </c>
    </row>
    <row r="3128" spans="1:5" x14ac:dyDescent="0.25">
      <c r="A3128" s="2">
        <f>IF(B3128="","",SUBTOTAL(3,$B$2:B3128))</f>
        <v>3127</v>
      </c>
      <c r="B3128" s="9" t="s">
        <v>55</v>
      </c>
      <c r="C3128" s="10" t="s">
        <v>49</v>
      </c>
      <c r="D3128" s="11">
        <v>0.75</v>
      </c>
      <c r="E3128" s="12">
        <f t="shared" si="48"/>
        <v>44566</v>
      </c>
    </row>
    <row r="3129" spans="1:5" x14ac:dyDescent="0.25">
      <c r="A3129" s="2">
        <f>IF(B3129="","",SUBTOTAL(3,$B$2:B3129))</f>
        <v>3128</v>
      </c>
      <c r="B3129" s="9" t="s">
        <v>55</v>
      </c>
      <c r="C3129" s="10" t="s">
        <v>49</v>
      </c>
      <c r="D3129" s="11">
        <v>0.75</v>
      </c>
      <c r="E3129" s="12">
        <f t="shared" si="48"/>
        <v>44567</v>
      </c>
    </row>
    <row r="3130" spans="1:5" x14ac:dyDescent="0.25">
      <c r="A3130" s="2">
        <f>IF(B3130="","",SUBTOTAL(3,$B$2:B3130))</f>
        <v>3129</v>
      </c>
      <c r="B3130" s="9" t="s">
        <v>48</v>
      </c>
      <c r="C3130" s="10" t="s">
        <v>52</v>
      </c>
      <c r="D3130" s="11">
        <v>123.22858903265558</v>
      </c>
      <c r="E3130" s="12">
        <f t="shared" si="48"/>
        <v>44568</v>
      </c>
    </row>
    <row r="3131" spans="1:5" x14ac:dyDescent="0.25">
      <c r="A3131" s="2">
        <f>IF(B3131="","",SUBTOTAL(3,$B$2:B3131))</f>
        <v>3130</v>
      </c>
      <c r="B3131" s="9" t="s">
        <v>48</v>
      </c>
      <c r="C3131" s="10" t="s">
        <v>54</v>
      </c>
      <c r="D3131" s="11">
        <v>18.484288354898336</v>
      </c>
      <c r="E3131" s="12">
        <f t="shared" si="48"/>
        <v>44569</v>
      </c>
    </row>
    <row r="3132" spans="1:5" x14ac:dyDescent="0.25">
      <c r="A3132" s="2">
        <f>IF(B3132="","",SUBTOTAL(3,$B$2:B3132))</f>
        <v>3131</v>
      </c>
      <c r="B3132" s="9" t="s">
        <v>48</v>
      </c>
      <c r="C3132" s="10" t="s">
        <v>52</v>
      </c>
      <c r="D3132" s="11">
        <v>15.403573629081947</v>
      </c>
      <c r="E3132" s="12">
        <f t="shared" si="48"/>
        <v>44570</v>
      </c>
    </row>
    <row r="3133" spans="1:5" x14ac:dyDescent="0.25">
      <c r="A3133" s="2">
        <f>IF(B3133="","",SUBTOTAL(3,$B$2:B3133))</f>
        <v>3132</v>
      </c>
      <c r="B3133" s="9" t="s">
        <v>48</v>
      </c>
      <c r="C3133" s="10" t="s">
        <v>52</v>
      </c>
      <c r="D3133" s="11">
        <v>46.210720887245841</v>
      </c>
      <c r="E3133" s="12">
        <f t="shared" si="48"/>
        <v>44571</v>
      </c>
    </row>
    <row r="3134" spans="1:5" x14ac:dyDescent="0.25">
      <c r="A3134" s="2">
        <f>IF(B3134="","",SUBTOTAL(3,$B$2:B3134))</f>
        <v>3133</v>
      </c>
      <c r="B3134" s="9" t="s">
        <v>48</v>
      </c>
      <c r="C3134" s="10" t="s">
        <v>52</v>
      </c>
      <c r="D3134" s="11">
        <v>4.621072088724584</v>
      </c>
      <c r="E3134" s="12">
        <f t="shared" si="48"/>
        <v>44572</v>
      </c>
    </row>
    <row r="3135" spans="1:5" x14ac:dyDescent="0.25">
      <c r="A3135" s="2">
        <f>IF(B3135="","",SUBTOTAL(3,$B$2:B3135))</f>
        <v>3134</v>
      </c>
      <c r="B3135" s="9" t="s">
        <v>51</v>
      </c>
      <c r="C3135" s="10" t="s">
        <v>52</v>
      </c>
      <c r="D3135" s="11">
        <v>529.49274594938049</v>
      </c>
      <c r="E3135" s="12">
        <f t="shared" si="48"/>
        <v>44573</v>
      </c>
    </row>
    <row r="3136" spans="1:5" x14ac:dyDescent="0.25">
      <c r="A3136" s="2">
        <f>IF(B3136="","",SUBTOTAL(3,$B$2:B3136))</f>
        <v>3135</v>
      </c>
      <c r="B3136" s="9" t="s">
        <v>51</v>
      </c>
      <c r="C3136" s="10" t="s">
        <v>49</v>
      </c>
      <c r="D3136" s="11">
        <v>52.949274594938046</v>
      </c>
      <c r="E3136" s="12">
        <f t="shared" si="48"/>
        <v>44574</v>
      </c>
    </row>
    <row r="3137" spans="1:5" x14ac:dyDescent="0.25">
      <c r="A3137" s="2">
        <f>IF(B3137="","",SUBTOTAL(3,$B$2:B3137))</f>
        <v>3136</v>
      </c>
      <c r="B3137" s="9" t="s">
        <v>51</v>
      </c>
      <c r="C3137" s="10" t="s">
        <v>52</v>
      </c>
      <c r="D3137" s="11">
        <v>52.949274594938046</v>
      </c>
      <c r="E3137" s="12">
        <f t="shared" si="48"/>
        <v>44575</v>
      </c>
    </row>
    <row r="3138" spans="1:5" x14ac:dyDescent="0.25">
      <c r="A3138" s="2">
        <f>IF(B3138="","",SUBTOTAL(3,$B$2:B3138))</f>
        <v>3137</v>
      </c>
      <c r="B3138" s="9" t="s">
        <v>50</v>
      </c>
      <c r="C3138" s="10" t="s">
        <v>52</v>
      </c>
      <c r="D3138" s="11">
        <v>55.114638447971785</v>
      </c>
      <c r="E3138" s="12">
        <f t="shared" si="48"/>
        <v>44576</v>
      </c>
    </row>
    <row r="3139" spans="1:5" x14ac:dyDescent="0.25">
      <c r="A3139" s="2">
        <f>IF(B3139="","",SUBTOTAL(3,$B$2:B3139))</f>
        <v>3138</v>
      </c>
      <c r="B3139" s="9" t="s">
        <v>50</v>
      </c>
      <c r="C3139" s="10" t="s">
        <v>52</v>
      </c>
      <c r="D3139" s="11">
        <v>66.137566137566139</v>
      </c>
      <c r="E3139" s="12">
        <f t="shared" si="48"/>
        <v>44577</v>
      </c>
    </row>
    <row r="3140" spans="1:5" x14ac:dyDescent="0.25">
      <c r="A3140" s="2">
        <f>IF(B3140="","",SUBTOTAL(3,$B$2:B3140))</f>
        <v>3139</v>
      </c>
      <c r="B3140" s="9" t="s">
        <v>50</v>
      </c>
      <c r="C3140" s="10" t="s">
        <v>52</v>
      </c>
      <c r="D3140" s="11">
        <v>55.114638447971785</v>
      </c>
      <c r="E3140" s="12">
        <f t="shared" ref="E3140:E3203" si="49">E3139+1</f>
        <v>44578</v>
      </c>
    </row>
    <row r="3141" spans="1:5" x14ac:dyDescent="0.25">
      <c r="A3141" s="2">
        <f>IF(B3141="","",SUBTOTAL(3,$B$2:B3141))</f>
        <v>3140</v>
      </c>
      <c r="B3141" s="9" t="s">
        <v>50</v>
      </c>
      <c r="C3141" s="10" t="s">
        <v>52</v>
      </c>
      <c r="D3141" s="11">
        <v>70.546737213403873</v>
      </c>
      <c r="E3141" s="12">
        <f t="shared" si="49"/>
        <v>44579</v>
      </c>
    </row>
    <row r="3142" spans="1:5" x14ac:dyDescent="0.25">
      <c r="A3142" s="2">
        <f>IF(B3142="","",SUBTOTAL(3,$B$2:B3142))</f>
        <v>3141</v>
      </c>
      <c r="B3142" s="9" t="s">
        <v>50</v>
      </c>
      <c r="C3142" s="10" t="s">
        <v>52</v>
      </c>
      <c r="D3142" s="11">
        <v>66.137566137566139</v>
      </c>
      <c r="E3142" s="12">
        <f t="shared" si="49"/>
        <v>44580</v>
      </c>
    </row>
    <row r="3143" spans="1:5" x14ac:dyDescent="0.25">
      <c r="A3143" s="2">
        <f>IF(B3143="","",SUBTOTAL(3,$B$2:B3143))</f>
        <v>3142</v>
      </c>
      <c r="B3143" s="9" t="s">
        <v>50</v>
      </c>
      <c r="C3143" s="10" t="s">
        <v>52</v>
      </c>
      <c r="D3143" s="11">
        <v>8.8183421516754859E-6</v>
      </c>
      <c r="E3143" s="12">
        <f t="shared" si="49"/>
        <v>44581</v>
      </c>
    </row>
    <row r="3144" spans="1:5" x14ac:dyDescent="0.25">
      <c r="A3144" s="2">
        <f>IF(B3144="","",SUBTOTAL(3,$B$2:B3144))</f>
        <v>3143</v>
      </c>
      <c r="B3144" s="9" t="s">
        <v>50</v>
      </c>
      <c r="C3144" s="10" t="s">
        <v>52</v>
      </c>
      <c r="D3144" s="11">
        <v>55.114638447971785</v>
      </c>
      <c r="E3144" s="12">
        <f t="shared" si="49"/>
        <v>44582</v>
      </c>
    </row>
    <row r="3145" spans="1:5" x14ac:dyDescent="0.25">
      <c r="A3145" s="2">
        <f>IF(B3145="","",SUBTOTAL(3,$B$2:B3145))</f>
        <v>3144</v>
      </c>
      <c r="B3145" s="9" t="s">
        <v>48</v>
      </c>
      <c r="C3145" s="10" t="s">
        <v>54</v>
      </c>
      <c r="D3145" s="11">
        <v>15.417624914881863</v>
      </c>
      <c r="E3145" s="12">
        <f t="shared" si="49"/>
        <v>44583</v>
      </c>
    </row>
    <row r="3146" spans="1:5" x14ac:dyDescent="0.25">
      <c r="A3146" s="2">
        <f>IF(B3146="","",SUBTOTAL(3,$B$2:B3146))</f>
        <v>3145</v>
      </c>
      <c r="B3146" s="9" t="s">
        <v>50</v>
      </c>
      <c r="C3146" s="10" t="s">
        <v>52</v>
      </c>
      <c r="D3146" s="11">
        <v>44.091710758377424</v>
      </c>
      <c r="E3146" s="12">
        <f t="shared" si="49"/>
        <v>44584</v>
      </c>
    </row>
    <row r="3147" spans="1:5" x14ac:dyDescent="0.25">
      <c r="A3147" s="2">
        <f>IF(B3147="","",SUBTOTAL(3,$B$2:B3147))</f>
        <v>3146</v>
      </c>
      <c r="B3147" s="9" t="s">
        <v>50</v>
      </c>
      <c r="C3147" s="10" t="s">
        <v>52</v>
      </c>
      <c r="D3147" s="11">
        <v>55.114638447971785</v>
      </c>
      <c r="E3147" s="12">
        <f t="shared" si="49"/>
        <v>44585</v>
      </c>
    </row>
    <row r="3148" spans="1:5" x14ac:dyDescent="0.25">
      <c r="A3148" s="2">
        <f>IF(B3148="","",SUBTOTAL(3,$B$2:B3148))</f>
        <v>3147</v>
      </c>
      <c r="B3148" s="9" t="s">
        <v>55</v>
      </c>
      <c r="C3148" s="10" t="s">
        <v>49</v>
      </c>
      <c r="D3148" s="11">
        <v>40.212481668567705</v>
      </c>
      <c r="E3148" s="12">
        <f t="shared" si="49"/>
        <v>44586</v>
      </c>
    </row>
    <row r="3149" spans="1:5" x14ac:dyDescent="0.25">
      <c r="A3149" s="2">
        <f>IF(B3149="","",SUBTOTAL(3,$B$2:B3149))</f>
        <v>3148</v>
      </c>
      <c r="B3149" s="9" t="s">
        <v>53</v>
      </c>
      <c r="C3149" s="10" t="s">
        <v>54</v>
      </c>
      <c r="D3149" s="11">
        <v>64.110196268786581</v>
      </c>
      <c r="E3149" s="12">
        <f t="shared" si="49"/>
        <v>44587</v>
      </c>
    </row>
    <row r="3150" spans="1:5" x14ac:dyDescent="0.25">
      <c r="A3150" s="2">
        <f>IF(B3150="","",SUBTOTAL(3,$B$2:B3150))</f>
        <v>3149</v>
      </c>
      <c r="B3150" s="9" t="s">
        <v>55</v>
      </c>
      <c r="C3150" s="10" t="s">
        <v>49</v>
      </c>
      <c r="D3150" s="11">
        <v>72</v>
      </c>
      <c r="E3150" s="12">
        <f t="shared" si="49"/>
        <v>44588</v>
      </c>
    </row>
    <row r="3151" spans="1:5" x14ac:dyDescent="0.25">
      <c r="A3151" s="2">
        <f>IF(B3151="","",SUBTOTAL(3,$B$2:B3151))</f>
        <v>3150</v>
      </c>
      <c r="B3151" s="9" t="s">
        <v>50</v>
      </c>
      <c r="C3151" s="10" t="s">
        <v>52</v>
      </c>
      <c r="D3151" s="11">
        <v>30.8641975308642</v>
      </c>
      <c r="E3151" s="12">
        <f t="shared" si="49"/>
        <v>44589</v>
      </c>
    </row>
    <row r="3152" spans="1:5" x14ac:dyDescent="0.25">
      <c r="A3152" s="2">
        <f>IF(B3152="","",SUBTOTAL(3,$B$2:B3152))</f>
        <v>3151</v>
      </c>
      <c r="B3152" s="9" t="s">
        <v>48</v>
      </c>
      <c r="C3152" s="10" t="s">
        <v>52</v>
      </c>
      <c r="D3152" s="11">
        <v>12.848020762401553</v>
      </c>
      <c r="E3152" s="12">
        <f t="shared" si="49"/>
        <v>44590</v>
      </c>
    </row>
    <row r="3153" spans="1:5" x14ac:dyDescent="0.25">
      <c r="A3153" s="2">
        <f>IF(B3153="","",SUBTOTAL(3,$B$2:B3153))</f>
        <v>3152</v>
      </c>
      <c r="B3153" s="9" t="s">
        <v>50</v>
      </c>
      <c r="C3153" s="10" t="s">
        <v>52</v>
      </c>
      <c r="D3153" s="11">
        <v>132.27513227513228</v>
      </c>
      <c r="E3153" s="12">
        <f t="shared" si="49"/>
        <v>44591</v>
      </c>
    </row>
    <row r="3154" spans="1:5" x14ac:dyDescent="0.25">
      <c r="A3154" s="2">
        <f>IF(B3154="","",SUBTOTAL(3,$B$2:B3154))</f>
        <v>3153</v>
      </c>
      <c r="B3154" s="9" t="s">
        <v>55</v>
      </c>
      <c r="C3154" s="10" t="s">
        <v>52</v>
      </c>
      <c r="D3154" s="11">
        <v>15</v>
      </c>
      <c r="E3154" s="12">
        <f t="shared" si="49"/>
        <v>44592</v>
      </c>
    </row>
    <row r="3155" spans="1:5" x14ac:dyDescent="0.25">
      <c r="A3155" s="2">
        <f>IF(B3155="","",SUBTOTAL(3,$B$2:B3155))</f>
        <v>3154</v>
      </c>
      <c r="B3155" s="9" t="s">
        <v>48</v>
      </c>
      <c r="C3155" s="10" t="s">
        <v>57</v>
      </c>
      <c r="D3155" s="11">
        <v>107.82501540357363</v>
      </c>
      <c r="E3155" s="12">
        <f t="shared" si="49"/>
        <v>44593</v>
      </c>
    </row>
    <row r="3156" spans="1:5" x14ac:dyDescent="0.25">
      <c r="A3156" s="2">
        <f>IF(B3156="","",SUBTOTAL(3,$B$2:B3156))</f>
        <v>3155</v>
      </c>
      <c r="B3156" s="9" t="s">
        <v>48</v>
      </c>
      <c r="C3156" s="10" t="s">
        <v>49</v>
      </c>
      <c r="D3156" s="11">
        <v>92.421441774491683</v>
      </c>
      <c r="E3156" s="12">
        <f t="shared" si="49"/>
        <v>44594</v>
      </c>
    </row>
    <row r="3157" spans="1:5" x14ac:dyDescent="0.25">
      <c r="A3157" s="2">
        <f>IF(B3157="","",SUBTOTAL(3,$B$2:B3157))</f>
        <v>3156</v>
      </c>
      <c r="B3157" s="9" t="s">
        <v>50</v>
      </c>
      <c r="C3157" s="10" t="s">
        <v>49</v>
      </c>
      <c r="D3157" s="11">
        <v>595.2380952380953</v>
      </c>
      <c r="E3157" s="12">
        <f t="shared" si="49"/>
        <v>44595</v>
      </c>
    </row>
    <row r="3158" spans="1:5" x14ac:dyDescent="0.25">
      <c r="A3158" s="2">
        <f>IF(B3158="","",SUBTOTAL(3,$B$2:B3158))</f>
        <v>3157</v>
      </c>
      <c r="B3158" s="9" t="s">
        <v>51</v>
      </c>
      <c r="C3158" s="10" t="s">
        <v>52</v>
      </c>
      <c r="D3158" s="11">
        <v>209.67912739595468</v>
      </c>
      <c r="E3158" s="12">
        <f t="shared" si="49"/>
        <v>44596</v>
      </c>
    </row>
    <row r="3159" spans="1:5" x14ac:dyDescent="0.25">
      <c r="A3159" s="2">
        <f>IF(B3159="","",SUBTOTAL(3,$B$2:B3159))</f>
        <v>3158</v>
      </c>
      <c r="B3159" s="9" t="s">
        <v>51</v>
      </c>
      <c r="C3159" s="10" t="s">
        <v>52</v>
      </c>
      <c r="D3159" s="11">
        <v>209.67912739595468</v>
      </c>
      <c r="E3159" s="12">
        <f t="shared" si="49"/>
        <v>44597</v>
      </c>
    </row>
    <row r="3160" spans="1:5" x14ac:dyDescent="0.25">
      <c r="A3160" s="2">
        <f>IF(B3160="","",SUBTOTAL(3,$B$2:B3160))</f>
        <v>3159</v>
      </c>
      <c r="B3160" s="9" t="s">
        <v>51</v>
      </c>
      <c r="C3160" s="10" t="s">
        <v>52</v>
      </c>
      <c r="D3160" s="11">
        <v>105.89854918987609</v>
      </c>
      <c r="E3160" s="12">
        <f t="shared" si="49"/>
        <v>44598</v>
      </c>
    </row>
    <row r="3161" spans="1:5" x14ac:dyDescent="0.25">
      <c r="A3161" s="2">
        <f>IF(B3161="","",SUBTOTAL(3,$B$2:B3161))</f>
        <v>3160</v>
      </c>
      <c r="B3161" s="9" t="s">
        <v>51</v>
      </c>
      <c r="C3161" s="10" t="s">
        <v>49</v>
      </c>
      <c r="D3161" s="11">
        <v>15.884782378481413</v>
      </c>
      <c r="E3161" s="12">
        <f t="shared" si="49"/>
        <v>44599</v>
      </c>
    </row>
    <row r="3162" spans="1:5" x14ac:dyDescent="0.25">
      <c r="A3162" s="2">
        <f>IF(B3162="","",SUBTOTAL(3,$B$2:B3162))</f>
        <v>3161</v>
      </c>
      <c r="B3162" s="9" t="s">
        <v>51</v>
      </c>
      <c r="C3162" s="10" t="s">
        <v>52</v>
      </c>
      <c r="D3162" s="11">
        <v>80</v>
      </c>
      <c r="E3162" s="12">
        <f t="shared" si="49"/>
        <v>44600</v>
      </c>
    </row>
    <row r="3163" spans="1:5" x14ac:dyDescent="0.25">
      <c r="A3163" s="2">
        <f>IF(B3163="","",SUBTOTAL(3,$B$2:B3163))</f>
        <v>3162</v>
      </c>
      <c r="B3163" s="9" t="s">
        <v>48</v>
      </c>
      <c r="C3163" s="10" t="s">
        <v>54</v>
      </c>
      <c r="D3163" s="11">
        <v>103.41261633919338</v>
      </c>
      <c r="E3163" s="12">
        <f t="shared" si="49"/>
        <v>44601</v>
      </c>
    </row>
    <row r="3164" spans="1:5" x14ac:dyDescent="0.25">
      <c r="A3164" s="2">
        <f>IF(B3164="","",SUBTOTAL(3,$B$2:B3164))</f>
        <v>3163</v>
      </c>
      <c r="B3164" s="9" t="s">
        <v>51</v>
      </c>
      <c r="C3164" s="10" t="s">
        <v>54</v>
      </c>
      <c r="D3164" s="11">
        <v>52.949274594938046</v>
      </c>
      <c r="E3164" s="12">
        <f t="shared" si="49"/>
        <v>44602</v>
      </c>
    </row>
    <row r="3165" spans="1:5" x14ac:dyDescent="0.25">
      <c r="A3165" s="2">
        <f>IF(B3165="","",SUBTOTAL(3,$B$2:B3165))</f>
        <v>3164</v>
      </c>
      <c r="B3165" s="9" t="s">
        <v>48</v>
      </c>
      <c r="C3165" s="10" t="s">
        <v>49</v>
      </c>
      <c r="D3165" s="11">
        <v>57.816093430806987</v>
      </c>
      <c r="E3165" s="12">
        <f t="shared" si="49"/>
        <v>44603</v>
      </c>
    </row>
    <row r="3166" spans="1:5" x14ac:dyDescent="0.25">
      <c r="A3166" s="2">
        <f>IF(B3166="","",SUBTOTAL(3,$B$2:B3166))</f>
        <v>3165</v>
      </c>
      <c r="B3166" s="9" t="s">
        <v>48</v>
      </c>
      <c r="C3166" s="10" t="s">
        <v>49</v>
      </c>
      <c r="D3166" s="11">
        <v>86.177180282661155</v>
      </c>
      <c r="E3166" s="12">
        <f t="shared" si="49"/>
        <v>44604</v>
      </c>
    </row>
    <row r="3167" spans="1:5" x14ac:dyDescent="0.25">
      <c r="A3167" s="2">
        <f>IF(B3167="","",SUBTOTAL(3,$B$2:B3167))</f>
        <v>3166</v>
      </c>
      <c r="B3167" s="9" t="s">
        <v>50</v>
      </c>
      <c r="C3167" s="10" t="s">
        <v>49</v>
      </c>
      <c r="D3167" s="11">
        <v>66.137566137566139</v>
      </c>
      <c r="E3167" s="12">
        <f t="shared" si="49"/>
        <v>44605</v>
      </c>
    </row>
    <row r="3168" spans="1:5" x14ac:dyDescent="0.25">
      <c r="A3168" s="2">
        <f>IF(B3168="","",SUBTOTAL(3,$B$2:B3168))</f>
        <v>3167</v>
      </c>
      <c r="B3168" s="9" t="s">
        <v>50</v>
      </c>
      <c r="C3168" s="10" t="s">
        <v>49</v>
      </c>
      <c r="D3168" s="11">
        <v>95.486111111111114</v>
      </c>
      <c r="E3168" s="12">
        <f t="shared" si="49"/>
        <v>44606</v>
      </c>
    </row>
    <row r="3169" spans="1:5" x14ac:dyDescent="0.25">
      <c r="A3169" s="2">
        <f>IF(B3169="","",SUBTOTAL(3,$B$2:B3169))</f>
        <v>3168</v>
      </c>
      <c r="B3169" s="9" t="s">
        <v>50</v>
      </c>
      <c r="C3169" s="10" t="s">
        <v>49</v>
      </c>
      <c r="D3169" s="11">
        <v>72.162081128747801</v>
      </c>
      <c r="E3169" s="12">
        <f t="shared" si="49"/>
        <v>44607</v>
      </c>
    </row>
    <row r="3170" spans="1:5" x14ac:dyDescent="0.25">
      <c r="A3170" s="2">
        <f>IF(B3170="","",SUBTOTAL(3,$B$2:B3170))</f>
        <v>3169</v>
      </c>
      <c r="B3170" s="9" t="s">
        <v>50</v>
      </c>
      <c r="C3170" s="10" t="s">
        <v>52</v>
      </c>
      <c r="D3170" s="11">
        <v>55.114638447971785</v>
      </c>
      <c r="E3170" s="12">
        <f t="shared" si="49"/>
        <v>44608</v>
      </c>
    </row>
    <row r="3171" spans="1:5" x14ac:dyDescent="0.25">
      <c r="A3171" s="2">
        <f>IF(B3171="","",SUBTOTAL(3,$B$2:B3171))</f>
        <v>3170</v>
      </c>
      <c r="B3171" s="9" t="s">
        <v>48</v>
      </c>
      <c r="C3171" s="10" t="s">
        <v>52</v>
      </c>
      <c r="D3171" s="11">
        <v>689.41744226128924</v>
      </c>
      <c r="E3171" s="12">
        <f t="shared" si="49"/>
        <v>44609</v>
      </c>
    </row>
    <row r="3172" spans="1:5" x14ac:dyDescent="0.25">
      <c r="A3172" s="2">
        <f>IF(B3172="","",SUBTOTAL(3,$B$2:B3172))</f>
        <v>3171</v>
      </c>
      <c r="B3172" s="9" t="s">
        <v>50</v>
      </c>
      <c r="C3172" s="10" t="s">
        <v>49</v>
      </c>
      <c r="D3172" s="11">
        <v>46.905423280423278</v>
      </c>
      <c r="E3172" s="12">
        <f t="shared" si="49"/>
        <v>44610</v>
      </c>
    </row>
    <row r="3173" spans="1:5" x14ac:dyDescent="0.25">
      <c r="A3173" s="2">
        <f>IF(B3173="","",SUBTOTAL(3,$B$2:B3173))</f>
        <v>3172</v>
      </c>
      <c r="B3173" s="9" t="s">
        <v>50</v>
      </c>
      <c r="C3173" s="10" t="s">
        <v>52</v>
      </c>
      <c r="D3173" s="11">
        <v>44.091710758377424</v>
      </c>
      <c r="E3173" s="12">
        <f t="shared" si="49"/>
        <v>44611</v>
      </c>
    </row>
    <row r="3174" spans="1:5" x14ac:dyDescent="0.25">
      <c r="A3174" s="2">
        <f>IF(B3174="","",SUBTOTAL(3,$B$2:B3174))</f>
        <v>3173</v>
      </c>
      <c r="B3174" s="9" t="s">
        <v>50</v>
      </c>
      <c r="C3174" s="10" t="s">
        <v>52</v>
      </c>
      <c r="D3174" s="11">
        <v>44.091710758377424</v>
      </c>
      <c r="E3174" s="12">
        <f t="shared" si="49"/>
        <v>44612</v>
      </c>
    </row>
    <row r="3175" spans="1:5" x14ac:dyDescent="0.25">
      <c r="A3175" s="2">
        <f>IF(B3175="","",SUBTOTAL(3,$B$2:B3175))</f>
        <v>3174</v>
      </c>
      <c r="B3175" s="9" t="s">
        <v>50</v>
      </c>
      <c r="C3175" s="10" t="s">
        <v>52</v>
      </c>
      <c r="D3175" s="11">
        <v>44.091710758377424</v>
      </c>
      <c r="E3175" s="12">
        <f t="shared" si="49"/>
        <v>44613</v>
      </c>
    </row>
    <row r="3176" spans="1:5" x14ac:dyDescent="0.25">
      <c r="A3176" s="2">
        <f>IF(B3176="","",SUBTOTAL(3,$B$2:B3176))</f>
        <v>3175</v>
      </c>
      <c r="B3176" s="9" t="s">
        <v>50</v>
      </c>
      <c r="C3176" s="10" t="s">
        <v>52</v>
      </c>
      <c r="D3176" s="11">
        <v>44.091710758377424</v>
      </c>
      <c r="E3176" s="12">
        <f t="shared" si="49"/>
        <v>44614</v>
      </c>
    </row>
    <row r="3177" spans="1:5" x14ac:dyDescent="0.25">
      <c r="A3177" s="2">
        <f>IF(B3177="","",SUBTOTAL(3,$B$2:B3177))</f>
        <v>3176</v>
      </c>
      <c r="B3177" s="9" t="s">
        <v>50</v>
      </c>
      <c r="C3177" s="10" t="s">
        <v>52</v>
      </c>
      <c r="D3177" s="11">
        <v>48.500881834215171</v>
      </c>
      <c r="E3177" s="12">
        <f t="shared" si="49"/>
        <v>44615</v>
      </c>
    </row>
    <row r="3178" spans="1:5" x14ac:dyDescent="0.25">
      <c r="A3178" s="2">
        <f>IF(B3178="","",SUBTOTAL(3,$B$2:B3178))</f>
        <v>3177</v>
      </c>
      <c r="B3178" s="9" t="s">
        <v>50</v>
      </c>
      <c r="C3178" s="10" t="s">
        <v>49</v>
      </c>
      <c r="D3178" s="11">
        <v>23.478835978835978</v>
      </c>
      <c r="E3178" s="12">
        <f t="shared" si="49"/>
        <v>44616</v>
      </c>
    </row>
    <row r="3179" spans="1:5" x14ac:dyDescent="0.25">
      <c r="A3179" s="2">
        <f>IF(B3179="","",SUBTOTAL(3,$B$2:B3179))</f>
        <v>3178</v>
      </c>
      <c r="B3179" s="9" t="s">
        <v>55</v>
      </c>
      <c r="C3179" s="10" t="s">
        <v>49</v>
      </c>
      <c r="D3179" s="11">
        <v>801.35710019754674</v>
      </c>
      <c r="E3179" s="12">
        <f t="shared" si="49"/>
        <v>44617</v>
      </c>
    </row>
    <row r="3180" spans="1:5" x14ac:dyDescent="0.25">
      <c r="A3180" s="2">
        <f>IF(B3180="","",SUBTOTAL(3,$B$2:B3180))</f>
        <v>3179</v>
      </c>
      <c r="B3180" s="9" t="s">
        <v>48</v>
      </c>
      <c r="C3180" s="10" t="s">
        <v>49</v>
      </c>
      <c r="D3180" s="11">
        <v>17.235436056532226</v>
      </c>
      <c r="E3180" s="12">
        <f t="shared" si="49"/>
        <v>44618</v>
      </c>
    </row>
    <row r="3181" spans="1:5" x14ac:dyDescent="0.25">
      <c r="A3181" s="2">
        <f>IF(B3181="","",SUBTOTAL(3,$B$2:B3181))</f>
        <v>3180</v>
      </c>
      <c r="B3181" s="9" t="s">
        <v>51</v>
      </c>
      <c r="C3181" s="10" t="s">
        <v>49</v>
      </c>
      <c r="D3181" s="11">
        <v>317.69564756962825</v>
      </c>
      <c r="E3181" s="12">
        <f t="shared" si="49"/>
        <v>44619</v>
      </c>
    </row>
    <row r="3182" spans="1:5" x14ac:dyDescent="0.25">
      <c r="A3182" s="2">
        <f>IF(B3182="","",SUBTOTAL(3,$B$2:B3182))</f>
        <v>3181</v>
      </c>
      <c r="B3182" s="9" t="s">
        <v>51</v>
      </c>
      <c r="C3182" s="10" t="s">
        <v>49</v>
      </c>
      <c r="D3182" s="11">
        <v>317.69564756962825</v>
      </c>
      <c r="E3182" s="12">
        <f t="shared" si="49"/>
        <v>44620</v>
      </c>
    </row>
    <row r="3183" spans="1:5" x14ac:dyDescent="0.25">
      <c r="A3183" s="2">
        <f>IF(B3183="","",SUBTOTAL(3,$B$2:B3183))</f>
        <v>3182</v>
      </c>
      <c r="B3183" s="9" t="s">
        <v>51</v>
      </c>
      <c r="C3183" s="10" t="s">
        <v>49</v>
      </c>
      <c r="D3183" s="11">
        <v>317.69564756962825</v>
      </c>
      <c r="E3183" s="12">
        <f t="shared" si="49"/>
        <v>44621</v>
      </c>
    </row>
    <row r="3184" spans="1:5" x14ac:dyDescent="0.25">
      <c r="A3184" s="2">
        <f>IF(B3184="","",SUBTOTAL(3,$B$2:B3184))</f>
        <v>3183</v>
      </c>
      <c r="B3184" s="9" t="s">
        <v>55</v>
      </c>
      <c r="C3184" s="10" t="s">
        <v>49</v>
      </c>
      <c r="D3184" s="11">
        <v>11.355262553406535</v>
      </c>
      <c r="E3184" s="12">
        <f t="shared" si="49"/>
        <v>44622</v>
      </c>
    </row>
    <row r="3185" spans="1:5" x14ac:dyDescent="0.25">
      <c r="A3185" s="2">
        <f>IF(B3185="","",SUBTOTAL(3,$B$2:B3185))</f>
        <v>3184</v>
      </c>
      <c r="B3185" s="9" t="s">
        <v>53</v>
      </c>
      <c r="C3185" s="10" t="s">
        <v>49</v>
      </c>
      <c r="D3185" s="11">
        <v>50</v>
      </c>
      <c r="E3185" s="12">
        <f t="shared" si="49"/>
        <v>44623</v>
      </c>
    </row>
    <row r="3186" spans="1:5" x14ac:dyDescent="0.25">
      <c r="A3186" s="2">
        <f>IF(B3186="","",SUBTOTAL(3,$B$2:B3186))</f>
        <v>3185</v>
      </c>
      <c r="B3186" s="9" t="s">
        <v>50</v>
      </c>
      <c r="C3186" s="10" t="s">
        <v>49</v>
      </c>
      <c r="D3186" s="11">
        <v>110.22927689594357</v>
      </c>
      <c r="E3186" s="12">
        <f t="shared" si="49"/>
        <v>44624</v>
      </c>
    </row>
    <row r="3187" spans="1:5" x14ac:dyDescent="0.25">
      <c r="A3187" s="2">
        <f>IF(B3187="","",SUBTOTAL(3,$B$2:B3187))</f>
        <v>3186</v>
      </c>
      <c r="B3187" s="9" t="s">
        <v>50</v>
      </c>
      <c r="C3187" s="10" t="s">
        <v>52</v>
      </c>
      <c r="D3187" s="11">
        <v>992.06349206349205</v>
      </c>
      <c r="E3187" s="12">
        <f t="shared" si="49"/>
        <v>44625</v>
      </c>
    </row>
    <row r="3188" spans="1:5" x14ac:dyDescent="0.25">
      <c r="A3188" s="2">
        <f>IF(B3188="","",SUBTOTAL(3,$B$2:B3188))</f>
        <v>3187</v>
      </c>
      <c r="B3188" s="9" t="s">
        <v>50</v>
      </c>
      <c r="C3188" s="10" t="s">
        <v>52</v>
      </c>
      <c r="D3188" s="11">
        <v>330.68783068783068</v>
      </c>
      <c r="E3188" s="12">
        <f t="shared" si="49"/>
        <v>44626</v>
      </c>
    </row>
    <row r="3189" spans="1:5" x14ac:dyDescent="0.25">
      <c r="A3189" s="2">
        <f>IF(B3189="","",SUBTOTAL(3,$B$2:B3189))</f>
        <v>3188</v>
      </c>
      <c r="B3189" s="9" t="s">
        <v>55</v>
      </c>
      <c r="C3189" s="10" t="s">
        <v>49</v>
      </c>
      <c r="D3189" s="11">
        <v>1643.8094363026601</v>
      </c>
      <c r="E3189" s="12">
        <f t="shared" si="49"/>
        <v>44627</v>
      </c>
    </row>
    <row r="3190" spans="1:5" x14ac:dyDescent="0.25">
      <c r="A3190" s="2">
        <f>IF(B3190="","",SUBTOTAL(3,$B$2:B3190))</f>
        <v>3189</v>
      </c>
      <c r="B3190" s="9" t="s">
        <v>48</v>
      </c>
      <c r="C3190" s="10" t="s">
        <v>52</v>
      </c>
      <c r="D3190" s="11">
        <v>64.24010381200776</v>
      </c>
      <c r="E3190" s="12">
        <f t="shared" si="49"/>
        <v>44628</v>
      </c>
    </row>
    <row r="3191" spans="1:5" x14ac:dyDescent="0.25">
      <c r="A3191" s="2">
        <f>IF(B3191="","",SUBTOTAL(3,$B$2:B3191))</f>
        <v>3190</v>
      </c>
      <c r="B3191" s="9" t="s">
        <v>48</v>
      </c>
      <c r="C3191" s="10" t="s">
        <v>52</v>
      </c>
      <c r="D3191" s="11">
        <v>15.403573629081947</v>
      </c>
      <c r="E3191" s="12">
        <f t="shared" si="49"/>
        <v>44629</v>
      </c>
    </row>
    <row r="3192" spans="1:5" x14ac:dyDescent="0.25">
      <c r="A3192" s="2">
        <f>IF(B3192="","",SUBTOTAL(3,$B$2:B3192))</f>
        <v>3191</v>
      </c>
      <c r="B3192" s="9" t="s">
        <v>48</v>
      </c>
      <c r="C3192" s="10" t="s">
        <v>52</v>
      </c>
      <c r="D3192" s="11">
        <v>23.105360443622921</v>
      </c>
      <c r="E3192" s="12">
        <f t="shared" si="49"/>
        <v>44630</v>
      </c>
    </row>
    <row r="3193" spans="1:5" x14ac:dyDescent="0.25">
      <c r="A3193" s="2">
        <f>IF(B3193="","",SUBTOTAL(3,$B$2:B3193))</f>
        <v>3192</v>
      </c>
      <c r="B3193" s="9" t="s">
        <v>48</v>
      </c>
      <c r="C3193" s="10" t="s">
        <v>52</v>
      </c>
      <c r="D3193" s="11">
        <v>15.403573629081947</v>
      </c>
      <c r="E3193" s="12">
        <f t="shared" si="49"/>
        <v>44631</v>
      </c>
    </row>
    <row r="3194" spans="1:5" x14ac:dyDescent="0.25">
      <c r="A3194" s="2">
        <f>IF(B3194="","",SUBTOTAL(3,$B$2:B3194))</f>
        <v>3193</v>
      </c>
      <c r="B3194" s="9" t="s">
        <v>48</v>
      </c>
      <c r="C3194" s="10" t="s">
        <v>52</v>
      </c>
      <c r="D3194" s="11">
        <v>23.105360443622921</v>
      </c>
      <c r="E3194" s="12">
        <f t="shared" si="49"/>
        <v>44632</v>
      </c>
    </row>
    <row r="3195" spans="1:5" x14ac:dyDescent="0.25">
      <c r="A3195" s="2">
        <f>IF(B3195="","",SUBTOTAL(3,$B$2:B3195))</f>
        <v>3194</v>
      </c>
      <c r="B3195" s="9" t="s">
        <v>50</v>
      </c>
      <c r="C3195" s="10" t="s">
        <v>49</v>
      </c>
      <c r="D3195" s="11">
        <v>50.705467372134038</v>
      </c>
      <c r="E3195" s="12">
        <f t="shared" si="49"/>
        <v>44633</v>
      </c>
    </row>
    <row r="3196" spans="1:5" x14ac:dyDescent="0.25">
      <c r="A3196" s="2">
        <f>IF(B3196="","",SUBTOTAL(3,$B$2:B3196))</f>
        <v>3195</v>
      </c>
      <c r="B3196" s="9" t="s">
        <v>50</v>
      </c>
      <c r="C3196" s="10" t="s">
        <v>49</v>
      </c>
      <c r="D3196" s="11">
        <v>35.273368606701936</v>
      </c>
      <c r="E3196" s="12">
        <f t="shared" si="49"/>
        <v>44634</v>
      </c>
    </row>
    <row r="3197" spans="1:5" x14ac:dyDescent="0.25">
      <c r="A3197" s="2">
        <f>IF(B3197="","",SUBTOTAL(3,$B$2:B3197))</f>
        <v>3196</v>
      </c>
      <c r="B3197" s="9" t="s">
        <v>51</v>
      </c>
      <c r="C3197" s="10" t="s">
        <v>49</v>
      </c>
      <c r="D3197" s="11">
        <v>20.257677659833075</v>
      </c>
      <c r="E3197" s="12">
        <f t="shared" si="49"/>
        <v>44635</v>
      </c>
    </row>
    <row r="3198" spans="1:5" x14ac:dyDescent="0.25">
      <c r="A3198" s="2">
        <f>IF(B3198="","",SUBTOTAL(3,$B$2:B3198))</f>
        <v>3197</v>
      </c>
      <c r="B3198" s="9" t="s">
        <v>51</v>
      </c>
      <c r="C3198" s="10" t="s">
        <v>52</v>
      </c>
      <c r="D3198" s="11">
        <v>52.949274594938046</v>
      </c>
      <c r="E3198" s="12">
        <f t="shared" si="49"/>
        <v>44636</v>
      </c>
    </row>
    <row r="3199" spans="1:5" x14ac:dyDescent="0.25">
      <c r="A3199" s="2">
        <f>IF(B3199="","",SUBTOTAL(3,$B$2:B3199))</f>
        <v>3198</v>
      </c>
      <c r="B3199" s="9" t="s">
        <v>48</v>
      </c>
      <c r="C3199" s="10" t="s">
        <v>52</v>
      </c>
      <c r="D3199" s="11">
        <v>38.54406228720466</v>
      </c>
      <c r="E3199" s="12">
        <f t="shared" si="49"/>
        <v>44637</v>
      </c>
    </row>
    <row r="3200" spans="1:5" x14ac:dyDescent="0.25">
      <c r="A3200" s="2">
        <f>IF(B3200="","",SUBTOTAL(3,$B$2:B3200))</f>
        <v>3199</v>
      </c>
      <c r="B3200" s="9" t="s">
        <v>50</v>
      </c>
      <c r="C3200" s="10" t="s">
        <v>49</v>
      </c>
      <c r="D3200" s="11">
        <v>26.803350970017636</v>
      </c>
      <c r="E3200" s="12">
        <f t="shared" si="49"/>
        <v>44638</v>
      </c>
    </row>
    <row r="3201" spans="1:5" x14ac:dyDescent="0.25">
      <c r="A3201" s="2">
        <f>IF(B3201="","",SUBTOTAL(3,$B$2:B3201))</f>
        <v>3200</v>
      </c>
      <c r="B3201" s="9" t="s">
        <v>51</v>
      </c>
      <c r="C3201" s="10" t="s">
        <v>52</v>
      </c>
      <c r="D3201" s="11">
        <v>211.79709837975219</v>
      </c>
      <c r="E3201" s="12">
        <f t="shared" si="49"/>
        <v>44639</v>
      </c>
    </row>
    <row r="3202" spans="1:5" x14ac:dyDescent="0.25">
      <c r="A3202" s="2">
        <f>IF(B3202="","",SUBTOTAL(3,$B$2:B3202))</f>
        <v>3201</v>
      </c>
      <c r="B3202" s="9" t="s">
        <v>50</v>
      </c>
      <c r="C3202" s="10" t="s">
        <v>52</v>
      </c>
      <c r="D3202" s="11">
        <v>55.114638447971785</v>
      </c>
      <c r="E3202" s="12">
        <f t="shared" si="49"/>
        <v>44640</v>
      </c>
    </row>
    <row r="3203" spans="1:5" x14ac:dyDescent="0.25">
      <c r="A3203" s="2">
        <f>IF(B3203="","",SUBTOTAL(3,$B$2:B3203))</f>
        <v>3202</v>
      </c>
      <c r="B3203" s="9" t="s">
        <v>50</v>
      </c>
      <c r="C3203" s="10" t="s">
        <v>52</v>
      </c>
      <c r="D3203" s="11">
        <v>55.114638447971785</v>
      </c>
      <c r="E3203" s="12">
        <f t="shared" si="49"/>
        <v>44641</v>
      </c>
    </row>
    <row r="3204" spans="1:5" x14ac:dyDescent="0.25">
      <c r="A3204" s="2">
        <f>IF(B3204="","",SUBTOTAL(3,$B$2:B3204))</f>
        <v>3203</v>
      </c>
      <c r="B3204" s="9" t="s">
        <v>50</v>
      </c>
      <c r="C3204" s="10" t="s">
        <v>52</v>
      </c>
      <c r="D3204" s="11">
        <v>55.114638447971785</v>
      </c>
      <c r="E3204" s="12">
        <f t="shared" ref="E3204:E3267" si="50">E3203+1</f>
        <v>44642</v>
      </c>
    </row>
    <row r="3205" spans="1:5" x14ac:dyDescent="0.25">
      <c r="A3205" s="2">
        <f>IF(B3205="","",SUBTOTAL(3,$B$2:B3205))</f>
        <v>3204</v>
      </c>
      <c r="B3205" s="9" t="s">
        <v>50</v>
      </c>
      <c r="C3205" s="10" t="s">
        <v>52</v>
      </c>
      <c r="D3205" s="11">
        <v>55.114638447971785</v>
      </c>
      <c r="E3205" s="12">
        <f t="shared" si="50"/>
        <v>44643</v>
      </c>
    </row>
    <row r="3206" spans="1:5" x14ac:dyDescent="0.25">
      <c r="A3206" s="2">
        <f>IF(B3206="","",SUBTOTAL(3,$B$2:B3206))</f>
        <v>3205</v>
      </c>
      <c r="B3206" s="9" t="s">
        <v>55</v>
      </c>
      <c r="C3206" s="10" t="s">
        <v>49</v>
      </c>
      <c r="D3206" s="11">
        <v>814.73032426266911</v>
      </c>
      <c r="E3206" s="12">
        <f t="shared" si="50"/>
        <v>44644</v>
      </c>
    </row>
    <row r="3207" spans="1:5" x14ac:dyDescent="0.25">
      <c r="A3207" s="2">
        <f>IF(B3207="","",SUBTOTAL(3,$B$2:B3207))</f>
        <v>3206</v>
      </c>
      <c r="B3207" s="9" t="s">
        <v>51</v>
      </c>
      <c r="C3207" s="10" t="s">
        <v>49</v>
      </c>
      <c r="D3207" s="11">
        <v>0.97236852767198778</v>
      </c>
      <c r="E3207" s="12">
        <f t="shared" si="50"/>
        <v>44645</v>
      </c>
    </row>
    <row r="3208" spans="1:5" x14ac:dyDescent="0.25">
      <c r="A3208" s="2">
        <f>IF(B3208="","",SUBTOTAL(3,$B$2:B3208))</f>
        <v>3207</v>
      </c>
      <c r="B3208" s="9" t="s">
        <v>48</v>
      </c>
      <c r="C3208" s="10" t="s">
        <v>49</v>
      </c>
      <c r="D3208" s="11">
        <v>46.210720887245841</v>
      </c>
      <c r="E3208" s="12">
        <f t="shared" si="50"/>
        <v>44646</v>
      </c>
    </row>
    <row r="3209" spans="1:5" x14ac:dyDescent="0.25">
      <c r="A3209" s="2">
        <f>IF(B3209="","",SUBTOTAL(3,$B$2:B3209))</f>
        <v>3208</v>
      </c>
      <c r="B3209" s="9" t="s">
        <v>55</v>
      </c>
      <c r="C3209" s="10" t="s">
        <v>49</v>
      </c>
      <c r="D3209" s="11">
        <v>48.883819455760147</v>
      </c>
      <c r="E3209" s="12">
        <f t="shared" si="50"/>
        <v>44647</v>
      </c>
    </row>
    <row r="3210" spans="1:5" x14ac:dyDescent="0.25">
      <c r="A3210" s="2">
        <f>IF(B3210="","",SUBTOTAL(3,$B$2:B3210))</f>
        <v>3209</v>
      </c>
      <c r="B3210" s="9" t="s">
        <v>55</v>
      </c>
      <c r="C3210" s="10" t="s">
        <v>49</v>
      </c>
      <c r="D3210" s="11">
        <v>48.883819455760147</v>
      </c>
      <c r="E3210" s="12">
        <f t="shared" si="50"/>
        <v>44648</v>
      </c>
    </row>
    <row r="3211" spans="1:5" x14ac:dyDescent="0.25">
      <c r="A3211" s="2">
        <f>IF(B3211="","",SUBTOTAL(3,$B$2:B3211))</f>
        <v>3210</v>
      </c>
      <c r="B3211" s="9" t="s">
        <v>55</v>
      </c>
      <c r="C3211" s="10" t="s">
        <v>52</v>
      </c>
      <c r="D3211" s="11">
        <v>184.78083754277333</v>
      </c>
      <c r="E3211" s="12">
        <f t="shared" si="50"/>
        <v>44649</v>
      </c>
    </row>
    <row r="3212" spans="1:5" x14ac:dyDescent="0.25">
      <c r="A3212" s="2">
        <f>IF(B3212="","",SUBTOTAL(3,$B$2:B3212))</f>
        <v>3211</v>
      </c>
      <c r="B3212" s="9" t="s">
        <v>48</v>
      </c>
      <c r="C3212" s="10" t="s">
        <v>52</v>
      </c>
      <c r="D3212" s="11">
        <v>308.07147258163894</v>
      </c>
      <c r="E3212" s="12">
        <f t="shared" si="50"/>
        <v>44650</v>
      </c>
    </row>
    <row r="3213" spans="1:5" x14ac:dyDescent="0.25">
      <c r="A3213" s="2">
        <f>IF(B3213="","",SUBTOTAL(3,$B$2:B3213))</f>
        <v>3212</v>
      </c>
      <c r="B3213" s="9" t="s">
        <v>48</v>
      </c>
      <c r="C3213" s="10" t="s">
        <v>52</v>
      </c>
      <c r="D3213" s="11">
        <v>184.84288354898337</v>
      </c>
      <c r="E3213" s="12">
        <f t="shared" si="50"/>
        <v>44651</v>
      </c>
    </row>
    <row r="3214" spans="1:5" x14ac:dyDescent="0.25">
      <c r="A3214" s="2">
        <f>IF(B3214="","",SUBTOTAL(3,$B$2:B3214))</f>
        <v>3213</v>
      </c>
      <c r="B3214" s="9" t="s">
        <v>48</v>
      </c>
      <c r="C3214" s="10" t="s">
        <v>49</v>
      </c>
      <c r="D3214" s="11">
        <v>7.7017868145409736</v>
      </c>
      <c r="E3214" s="12">
        <f t="shared" si="50"/>
        <v>44652</v>
      </c>
    </row>
    <row r="3215" spans="1:5" x14ac:dyDescent="0.25">
      <c r="A3215" s="2">
        <f>IF(B3215="","",SUBTOTAL(3,$B$2:B3215))</f>
        <v>3214</v>
      </c>
      <c r="B3215" s="9" t="s">
        <v>48</v>
      </c>
      <c r="C3215" s="10" t="s">
        <v>52</v>
      </c>
      <c r="D3215" s="11">
        <v>7.7017868145409736</v>
      </c>
      <c r="E3215" s="12">
        <f t="shared" si="50"/>
        <v>44653</v>
      </c>
    </row>
    <row r="3216" spans="1:5" x14ac:dyDescent="0.25">
      <c r="A3216" s="2">
        <f>IF(B3216="","",SUBTOTAL(3,$B$2:B3216))</f>
        <v>3215</v>
      </c>
      <c r="B3216" s="9" t="s">
        <v>48</v>
      </c>
      <c r="C3216" s="10" t="s">
        <v>52</v>
      </c>
      <c r="D3216" s="11">
        <v>123.22858903265558</v>
      </c>
      <c r="E3216" s="12">
        <f t="shared" si="50"/>
        <v>44654</v>
      </c>
    </row>
    <row r="3217" spans="1:5" x14ac:dyDescent="0.25">
      <c r="A3217" s="2">
        <f>IF(B3217="","",SUBTOTAL(3,$B$2:B3217))</f>
        <v>3216</v>
      </c>
      <c r="B3217" s="9" t="s">
        <v>48</v>
      </c>
      <c r="C3217" s="10" t="s">
        <v>49</v>
      </c>
      <c r="D3217" s="11">
        <v>34.470872113064452</v>
      </c>
      <c r="E3217" s="12">
        <f t="shared" si="50"/>
        <v>44655</v>
      </c>
    </row>
    <row r="3218" spans="1:5" x14ac:dyDescent="0.25">
      <c r="A3218" s="2">
        <f>IF(B3218="","",SUBTOTAL(3,$B$2:B3218))</f>
        <v>3217</v>
      </c>
      <c r="B3218" s="9" t="s">
        <v>48</v>
      </c>
      <c r="C3218" s="10" t="s">
        <v>49</v>
      </c>
      <c r="D3218" s="11">
        <v>3.4470872113064459</v>
      </c>
      <c r="E3218" s="12">
        <f t="shared" si="50"/>
        <v>44656</v>
      </c>
    </row>
    <row r="3219" spans="1:5" x14ac:dyDescent="0.25">
      <c r="A3219" s="2">
        <f>IF(B3219="","",SUBTOTAL(3,$B$2:B3219))</f>
        <v>3218</v>
      </c>
      <c r="B3219" s="9" t="s">
        <v>53</v>
      </c>
      <c r="C3219" s="10" t="s">
        <v>49</v>
      </c>
      <c r="D3219" s="11">
        <v>183.17198933939025</v>
      </c>
      <c r="E3219" s="12">
        <f t="shared" si="50"/>
        <v>44657</v>
      </c>
    </row>
    <row r="3220" spans="1:5" x14ac:dyDescent="0.25">
      <c r="A3220" s="2">
        <f>IF(B3220="","",SUBTOTAL(3,$B$2:B3220))</f>
        <v>3219</v>
      </c>
      <c r="B3220" s="9" t="s">
        <v>53</v>
      </c>
      <c r="C3220" s="10" t="s">
        <v>56</v>
      </c>
      <c r="D3220" s="11">
        <v>457.92997334847558</v>
      </c>
      <c r="E3220" s="12">
        <f t="shared" si="50"/>
        <v>44658</v>
      </c>
    </row>
    <row r="3221" spans="1:5" x14ac:dyDescent="0.25">
      <c r="A3221" s="2">
        <f>IF(B3221="","",SUBTOTAL(3,$B$2:B3221))</f>
        <v>3220</v>
      </c>
      <c r="B3221" s="9" t="s">
        <v>53</v>
      </c>
      <c r="C3221" s="10" t="s">
        <v>49</v>
      </c>
      <c r="D3221" s="11">
        <v>45.792997334847563</v>
      </c>
      <c r="E3221" s="12">
        <f t="shared" si="50"/>
        <v>44659</v>
      </c>
    </row>
    <row r="3222" spans="1:5" x14ac:dyDescent="0.25">
      <c r="A3222" s="2">
        <f>IF(B3222="","",SUBTOTAL(3,$B$2:B3222))</f>
        <v>3221</v>
      </c>
      <c r="B3222" s="9" t="s">
        <v>53</v>
      </c>
      <c r="C3222" s="10" t="s">
        <v>49</v>
      </c>
      <c r="D3222" s="11">
        <v>274.75798400908536</v>
      </c>
      <c r="E3222" s="12">
        <f t="shared" si="50"/>
        <v>44660</v>
      </c>
    </row>
    <row r="3223" spans="1:5" x14ac:dyDescent="0.25">
      <c r="A3223" s="2">
        <f>IF(B3223="","",SUBTOTAL(3,$B$2:B3223))</f>
        <v>3222</v>
      </c>
      <c r="B3223" s="9" t="s">
        <v>51</v>
      </c>
      <c r="C3223" s="10" t="s">
        <v>52</v>
      </c>
      <c r="D3223" s="11">
        <v>52.949274594938046</v>
      </c>
      <c r="E3223" s="12">
        <f t="shared" si="50"/>
        <v>44661</v>
      </c>
    </row>
    <row r="3224" spans="1:5" x14ac:dyDescent="0.25">
      <c r="A3224" s="2">
        <f>IF(B3224="","",SUBTOTAL(3,$B$2:B3224))</f>
        <v>3223</v>
      </c>
      <c r="B3224" s="9" t="s">
        <v>51</v>
      </c>
      <c r="C3224" s="10" t="s">
        <v>49</v>
      </c>
      <c r="D3224" s="11">
        <v>105.89854918987609</v>
      </c>
      <c r="E3224" s="12">
        <f t="shared" si="50"/>
        <v>44662</v>
      </c>
    </row>
    <row r="3225" spans="1:5" x14ac:dyDescent="0.25">
      <c r="A3225" s="2">
        <f>IF(B3225="","",SUBTOTAL(3,$B$2:B3225))</f>
        <v>3224</v>
      </c>
      <c r="B3225" s="9" t="s">
        <v>51</v>
      </c>
      <c r="C3225" s="10" t="s">
        <v>54</v>
      </c>
      <c r="D3225" s="11">
        <v>105.89854918987609</v>
      </c>
      <c r="E3225" s="12">
        <f t="shared" si="50"/>
        <v>44663</v>
      </c>
    </row>
    <row r="3226" spans="1:5" x14ac:dyDescent="0.25">
      <c r="A3226" s="2">
        <f>IF(B3226="","",SUBTOTAL(3,$B$2:B3226))</f>
        <v>3225</v>
      </c>
      <c r="B3226" s="9" t="s">
        <v>48</v>
      </c>
      <c r="C3226" s="10" t="s">
        <v>49</v>
      </c>
      <c r="D3226" s="11">
        <v>25.696041524803107</v>
      </c>
      <c r="E3226" s="12">
        <f t="shared" si="50"/>
        <v>44664</v>
      </c>
    </row>
    <row r="3227" spans="1:5" x14ac:dyDescent="0.25">
      <c r="A3227" s="2">
        <f>IF(B3227="","",SUBTOTAL(3,$B$2:B3227))</f>
        <v>3226</v>
      </c>
      <c r="B3227" s="9" t="s">
        <v>48</v>
      </c>
      <c r="C3227" s="10" t="s">
        <v>54</v>
      </c>
      <c r="D3227" s="11">
        <v>30.807147258163894</v>
      </c>
      <c r="E3227" s="12">
        <f t="shared" si="50"/>
        <v>44665</v>
      </c>
    </row>
    <row r="3228" spans="1:5" x14ac:dyDescent="0.25">
      <c r="A3228" s="2">
        <f>IF(B3228="","",SUBTOTAL(3,$B$2:B3228))</f>
        <v>3227</v>
      </c>
      <c r="B3228" s="9" t="s">
        <v>48</v>
      </c>
      <c r="C3228" s="10" t="s">
        <v>49</v>
      </c>
      <c r="D3228" s="11">
        <v>18.484288354898336</v>
      </c>
      <c r="E3228" s="12">
        <f t="shared" si="50"/>
        <v>44666</v>
      </c>
    </row>
    <row r="3229" spans="1:5" x14ac:dyDescent="0.25">
      <c r="A3229" s="2">
        <f>IF(B3229="","",SUBTOTAL(3,$B$2:B3229))</f>
        <v>3228</v>
      </c>
      <c r="B3229" s="9" t="s">
        <v>48</v>
      </c>
      <c r="C3229" s="10" t="s">
        <v>52</v>
      </c>
      <c r="D3229" s="11">
        <v>77.017868145409736</v>
      </c>
      <c r="E3229" s="12">
        <f t="shared" si="50"/>
        <v>44667</v>
      </c>
    </row>
    <row r="3230" spans="1:5" x14ac:dyDescent="0.25">
      <c r="A3230" s="2">
        <f>IF(B3230="","",SUBTOTAL(3,$B$2:B3230))</f>
        <v>3229</v>
      </c>
      <c r="B3230" s="9" t="s">
        <v>48</v>
      </c>
      <c r="C3230" s="10" t="s">
        <v>52</v>
      </c>
      <c r="D3230" s="11">
        <v>77.017868145409736</v>
      </c>
      <c r="E3230" s="12">
        <f t="shared" si="50"/>
        <v>44668</v>
      </c>
    </row>
    <row r="3231" spans="1:5" x14ac:dyDescent="0.25">
      <c r="A3231" s="2">
        <f>IF(B3231="","",SUBTOTAL(3,$B$2:B3231))</f>
        <v>3230</v>
      </c>
      <c r="B3231" s="9" t="s">
        <v>48</v>
      </c>
      <c r="C3231" s="10" t="s">
        <v>56</v>
      </c>
      <c r="D3231" s="11">
        <v>308.07147258163894</v>
      </c>
      <c r="E3231" s="12">
        <f t="shared" si="50"/>
        <v>44669</v>
      </c>
    </row>
    <row r="3232" spans="1:5" x14ac:dyDescent="0.25">
      <c r="A3232" s="2">
        <f>IF(B3232="","",SUBTOTAL(3,$B$2:B3232))</f>
        <v>3231</v>
      </c>
      <c r="B3232" s="9" t="s">
        <v>50</v>
      </c>
      <c r="C3232" s="10" t="s">
        <v>49</v>
      </c>
      <c r="D3232" s="11">
        <v>132.27513227513228</v>
      </c>
      <c r="E3232" s="12">
        <f t="shared" si="50"/>
        <v>44670</v>
      </c>
    </row>
    <row r="3233" spans="1:5" x14ac:dyDescent="0.25">
      <c r="A3233" s="2">
        <f>IF(B3233="","",SUBTOTAL(3,$B$2:B3233))</f>
        <v>3232</v>
      </c>
      <c r="B3233" s="9" t="s">
        <v>53</v>
      </c>
      <c r="C3233" s="10" t="s">
        <v>54</v>
      </c>
      <c r="D3233" s="11">
        <v>18.317198933939025</v>
      </c>
      <c r="E3233" s="12">
        <f t="shared" si="50"/>
        <v>44671</v>
      </c>
    </row>
    <row r="3234" spans="1:5" x14ac:dyDescent="0.25">
      <c r="A3234" s="2">
        <f>IF(B3234="","",SUBTOTAL(3,$B$2:B3234))</f>
        <v>3233</v>
      </c>
      <c r="B3234" s="9" t="s">
        <v>53</v>
      </c>
      <c r="C3234" s="10" t="s">
        <v>54</v>
      </c>
      <c r="D3234" s="11">
        <v>18.317198933939025</v>
      </c>
      <c r="E3234" s="12">
        <f t="shared" si="50"/>
        <v>44672</v>
      </c>
    </row>
    <row r="3235" spans="1:5" x14ac:dyDescent="0.25">
      <c r="A3235" s="2">
        <f>IF(B3235="","",SUBTOTAL(3,$B$2:B3235))</f>
        <v>3234</v>
      </c>
      <c r="B3235" s="9" t="s">
        <v>53</v>
      </c>
      <c r="C3235" s="10" t="s">
        <v>49</v>
      </c>
      <c r="D3235" s="11">
        <v>549.51596801817072</v>
      </c>
      <c r="E3235" s="12">
        <f t="shared" si="50"/>
        <v>44673</v>
      </c>
    </row>
    <row r="3236" spans="1:5" x14ac:dyDescent="0.25">
      <c r="A3236" s="2">
        <f>IF(B3236="","",SUBTOTAL(3,$B$2:B3236))</f>
        <v>3235</v>
      </c>
      <c r="B3236" s="9" t="s">
        <v>53</v>
      </c>
      <c r="C3236" s="10" t="s">
        <v>49</v>
      </c>
      <c r="D3236" s="11">
        <v>54.951596801817075</v>
      </c>
      <c r="E3236" s="12">
        <f t="shared" si="50"/>
        <v>44674</v>
      </c>
    </row>
    <row r="3237" spans="1:5" x14ac:dyDescent="0.25">
      <c r="A3237" s="2">
        <f>IF(B3237="","",SUBTOTAL(3,$B$2:B3237))</f>
        <v>3236</v>
      </c>
      <c r="B3237" s="9" t="s">
        <v>48</v>
      </c>
      <c r="C3237" s="10" t="s">
        <v>49</v>
      </c>
      <c r="D3237" s="11">
        <v>61.614294516327789</v>
      </c>
      <c r="E3237" s="12">
        <f t="shared" si="50"/>
        <v>44675</v>
      </c>
    </row>
    <row r="3238" spans="1:5" x14ac:dyDescent="0.25">
      <c r="A3238" s="2">
        <f>IF(B3238="","",SUBTOTAL(3,$B$2:B3238))</f>
        <v>3237</v>
      </c>
      <c r="B3238" s="9" t="s">
        <v>53</v>
      </c>
      <c r="C3238" s="10" t="s">
        <v>54</v>
      </c>
      <c r="D3238" s="11">
        <v>18.317198933939025</v>
      </c>
      <c r="E3238" s="12">
        <f t="shared" si="50"/>
        <v>44676</v>
      </c>
    </row>
    <row r="3239" spans="1:5" x14ac:dyDescent="0.25">
      <c r="A3239" s="2">
        <f>IF(B3239="","",SUBTOTAL(3,$B$2:B3239))</f>
        <v>3238</v>
      </c>
      <c r="B3239" s="9" t="s">
        <v>53</v>
      </c>
      <c r="C3239" s="10" t="s">
        <v>54</v>
      </c>
      <c r="D3239" s="11">
        <v>36.63439786787805</v>
      </c>
      <c r="E3239" s="12">
        <f t="shared" si="50"/>
        <v>44677</v>
      </c>
    </row>
    <row r="3240" spans="1:5" x14ac:dyDescent="0.25">
      <c r="A3240" s="2">
        <f>IF(B3240="","",SUBTOTAL(3,$B$2:B3240))</f>
        <v>3239</v>
      </c>
      <c r="B3240" s="9" t="s">
        <v>53</v>
      </c>
      <c r="C3240" s="10" t="s">
        <v>49</v>
      </c>
      <c r="D3240" s="11">
        <v>366.3439786787805</v>
      </c>
      <c r="E3240" s="12">
        <f t="shared" si="50"/>
        <v>44678</v>
      </c>
    </row>
    <row r="3241" spans="1:5" x14ac:dyDescent="0.25">
      <c r="A3241" s="2">
        <f>IF(B3241="","",SUBTOTAL(3,$B$2:B3241))</f>
        <v>3240</v>
      </c>
      <c r="B3241" s="9" t="s">
        <v>53</v>
      </c>
      <c r="C3241" s="10" t="s">
        <v>54</v>
      </c>
      <c r="D3241" s="11">
        <v>45.792997334847563</v>
      </c>
      <c r="E3241" s="12">
        <f t="shared" si="50"/>
        <v>44679</v>
      </c>
    </row>
    <row r="3242" spans="1:5" x14ac:dyDescent="0.25">
      <c r="A3242" s="2">
        <f>IF(B3242="","",SUBTOTAL(3,$B$2:B3242))</f>
        <v>3241</v>
      </c>
      <c r="B3242" s="9" t="s">
        <v>53</v>
      </c>
      <c r="C3242" s="10" t="s">
        <v>54</v>
      </c>
      <c r="D3242" s="11">
        <v>73.2687957357561</v>
      </c>
      <c r="E3242" s="12">
        <f t="shared" si="50"/>
        <v>44680</v>
      </c>
    </row>
    <row r="3243" spans="1:5" x14ac:dyDescent="0.25">
      <c r="A3243" s="2">
        <f>IF(B3243="","",SUBTOTAL(3,$B$2:B3243))</f>
        <v>3242</v>
      </c>
      <c r="B3243" s="9" t="s">
        <v>53</v>
      </c>
      <c r="C3243" s="10" t="s">
        <v>54</v>
      </c>
      <c r="D3243" s="11">
        <v>91.585994669695125</v>
      </c>
      <c r="E3243" s="12">
        <f t="shared" si="50"/>
        <v>44681</v>
      </c>
    </row>
    <row r="3244" spans="1:5" x14ac:dyDescent="0.25">
      <c r="A3244" s="2">
        <f>IF(B3244="","",SUBTOTAL(3,$B$2:B3244))</f>
        <v>3243</v>
      </c>
      <c r="B3244" s="9" t="s">
        <v>48</v>
      </c>
      <c r="C3244" s="10" t="s">
        <v>52</v>
      </c>
      <c r="D3244" s="11">
        <v>231.05360443622922</v>
      </c>
      <c r="E3244" s="12">
        <f t="shared" si="50"/>
        <v>44682</v>
      </c>
    </row>
    <row r="3245" spans="1:5" x14ac:dyDescent="0.25">
      <c r="A3245" s="2">
        <f>IF(B3245="","",SUBTOTAL(3,$B$2:B3245))</f>
        <v>3244</v>
      </c>
      <c r="B3245" s="9" t="s">
        <v>50</v>
      </c>
      <c r="C3245" s="10" t="s">
        <v>49</v>
      </c>
      <c r="D3245" s="11">
        <v>47.8331569664903</v>
      </c>
      <c r="E3245" s="12">
        <f t="shared" si="50"/>
        <v>44683</v>
      </c>
    </row>
    <row r="3246" spans="1:5" x14ac:dyDescent="0.25">
      <c r="A3246" s="2">
        <f>IF(B3246="","",SUBTOTAL(3,$B$2:B3246))</f>
        <v>3245</v>
      </c>
      <c r="B3246" s="9" t="s">
        <v>50</v>
      </c>
      <c r="C3246" s="10" t="s">
        <v>52</v>
      </c>
      <c r="D3246" s="11">
        <v>44.091710758377424</v>
      </c>
      <c r="E3246" s="12">
        <f t="shared" si="50"/>
        <v>44684</v>
      </c>
    </row>
    <row r="3247" spans="1:5" x14ac:dyDescent="0.25">
      <c r="A3247" s="2">
        <f>IF(B3247="","",SUBTOTAL(3,$B$2:B3247))</f>
        <v>3246</v>
      </c>
      <c r="B3247" s="9" t="s">
        <v>50</v>
      </c>
      <c r="C3247" s="10" t="s">
        <v>52</v>
      </c>
      <c r="D3247" s="11">
        <v>55.114638447971785</v>
      </c>
      <c r="E3247" s="12">
        <f t="shared" si="50"/>
        <v>44685</v>
      </c>
    </row>
    <row r="3248" spans="1:5" x14ac:dyDescent="0.25">
      <c r="A3248" s="2">
        <f>IF(B3248="","",SUBTOTAL(3,$B$2:B3248))</f>
        <v>3247</v>
      </c>
      <c r="B3248" s="9" t="s">
        <v>50</v>
      </c>
      <c r="C3248" s="10" t="s">
        <v>52</v>
      </c>
      <c r="D3248" s="11">
        <v>44.091710758377424</v>
      </c>
      <c r="E3248" s="12">
        <f t="shared" si="50"/>
        <v>44686</v>
      </c>
    </row>
    <row r="3249" spans="1:5" x14ac:dyDescent="0.25">
      <c r="A3249" s="2">
        <f>IF(B3249="","",SUBTOTAL(3,$B$2:B3249))</f>
        <v>3248</v>
      </c>
      <c r="B3249" s="9" t="s">
        <v>48</v>
      </c>
      <c r="C3249" s="10" t="s">
        <v>49</v>
      </c>
      <c r="D3249" s="11">
        <v>53.912507701786815</v>
      </c>
      <c r="E3249" s="12">
        <f t="shared" si="50"/>
        <v>44687</v>
      </c>
    </row>
    <row r="3250" spans="1:5" x14ac:dyDescent="0.25">
      <c r="A3250" s="2">
        <f>IF(B3250="","",SUBTOTAL(3,$B$2:B3250))</f>
        <v>3249</v>
      </c>
      <c r="B3250" s="9" t="s">
        <v>48</v>
      </c>
      <c r="C3250" s="10" t="s">
        <v>49</v>
      </c>
      <c r="D3250" s="11">
        <v>154.03573629081947</v>
      </c>
      <c r="E3250" s="12">
        <f t="shared" si="50"/>
        <v>44688</v>
      </c>
    </row>
    <row r="3251" spans="1:5" x14ac:dyDescent="0.25">
      <c r="A3251" s="2">
        <f>IF(B3251="","",SUBTOTAL(3,$B$2:B3251))</f>
        <v>3250</v>
      </c>
      <c r="B3251" s="9" t="s">
        <v>48</v>
      </c>
      <c r="C3251" s="10" t="s">
        <v>49</v>
      </c>
      <c r="D3251" s="11">
        <v>308.07147258163894</v>
      </c>
      <c r="E3251" s="12">
        <f t="shared" si="50"/>
        <v>44689</v>
      </c>
    </row>
    <row r="3252" spans="1:5" x14ac:dyDescent="0.25">
      <c r="A3252" s="2">
        <f>IF(B3252="","",SUBTOTAL(3,$B$2:B3252))</f>
        <v>3251</v>
      </c>
      <c r="B3252" s="9" t="s">
        <v>48</v>
      </c>
      <c r="C3252" s="10" t="s">
        <v>49</v>
      </c>
      <c r="D3252" s="11">
        <v>154.03573629081947</v>
      </c>
      <c r="E3252" s="12">
        <f t="shared" si="50"/>
        <v>44690</v>
      </c>
    </row>
    <row r="3253" spans="1:5" x14ac:dyDescent="0.25">
      <c r="A3253" s="2">
        <f>IF(B3253="","",SUBTOTAL(3,$B$2:B3253))</f>
        <v>3252</v>
      </c>
      <c r="B3253" s="9" t="s">
        <v>48</v>
      </c>
      <c r="C3253" s="10" t="s">
        <v>49</v>
      </c>
      <c r="D3253" s="11">
        <v>154.03573629081947</v>
      </c>
      <c r="E3253" s="12">
        <f t="shared" si="50"/>
        <v>44691</v>
      </c>
    </row>
    <row r="3254" spans="1:5" x14ac:dyDescent="0.25">
      <c r="A3254" s="2">
        <f>IF(B3254="","",SUBTOTAL(3,$B$2:B3254))</f>
        <v>3253</v>
      </c>
      <c r="B3254" s="9" t="s">
        <v>48</v>
      </c>
      <c r="C3254" s="10" t="s">
        <v>49</v>
      </c>
      <c r="D3254" s="11">
        <v>7.7017868145409736</v>
      </c>
      <c r="E3254" s="12">
        <f t="shared" si="50"/>
        <v>44692</v>
      </c>
    </row>
    <row r="3255" spans="1:5" x14ac:dyDescent="0.25">
      <c r="A3255" s="2">
        <f>IF(B3255="","",SUBTOTAL(3,$B$2:B3255))</f>
        <v>3254</v>
      </c>
      <c r="B3255" s="9" t="s">
        <v>50</v>
      </c>
      <c r="C3255" s="10" t="s">
        <v>49</v>
      </c>
      <c r="D3255" s="11">
        <v>55.114638447971785</v>
      </c>
      <c r="E3255" s="12">
        <f t="shared" si="50"/>
        <v>44693</v>
      </c>
    </row>
    <row r="3256" spans="1:5" x14ac:dyDescent="0.25">
      <c r="A3256" s="2">
        <f>IF(B3256="","",SUBTOTAL(3,$B$2:B3256))</f>
        <v>3255</v>
      </c>
      <c r="B3256" s="9" t="s">
        <v>55</v>
      </c>
      <c r="C3256" s="10" t="s">
        <v>54</v>
      </c>
      <c r="D3256" s="11">
        <v>39.107055564608117</v>
      </c>
      <c r="E3256" s="12">
        <f t="shared" si="50"/>
        <v>44694</v>
      </c>
    </row>
    <row r="3257" spans="1:5" x14ac:dyDescent="0.25">
      <c r="A3257" s="2">
        <f>IF(B3257="","",SUBTOTAL(3,$B$2:B3257))</f>
        <v>3256</v>
      </c>
      <c r="B3257" s="9" t="s">
        <v>50</v>
      </c>
      <c r="C3257" s="10" t="s">
        <v>52</v>
      </c>
      <c r="D3257" s="11">
        <v>44.091710758377424</v>
      </c>
      <c r="E3257" s="12">
        <f t="shared" si="50"/>
        <v>44695</v>
      </c>
    </row>
    <row r="3258" spans="1:5" x14ac:dyDescent="0.25">
      <c r="A3258" s="2">
        <f>IF(B3258="","",SUBTOTAL(3,$B$2:B3258))</f>
        <v>3257</v>
      </c>
      <c r="B3258" s="9" t="s">
        <v>50</v>
      </c>
      <c r="C3258" s="10" t="s">
        <v>52</v>
      </c>
      <c r="D3258" s="11">
        <v>55.114638447971785</v>
      </c>
      <c r="E3258" s="12">
        <f t="shared" si="50"/>
        <v>44696</v>
      </c>
    </row>
    <row r="3259" spans="1:5" x14ac:dyDescent="0.25">
      <c r="A3259" s="2">
        <f>IF(B3259="","",SUBTOTAL(3,$B$2:B3259))</f>
        <v>3258</v>
      </c>
      <c r="B3259" s="9" t="s">
        <v>48</v>
      </c>
      <c r="C3259" s="10" t="s">
        <v>54</v>
      </c>
      <c r="D3259" s="11">
        <v>8.4796937031850241</v>
      </c>
      <c r="E3259" s="12">
        <f t="shared" si="50"/>
        <v>44697</v>
      </c>
    </row>
    <row r="3260" spans="1:5" x14ac:dyDescent="0.25">
      <c r="A3260" s="2">
        <f>IF(B3260="","",SUBTOTAL(3,$B$2:B3260))</f>
        <v>3259</v>
      </c>
      <c r="B3260" s="9" t="s">
        <v>48</v>
      </c>
      <c r="C3260" s="10" t="s">
        <v>49</v>
      </c>
      <c r="D3260" s="11">
        <v>84.719654959950716</v>
      </c>
      <c r="E3260" s="12">
        <f t="shared" si="50"/>
        <v>44698</v>
      </c>
    </row>
    <row r="3261" spans="1:5" x14ac:dyDescent="0.25">
      <c r="A3261" s="2">
        <f>IF(B3261="","",SUBTOTAL(3,$B$2:B3261))</f>
        <v>3260</v>
      </c>
      <c r="B3261" s="9" t="s">
        <v>55</v>
      </c>
      <c r="C3261" s="10" t="s">
        <v>52</v>
      </c>
      <c r="D3261" s="11">
        <v>70</v>
      </c>
      <c r="E3261" s="12">
        <f t="shared" si="50"/>
        <v>44699</v>
      </c>
    </row>
    <row r="3262" spans="1:5" x14ac:dyDescent="0.25">
      <c r="A3262" s="2">
        <f>IF(B3262="","",SUBTOTAL(3,$B$2:B3262))</f>
        <v>3261</v>
      </c>
      <c r="B3262" s="9" t="s">
        <v>48</v>
      </c>
      <c r="C3262" s="10" t="s">
        <v>49</v>
      </c>
      <c r="D3262" s="11">
        <v>154.03573629081947</v>
      </c>
      <c r="E3262" s="12">
        <f t="shared" si="50"/>
        <v>44700</v>
      </c>
    </row>
    <row r="3263" spans="1:5" x14ac:dyDescent="0.25">
      <c r="A3263" s="2">
        <f>IF(B3263="","",SUBTOTAL(3,$B$2:B3263))</f>
        <v>3262</v>
      </c>
      <c r="B3263" s="9" t="s">
        <v>48</v>
      </c>
      <c r="C3263" s="10" t="s">
        <v>49</v>
      </c>
      <c r="D3263" s="11">
        <v>20.332717190388173</v>
      </c>
      <c r="E3263" s="12">
        <f t="shared" si="50"/>
        <v>44701</v>
      </c>
    </row>
    <row r="3264" spans="1:5" x14ac:dyDescent="0.25">
      <c r="A3264" s="2">
        <f>IF(B3264="","",SUBTOTAL(3,$B$2:B3264))</f>
        <v>3263</v>
      </c>
      <c r="B3264" s="9" t="s">
        <v>48</v>
      </c>
      <c r="C3264" s="10" t="s">
        <v>49</v>
      </c>
      <c r="D3264" s="11">
        <v>17.235436056532226</v>
      </c>
      <c r="E3264" s="12">
        <f t="shared" si="50"/>
        <v>44702</v>
      </c>
    </row>
    <row r="3265" spans="1:5" x14ac:dyDescent="0.25">
      <c r="A3265" s="2">
        <f>IF(B3265="","",SUBTOTAL(3,$B$2:B3265))</f>
        <v>3264</v>
      </c>
      <c r="B3265" s="9" t="s">
        <v>48</v>
      </c>
      <c r="C3265" s="10" t="s">
        <v>54</v>
      </c>
      <c r="D3265" s="11">
        <v>41.365046535677351</v>
      </c>
      <c r="E3265" s="12">
        <f t="shared" si="50"/>
        <v>44703</v>
      </c>
    </row>
    <row r="3266" spans="1:5" x14ac:dyDescent="0.25">
      <c r="A3266" s="2">
        <f>IF(B3266="","",SUBTOTAL(3,$B$2:B3266))</f>
        <v>3265</v>
      </c>
      <c r="B3266" s="9" t="s">
        <v>48</v>
      </c>
      <c r="C3266" s="10" t="s">
        <v>49</v>
      </c>
      <c r="D3266" s="11">
        <v>32.12005190600388</v>
      </c>
      <c r="E3266" s="12">
        <f t="shared" si="50"/>
        <v>44704</v>
      </c>
    </row>
    <row r="3267" spans="1:5" x14ac:dyDescent="0.25">
      <c r="A3267" s="2">
        <f>IF(B3267="","",SUBTOTAL(3,$B$2:B3267))</f>
        <v>3266</v>
      </c>
      <c r="B3267" s="9" t="s">
        <v>48</v>
      </c>
      <c r="C3267" s="10" t="s">
        <v>49</v>
      </c>
      <c r="D3267" s="11">
        <v>154.17624914881864</v>
      </c>
      <c r="E3267" s="12">
        <f t="shared" si="50"/>
        <v>44705</v>
      </c>
    </row>
    <row r="3268" spans="1:5" x14ac:dyDescent="0.25">
      <c r="A3268" s="2">
        <f>IF(B3268="","",SUBTOTAL(3,$B$2:B3268))</f>
        <v>3267</v>
      </c>
      <c r="B3268" s="9" t="s">
        <v>51</v>
      </c>
      <c r="C3268" s="10" t="s">
        <v>52</v>
      </c>
      <c r="D3268" s="11">
        <v>16.20614212786646</v>
      </c>
      <c r="E3268" s="12">
        <f t="shared" ref="E3268:E3331" si="51">E3267+1</f>
        <v>44706</v>
      </c>
    </row>
    <row r="3269" spans="1:5" x14ac:dyDescent="0.25">
      <c r="A3269" s="2">
        <f>IF(B3269="","",SUBTOTAL(3,$B$2:B3269))</f>
        <v>3268</v>
      </c>
      <c r="B3269" s="9" t="s">
        <v>51</v>
      </c>
      <c r="C3269" s="10" t="s">
        <v>52</v>
      </c>
      <c r="D3269" s="11">
        <v>40.515355319666149</v>
      </c>
      <c r="E3269" s="12">
        <f t="shared" si="51"/>
        <v>44707</v>
      </c>
    </row>
    <row r="3270" spans="1:5" x14ac:dyDescent="0.25">
      <c r="A3270" s="2">
        <f>IF(B3270="","",SUBTOTAL(3,$B$2:B3270))</f>
        <v>3269</v>
      </c>
      <c r="B3270" s="9" t="s">
        <v>51</v>
      </c>
      <c r="C3270" s="10" t="s">
        <v>54</v>
      </c>
      <c r="D3270" s="11">
        <v>52.949274594938046</v>
      </c>
      <c r="E3270" s="12">
        <f t="shared" si="51"/>
        <v>44708</v>
      </c>
    </row>
    <row r="3271" spans="1:5" x14ac:dyDescent="0.25">
      <c r="A3271" s="2">
        <f>IF(B3271="","",SUBTOTAL(3,$B$2:B3271))</f>
        <v>3270</v>
      </c>
      <c r="B3271" s="9" t="s">
        <v>51</v>
      </c>
      <c r="C3271" s="10" t="s">
        <v>49</v>
      </c>
      <c r="D3271" s="11">
        <v>52.949274594938046</v>
      </c>
      <c r="E3271" s="12">
        <f t="shared" si="51"/>
        <v>44709</v>
      </c>
    </row>
    <row r="3272" spans="1:5" x14ac:dyDescent="0.25">
      <c r="A3272" s="2">
        <f>IF(B3272="","",SUBTOTAL(3,$B$2:B3272))</f>
        <v>3271</v>
      </c>
      <c r="B3272" s="9" t="s">
        <v>48</v>
      </c>
      <c r="C3272" s="10" t="s">
        <v>49</v>
      </c>
      <c r="D3272" s="11">
        <v>77.017868145409736</v>
      </c>
      <c r="E3272" s="12">
        <f t="shared" si="51"/>
        <v>44710</v>
      </c>
    </row>
    <row r="3273" spans="1:5" x14ac:dyDescent="0.25">
      <c r="A3273" s="2">
        <f>IF(B3273="","",SUBTOTAL(3,$B$2:B3273))</f>
        <v>3272</v>
      </c>
      <c r="B3273" s="9" t="s">
        <v>50</v>
      </c>
      <c r="C3273" s="10" t="s">
        <v>49</v>
      </c>
      <c r="D3273" s="11">
        <v>110.22927689594357</v>
      </c>
      <c r="E3273" s="12">
        <f t="shared" si="51"/>
        <v>44711</v>
      </c>
    </row>
    <row r="3274" spans="1:5" x14ac:dyDescent="0.25">
      <c r="A3274" s="2">
        <f>IF(B3274="","",SUBTOTAL(3,$B$2:B3274))</f>
        <v>3273</v>
      </c>
      <c r="B3274" s="9" t="s">
        <v>55</v>
      </c>
      <c r="C3274" s="10" t="s">
        <v>54</v>
      </c>
      <c r="D3274" s="11">
        <v>79.532367709286177</v>
      </c>
      <c r="E3274" s="12">
        <f t="shared" si="51"/>
        <v>44712</v>
      </c>
    </row>
    <row r="3275" spans="1:5" x14ac:dyDescent="0.25">
      <c r="A3275" s="2">
        <f>IF(B3275="","",SUBTOTAL(3,$B$2:B3275))</f>
        <v>3274</v>
      </c>
      <c r="B3275" s="9" t="s">
        <v>50</v>
      </c>
      <c r="C3275" s="10" t="s">
        <v>49</v>
      </c>
      <c r="D3275" s="11">
        <v>94.797178130511469</v>
      </c>
      <c r="E3275" s="12">
        <f t="shared" si="51"/>
        <v>44713</v>
      </c>
    </row>
    <row r="3276" spans="1:5" x14ac:dyDescent="0.25">
      <c r="A3276" s="2">
        <f>IF(B3276="","",SUBTOTAL(3,$B$2:B3276))</f>
        <v>3275</v>
      </c>
      <c r="B3276" s="9" t="s">
        <v>48</v>
      </c>
      <c r="C3276" s="10" t="s">
        <v>54</v>
      </c>
      <c r="D3276" s="11">
        <v>8.617718028266113</v>
      </c>
      <c r="E3276" s="12">
        <f t="shared" si="51"/>
        <v>44714</v>
      </c>
    </row>
    <row r="3277" spans="1:5" x14ac:dyDescent="0.25">
      <c r="A3277" s="2">
        <f>IF(B3277="","",SUBTOTAL(3,$B$2:B3277))</f>
        <v>3276</v>
      </c>
      <c r="B3277" s="9" t="s">
        <v>48</v>
      </c>
      <c r="C3277" s="10" t="s">
        <v>54</v>
      </c>
      <c r="D3277" s="11">
        <v>8.617718028266113</v>
      </c>
      <c r="E3277" s="12">
        <f t="shared" si="51"/>
        <v>44715</v>
      </c>
    </row>
    <row r="3278" spans="1:5" x14ac:dyDescent="0.25">
      <c r="A3278" s="2">
        <f>IF(B3278="","",SUBTOTAL(3,$B$2:B3278))</f>
        <v>3277</v>
      </c>
      <c r="B3278" s="9" t="s">
        <v>48</v>
      </c>
      <c r="C3278" s="10" t="s">
        <v>54</v>
      </c>
      <c r="D3278" s="11">
        <v>8.617718028266113</v>
      </c>
      <c r="E3278" s="12">
        <f t="shared" si="51"/>
        <v>44716</v>
      </c>
    </row>
    <row r="3279" spans="1:5" x14ac:dyDescent="0.25">
      <c r="A3279" s="2">
        <f>IF(B3279="","",SUBTOTAL(3,$B$2:B3279))</f>
        <v>3278</v>
      </c>
      <c r="B3279" s="9" t="s">
        <v>48</v>
      </c>
      <c r="C3279" s="10" t="s">
        <v>54</v>
      </c>
      <c r="D3279" s="11">
        <v>8.617718028266113</v>
      </c>
      <c r="E3279" s="12">
        <f t="shared" si="51"/>
        <v>44717</v>
      </c>
    </row>
    <row r="3280" spans="1:5" x14ac:dyDescent="0.25">
      <c r="A3280" s="2">
        <f>IF(B3280="","",SUBTOTAL(3,$B$2:B3280))</f>
        <v>3279</v>
      </c>
      <c r="B3280" s="9" t="s">
        <v>48</v>
      </c>
      <c r="C3280" s="10" t="s">
        <v>54</v>
      </c>
      <c r="D3280" s="11">
        <v>8.617718028266113</v>
      </c>
      <c r="E3280" s="12">
        <f t="shared" si="51"/>
        <v>44718</v>
      </c>
    </row>
    <row r="3281" spans="1:5" x14ac:dyDescent="0.25">
      <c r="A3281" s="2">
        <f>IF(B3281="","",SUBTOTAL(3,$B$2:B3281))</f>
        <v>3280</v>
      </c>
      <c r="B3281" s="9" t="s">
        <v>48</v>
      </c>
      <c r="C3281" s="10" t="s">
        <v>54</v>
      </c>
      <c r="D3281" s="11">
        <v>8.617718028266113</v>
      </c>
      <c r="E3281" s="12">
        <f t="shared" si="51"/>
        <v>44719</v>
      </c>
    </row>
    <row r="3282" spans="1:5" x14ac:dyDescent="0.25">
      <c r="A3282" s="2">
        <f>IF(B3282="","",SUBTOTAL(3,$B$2:B3282))</f>
        <v>3281</v>
      </c>
      <c r="B3282" s="9" t="s">
        <v>48</v>
      </c>
      <c r="C3282" s="10" t="s">
        <v>52</v>
      </c>
      <c r="D3282" s="11">
        <v>84.719654959950716</v>
      </c>
      <c r="E3282" s="12">
        <f t="shared" si="51"/>
        <v>44720</v>
      </c>
    </row>
    <row r="3283" spans="1:5" x14ac:dyDescent="0.25">
      <c r="A3283" s="2">
        <f>IF(B3283="","",SUBTOTAL(3,$B$2:B3283))</f>
        <v>3282</v>
      </c>
      <c r="B3283" s="9" t="s">
        <v>48</v>
      </c>
      <c r="C3283" s="10" t="s">
        <v>49</v>
      </c>
      <c r="D3283" s="11">
        <v>61.614294516327789</v>
      </c>
      <c r="E3283" s="12">
        <f t="shared" si="51"/>
        <v>44721</v>
      </c>
    </row>
    <row r="3284" spans="1:5" x14ac:dyDescent="0.25">
      <c r="A3284" s="2">
        <f>IF(B3284="","",SUBTOTAL(3,$B$2:B3284))</f>
        <v>3283</v>
      </c>
      <c r="B3284" s="9" t="s">
        <v>48</v>
      </c>
      <c r="C3284" s="10" t="s">
        <v>49</v>
      </c>
      <c r="D3284" s="11">
        <v>61.614294516327789</v>
      </c>
      <c r="E3284" s="12">
        <f t="shared" si="51"/>
        <v>44722</v>
      </c>
    </row>
    <row r="3285" spans="1:5" x14ac:dyDescent="0.25">
      <c r="A3285" s="2">
        <f>IF(B3285="","",SUBTOTAL(3,$B$2:B3285))</f>
        <v>3284</v>
      </c>
      <c r="B3285" s="9" t="s">
        <v>48</v>
      </c>
      <c r="C3285" s="10" t="s">
        <v>54</v>
      </c>
      <c r="D3285" s="11">
        <v>69.316081330868769</v>
      </c>
      <c r="E3285" s="12">
        <f t="shared" si="51"/>
        <v>44723</v>
      </c>
    </row>
    <row r="3286" spans="1:5" x14ac:dyDescent="0.25">
      <c r="A3286" s="2">
        <f>IF(B3286="","",SUBTOTAL(3,$B$2:B3286))</f>
        <v>3285</v>
      </c>
      <c r="B3286" s="9" t="s">
        <v>48</v>
      </c>
      <c r="C3286" s="10" t="s">
        <v>54</v>
      </c>
      <c r="D3286" s="11">
        <v>69.316081330868769</v>
      </c>
      <c r="E3286" s="12">
        <f t="shared" si="51"/>
        <v>44724</v>
      </c>
    </row>
    <row r="3287" spans="1:5" x14ac:dyDescent="0.25">
      <c r="A3287" s="2">
        <f>IF(B3287="","",SUBTOTAL(3,$B$2:B3287))</f>
        <v>3286</v>
      </c>
      <c r="B3287" s="9" t="s">
        <v>48</v>
      </c>
      <c r="C3287" s="10" t="s">
        <v>52</v>
      </c>
      <c r="D3287" s="11">
        <v>52.757239679605668</v>
      </c>
      <c r="E3287" s="12">
        <f t="shared" si="51"/>
        <v>44725</v>
      </c>
    </row>
    <row r="3288" spans="1:5" x14ac:dyDescent="0.25">
      <c r="A3288" s="2">
        <f>IF(B3288="","",SUBTOTAL(3,$B$2:B3288))</f>
        <v>3287</v>
      </c>
      <c r="B3288" s="9" t="s">
        <v>53</v>
      </c>
      <c r="C3288" s="10" t="s">
        <v>49</v>
      </c>
      <c r="D3288" s="11">
        <v>274.75798400908536</v>
      </c>
      <c r="E3288" s="12">
        <f t="shared" si="51"/>
        <v>44726</v>
      </c>
    </row>
    <row r="3289" spans="1:5" x14ac:dyDescent="0.25">
      <c r="A3289" s="2">
        <f>IF(B3289="","",SUBTOTAL(3,$B$2:B3289))</f>
        <v>3288</v>
      </c>
      <c r="B3289" s="9" t="s">
        <v>50</v>
      </c>
      <c r="C3289" s="10" t="s">
        <v>49</v>
      </c>
      <c r="D3289" s="11">
        <v>44.091710758377424</v>
      </c>
      <c r="E3289" s="12">
        <f t="shared" si="51"/>
        <v>44727</v>
      </c>
    </row>
    <row r="3290" spans="1:5" x14ac:dyDescent="0.25">
      <c r="A3290" s="2">
        <f>IF(B3290="","",SUBTOTAL(3,$B$2:B3290))</f>
        <v>3289</v>
      </c>
      <c r="B3290" s="9" t="s">
        <v>48</v>
      </c>
      <c r="C3290" s="10" t="s">
        <v>49</v>
      </c>
      <c r="D3290" s="11">
        <v>231.05360443622922</v>
      </c>
      <c r="E3290" s="12">
        <f t="shared" si="51"/>
        <v>44728</v>
      </c>
    </row>
    <row r="3291" spans="1:5" x14ac:dyDescent="0.25">
      <c r="A3291" s="2">
        <f>IF(B3291="","",SUBTOTAL(3,$B$2:B3291))</f>
        <v>3290</v>
      </c>
      <c r="B3291" s="9" t="s">
        <v>48</v>
      </c>
      <c r="C3291" s="10" t="s">
        <v>49</v>
      </c>
      <c r="D3291" s="11">
        <v>231.05360443622922</v>
      </c>
      <c r="E3291" s="12">
        <f t="shared" si="51"/>
        <v>44729</v>
      </c>
    </row>
    <row r="3292" spans="1:5" x14ac:dyDescent="0.25">
      <c r="A3292" s="2">
        <f>IF(B3292="","",SUBTOTAL(3,$B$2:B3292))</f>
        <v>3291</v>
      </c>
      <c r="B3292" s="9" t="s">
        <v>48</v>
      </c>
      <c r="C3292" s="10" t="s">
        <v>52</v>
      </c>
      <c r="D3292" s="11">
        <v>36.21457178065311</v>
      </c>
      <c r="E3292" s="12">
        <f t="shared" si="51"/>
        <v>44730</v>
      </c>
    </row>
    <row r="3293" spans="1:5" x14ac:dyDescent="0.25">
      <c r="A3293" s="2">
        <f>IF(B3293="","",SUBTOTAL(3,$B$2:B3293))</f>
        <v>3292</v>
      </c>
      <c r="B3293" s="9" t="s">
        <v>50</v>
      </c>
      <c r="C3293" s="10" t="s">
        <v>49</v>
      </c>
      <c r="D3293" s="11">
        <v>734.50661375661377</v>
      </c>
      <c r="E3293" s="12">
        <f t="shared" si="51"/>
        <v>44731</v>
      </c>
    </row>
    <row r="3294" spans="1:5" x14ac:dyDescent="0.25">
      <c r="A3294" s="2">
        <f>IF(B3294="","",SUBTOTAL(3,$B$2:B3294))</f>
        <v>3293</v>
      </c>
      <c r="B3294" s="9" t="s">
        <v>48</v>
      </c>
      <c r="C3294" s="10" t="s">
        <v>54</v>
      </c>
      <c r="D3294" s="11">
        <v>11.720096518441917</v>
      </c>
      <c r="E3294" s="12">
        <f t="shared" si="51"/>
        <v>44732</v>
      </c>
    </row>
    <row r="3295" spans="1:5" x14ac:dyDescent="0.25">
      <c r="A3295" s="2">
        <f>IF(B3295="","",SUBTOTAL(3,$B$2:B3295))</f>
        <v>3294</v>
      </c>
      <c r="B3295" s="9" t="s">
        <v>48</v>
      </c>
      <c r="C3295" s="10" t="s">
        <v>49</v>
      </c>
      <c r="D3295" s="11">
        <v>231.05360443622922</v>
      </c>
      <c r="E3295" s="12">
        <f t="shared" si="51"/>
        <v>44733</v>
      </c>
    </row>
    <row r="3296" spans="1:5" x14ac:dyDescent="0.25">
      <c r="A3296" s="2">
        <f>IF(B3296="","",SUBTOTAL(3,$B$2:B3296))</f>
        <v>3295</v>
      </c>
      <c r="B3296" s="9" t="s">
        <v>48</v>
      </c>
      <c r="C3296" s="10" t="s">
        <v>52</v>
      </c>
      <c r="D3296" s="11">
        <v>68.941744226128904</v>
      </c>
      <c r="E3296" s="12">
        <f t="shared" si="51"/>
        <v>44734</v>
      </c>
    </row>
    <row r="3297" spans="1:5" x14ac:dyDescent="0.25">
      <c r="A3297" s="2">
        <f>IF(B3297="","",SUBTOTAL(3,$B$2:B3297))</f>
        <v>3296</v>
      </c>
      <c r="B3297" s="9" t="s">
        <v>48</v>
      </c>
      <c r="C3297" s="10" t="s">
        <v>54</v>
      </c>
      <c r="D3297" s="11">
        <v>539.12507701786819</v>
      </c>
      <c r="E3297" s="12">
        <f t="shared" si="51"/>
        <v>44735</v>
      </c>
    </row>
    <row r="3298" spans="1:5" x14ac:dyDescent="0.25">
      <c r="A3298" s="2">
        <f>IF(B3298="","",SUBTOTAL(3,$B$2:B3298))</f>
        <v>3297</v>
      </c>
      <c r="B3298" s="9" t="s">
        <v>48</v>
      </c>
      <c r="C3298" s="10" t="s">
        <v>54</v>
      </c>
      <c r="D3298" s="11">
        <v>15.403573629081947</v>
      </c>
      <c r="E3298" s="12">
        <f t="shared" si="51"/>
        <v>44736</v>
      </c>
    </row>
    <row r="3299" spans="1:5" x14ac:dyDescent="0.25">
      <c r="A3299" s="2">
        <f>IF(B3299="","",SUBTOTAL(3,$B$2:B3299))</f>
        <v>3298</v>
      </c>
      <c r="B3299" s="9" t="s">
        <v>48</v>
      </c>
      <c r="C3299" s="10" t="s">
        <v>49</v>
      </c>
      <c r="D3299" s="11">
        <v>15.403573629081947</v>
      </c>
      <c r="E3299" s="12">
        <f t="shared" si="51"/>
        <v>44737</v>
      </c>
    </row>
    <row r="3300" spans="1:5" x14ac:dyDescent="0.25">
      <c r="A3300" s="2">
        <f>IF(B3300="","",SUBTOTAL(3,$B$2:B3300))</f>
        <v>3299</v>
      </c>
      <c r="B3300" s="9" t="s">
        <v>55</v>
      </c>
      <c r="C3300" s="10" t="s">
        <v>52</v>
      </c>
      <c r="D3300" s="11">
        <v>40</v>
      </c>
      <c r="E3300" s="12">
        <f t="shared" si="51"/>
        <v>44738</v>
      </c>
    </row>
    <row r="3301" spans="1:5" x14ac:dyDescent="0.25">
      <c r="A3301" s="2">
        <f>IF(B3301="","",SUBTOTAL(3,$B$2:B3301))</f>
        <v>3300</v>
      </c>
      <c r="B3301" s="9" t="s">
        <v>51</v>
      </c>
      <c r="C3301" s="10" t="s">
        <v>54</v>
      </c>
      <c r="D3301" s="11">
        <v>202.57677659833075</v>
      </c>
      <c r="E3301" s="12">
        <f t="shared" si="51"/>
        <v>44739</v>
      </c>
    </row>
    <row r="3302" spans="1:5" x14ac:dyDescent="0.25">
      <c r="A3302" s="2">
        <f>IF(B3302="","",SUBTOTAL(3,$B$2:B3302))</f>
        <v>3301</v>
      </c>
      <c r="B3302" s="9" t="s">
        <v>51</v>
      </c>
      <c r="C3302" s="10" t="s">
        <v>49</v>
      </c>
      <c r="D3302" s="11">
        <v>21.179709837975221</v>
      </c>
      <c r="E3302" s="12">
        <f t="shared" si="51"/>
        <v>44740</v>
      </c>
    </row>
    <row r="3303" spans="1:5" x14ac:dyDescent="0.25">
      <c r="A3303" s="2">
        <f>IF(B3303="","",SUBTOTAL(3,$B$2:B3303))</f>
        <v>3302</v>
      </c>
      <c r="B3303" s="9" t="s">
        <v>51</v>
      </c>
      <c r="C3303" s="10" t="s">
        <v>49</v>
      </c>
      <c r="D3303" s="11">
        <v>222.34826999432786</v>
      </c>
      <c r="E3303" s="12">
        <f t="shared" si="51"/>
        <v>44741</v>
      </c>
    </row>
    <row r="3304" spans="1:5" x14ac:dyDescent="0.25">
      <c r="A3304" s="2">
        <f>IF(B3304="","",SUBTOTAL(3,$B$2:B3304))</f>
        <v>3303</v>
      </c>
      <c r="B3304" s="9" t="s">
        <v>48</v>
      </c>
      <c r="C3304" s="10" t="s">
        <v>49</v>
      </c>
      <c r="D3304" s="11">
        <v>30.742487119859188</v>
      </c>
      <c r="E3304" s="12">
        <f t="shared" si="51"/>
        <v>44742</v>
      </c>
    </row>
    <row r="3305" spans="1:5" x14ac:dyDescent="0.25">
      <c r="A3305" s="2">
        <f>IF(B3305="","",SUBTOTAL(3,$B$2:B3305))</f>
        <v>3304</v>
      </c>
      <c r="B3305" s="9" t="s">
        <v>50</v>
      </c>
      <c r="C3305" s="10" t="s">
        <v>49</v>
      </c>
      <c r="D3305" s="11">
        <v>77.160493827160494</v>
      </c>
      <c r="E3305" s="12">
        <f t="shared" si="51"/>
        <v>44743</v>
      </c>
    </row>
    <row r="3306" spans="1:5" x14ac:dyDescent="0.25">
      <c r="A3306" s="2">
        <f>IF(B3306="","",SUBTOTAL(3,$B$2:B3306))</f>
        <v>3305</v>
      </c>
      <c r="B3306" s="9" t="s">
        <v>48</v>
      </c>
      <c r="C3306" s="10" t="s">
        <v>49</v>
      </c>
      <c r="D3306" s="11">
        <v>23.105360443622921</v>
      </c>
      <c r="E3306" s="12">
        <f t="shared" si="51"/>
        <v>44744</v>
      </c>
    </row>
    <row r="3307" spans="1:5" x14ac:dyDescent="0.25">
      <c r="A3307" s="2">
        <f>IF(B3307="","",SUBTOTAL(3,$B$2:B3307))</f>
        <v>3306</v>
      </c>
      <c r="B3307" s="9" t="s">
        <v>48</v>
      </c>
      <c r="C3307" s="10" t="s">
        <v>52</v>
      </c>
      <c r="D3307" s="11">
        <v>462.10720887245844</v>
      </c>
      <c r="E3307" s="12">
        <f t="shared" si="51"/>
        <v>44745</v>
      </c>
    </row>
    <row r="3308" spans="1:5" x14ac:dyDescent="0.25">
      <c r="A3308" s="2">
        <f>IF(B3308="","",SUBTOTAL(3,$B$2:B3308))</f>
        <v>3307</v>
      </c>
      <c r="B3308" s="9" t="s">
        <v>48</v>
      </c>
      <c r="C3308" s="10" t="s">
        <v>52</v>
      </c>
      <c r="D3308" s="11">
        <v>462.10720887245844</v>
      </c>
      <c r="E3308" s="12">
        <f t="shared" si="51"/>
        <v>44746</v>
      </c>
    </row>
    <row r="3309" spans="1:5" x14ac:dyDescent="0.25">
      <c r="A3309" s="2">
        <f>IF(B3309="","",SUBTOTAL(3,$B$2:B3309))</f>
        <v>3308</v>
      </c>
      <c r="B3309" s="9" t="s">
        <v>48</v>
      </c>
      <c r="C3309" s="10" t="s">
        <v>52</v>
      </c>
      <c r="D3309" s="11">
        <v>616.14294516327789</v>
      </c>
      <c r="E3309" s="12">
        <f t="shared" si="51"/>
        <v>44747</v>
      </c>
    </row>
    <row r="3310" spans="1:5" x14ac:dyDescent="0.25">
      <c r="A3310" s="2">
        <f>IF(B3310="","",SUBTOTAL(3,$B$2:B3310))</f>
        <v>3309</v>
      </c>
      <c r="B3310" s="9" t="s">
        <v>48</v>
      </c>
      <c r="C3310" s="10" t="s">
        <v>52</v>
      </c>
      <c r="D3310" s="11">
        <v>616.14294516327789</v>
      </c>
      <c r="E3310" s="12">
        <f t="shared" si="51"/>
        <v>44748</v>
      </c>
    </row>
    <row r="3311" spans="1:5" x14ac:dyDescent="0.25">
      <c r="A3311" s="2">
        <f>IF(B3311="","",SUBTOTAL(3,$B$2:B3311))</f>
        <v>3310</v>
      </c>
      <c r="B3311" s="9" t="s">
        <v>55</v>
      </c>
      <c r="C3311" s="10" t="s">
        <v>52</v>
      </c>
      <c r="D3311" s="11">
        <v>1062.0955574952911</v>
      </c>
      <c r="E3311" s="12">
        <f t="shared" si="51"/>
        <v>44749</v>
      </c>
    </row>
    <row r="3312" spans="1:5" x14ac:dyDescent="0.25">
      <c r="A3312" s="2">
        <f>IF(B3312="","",SUBTOTAL(3,$B$2:B3312))</f>
        <v>3311</v>
      </c>
      <c r="B3312" s="9" t="s">
        <v>48</v>
      </c>
      <c r="C3312" s="10" t="s">
        <v>52</v>
      </c>
      <c r="D3312" s="11">
        <v>32.12005190600388</v>
      </c>
      <c r="E3312" s="12">
        <f t="shared" si="51"/>
        <v>44750</v>
      </c>
    </row>
    <row r="3313" spans="1:5" x14ac:dyDescent="0.25">
      <c r="A3313" s="2">
        <f>IF(B3313="","",SUBTOTAL(3,$B$2:B3313))</f>
        <v>3312</v>
      </c>
      <c r="B3313" s="9" t="s">
        <v>55</v>
      </c>
      <c r="C3313" s="10" t="s">
        <v>52</v>
      </c>
      <c r="D3313" s="11">
        <v>12.839030653185684</v>
      </c>
      <c r="E3313" s="12">
        <f t="shared" si="51"/>
        <v>44751</v>
      </c>
    </row>
    <row r="3314" spans="1:5" x14ac:dyDescent="0.25">
      <c r="A3314" s="2">
        <f>IF(B3314="","",SUBTOTAL(3,$B$2:B3314))</f>
        <v>3313</v>
      </c>
      <c r="B3314" s="9" t="s">
        <v>50</v>
      </c>
      <c r="C3314" s="10" t="s">
        <v>52</v>
      </c>
      <c r="D3314" s="11">
        <v>220.45855379188714</v>
      </c>
      <c r="E3314" s="12">
        <f t="shared" si="51"/>
        <v>44752</v>
      </c>
    </row>
    <row r="3315" spans="1:5" x14ac:dyDescent="0.25">
      <c r="A3315" s="2">
        <f>IF(B3315="","",SUBTOTAL(3,$B$2:B3315))</f>
        <v>3314</v>
      </c>
      <c r="B3315" s="9" t="s">
        <v>50</v>
      </c>
      <c r="C3315" s="10" t="s">
        <v>49</v>
      </c>
      <c r="D3315" s="11">
        <v>22.045855379188712</v>
      </c>
      <c r="E3315" s="12">
        <f t="shared" si="51"/>
        <v>44753</v>
      </c>
    </row>
    <row r="3316" spans="1:5" x14ac:dyDescent="0.25">
      <c r="A3316" s="2">
        <f>IF(B3316="","",SUBTOTAL(3,$B$2:B3316))</f>
        <v>3315</v>
      </c>
      <c r="B3316" s="9" t="s">
        <v>51</v>
      </c>
      <c r="C3316" s="10" t="s">
        <v>52</v>
      </c>
      <c r="D3316" s="11">
        <v>21.179709837975221</v>
      </c>
      <c r="E3316" s="12">
        <f t="shared" si="51"/>
        <v>44754</v>
      </c>
    </row>
    <row r="3317" spans="1:5" x14ac:dyDescent="0.25">
      <c r="A3317" s="2">
        <f>IF(B3317="","",SUBTOTAL(3,$B$2:B3317))</f>
        <v>3316</v>
      </c>
      <c r="B3317" s="9" t="s">
        <v>48</v>
      </c>
      <c r="C3317" s="10" t="s">
        <v>49</v>
      </c>
      <c r="D3317" s="11">
        <v>154.03573629081947</v>
      </c>
      <c r="E3317" s="12">
        <f t="shared" si="51"/>
        <v>44755</v>
      </c>
    </row>
    <row r="3318" spans="1:5" x14ac:dyDescent="0.25">
      <c r="A3318" s="2">
        <f>IF(B3318="","",SUBTOTAL(3,$B$2:B3318))</f>
        <v>3317</v>
      </c>
      <c r="B3318" s="9" t="s">
        <v>48</v>
      </c>
      <c r="C3318" s="10" t="s">
        <v>54</v>
      </c>
      <c r="D3318" s="11">
        <v>123.22858903265558</v>
      </c>
      <c r="E3318" s="12">
        <f t="shared" si="51"/>
        <v>44756</v>
      </c>
    </row>
    <row r="3319" spans="1:5" x14ac:dyDescent="0.25">
      <c r="A3319" s="2">
        <f>IF(B3319="","",SUBTOTAL(3,$B$2:B3319))</f>
        <v>3318</v>
      </c>
      <c r="B3319" s="9" t="s">
        <v>48</v>
      </c>
      <c r="C3319" s="10" t="s">
        <v>54</v>
      </c>
      <c r="D3319" s="11">
        <v>123.22858903265558</v>
      </c>
      <c r="E3319" s="12">
        <f t="shared" si="51"/>
        <v>44757</v>
      </c>
    </row>
    <row r="3320" spans="1:5" x14ac:dyDescent="0.25">
      <c r="A3320" s="2">
        <f>IF(B3320="","",SUBTOTAL(3,$B$2:B3320))</f>
        <v>3319</v>
      </c>
      <c r="B3320" s="9" t="s">
        <v>55</v>
      </c>
      <c r="C3320" s="10" t="s">
        <v>52</v>
      </c>
      <c r="D3320" s="11">
        <v>114.85275876326548</v>
      </c>
      <c r="E3320" s="12">
        <f t="shared" si="51"/>
        <v>44758</v>
      </c>
    </row>
    <row r="3321" spans="1:5" x14ac:dyDescent="0.25">
      <c r="A3321" s="2">
        <f>IF(B3321="","",SUBTOTAL(3,$B$2:B3321))</f>
        <v>3320</v>
      </c>
      <c r="B3321" s="9" t="s">
        <v>48</v>
      </c>
      <c r="C3321" s="10" t="s">
        <v>54</v>
      </c>
      <c r="D3321" s="11">
        <v>12.848020762401553</v>
      </c>
      <c r="E3321" s="12">
        <f t="shared" si="51"/>
        <v>44759</v>
      </c>
    </row>
    <row r="3322" spans="1:5" x14ac:dyDescent="0.25">
      <c r="A3322" s="2">
        <f>IF(B3322="","",SUBTOTAL(3,$B$2:B3322))</f>
        <v>3321</v>
      </c>
      <c r="B3322" s="9" t="s">
        <v>48</v>
      </c>
      <c r="C3322" s="10" t="s">
        <v>52</v>
      </c>
      <c r="D3322" s="11">
        <v>25.696041524803107</v>
      </c>
      <c r="E3322" s="12">
        <f t="shared" si="51"/>
        <v>44760</v>
      </c>
    </row>
    <row r="3323" spans="1:5" x14ac:dyDescent="0.25">
      <c r="A3323" s="2">
        <f>IF(B3323="","",SUBTOTAL(3,$B$2:B3323))</f>
        <v>3322</v>
      </c>
      <c r="B3323" s="9" t="s">
        <v>50</v>
      </c>
      <c r="C3323" s="10" t="s">
        <v>49</v>
      </c>
      <c r="D3323" s="11">
        <v>587.60529100529106</v>
      </c>
      <c r="E3323" s="12">
        <f t="shared" si="51"/>
        <v>44761</v>
      </c>
    </row>
    <row r="3324" spans="1:5" x14ac:dyDescent="0.25">
      <c r="A3324" s="2">
        <f>IF(B3324="","",SUBTOTAL(3,$B$2:B3324))</f>
        <v>3323</v>
      </c>
      <c r="B3324" s="9" t="s">
        <v>55</v>
      </c>
      <c r="C3324" s="10" t="s">
        <v>54</v>
      </c>
      <c r="D3324" s="11">
        <v>4.3267533301235757</v>
      </c>
      <c r="E3324" s="12">
        <f t="shared" si="51"/>
        <v>44762</v>
      </c>
    </row>
    <row r="3325" spans="1:5" x14ac:dyDescent="0.25">
      <c r="A3325" s="2">
        <f>IF(B3325="","",SUBTOTAL(3,$B$2:B3325))</f>
        <v>3324</v>
      </c>
      <c r="B3325" s="9" t="s">
        <v>55</v>
      </c>
      <c r="C3325" s="10" t="s">
        <v>54</v>
      </c>
      <c r="D3325" s="11">
        <v>2.1633766650617878</v>
      </c>
      <c r="E3325" s="12">
        <f t="shared" si="51"/>
        <v>44763</v>
      </c>
    </row>
    <row r="3326" spans="1:5" x14ac:dyDescent="0.25">
      <c r="A3326" s="2">
        <f>IF(B3326="","",SUBTOTAL(3,$B$2:B3326))</f>
        <v>3325</v>
      </c>
      <c r="B3326" s="9" t="s">
        <v>50</v>
      </c>
      <c r="C3326" s="10" t="s">
        <v>49</v>
      </c>
      <c r="D3326" s="11">
        <v>63.657407407407412</v>
      </c>
      <c r="E3326" s="12">
        <f t="shared" si="51"/>
        <v>44764</v>
      </c>
    </row>
    <row r="3327" spans="1:5" x14ac:dyDescent="0.25">
      <c r="A3327" s="2">
        <f>IF(B3327="","",SUBTOTAL(3,$B$2:B3327))</f>
        <v>3326</v>
      </c>
      <c r="B3327" s="9" t="s">
        <v>48</v>
      </c>
      <c r="C3327" s="10" t="s">
        <v>52</v>
      </c>
      <c r="D3327" s="11">
        <v>308.07147258163894</v>
      </c>
      <c r="E3327" s="12">
        <f t="shared" si="51"/>
        <v>44765</v>
      </c>
    </row>
    <row r="3328" spans="1:5" x14ac:dyDescent="0.25">
      <c r="A3328" s="2">
        <f>IF(B3328="","",SUBTOTAL(3,$B$2:B3328))</f>
        <v>3327</v>
      </c>
      <c r="B3328" s="9" t="s">
        <v>48</v>
      </c>
      <c r="C3328" s="10" t="s">
        <v>52</v>
      </c>
      <c r="D3328" s="11">
        <v>385.44062287204662</v>
      </c>
      <c r="E3328" s="12">
        <f t="shared" si="51"/>
        <v>44766</v>
      </c>
    </row>
    <row r="3329" spans="1:5" x14ac:dyDescent="0.25">
      <c r="A3329" s="2">
        <f>IF(B3329="","",SUBTOTAL(3,$B$2:B3329))</f>
        <v>3328</v>
      </c>
      <c r="B3329" s="9" t="s">
        <v>48</v>
      </c>
      <c r="C3329" s="10" t="s">
        <v>56</v>
      </c>
      <c r="D3329" s="11">
        <v>321.2005190600388</v>
      </c>
      <c r="E3329" s="12">
        <f t="shared" si="51"/>
        <v>44767</v>
      </c>
    </row>
    <row r="3330" spans="1:5" x14ac:dyDescent="0.25">
      <c r="A3330" s="2">
        <f>IF(B3330="","",SUBTOTAL(3,$B$2:B3330))</f>
        <v>3329</v>
      </c>
      <c r="B3330" s="9" t="s">
        <v>50</v>
      </c>
      <c r="C3330" s="10" t="s">
        <v>49</v>
      </c>
      <c r="D3330" s="11">
        <v>165.34391534391534</v>
      </c>
      <c r="E3330" s="12">
        <f t="shared" si="51"/>
        <v>44768</v>
      </c>
    </row>
    <row r="3331" spans="1:5" x14ac:dyDescent="0.25">
      <c r="A3331" s="2">
        <f>IF(B3331="","",SUBTOTAL(3,$B$2:B3331))</f>
        <v>3330</v>
      </c>
      <c r="B3331" s="9" t="s">
        <v>55</v>
      </c>
      <c r="C3331" s="10" t="s">
        <v>52</v>
      </c>
      <c r="D3331" s="11">
        <v>40</v>
      </c>
      <c r="E3331" s="12">
        <f t="shared" si="51"/>
        <v>44769</v>
      </c>
    </row>
    <row r="3332" spans="1:5" x14ac:dyDescent="0.25">
      <c r="A3332" s="2">
        <f>IF(B3332="","",SUBTOTAL(3,$B$2:B3332))</f>
        <v>3331</v>
      </c>
      <c r="B3332" s="9" t="s">
        <v>51</v>
      </c>
      <c r="C3332" s="10" t="s">
        <v>49</v>
      </c>
      <c r="D3332" s="11">
        <v>423.59419675950437</v>
      </c>
      <c r="E3332" s="12">
        <f t="shared" ref="E3332:E3395" si="52">E3331+1</f>
        <v>44770</v>
      </c>
    </row>
    <row r="3333" spans="1:5" x14ac:dyDescent="0.25">
      <c r="A3333" s="2">
        <f>IF(B3333="","",SUBTOTAL(3,$B$2:B3333))</f>
        <v>3332</v>
      </c>
      <c r="B3333" s="9" t="s">
        <v>50</v>
      </c>
      <c r="C3333" s="10" t="s">
        <v>52</v>
      </c>
      <c r="D3333" s="11">
        <v>55.114638447971785</v>
      </c>
      <c r="E3333" s="12">
        <f t="shared" si="52"/>
        <v>44771</v>
      </c>
    </row>
    <row r="3334" spans="1:5" x14ac:dyDescent="0.25">
      <c r="A3334" s="2">
        <f>IF(B3334="","",SUBTOTAL(3,$B$2:B3334))</f>
        <v>3333</v>
      </c>
      <c r="B3334" s="9" t="s">
        <v>50</v>
      </c>
      <c r="C3334" s="10" t="s">
        <v>52</v>
      </c>
      <c r="D3334" s="11">
        <v>44.091710758377424</v>
      </c>
      <c r="E3334" s="12">
        <f t="shared" si="52"/>
        <v>44772</v>
      </c>
    </row>
    <row r="3335" spans="1:5" x14ac:dyDescent="0.25">
      <c r="A3335" s="2">
        <f>IF(B3335="","",SUBTOTAL(3,$B$2:B3335))</f>
        <v>3334</v>
      </c>
      <c r="B3335" s="9" t="s">
        <v>55</v>
      </c>
      <c r="C3335" s="10" t="s">
        <v>49</v>
      </c>
      <c r="D3335" s="11">
        <v>380</v>
      </c>
      <c r="E3335" s="12">
        <f t="shared" si="52"/>
        <v>44773</v>
      </c>
    </row>
    <row r="3336" spans="1:5" x14ac:dyDescent="0.25">
      <c r="A3336" s="2">
        <f>IF(B3336="","",SUBTOTAL(3,$B$2:B3336))</f>
        <v>3335</v>
      </c>
      <c r="B3336" s="9" t="s">
        <v>48</v>
      </c>
      <c r="C3336" s="10" t="s">
        <v>57</v>
      </c>
      <c r="D3336" s="11">
        <v>2569.6041524803104</v>
      </c>
      <c r="E3336" s="12">
        <f t="shared" si="52"/>
        <v>44774</v>
      </c>
    </row>
    <row r="3337" spans="1:5" x14ac:dyDescent="0.25">
      <c r="A3337" s="2">
        <f>IF(B3337="","",SUBTOTAL(3,$B$2:B3337))</f>
        <v>3336</v>
      </c>
      <c r="B3337" s="9" t="s">
        <v>55</v>
      </c>
      <c r="C3337" s="10" t="s">
        <v>49</v>
      </c>
      <c r="D3337" s="11">
        <v>215.87356949663393</v>
      </c>
      <c r="E3337" s="12">
        <f t="shared" si="52"/>
        <v>44775</v>
      </c>
    </row>
    <row r="3338" spans="1:5" x14ac:dyDescent="0.25">
      <c r="A3338" s="2">
        <f>IF(B3338="","",SUBTOTAL(3,$B$2:B3338))</f>
        <v>3337</v>
      </c>
      <c r="B3338" s="9" t="s">
        <v>50</v>
      </c>
      <c r="C3338" s="10" t="s">
        <v>52</v>
      </c>
      <c r="D3338" s="11">
        <v>33.06878306878307</v>
      </c>
      <c r="E3338" s="12">
        <f t="shared" si="52"/>
        <v>44776</v>
      </c>
    </row>
    <row r="3339" spans="1:5" x14ac:dyDescent="0.25">
      <c r="A3339" s="2">
        <f>IF(B3339="","",SUBTOTAL(3,$B$2:B3339))</f>
        <v>3338</v>
      </c>
      <c r="B3339" s="9" t="s">
        <v>50</v>
      </c>
      <c r="C3339" s="10" t="s">
        <v>49</v>
      </c>
      <c r="D3339" s="11">
        <v>342.76967592592598</v>
      </c>
      <c r="E3339" s="12">
        <f t="shared" si="52"/>
        <v>44777</v>
      </c>
    </row>
    <row r="3340" spans="1:5" x14ac:dyDescent="0.25">
      <c r="A3340" s="2">
        <f>IF(B3340="","",SUBTOTAL(3,$B$2:B3340))</f>
        <v>3339</v>
      </c>
      <c r="B3340" s="9" t="s">
        <v>48</v>
      </c>
      <c r="C3340" s="10" t="s">
        <v>49</v>
      </c>
      <c r="D3340" s="11">
        <v>970.42513863216266</v>
      </c>
      <c r="E3340" s="12">
        <f t="shared" si="52"/>
        <v>44778</v>
      </c>
    </row>
    <row r="3341" spans="1:5" x14ac:dyDescent="0.25">
      <c r="A3341" s="2">
        <f>IF(B3341="","",SUBTOTAL(3,$B$2:B3341))</f>
        <v>3340</v>
      </c>
      <c r="B3341" s="9" t="s">
        <v>48</v>
      </c>
      <c r="C3341" s="10" t="s">
        <v>49</v>
      </c>
      <c r="D3341" s="11">
        <v>38.607376766632193</v>
      </c>
      <c r="E3341" s="12">
        <f t="shared" si="52"/>
        <v>44779</v>
      </c>
    </row>
    <row r="3342" spans="1:5" x14ac:dyDescent="0.25">
      <c r="A3342" s="2">
        <f>IF(B3342="","",SUBTOTAL(3,$B$2:B3342))</f>
        <v>3341</v>
      </c>
      <c r="B3342" s="9" t="s">
        <v>55</v>
      </c>
      <c r="C3342" s="10" t="s">
        <v>52</v>
      </c>
      <c r="D3342" s="11">
        <v>15.246348900658001</v>
      </c>
      <c r="E3342" s="12">
        <f t="shared" si="52"/>
        <v>44780</v>
      </c>
    </row>
    <row r="3343" spans="1:5" x14ac:dyDescent="0.25">
      <c r="A3343" s="2">
        <f>IF(B3343="","",SUBTOTAL(3,$B$2:B3343))</f>
        <v>3342</v>
      </c>
      <c r="B3343" s="9" t="s">
        <v>50</v>
      </c>
      <c r="C3343" s="10" t="s">
        <v>57</v>
      </c>
      <c r="D3343" s="11">
        <v>0.55114638447971775</v>
      </c>
      <c r="E3343" s="12">
        <f t="shared" si="52"/>
        <v>44781</v>
      </c>
    </row>
    <row r="3344" spans="1:5" x14ac:dyDescent="0.25">
      <c r="A3344" s="2">
        <f>IF(B3344="","",SUBTOTAL(3,$B$2:B3344))</f>
        <v>3343</v>
      </c>
      <c r="B3344" s="9" t="s">
        <v>50</v>
      </c>
      <c r="C3344" s="10" t="s">
        <v>57</v>
      </c>
      <c r="D3344" s="11">
        <v>1.9841269841269842</v>
      </c>
      <c r="E3344" s="12">
        <f t="shared" si="52"/>
        <v>44782</v>
      </c>
    </row>
    <row r="3345" spans="1:5" x14ac:dyDescent="0.25">
      <c r="A3345" s="2">
        <f>IF(B3345="","",SUBTOTAL(3,$B$2:B3345))</f>
        <v>3344</v>
      </c>
      <c r="B3345" s="9" t="s">
        <v>50</v>
      </c>
      <c r="C3345" s="10" t="s">
        <v>57</v>
      </c>
      <c r="D3345" s="11">
        <v>0.55114638447971775</v>
      </c>
      <c r="E3345" s="12">
        <f t="shared" si="52"/>
        <v>44783</v>
      </c>
    </row>
    <row r="3346" spans="1:5" x14ac:dyDescent="0.25">
      <c r="A3346" s="2">
        <f>IF(B3346="","",SUBTOTAL(3,$B$2:B3346))</f>
        <v>3345</v>
      </c>
      <c r="B3346" s="9" t="s">
        <v>50</v>
      </c>
      <c r="C3346" s="10" t="s">
        <v>57</v>
      </c>
      <c r="D3346" s="11">
        <v>0.88183421516754856</v>
      </c>
      <c r="E3346" s="12">
        <f t="shared" si="52"/>
        <v>44784</v>
      </c>
    </row>
    <row r="3347" spans="1:5" x14ac:dyDescent="0.25">
      <c r="A3347" s="2">
        <f>IF(B3347="","",SUBTOTAL(3,$B$2:B3347))</f>
        <v>3346</v>
      </c>
      <c r="B3347" s="9" t="s">
        <v>53</v>
      </c>
      <c r="C3347" s="10" t="s">
        <v>49</v>
      </c>
      <c r="D3347" s="11">
        <v>109.90319360363415</v>
      </c>
      <c r="E3347" s="12">
        <f t="shared" si="52"/>
        <v>44785</v>
      </c>
    </row>
    <row r="3348" spans="1:5" x14ac:dyDescent="0.25">
      <c r="A3348" s="2">
        <f>IF(B3348="","",SUBTOTAL(3,$B$2:B3348))</f>
        <v>3347</v>
      </c>
      <c r="B3348" s="9" t="s">
        <v>50</v>
      </c>
      <c r="C3348" s="10" t="s">
        <v>49</v>
      </c>
      <c r="D3348" s="11">
        <v>60</v>
      </c>
      <c r="E3348" s="12">
        <f t="shared" si="52"/>
        <v>44786</v>
      </c>
    </row>
    <row r="3349" spans="1:5" x14ac:dyDescent="0.25">
      <c r="A3349" s="2">
        <f>IF(B3349="","",SUBTOTAL(3,$B$2:B3349))</f>
        <v>3348</v>
      </c>
      <c r="B3349" s="9" t="s">
        <v>50</v>
      </c>
      <c r="C3349" s="10" t="s">
        <v>52</v>
      </c>
      <c r="D3349" s="11">
        <v>22.045855379188712</v>
      </c>
      <c r="E3349" s="12">
        <f t="shared" si="52"/>
        <v>44787</v>
      </c>
    </row>
    <row r="3350" spans="1:5" x14ac:dyDescent="0.25">
      <c r="A3350" s="2">
        <f>IF(B3350="","",SUBTOTAL(3,$B$2:B3350))</f>
        <v>3349</v>
      </c>
      <c r="B3350" s="9" t="s">
        <v>50</v>
      </c>
      <c r="C3350" s="10" t="s">
        <v>54</v>
      </c>
      <c r="D3350" s="11">
        <v>314.42041446208117</v>
      </c>
      <c r="E3350" s="12">
        <f t="shared" si="52"/>
        <v>44788</v>
      </c>
    </row>
    <row r="3351" spans="1:5" x14ac:dyDescent="0.25">
      <c r="A3351" s="2">
        <f>IF(B3351="","",SUBTOTAL(3,$B$2:B3351))</f>
        <v>3350</v>
      </c>
      <c r="B3351" s="9" t="s">
        <v>50</v>
      </c>
      <c r="C3351" s="10" t="s">
        <v>54</v>
      </c>
      <c r="D3351" s="11">
        <v>22.045855379188712</v>
      </c>
      <c r="E3351" s="12">
        <f t="shared" si="52"/>
        <v>44789</v>
      </c>
    </row>
    <row r="3352" spans="1:5" x14ac:dyDescent="0.25">
      <c r="A3352" s="2">
        <f>IF(B3352="","",SUBTOTAL(3,$B$2:B3352))</f>
        <v>3351</v>
      </c>
      <c r="B3352" s="9" t="s">
        <v>50</v>
      </c>
      <c r="C3352" s="10" t="s">
        <v>49</v>
      </c>
      <c r="D3352" s="11">
        <v>110.22927689594357</v>
      </c>
      <c r="E3352" s="12">
        <f t="shared" si="52"/>
        <v>44790</v>
      </c>
    </row>
    <row r="3353" spans="1:5" x14ac:dyDescent="0.25">
      <c r="A3353" s="2">
        <f>IF(B3353="","",SUBTOTAL(3,$B$2:B3353))</f>
        <v>3352</v>
      </c>
      <c r="B3353" s="9" t="s">
        <v>50</v>
      </c>
      <c r="C3353" s="10" t="s">
        <v>54</v>
      </c>
      <c r="D3353" s="11">
        <v>66.137566137566139</v>
      </c>
      <c r="E3353" s="12">
        <f t="shared" si="52"/>
        <v>44791</v>
      </c>
    </row>
    <row r="3354" spans="1:5" x14ac:dyDescent="0.25">
      <c r="A3354" s="2">
        <f>IF(B3354="","",SUBTOTAL(3,$B$2:B3354))</f>
        <v>3353</v>
      </c>
      <c r="B3354" s="9" t="s">
        <v>50</v>
      </c>
      <c r="C3354" s="10" t="s">
        <v>57</v>
      </c>
      <c r="D3354" s="11">
        <v>0.88183421516754856</v>
      </c>
      <c r="E3354" s="12">
        <f t="shared" si="52"/>
        <v>44792</v>
      </c>
    </row>
    <row r="3355" spans="1:5" x14ac:dyDescent="0.25">
      <c r="A3355" s="2">
        <f>IF(B3355="","",SUBTOTAL(3,$B$2:B3355))</f>
        <v>3354</v>
      </c>
      <c r="B3355" s="9" t="s">
        <v>50</v>
      </c>
      <c r="C3355" s="10" t="s">
        <v>57</v>
      </c>
      <c r="D3355" s="11">
        <v>0.88183421516754856</v>
      </c>
      <c r="E3355" s="12">
        <f t="shared" si="52"/>
        <v>44793</v>
      </c>
    </row>
    <row r="3356" spans="1:5" x14ac:dyDescent="0.25">
      <c r="A3356" s="2">
        <f>IF(B3356="","",SUBTOTAL(3,$B$2:B3356))</f>
        <v>3355</v>
      </c>
      <c r="B3356" s="9" t="s">
        <v>50</v>
      </c>
      <c r="C3356" s="10" t="s">
        <v>57</v>
      </c>
      <c r="D3356" s="11">
        <v>0.55114638447971775</v>
      </c>
      <c r="E3356" s="12">
        <f t="shared" si="52"/>
        <v>44794</v>
      </c>
    </row>
    <row r="3357" spans="1:5" x14ac:dyDescent="0.25">
      <c r="A3357" s="2">
        <f>IF(B3357="","",SUBTOTAL(3,$B$2:B3357))</f>
        <v>3356</v>
      </c>
      <c r="B3357" s="9" t="s">
        <v>50</v>
      </c>
      <c r="C3357" s="10" t="s">
        <v>57</v>
      </c>
      <c r="D3357" s="11">
        <v>1.6534391534391535</v>
      </c>
      <c r="E3357" s="12">
        <f t="shared" si="52"/>
        <v>44795</v>
      </c>
    </row>
    <row r="3358" spans="1:5" x14ac:dyDescent="0.25">
      <c r="A3358" s="2">
        <f>IF(B3358="","",SUBTOTAL(3,$B$2:B3358))</f>
        <v>3357</v>
      </c>
      <c r="B3358" s="9" t="s">
        <v>51</v>
      </c>
      <c r="C3358" s="10" t="s">
        <v>52</v>
      </c>
      <c r="D3358" s="11">
        <v>105.89854918987609</v>
      </c>
      <c r="E3358" s="12">
        <f t="shared" si="52"/>
        <v>44796</v>
      </c>
    </row>
    <row r="3359" spans="1:5" x14ac:dyDescent="0.25">
      <c r="A3359" s="2">
        <f>IF(B3359="","",SUBTOTAL(3,$B$2:B3359))</f>
        <v>3358</v>
      </c>
      <c r="B3359" s="9" t="s">
        <v>48</v>
      </c>
      <c r="C3359" s="10" t="s">
        <v>49</v>
      </c>
      <c r="D3359" s="11">
        <v>77.017868145409736</v>
      </c>
      <c r="E3359" s="12">
        <f t="shared" si="52"/>
        <v>44797</v>
      </c>
    </row>
    <row r="3360" spans="1:5" x14ac:dyDescent="0.25">
      <c r="A3360" s="2">
        <f>IF(B3360="","",SUBTOTAL(3,$B$2:B3360))</f>
        <v>3359</v>
      </c>
      <c r="B3360" s="9" t="s">
        <v>51</v>
      </c>
      <c r="C3360" s="10" t="s">
        <v>52</v>
      </c>
      <c r="D3360" s="11">
        <v>350</v>
      </c>
      <c r="E3360" s="12">
        <f t="shared" si="52"/>
        <v>44798</v>
      </c>
    </row>
    <row r="3361" spans="1:5" x14ac:dyDescent="0.25">
      <c r="A3361" s="2">
        <f>IF(B3361="","",SUBTOTAL(3,$B$2:B3361))</f>
        <v>3360</v>
      </c>
      <c r="B3361" s="9" t="s">
        <v>51</v>
      </c>
      <c r="C3361" s="10" t="s">
        <v>52</v>
      </c>
      <c r="D3361" s="11">
        <v>100</v>
      </c>
      <c r="E3361" s="12">
        <f t="shared" si="52"/>
        <v>44799</v>
      </c>
    </row>
    <row r="3362" spans="1:5" x14ac:dyDescent="0.25">
      <c r="A3362" s="2">
        <f>IF(B3362="","",SUBTOTAL(3,$B$2:B3362))</f>
        <v>3361</v>
      </c>
      <c r="B3362" s="9" t="s">
        <v>51</v>
      </c>
      <c r="C3362" s="10" t="s">
        <v>52</v>
      </c>
      <c r="D3362" s="11">
        <v>105.89854918987609</v>
      </c>
      <c r="E3362" s="12">
        <f t="shared" si="52"/>
        <v>44800</v>
      </c>
    </row>
    <row r="3363" spans="1:5" x14ac:dyDescent="0.25">
      <c r="A3363" s="2">
        <f>IF(B3363="","",SUBTOTAL(3,$B$2:B3363))</f>
        <v>3362</v>
      </c>
      <c r="B3363" s="9" t="s">
        <v>51</v>
      </c>
      <c r="C3363" s="10" t="s">
        <v>49</v>
      </c>
      <c r="D3363" s="11">
        <v>105.89854918987609</v>
      </c>
      <c r="E3363" s="12">
        <f t="shared" si="52"/>
        <v>44801</v>
      </c>
    </row>
    <row r="3364" spans="1:5" x14ac:dyDescent="0.25">
      <c r="A3364" s="2">
        <f>IF(B3364="","",SUBTOTAL(3,$B$2:B3364))</f>
        <v>3363</v>
      </c>
      <c r="B3364" s="9" t="s">
        <v>51</v>
      </c>
      <c r="C3364" s="10" t="s">
        <v>52</v>
      </c>
      <c r="D3364" s="11">
        <v>317.69564756962825</v>
      </c>
      <c r="E3364" s="12">
        <f t="shared" si="52"/>
        <v>44802</v>
      </c>
    </row>
    <row r="3365" spans="1:5" x14ac:dyDescent="0.25">
      <c r="A3365" s="2">
        <f>IF(B3365="","",SUBTOTAL(3,$B$2:B3365))</f>
        <v>3364</v>
      </c>
      <c r="B3365" s="9" t="s">
        <v>50</v>
      </c>
      <c r="C3365" s="10" t="s">
        <v>49</v>
      </c>
      <c r="D3365" s="11">
        <v>1322.7513227513227</v>
      </c>
      <c r="E3365" s="12">
        <f t="shared" si="52"/>
        <v>44803</v>
      </c>
    </row>
    <row r="3366" spans="1:5" x14ac:dyDescent="0.25">
      <c r="A3366" s="2">
        <f>IF(B3366="","",SUBTOTAL(3,$B$2:B3366))</f>
        <v>3365</v>
      </c>
      <c r="B3366" s="9" t="s">
        <v>50</v>
      </c>
      <c r="C3366" s="10" t="s">
        <v>49</v>
      </c>
      <c r="D3366" s="11">
        <v>154.32098765432099</v>
      </c>
      <c r="E3366" s="12">
        <f t="shared" si="52"/>
        <v>44804</v>
      </c>
    </row>
    <row r="3367" spans="1:5" x14ac:dyDescent="0.25">
      <c r="A3367" s="2">
        <f>IF(B3367="","",SUBTOTAL(3,$B$2:B3367))</f>
        <v>3366</v>
      </c>
      <c r="B3367" s="9" t="s">
        <v>48</v>
      </c>
      <c r="C3367" s="10" t="s">
        <v>49</v>
      </c>
      <c r="D3367" s="11">
        <v>46.210720887245841</v>
      </c>
      <c r="E3367" s="12">
        <f t="shared" si="52"/>
        <v>44805</v>
      </c>
    </row>
    <row r="3368" spans="1:5" x14ac:dyDescent="0.25">
      <c r="A3368" s="2">
        <f>IF(B3368="","",SUBTOTAL(3,$B$2:B3368))</f>
        <v>3367</v>
      </c>
      <c r="B3368" s="9" t="s">
        <v>48</v>
      </c>
      <c r="C3368" s="10" t="s">
        <v>49</v>
      </c>
      <c r="D3368" s="11">
        <v>46.210720887245841</v>
      </c>
      <c r="E3368" s="12">
        <f t="shared" si="52"/>
        <v>44806</v>
      </c>
    </row>
    <row r="3369" spans="1:5" x14ac:dyDescent="0.25">
      <c r="A3369" s="2">
        <f>IF(B3369="","",SUBTOTAL(3,$B$2:B3369))</f>
        <v>3368</v>
      </c>
      <c r="B3369" s="9" t="s">
        <v>48</v>
      </c>
      <c r="C3369" s="10" t="s">
        <v>49</v>
      </c>
      <c r="D3369" s="11">
        <v>46.210720887245841</v>
      </c>
      <c r="E3369" s="12">
        <f t="shared" si="52"/>
        <v>44807</v>
      </c>
    </row>
    <row r="3370" spans="1:5" x14ac:dyDescent="0.25">
      <c r="A3370" s="2">
        <f>IF(B3370="","",SUBTOTAL(3,$B$2:B3370))</f>
        <v>3369</v>
      </c>
      <c r="B3370" s="9" t="s">
        <v>48</v>
      </c>
      <c r="C3370" s="10" t="s">
        <v>49</v>
      </c>
      <c r="D3370" s="11">
        <v>46.210720887245841</v>
      </c>
      <c r="E3370" s="12">
        <f t="shared" si="52"/>
        <v>44808</v>
      </c>
    </row>
    <row r="3371" spans="1:5" x14ac:dyDescent="0.25">
      <c r="A3371" s="2">
        <f>IF(B3371="","",SUBTOTAL(3,$B$2:B3371))</f>
        <v>3370</v>
      </c>
      <c r="B3371" s="9" t="s">
        <v>55</v>
      </c>
      <c r="C3371" s="10" t="s">
        <v>52</v>
      </c>
      <c r="D3371" s="11">
        <v>200.60985395602631</v>
      </c>
      <c r="E3371" s="12">
        <f t="shared" si="52"/>
        <v>44809</v>
      </c>
    </row>
    <row r="3372" spans="1:5" x14ac:dyDescent="0.25">
      <c r="A3372" s="2">
        <f>IF(B3372="","",SUBTOTAL(3,$B$2:B3372))</f>
        <v>3371</v>
      </c>
      <c r="B3372" s="9" t="s">
        <v>48</v>
      </c>
      <c r="C3372" s="10" t="s">
        <v>52</v>
      </c>
      <c r="D3372" s="11">
        <v>154.03573629081947</v>
      </c>
      <c r="E3372" s="12">
        <f t="shared" si="52"/>
        <v>44810</v>
      </c>
    </row>
    <row r="3373" spans="1:5" x14ac:dyDescent="0.25">
      <c r="A3373" s="2">
        <f>IF(B3373="","",SUBTOTAL(3,$B$2:B3373))</f>
        <v>3372</v>
      </c>
      <c r="B3373" s="9" t="s">
        <v>50</v>
      </c>
      <c r="C3373" s="10" t="s">
        <v>52</v>
      </c>
      <c r="D3373" s="11">
        <v>88.183421516754848</v>
      </c>
      <c r="E3373" s="12">
        <f t="shared" si="52"/>
        <v>44811</v>
      </c>
    </row>
    <row r="3374" spans="1:5" x14ac:dyDescent="0.25">
      <c r="A3374" s="2">
        <f>IF(B3374="","",SUBTOTAL(3,$B$2:B3374))</f>
        <v>3373</v>
      </c>
      <c r="B3374" s="9" t="s">
        <v>48</v>
      </c>
      <c r="C3374" s="10" t="s">
        <v>49</v>
      </c>
      <c r="D3374" s="11">
        <v>25.696041524803107</v>
      </c>
      <c r="E3374" s="12">
        <f t="shared" si="52"/>
        <v>44812</v>
      </c>
    </row>
    <row r="3375" spans="1:5" x14ac:dyDescent="0.25">
      <c r="A3375" s="2">
        <f>IF(B3375="","",SUBTOTAL(3,$B$2:B3375))</f>
        <v>3374</v>
      </c>
      <c r="B3375" s="9" t="s">
        <v>50</v>
      </c>
      <c r="C3375" s="10" t="s">
        <v>52</v>
      </c>
      <c r="D3375" s="11">
        <v>66.137566137566139</v>
      </c>
      <c r="E3375" s="12">
        <f t="shared" si="52"/>
        <v>44813</v>
      </c>
    </row>
    <row r="3376" spans="1:5" x14ac:dyDescent="0.25">
      <c r="A3376" s="2">
        <f>IF(B3376="","",SUBTOTAL(3,$B$2:B3376))</f>
        <v>3375</v>
      </c>
      <c r="B3376" s="9" t="s">
        <v>50</v>
      </c>
      <c r="C3376" s="10" t="s">
        <v>52</v>
      </c>
      <c r="D3376" s="11">
        <v>55.114638447971785</v>
      </c>
      <c r="E3376" s="12">
        <f t="shared" si="52"/>
        <v>44814</v>
      </c>
    </row>
    <row r="3377" spans="1:5" x14ac:dyDescent="0.25">
      <c r="A3377" s="2">
        <f>IF(B3377="","",SUBTOTAL(3,$B$2:B3377))</f>
        <v>3376</v>
      </c>
      <c r="B3377" s="9" t="s">
        <v>50</v>
      </c>
      <c r="C3377" s="10" t="s">
        <v>52</v>
      </c>
      <c r="D3377" s="11">
        <v>55.114638447971785</v>
      </c>
      <c r="E3377" s="12">
        <f t="shared" si="52"/>
        <v>44815</v>
      </c>
    </row>
    <row r="3378" spans="1:5" x14ac:dyDescent="0.25">
      <c r="A3378" s="2">
        <f>IF(B3378="","",SUBTOTAL(3,$B$2:B3378))</f>
        <v>3377</v>
      </c>
      <c r="B3378" s="9" t="s">
        <v>50</v>
      </c>
      <c r="C3378" s="10" t="s">
        <v>52</v>
      </c>
      <c r="D3378" s="11">
        <v>55.114638447971785</v>
      </c>
      <c r="E3378" s="12">
        <f t="shared" si="52"/>
        <v>44816</v>
      </c>
    </row>
    <row r="3379" spans="1:5" x14ac:dyDescent="0.25">
      <c r="A3379" s="2">
        <f>IF(B3379="","",SUBTOTAL(3,$B$2:B3379))</f>
        <v>3378</v>
      </c>
      <c r="B3379" s="9" t="s">
        <v>50</v>
      </c>
      <c r="C3379" s="10" t="s">
        <v>52</v>
      </c>
      <c r="D3379" s="11">
        <v>55.114638447971785</v>
      </c>
      <c r="E3379" s="12">
        <f t="shared" si="52"/>
        <v>44817</v>
      </c>
    </row>
    <row r="3380" spans="1:5" x14ac:dyDescent="0.25">
      <c r="A3380" s="2">
        <f>IF(B3380="","",SUBTOTAL(3,$B$2:B3380))</f>
        <v>3379</v>
      </c>
      <c r="B3380" s="9" t="s">
        <v>50</v>
      </c>
      <c r="C3380" s="10" t="s">
        <v>52</v>
      </c>
      <c r="D3380" s="11">
        <v>55.114638447971785</v>
      </c>
      <c r="E3380" s="12">
        <f t="shared" si="52"/>
        <v>44818</v>
      </c>
    </row>
    <row r="3381" spans="1:5" x14ac:dyDescent="0.25">
      <c r="A3381" s="2">
        <f>IF(B3381="","",SUBTOTAL(3,$B$2:B3381))</f>
        <v>3380</v>
      </c>
      <c r="B3381" s="9" t="s">
        <v>50</v>
      </c>
      <c r="C3381" s="10" t="s">
        <v>52</v>
      </c>
      <c r="D3381" s="11">
        <v>66.137566137566139</v>
      </c>
      <c r="E3381" s="12">
        <f t="shared" si="52"/>
        <v>44819</v>
      </c>
    </row>
    <row r="3382" spans="1:5" x14ac:dyDescent="0.25">
      <c r="A3382" s="2">
        <f>IF(B3382="","",SUBTOTAL(3,$B$2:B3382))</f>
        <v>3381</v>
      </c>
      <c r="B3382" s="9" t="s">
        <v>50</v>
      </c>
      <c r="C3382" s="10" t="s">
        <v>52</v>
      </c>
      <c r="D3382" s="11">
        <v>66.137566137566139</v>
      </c>
      <c r="E3382" s="12">
        <f t="shared" si="52"/>
        <v>44820</v>
      </c>
    </row>
    <row r="3383" spans="1:5" x14ac:dyDescent="0.25">
      <c r="A3383" s="2">
        <f>IF(B3383="","",SUBTOTAL(3,$B$2:B3383))</f>
        <v>3382</v>
      </c>
      <c r="B3383" s="9" t="s">
        <v>48</v>
      </c>
      <c r="C3383" s="10" t="s">
        <v>52</v>
      </c>
      <c r="D3383" s="11">
        <v>77.017868145409736</v>
      </c>
      <c r="E3383" s="12">
        <f t="shared" si="52"/>
        <v>44821</v>
      </c>
    </row>
    <row r="3384" spans="1:5" x14ac:dyDescent="0.25">
      <c r="A3384" s="2">
        <f>IF(B3384="","",SUBTOTAL(3,$B$2:B3384))</f>
        <v>3383</v>
      </c>
      <c r="B3384" s="9" t="s">
        <v>48</v>
      </c>
      <c r="C3384" s="10" t="s">
        <v>52</v>
      </c>
      <c r="D3384" s="11">
        <v>100</v>
      </c>
      <c r="E3384" s="12">
        <f t="shared" si="52"/>
        <v>44822</v>
      </c>
    </row>
    <row r="3385" spans="1:5" x14ac:dyDescent="0.25">
      <c r="A3385" s="2">
        <f>IF(B3385="","",SUBTOTAL(3,$B$2:B3385))</f>
        <v>3384</v>
      </c>
      <c r="B3385" s="9" t="s">
        <v>53</v>
      </c>
      <c r="C3385" s="10" t="s">
        <v>54</v>
      </c>
      <c r="D3385" s="11">
        <v>91.585994669695125</v>
      </c>
      <c r="E3385" s="12">
        <f t="shared" si="52"/>
        <v>44823</v>
      </c>
    </row>
    <row r="3386" spans="1:5" x14ac:dyDescent="0.25">
      <c r="A3386" s="2">
        <f>IF(B3386="","",SUBTOTAL(3,$B$2:B3386))</f>
        <v>3385</v>
      </c>
      <c r="B3386" s="9" t="s">
        <v>53</v>
      </c>
      <c r="C3386" s="10" t="s">
        <v>54</v>
      </c>
      <c r="D3386" s="11">
        <v>137.37899200454268</v>
      </c>
      <c r="E3386" s="12">
        <f t="shared" si="52"/>
        <v>44824</v>
      </c>
    </row>
    <row r="3387" spans="1:5" x14ac:dyDescent="0.25">
      <c r="A3387" s="2">
        <f>IF(B3387="","",SUBTOTAL(3,$B$2:B3387))</f>
        <v>3386</v>
      </c>
      <c r="B3387" s="9" t="s">
        <v>53</v>
      </c>
      <c r="C3387" s="10" t="s">
        <v>54</v>
      </c>
      <c r="D3387" s="11">
        <v>18.317198933939025</v>
      </c>
      <c r="E3387" s="12">
        <f t="shared" si="52"/>
        <v>44825</v>
      </c>
    </row>
    <row r="3388" spans="1:5" x14ac:dyDescent="0.25">
      <c r="A3388" s="2">
        <f>IF(B3388="","",SUBTOTAL(3,$B$2:B3388))</f>
        <v>3387</v>
      </c>
      <c r="B3388" s="9" t="s">
        <v>53</v>
      </c>
      <c r="C3388" s="10" t="s">
        <v>54</v>
      </c>
      <c r="D3388" s="11">
        <v>18.317198933939025</v>
      </c>
      <c r="E3388" s="12">
        <f t="shared" si="52"/>
        <v>44826</v>
      </c>
    </row>
    <row r="3389" spans="1:5" x14ac:dyDescent="0.25">
      <c r="A3389" s="2">
        <f>IF(B3389="","",SUBTOTAL(3,$B$2:B3389))</f>
        <v>3388</v>
      </c>
      <c r="B3389" s="9" t="s">
        <v>51</v>
      </c>
      <c r="C3389" s="10" t="s">
        <v>54</v>
      </c>
      <c r="D3389" s="11">
        <v>0</v>
      </c>
      <c r="E3389" s="12">
        <f t="shared" si="52"/>
        <v>44827</v>
      </c>
    </row>
    <row r="3390" spans="1:5" x14ac:dyDescent="0.25">
      <c r="A3390" s="2">
        <f>IF(B3390="","",SUBTOTAL(3,$B$2:B3390))</f>
        <v>3389</v>
      </c>
      <c r="B3390" s="9" t="s">
        <v>48</v>
      </c>
      <c r="C3390" s="10" t="s">
        <v>52</v>
      </c>
      <c r="D3390" s="11">
        <v>46.210720887245841</v>
      </c>
      <c r="E3390" s="12">
        <f t="shared" si="52"/>
        <v>44828</v>
      </c>
    </row>
    <row r="3391" spans="1:5" x14ac:dyDescent="0.25">
      <c r="A3391" s="2">
        <f>IF(B3391="","",SUBTOTAL(3,$B$2:B3391))</f>
        <v>3390</v>
      </c>
      <c r="B3391" s="9" t="s">
        <v>48</v>
      </c>
      <c r="C3391" s="10" t="s">
        <v>52</v>
      </c>
      <c r="D3391" s="11">
        <v>77.017868145409736</v>
      </c>
      <c r="E3391" s="12">
        <f t="shared" si="52"/>
        <v>44829</v>
      </c>
    </row>
    <row r="3392" spans="1:5" x14ac:dyDescent="0.25">
      <c r="A3392" s="2">
        <f>IF(B3392="","",SUBTOTAL(3,$B$2:B3392))</f>
        <v>3391</v>
      </c>
      <c r="B3392" s="9" t="s">
        <v>48</v>
      </c>
      <c r="C3392" s="10" t="s">
        <v>52</v>
      </c>
      <c r="D3392" s="11">
        <v>77.017868145409736</v>
      </c>
      <c r="E3392" s="12">
        <f t="shared" si="52"/>
        <v>44830</v>
      </c>
    </row>
    <row r="3393" spans="1:5" x14ac:dyDescent="0.25">
      <c r="A3393" s="2">
        <f>IF(B3393="","",SUBTOTAL(3,$B$2:B3393))</f>
        <v>3392</v>
      </c>
      <c r="B3393" s="9" t="s">
        <v>48</v>
      </c>
      <c r="C3393" s="10" t="s">
        <v>54</v>
      </c>
      <c r="D3393" s="11">
        <v>114</v>
      </c>
      <c r="E3393" s="12">
        <f t="shared" si="52"/>
        <v>44831</v>
      </c>
    </row>
    <row r="3394" spans="1:5" x14ac:dyDescent="0.25">
      <c r="A3394" s="2">
        <f>IF(B3394="","",SUBTOTAL(3,$B$2:B3394))</f>
        <v>3393</v>
      </c>
      <c r="B3394" s="9" t="s">
        <v>48</v>
      </c>
      <c r="C3394" s="10" t="s">
        <v>49</v>
      </c>
      <c r="D3394" s="11">
        <v>12.848020762401553</v>
      </c>
      <c r="E3394" s="12">
        <f t="shared" si="52"/>
        <v>44832</v>
      </c>
    </row>
    <row r="3395" spans="1:5" x14ac:dyDescent="0.25">
      <c r="A3395" s="2">
        <f>IF(B3395="","",SUBTOTAL(3,$B$2:B3395))</f>
        <v>3394</v>
      </c>
      <c r="B3395" s="9" t="s">
        <v>50</v>
      </c>
      <c r="C3395" s="10" t="s">
        <v>49</v>
      </c>
      <c r="D3395" s="11">
        <v>37.107208994708991</v>
      </c>
      <c r="E3395" s="12">
        <f t="shared" si="52"/>
        <v>44833</v>
      </c>
    </row>
    <row r="3396" spans="1:5" x14ac:dyDescent="0.25">
      <c r="A3396" s="2">
        <f>IF(B3396="","",SUBTOTAL(3,$B$2:B3396))</f>
        <v>3395</v>
      </c>
      <c r="B3396" s="9" t="s">
        <v>50</v>
      </c>
      <c r="C3396" s="10" t="s">
        <v>49</v>
      </c>
      <c r="D3396" s="11">
        <v>37.107208994708991</v>
      </c>
      <c r="E3396" s="12">
        <f t="shared" ref="E3396:E3459" si="53">E3395+1</f>
        <v>44834</v>
      </c>
    </row>
    <row r="3397" spans="1:5" x14ac:dyDescent="0.25">
      <c r="A3397" s="2">
        <f>IF(B3397="","",SUBTOTAL(3,$B$2:B3397))</f>
        <v>3396</v>
      </c>
      <c r="B3397" s="9" t="s">
        <v>50</v>
      </c>
      <c r="C3397" s="10" t="s">
        <v>49</v>
      </c>
      <c r="D3397" s="11">
        <v>37.107208994708991</v>
      </c>
      <c r="E3397" s="12">
        <f t="shared" si="53"/>
        <v>44835</v>
      </c>
    </row>
    <row r="3398" spans="1:5" x14ac:dyDescent="0.25">
      <c r="A3398" s="2">
        <f>IF(B3398="","",SUBTOTAL(3,$B$2:B3398))</f>
        <v>3397</v>
      </c>
      <c r="B3398" s="9" t="s">
        <v>55</v>
      </c>
      <c r="C3398" s="10" t="s">
        <v>56</v>
      </c>
      <c r="D3398" s="11">
        <v>32.097576632964213</v>
      </c>
      <c r="E3398" s="12">
        <f t="shared" si="53"/>
        <v>44836</v>
      </c>
    </row>
    <row r="3399" spans="1:5" x14ac:dyDescent="0.25">
      <c r="A3399" s="2">
        <f>IF(B3399="","",SUBTOTAL(3,$B$2:B3399))</f>
        <v>3398</v>
      </c>
      <c r="B3399" s="9" t="s">
        <v>50</v>
      </c>
      <c r="C3399" s="10" t="s">
        <v>52</v>
      </c>
      <c r="D3399" s="11">
        <v>66.137566137566139</v>
      </c>
      <c r="E3399" s="12">
        <f t="shared" si="53"/>
        <v>44837</v>
      </c>
    </row>
    <row r="3400" spans="1:5" x14ac:dyDescent="0.25">
      <c r="A3400" s="2">
        <f>IF(B3400="","",SUBTOTAL(3,$B$2:B3400))</f>
        <v>3399</v>
      </c>
      <c r="B3400" s="9" t="s">
        <v>50</v>
      </c>
      <c r="C3400" s="10" t="s">
        <v>52</v>
      </c>
      <c r="D3400" s="11">
        <v>66.137566137566139</v>
      </c>
      <c r="E3400" s="12">
        <f t="shared" si="53"/>
        <v>44838</v>
      </c>
    </row>
    <row r="3401" spans="1:5" x14ac:dyDescent="0.25">
      <c r="A3401" s="2">
        <f>IF(B3401="","",SUBTOTAL(3,$B$2:B3401))</f>
        <v>3400</v>
      </c>
      <c r="B3401" s="9" t="s">
        <v>50</v>
      </c>
      <c r="C3401" s="10" t="s">
        <v>52</v>
      </c>
      <c r="D3401" s="11">
        <v>66.137566137566139</v>
      </c>
      <c r="E3401" s="12">
        <f t="shared" si="53"/>
        <v>44839</v>
      </c>
    </row>
    <row r="3402" spans="1:5" x14ac:dyDescent="0.25">
      <c r="A3402" s="2">
        <f>IF(B3402="","",SUBTOTAL(3,$B$2:B3402))</f>
        <v>3401</v>
      </c>
      <c r="B3402" s="9" t="s">
        <v>48</v>
      </c>
      <c r="C3402" s="10" t="s">
        <v>49</v>
      </c>
      <c r="D3402" s="11">
        <v>102.78416609921243</v>
      </c>
      <c r="E3402" s="12">
        <f t="shared" si="53"/>
        <v>44840</v>
      </c>
    </row>
    <row r="3403" spans="1:5" x14ac:dyDescent="0.25">
      <c r="A3403" s="2">
        <f>IF(B3403="","",SUBTOTAL(3,$B$2:B3403))</f>
        <v>3402</v>
      </c>
      <c r="B3403" s="9" t="s">
        <v>51</v>
      </c>
      <c r="C3403" s="10" t="s">
        <v>52</v>
      </c>
      <c r="D3403" s="11">
        <v>200</v>
      </c>
      <c r="E3403" s="12">
        <f t="shared" si="53"/>
        <v>44841</v>
      </c>
    </row>
    <row r="3404" spans="1:5" x14ac:dyDescent="0.25">
      <c r="A3404" s="2">
        <f>IF(B3404="","",SUBTOTAL(3,$B$2:B3404))</f>
        <v>3403</v>
      </c>
      <c r="B3404" s="9" t="s">
        <v>48</v>
      </c>
      <c r="C3404" s="10" t="s">
        <v>54</v>
      </c>
      <c r="D3404" s="11">
        <v>15.85660117200965</v>
      </c>
      <c r="E3404" s="12">
        <f t="shared" si="53"/>
        <v>44842</v>
      </c>
    </row>
    <row r="3405" spans="1:5" x14ac:dyDescent="0.25">
      <c r="A3405" s="2">
        <f>IF(B3405="","",SUBTOTAL(3,$B$2:B3405))</f>
        <v>3404</v>
      </c>
      <c r="B3405" s="9" t="s">
        <v>48</v>
      </c>
      <c r="C3405" s="10" t="s">
        <v>52</v>
      </c>
      <c r="D3405" s="11">
        <v>128.48020762401552</v>
      </c>
      <c r="E3405" s="12">
        <f t="shared" si="53"/>
        <v>44843</v>
      </c>
    </row>
    <row r="3406" spans="1:5" x14ac:dyDescent="0.25">
      <c r="A3406" s="2">
        <f>IF(B3406="","",SUBTOTAL(3,$B$2:B3406))</f>
        <v>3405</v>
      </c>
      <c r="B3406" s="9" t="s">
        <v>48</v>
      </c>
      <c r="C3406" s="10" t="s">
        <v>52</v>
      </c>
      <c r="D3406" s="11">
        <v>256.96041524803104</v>
      </c>
      <c r="E3406" s="12">
        <f t="shared" si="53"/>
        <v>44844</v>
      </c>
    </row>
    <row r="3407" spans="1:5" x14ac:dyDescent="0.25">
      <c r="A3407" s="2">
        <f>IF(B3407="","",SUBTOTAL(3,$B$2:B3407))</f>
        <v>3406</v>
      </c>
      <c r="B3407" s="9" t="s">
        <v>48</v>
      </c>
      <c r="C3407" s="10" t="s">
        <v>52</v>
      </c>
      <c r="D3407" s="11">
        <v>256.96041524803104</v>
      </c>
      <c r="E3407" s="12">
        <f t="shared" si="53"/>
        <v>44845</v>
      </c>
    </row>
    <row r="3408" spans="1:5" x14ac:dyDescent="0.25">
      <c r="A3408" s="2">
        <f>IF(B3408="","",SUBTOTAL(3,$B$2:B3408))</f>
        <v>3407</v>
      </c>
      <c r="B3408" s="9" t="s">
        <v>53</v>
      </c>
      <c r="C3408" s="10" t="s">
        <v>54</v>
      </c>
      <c r="D3408" s="11">
        <v>18.317198933939025</v>
      </c>
      <c r="E3408" s="12">
        <f t="shared" si="53"/>
        <v>44846</v>
      </c>
    </row>
    <row r="3409" spans="1:5" x14ac:dyDescent="0.25">
      <c r="A3409" s="2">
        <f>IF(B3409="","",SUBTOTAL(3,$B$2:B3409))</f>
        <v>3408</v>
      </c>
      <c r="B3409" s="9" t="s">
        <v>48</v>
      </c>
      <c r="C3409" s="10" t="s">
        <v>52</v>
      </c>
      <c r="D3409" s="11">
        <v>50</v>
      </c>
      <c r="E3409" s="12">
        <f t="shared" si="53"/>
        <v>44847</v>
      </c>
    </row>
    <row r="3410" spans="1:5" x14ac:dyDescent="0.25">
      <c r="A3410" s="2">
        <f>IF(B3410="","",SUBTOTAL(3,$B$2:B3410))</f>
        <v>3409</v>
      </c>
      <c r="B3410" s="9" t="s">
        <v>50</v>
      </c>
      <c r="C3410" s="10" t="s">
        <v>49</v>
      </c>
      <c r="D3410" s="11">
        <v>127.31481481481482</v>
      </c>
      <c r="E3410" s="12">
        <f t="shared" si="53"/>
        <v>44848</v>
      </c>
    </row>
    <row r="3411" spans="1:5" x14ac:dyDescent="0.25">
      <c r="A3411" s="2">
        <f>IF(B3411="","",SUBTOTAL(3,$B$2:B3411))</f>
        <v>3410</v>
      </c>
      <c r="B3411" s="9" t="s">
        <v>50</v>
      </c>
      <c r="C3411" s="10" t="s">
        <v>49</v>
      </c>
      <c r="D3411" s="11">
        <v>41.887125220458557</v>
      </c>
      <c r="E3411" s="12">
        <f t="shared" si="53"/>
        <v>44849</v>
      </c>
    </row>
    <row r="3412" spans="1:5" x14ac:dyDescent="0.25">
      <c r="A3412" s="2">
        <f>IF(B3412="","",SUBTOTAL(3,$B$2:B3412))</f>
        <v>3411</v>
      </c>
      <c r="B3412" s="9" t="s">
        <v>48</v>
      </c>
      <c r="C3412" s="10" t="s">
        <v>52</v>
      </c>
      <c r="D3412" s="11">
        <v>128.48020762401552</v>
      </c>
      <c r="E3412" s="12">
        <f t="shared" si="53"/>
        <v>44850</v>
      </c>
    </row>
    <row r="3413" spans="1:5" x14ac:dyDescent="0.25">
      <c r="A3413" s="2">
        <f>IF(B3413="","",SUBTOTAL(3,$B$2:B3413))</f>
        <v>3412</v>
      </c>
      <c r="B3413" s="9" t="s">
        <v>50</v>
      </c>
      <c r="C3413" s="10" t="s">
        <v>52</v>
      </c>
      <c r="D3413" s="11">
        <v>88.183421516754848</v>
      </c>
      <c r="E3413" s="12">
        <f t="shared" si="53"/>
        <v>44851</v>
      </c>
    </row>
    <row r="3414" spans="1:5" x14ac:dyDescent="0.25">
      <c r="A3414" s="2">
        <f>IF(B3414="","",SUBTOTAL(3,$B$2:B3414))</f>
        <v>3413</v>
      </c>
      <c r="B3414" s="9" t="s">
        <v>50</v>
      </c>
      <c r="C3414" s="10" t="s">
        <v>52</v>
      </c>
      <c r="D3414" s="11">
        <v>66.137566137566139</v>
      </c>
      <c r="E3414" s="12">
        <f t="shared" si="53"/>
        <v>44852</v>
      </c>
    </row>
    <row r="3415" spans="1:5" x14ac:dyDescent="0.25">
      <c r="A3415" s="2">
        <f>IF(B3415="","",SUBTOTAL(3,$B$2:B3415))</f>
        <v>3414</v>
      </c>
      <c r="B3415" s="9" t="s">
        <v>50</v>
      </c>
      <c r="C3415" s="10" t="s">
        <v>57</v>
      </c>
      <c r="D3415" s="11">
        <v>66.137566137566139</v>
      </c>
      <c r="E3415" s="12">
        <f t="shared" si="53"/>
        <v>44853</v>
      </c>
    </row>
    <row r="3416" spans="1:5" x14ac:dyDescent="0.25">
      <c r="A3416" s="2">
        <f>IF(B3416="","",SUBTOTAL(3,$B$2:B3416))</f>
        <v>3415</v>
      </c>
      <c r="B3416" s="9" t="s">
        <v>50</v>
      </c>
      <c r="C3416" s="10" t="s">
        <v>52</v>
      </c>
      <c r="D3416" s="11">
        <v>66.137566137566139</v>
      </c>
      <c r="E3416" s="12">
        <f t="shared" si="53"/>
        <v>44854</v>
      </c>
    </row>
    <row r="3417" spans="1:5" x14ac:dyDescent="0.25">
      <c r="A3417" s="2">
        <f>IF(B3417="","",SUBTOTAL(3,$B$2:B3417))</f>
        <v>3416</v>
      </c>
      <c r="B3417" s="9" t="s">
        <v>50</v>
      </c>
      <c r="C3417" s="10" t="s">
        <v>52</v>
      </c>
      <c r="D3417" s="11">
        <v>66.137566137566139</v>
      </c>
      <c r="E3417" s="12">
        <f t="shared" si="53"/>
        <v>44855</v>
      </c>
    </row>
    <row r="3418" spans="1:5" x14ac:dyDescent="0.25">
      <c r="A3418" s="2">
        <f>IF(B3418="","",SUBTOTAL(3,$B$2:B3418))</f>
        <v>3417</v>
      </c>
      <c r="B3418" s="9" t="s">
        <v>50</v>
      </c>
      <c r="C3418" s="10" t="s">
        <v>52</v>
      </c>
      <c r="D3418" s="11">
        <v>66.137566137566139</v>
      </c>
      <c r="E3418" s="12">
        <f t="shared" si="53"/>
        <v>44856</v>
      </c>
    </row>
    <row r="3419" spans="1:5" x14ac:dyDescent="0.25">
      <c r="A3419" s="2">
        <f>IF(B3419="","",SUBTOTAL(3,$B$2:B3419))</f>
        <v>3418</v>
      </c>
      <c r="B3419" s="9" t="s">
        <v>50</v>
      </c>
      <c r="C3419" s="10" t="s">
        <v>52</v>
      </c>
      <c r="D3419" s="11">
        <v>66.137566137566139</v>
      </c>
      <c r="E3419" s="12">
        <f t="shared" si="53"/>
        <v>44857</v>
      </c>
    </row>
    <row r="3420" spans="1:5" x14ac:dyDescent="0.25">
      <c r="A3420" s="2">
        <f>IF(B3420="","",SUBTOTAL(3,$B$2:B3420))</f>
        <v>3419</v>
      </c>
      <c r="B3420" s="9" t="s">
        <v>48</v>
      </c>
      <c r="C3420" s="10" t="s">
        <v>49</v>
      </c>
      <c r="D3420" s="11">
        <v>34.561175850860181</v>
      </c>
      <c r="E3420" s="12">
        <f t="shared" si="53"/>
        <v>44858</v>
      </c>
    </row>
    <row r="3421" spans="1:5" x14ac:dyDescent="0.25">
      <c r="A3421" s="2">
        <f>IF(B3421="","",SUBTOTAL(3,$B$2:B3421))</f>
        <v>3420</v>
      </c>
      <c r="B3421" s="9" t="s">
        <v>48</v>
      </c>
      <c r="C3421" s="10" t="s">
        <v>49</v>
      </c>
      <c r="D3421" s="11">
        <v>89.936145336810867</v>
      </c>
      <c r="E3421" s="12">
        <f t="shared" si="53"/>
        <v>44859</v>
      </c>
    </row>
    <row r="3422" spans="1:5" x14ac:dyDescent="0.25">
      <c r="A3422" s="2">
        <f>IF(B3422="","",SUBTOTAL(3,$B$2:B3422))</f>
        <v>3421</v>
      </c>
      <c r="B3422" s="9" t="s">
        <v>51</v>
      </c>
      <c r="C3422" s="10" t="s">
        <v>54</v>
      </c>
      <c r="D3422" s="11">
        <v>0</v>
      </c>
      <c r="E3422" s="12">
        <f t="shared" si="53"/>
        <v>44860</v>
      </c>
    </row>
    <row r="3423" spans="1:5" x14ac:dyDescent="0.25">
      <c r="A3423" s="2">
        <f>IF(B3423="","",SUBTOTAL(3,$B$2:B3423))</f>
        <v>3422</v>
      </c>
      <c r="B3423" s="9" t="s">
        <v>53</v>
      </c>
      <c r="C3423" s="10" t="s">
        <v>49</v>
      </c>
      <c r="D3423" s="11">
        <v>146.5375914715122</v>
      </c>
      <c r="E3423" s="12">
        <f t="shared" si="53"/>
        <v>44861</v>
      </c>
    </row>
    <row r="3424" spans="1:5" x14ac:dyDescent="0.25">
      <c r="A3424" s="2">
        <f>IF(B3424="","",SUBTOTAL(3,$B$2:B3424))</f>
        <v>3423</v>
      </c>
      <c r="B3424" s="9" t="s">
        <v>53</v>
      </c>
      <c r="C3424" s="10" t="s">
        <v>49</v>
      </c>
      <c r="D3424" s="11">
        <v>183.17198933939025</v>
      </c>
      <c r="E3424" s="12">
        <f t="shared" si="53"/>
        <v>44862</v>
      </c>
    </row>
    <row r="3425" spans="1:5" x14ac:dyDescent="0.25">
      <c r="A3425" s="2">
        <f>IF(B3425="","",SUBTOTAL(3,$B$2:B3425))</f>
        <v>3424</v>
      </c>
      <c r="B3425" s="9" t="s">
        <v>48</v>
      </c>
      <c r="C3425" s="10" t="s">
        <v>52</v>
      </c>
      <c r="D3425" s="11">
        <v>159.34411583487369</v>
      </c>
      <c r="E3425" s="12">
        <f t="shared" si="53"/>
        <v>44863</v>
      </c>
    </row>
    <row r="3426" spans="1:5" x14ac:dyDescent="0.25">
      <c r="A3426" s="2">
        <f>IF(B3426="","",SUBTOTAL(3,$B$2:B3426))</f>
        <v>3425</v>
      </c>
      <c r="B3426" s="9" t="s">
        <v>48</v>
      </c>
      <c r="C3426" s="10" t="s">
        <v>52</v>
      </c>
      <c r="D3426" s="11">
        <v>154.43484288354898</v>
      </c>
      <c r="E3426" s="12">
        <f t="shared" si="53"/>
        <v>44864</v>
      </c>
    </row>
    <row r="3427" spans="1:5" x14ac:dyDescent="0.25">
      <c r="A3427" s="2">
        <f>IF(B3427="","",SUBTOTAL(3,$B$2:B3427))</f>
        <v>3426</v>
      </c>
      <c r="B3427" s="9" t="s">
        <v>48</v>
      </c>
      <c r="C3427" s="10" t="s">
        <v>52</v>
      </c>
      <c r="D3427" s="11">
        <v>159.34411583487369</v>
      </c>
      <c r="E3427" s="12">
        <f t="shared" si="53"/>
        <v>44865</v>
      </c>
    </row>
    <row r="3428" spans="1:5" x14ac:dyDescent="0.25">
      <c r="A3428" s="2">
        <f>IF(B3428="","",SUBTOTAL(3,$B$2:B3428))</f>
        <v>3427</v>
      </c>
      <c r="B3428" s="9" t="s">
        <v>48</v>
      </c>
      <c r="C3428" s="10" t="s">
        <v>52</v>
      </c>
      <c r="D3428" s="11">
        <v>174.95378927911275</v>
      </c>
      <c r="E3428" s="12">
        <f t="shared" si="53"/>
        <v>44866</v>
      </c>
    </row>
    <row r="3429" spans="1:5" x14ac:dyDescent="0.25">
      <c r="A3429" s="2">
        <f>IF(B3429="","",SUBTOTAL(3,$B$2:B3429))</f>
        <v>3428</v>
      </c>
      <c r="B3429" s="9" t="s">
        <v>48</v>
      </c>
      <c r="C3429" s="10" t="s">
        <v>49</v>
      </c>
      <c r="D3429" s="11">
        <v>21.010474430067774</v>
      </c>
      <c r="E3429" s="12">
        <f t="shared" si="53"/>
        <v>44867</v>
      </c>
    </row>
    <row r="3430" spans="1:5" x14ac:dyDescent="0.25">
      <c r="A3430" s="2">
        <f>IF(B3430="","",SUBTOTAL(3,$B$2:B3430))</f>
        <v>3429</v>
      </c>
      <c r="B3430" s="9" t="s">
        <v>48</v>
      </c>
      <c r="C3430" s="10" t="s">
        <v>52</v>
      </c>
      <c r="D3430" s="11">
        <v>158.27171903881703</v>
      </c>
      <c r="E3430" s="12">
        <f t="shared" si="53"/>
        <v>44868</v>
      </c>
    </row>
    <row r="3431" spans="1:5" x14ac:dyDescent="0.25">
      <c r="A3431" s="2">
        <f>IF(B3431="","",SUBTOTAL(3,$B$2:B3431))</f>
        <v>3430</v>
      </c>
      <c r="B3431" s="9" t="s">
        <v>48</v>
      </c>
      <c r="C3431" s="10" t="s">
        <v>52</v>
      </c>
      <c r="D3431" s="11">
        <v>308.07147258163894</v>
      </c>
      <c r="E3431" s="12">
        <f t="shared" si="53"/>
        <v>44869</v>
      </c>
    </row>
    <row r="3432" spans="1:5" x14ac:dyDescent="0.25">
      <c r="A3432" s="2">
        <f>IF(B3432="","",SUBTOTAL(3,$B$2:B3432))</f>
        <v>3431</v>
      </c>
      <c r="B3432" s="9" t="s">
        <v>48</v>
      </c>
      <c r="C3432" s="10" t="s">
        <v>52</v>
      </c>
      <c r="D3432" s="11">
        <v>308.07147258163894</v>
      </c>
      <c r="E3432" s="12">
        <f t="shared" si="53"/>
        <v>44870</v>
      </c>
    </row>
    <row r="3433" spans="1:5" x14ac:dyDescent="0.25">
      <c r="A3433" s="2">
        <f>IF(B3433="","",SUBTOTAL(3,$B$2:B3433))</f>
        <v>3432</v>
      </c>
      <c r="B3433" s="9" t="s">
        <v>48</v>
      </c>
      <c r="C3433" s="10" t="s">
        <v>52</v>
      </c>
      <c r="D3433" s="11">
        <v>462.10720887245844</v>
      </c>
      <c r="E3433" s="12">
        <f t="shared" si="53"/>
        <v>44871</v>
      </c>
    </row>
    <row r="3434" spans="1:5" x14ac:dyDescent="0.25">
      <c r="A3434" s="2">
        <f>IF(B3434="","",SUBTOTAL(3,$B$2:B3434))</f>
        <v>3433</v>
      </c>
      <c r="B3434" s="9" t="s">
        <v>48</v>
      </c>
      <c r="C3434" s="10" t="s">
        <v>52</v>
      </c>
      <c r="D3434" s="11">
        <v>462.10720887245844</v>
      </c>
      <c r="E3434" s="12">
        <f t="shared" si="53"/>
        <v>44872</v>
      </c>
    </row>
    <row r="3435" spans="1:5" x14ac:dyDescent="0.25">
      <c r="A3435" s="2">
        <f>IF(B3435="","",SUBTOTAL(3,$B$2:B3435))</f>
        <v>3434</v>
      </c>
      <c r="B3435" s="9" t="s">
        <v>53</v>
      </c>
      <c r="C3435" s="10" t="s">
        <v>49</v>
      </c>
      <c r="D3435" s="11">
        <v>27.475798400908538</v>
      </c>
      <c r="E3435" s="12">
        <f t="shared" si="53"/>
        <v>44873</v>
      </c>
    </row>
    <row r="3436" spans="1:5" x14ac:dyDescent="0.25">
      <c r="A3436" s="2">
        <f>IF(B3436="","",SUBTOTAL(3,$B$2:B3436))</f>
        <v>3435</v>
      </c>
      <c r="B3436" s="9" t="s">
        <v>48</v>
      </c>
      <c r="C3436" s="10" t="s">
        <v>52</v>
      </c>
      <c r="D3436" s="11">
        <v>61.614294516327789</v>
      </c>
      <c r="E3436" s="12">
        <f t="shared" si="53"/>
        <v>44874</v>
      </c>
    </row>
    <row r="3437" spans="1:5" x14ac:dyDescent="0.25">
      <c r="A3437" s="2">
        <f>IF(B3437="","",SUBTOTAL(3,$B$2:B3437))</f>
        <v>3436</v>
      </c>
      <c r="B3437" s="9" t="s">
        <v>51</v>
      </c>
      <c r="C3437" s="10" t="s">
        <v>54</v>
      </c>
      <c r="D3437" s="11">
        <v>0</v>
      </c>
      <c r="E3437" s="12">
        <f t="shared" si="53"/>
        <v>44875</v>
      </c>
    </row>
    <row r="3438" spans="1:5" x14ac:dyDescent="0.25">
      <c r="A3438" s="2">
        <f>IF(B3438="","",SUBTOTAL(3,$B$2:B3438))</f>
        <v>3437</v>
      </c>
      <c r="B3438" s="9" t="s">
        <v>53</v>
      </c>
      <c r="C3438" s="10" t="s">
        <v>49</v>
      </c>
      <c r="D3438" s="11">
        <v>137.37899200454268</v>
      </c>
      <c r="E3438" s="12">
        <f t="shared" si="53"/>
        <v>44876</v>
      </c>
    </row>
    <row r="3439" spans="1:5" x14ac:dyDescent="0.25">
      <c r="A3439" s="2">
        <f>IF(B3439="","",SUBTOTAL(3,$B$2:B3439))</f>
        <v>3438</v>
      </c>
      <c r="B3439" s="9" t="s">
        <v>53</v>
      </c>
      <c r="C3439" s="10" t="s">
        <v>52</v>
      </c>
      <c r="D3439" s="11">
        <v>164.85479040545121</v>
      </c>
      <c r="E3439" s="12">
        <f t="shared" si="53"/>
        <v>44877</v>
      </c>
    </row>
    <row r="3440" spans="1:5" x14ac:dyDescent="0.25">
      <c r="A3440" s="2">
        <f>IF(B3440="","",SUBTOTAL(3,$B$2:B3440))</f>
        <v>3439</v>
      </c>
      <c r="B3440" s="9" t="s">
        <v>53</v>
      </c>
      <c r="C3440" s="10" t="s">
        <v>54</v>
      </c>
      <c r="D3440" s="11">
        <v>54.951596801817075</v>
      </c>
      <c r="E3440" s="12">
        <f t="shared" si="53"/>
        <v>44878</v>
      </c>
    </row>
    <row r="3441" spans="1:5" x14ac:dyDescent="0.25">
      <c r="A3441" s="2">
        <f>IF(B3441="","",SUBTOTAL(3,$B$2:B3441))</f>
        <v>3440</v>
      </c>
      <c r="B3441" s="9" t="s">
        <v>53</v>
      </c>
      <c r="C3441" s="10" t="s">
        <v>54</v>
      </c>
      <c r="D3441" s="11">
        <v>8.2427395202725595</v>
      </c>
      <c r="E3441" s="12">
        <f t="shared" si="53"/>
        <v>44879</v>
      </c>
    </row>
    <row r="3442" spans="1:5" x14ac:dyDescent="0.25">
      <c r="A3442" s="2">
        <f>IF(B3442="","",SUBTOTAL(3,$B$2:B3442))</f>
        <v>3441</v>
      </c>
      <c r="B3442" s="9" t="s">
        <v>48</v>
      </c>
      <c r="C3442" s="10" t="s">
        <v>49</v>
      </c>
      <c r="D3442" s="11">
        <v>103.41261633919338</v>
      </c>
      <c r="E3442" s="12">
        <f t="shared" si="53"/>
        <v>44880</v>
      </c>
    </row>
    <row r="3443" spans="1:5" x14ac:dyDescent="0.25">
      <c r="A3443" s="2">
        <f>IF(B3443="","",SUBTOTAL(3,$B$2:B3443))</f>
        <v>3442</v>
      </c>
      <c r="B3443" s="9" t="s">
        <v>48</v>
      </c>
      <c r="C3443" s="10" t="s">
        <v>49</v>
      </c>
      <c r="D3443" s="11">
        <v>3.2747328507411235</v>
      </c>
      <c r="E3443" s="12">
        <f t="shared" si="53"/>
        <v>44881</v>
      </c>
    </row>
    <row r="3444" spans="1:5" x14ac:dyDescent="0.25">
      <c r="A3444" s="2">
        <f>IF(B3444="","",SUBTOTAL(3,$B$2:B3444))</f>
        <v>3443</v>
      </c>
      <c r="B3444" s="9" t="s">
        <v>50</v>
      </c>
      <c r="C3444" s="10" t="s">
        <v>52</v>
      </c>
      <c r="D3444" s="11">
        <v>330.68783068783068</v>
      </c>
      <c r="E3444" s="12">
        <f t="shared" si="53"/>
        <v>44882</v>
      </c>
    </row>
    <row r="3445" spans="1:5" x14ac:dyDescent="0.25">
      <c r="A3445" s="2">
        <f>IF(B3445="","",SUBTOTAL(3,$B$2:B3445))</f>
        <v>3444</v>
      </c>
      <c r="B3445" s="9" t="s">
        <v>50</v>
      </c>
      <c r="C3445" s="10" t="s">
        <v>49</v>
      </c>
      <c r="D3445" s="11">
        <v>70.546737213403873</v>
      </c>
      <c r="E3445" s="12">
        <f t="shared" si="53"/>
        <v>44883</v>
      </c>
    </row>
    <row r="3446" spans="1:5" x14ac:dyDescent="0.25">
      <c r="A3446" s="2">
        <f>IF(B3446="","",SUBTOTAL(3,$B$2:B3446))</f>
        <v>3445</v>
      </c>
      <c r="B3446" s="9" t="s">
        <v>55</v>
      </c>
      <c r="C3446" s="10" t="s">
        <v>49</v>
      </c>
      <c r="D3446" s="11">
        <v>81.69</v>
      </c>
      <c r="E3446" s="12">
        <f t="shared" si="53"/>
        <v>44884</v>
      </c>
    </row>
    <row r="3447" spans="1:5" x14ac:dyDescent="0.25">
      <c r="A3447" s="2">
        <f>IF(B3447="","",SUBTOTAL(3,$B$2:B3447))</f>
        <v>3446</v>
      </c>
      <c r="B3447" s="9" t="s">
        <v>50</v>
      </c>
      <c r="C3447" s="10" t="s">
        <v>52</v>
      </c>
      <c r="D3447" s="11">
        <v>15.28896136989094</v>
      </c>
      <c r="E3447" s="12">
        <f t="shared" si="53"/>
        <v>44885</v>
      </c>
    </row>
    <row r="3448" spans="1:5" x14ac:dyDescent="0.25">
      <c r="A3448" s="2">
        <f>IF(B3448="","",SUBTOTAL(3,$B$2:B3448))</f>
        <v>3447</v>
      </c>
      <c r="B3448" s="9" t="s">
        <v>48</v>
      </c>
      <c r="C3448" s="10" t="s">
        <v>49</v>
      </c>
      <c r="D3448" s="11">
        <v>61.484974239718376</v>
      </c>
      <c r="E3448" s="12">
        <f t="shared" si="53"/>
        <v>44886</v>
      </c>
    </row>
    <row r="3449" spans="1:5" x14ac:dyDescent="0.25">
      <c r="A3449" s="2">
        <f>IF(B3449="","",SUBTOTAL(3,$B$2:B3449))</f>
        <v>3448</v>
      </c>
      <c r="B3449" s="9" t="s">
        <v>51</v>
      </c>
      <c r="C3449" s="10" t="s">
        <v>49</v>
      </c>
      <c r="D3449" s="11">
        <v>105.89854918987609</v>
      </c>
      <c r="E3449" s="12">
        <f t="shared" si="53"/>
        <v>44887</v>
      </c>
    </row>
    <row r="3450" spans="1:5" x14ac:dyDescent="0.25">
      <c r="A3450" s="2">
        <f>IF(B3450="","",SUBTOTAL(3,$B$2:B3450))</f>
        <v>3449</v>
      </c>
      <c r="B3450" s="9" t="s">
        <v>50</v>
      </c>
      <c r="C3450" s="10" t="s">
        <v>52</v>
      </c>
      <c r="D3450" s="11">
        <v>110.22927689594357</v>
      </c>
      <c r="E3450" s="12">
        <f t="shared" si="53"/>
        <v>44888</v>
      </c>
    </row>
    <row r="3451" spans="1:5" x14ac:dyDescent="0.25">
      <c r="A3451" s="2">
        <f>IF(B3451="","",SUBTOTAL(3,$B$2:B3451))</f>
        <v>3450</v>
      </c>
      <c r="B3451" s="9" t="s">
        <v>50</v>
      </c>
      <c r="C3451" s="10" t="s">
        <v>52</v>
      </c>
      <c r="D3451" s="11">
        <v>66.137566137566139</v>
      </c>
      <c r="E3451" s="12">
        <f t="shared" si="53"/>
        <v>44889</v>
      </c>
    </row>
    <row r="3452" spans="1:5" x14ac:dyDescent="0.25">
      <c r="A3452" s="2">
        <f>IF(B3452="","",SUBTOTAL(3,$B$2:B3452))</f>
        <v>3451</v>
      </c>
      <c r="B3452" s="9" t="s">
        <v>50</v>
      </c>
      <c r="C3452" s="10" t="s">
        <v>52</v>
      </c>
      <c r="D3452" s="11">
        <v>44.091710758377424</v>
      </c>
      <c r="E3452" s="12">
        <f t="shared" si="53"/>
        <v>44890</v>
      </c>
    </row>
    <row r="3453" spans="1:5" x14ac:dyDescent="0.25">
      <c r="A3453" s="2">
        <f>IF(B3453="","",SUBTOTAL(3,$B$2:B3453))</f>
        <v>3452</v>
      </c>
      <c r="B3453" s="9" t="s">
        <v>50</v>
      </c>
      <c r="C3453" s="10" t="s">
        <v>52</v>
      </c>
      <c r="D3453" s="11">
        <v>44.091710758377424</v>
      </c>
      <c r="E3453" s="12">
        <f t="shared" si="53"/>
        <v>44891</v>
      </c>
    </row>
    <row r="3454" spans="1:5" x14ac:dyDescent="0.25">
      <c r="A3454" s="2">
        <f>IF(B3454="","",SUBTOTAL(3,$B$2:B3454))</f>
        <v>3453</v>
      </c>
      <c r="B3454" s="9" t="s">
        <v>50</v>
      </c>
      <c r="C3454" s="10" t="s">
        <v>52</v>
      </c>
      <c r="D3454" s="11">
        <v>11022.927689594357</v>
      </c>
      <c r="E3454" s="12">
        <f t="shared" si="53"/>
        <v>44892</v>
      </c>
    </row>
    <row r="3455" spans="1:5" x14ac:dyDescent="0.25">
      <c r="A3455" s="2">
        <f>IF(B3455="","",SUBTOTAL(3,$B$2:B3455))</f>
        <v>3454</v>
      </c>
      <c r="B3455" s="9" t="s">
        <v>50</v>
      </c>
      <c r="C3455" s="10" t="s">
        <v>54</v>
      </c>
      <c r="D3455" s="11">
        <v>55.114638447971785</v>
      </c>
      <c r="E3455" s="12">
        <f t="shared" si="53"/>
        <v>44893</v>
      </c>
    </row>
    <row r="3456" spans="1:5" x14ac:dyDescent="0.25">
      <c r="A3456" s="2">
        <f>IF(B3456="","",SUBTOTAL(3,$B$2:B3456))</f>
        <v>3455</v>
      </c>
      <c r="B3456" s="9" t="s">
        <v>48</v>
      </c>
      <c r="C3456" s="10" t="s">
        <v>49</v>
      </c>
      <c r="D3456" s="11">
        <v>184.84288354898337</v>
      </c>
      <c r="E3456" s="12">
        <f t="shared" si="53"/>
        <v>44894</v>
      </c>
    </row>
    <row r="3457" spans="1:5" x14ac:dyDescent="0.25">
      <c r="A3457" s="2">
        <f>IF(B3457="","",SUBTOTAL(3,$B$2:B3457))</f>
        <v>3456</v>
      </c>
      <c r="B3457" s="9" t="s">
        <v>48</v>
      </c>
      <c r="C3457" s="10" t="s">
        <v>49</v>
      </c>
      <c r="D3457" s="11">
        <v>184.84288354898337</v>
      </c>
      <c r="E3457" s="12">
        <f t="shared" si="53"/>
        <v>44895</v>
      </c>
    </row>
    <row r="3458" spans="1:5" x14ac:dyDescent="0.25">
      <c r="A3458" s="2">
        <f>IF(B3458="","",SUBTOTAL(3,$B$2:B3458))</f>
        <v>3457</v>
      </c>
      <c r="B3458" s="9" t="s">
        <v>48</v>
      </c>
      <c r="C3458" s="10" t="s">
        <v>52</v>
      </c>
      <c r="D3458" s="11">
        <v>77.017868145409736</v>
      </c>
      <c r="E3458" s="12">
        <f t="shared" si="53"/>
        <v>44896</v>
      </c>
    </row>
    <row r="3459" spans="1:5" x14ac:dyDescent="0.25">
      <c r="A3459" s="2">
        <f>IF(B3459="","",SUBTOTAL(3,$B$2:B3459))</f>
        <v>3458</v>
      </c>
      <c r="B3459" s="9" t="s">
        <v>48</v>
      </c>
      <c r="C3459" s="10" t="s">
        <v>52</v>
      </c>
      <c r="D3459" s="11">
        <v>159.34411583487369</v>
      </c>
      <c r="E3459" s="12">
        <f t="shared" si="53"/>
        <v>44897</v>
      </c>
    </row>
    <row r="3460" spans="1:5" x14ac:dyDescent="0.25">
      <c r="A3460" s="2">
        <f>IF(B3460="","",SUBTOTAL(3,$B$2:B3460))</f>
        <v>3459</v>
      </c>
      <c r="B3460" s="9" t="s">
        <v>48</v>
      </c>
      <c r="C3460" s="10" t="s">
        <v>54</v>
      </c>
      <c r="D3460" s="11">
        <v>169.43930991990143</v>
      </c>
      <c r="E3460" s="12">
        <f t="shared" ref="E3460:E3523" si="54">E3459+1</f>
        <v>44898</v>
      </c>
    </row>
    <row r="3461" spans="1:5" x14ac:dyDescent="0.25">
      <c r="A3461" s="2">
        <f>IF(B3461="","",SUBTOTAL(3,$B$2:B3461))</f>
        <v>3460</v>
      </c>
      <c r="B3461" s="9" t="s">
        <v>48</v>
      </c>
      <c r="C3461" s="10" t="s">
        <v>54</v>
      </c>
      <c r="D3461" s="11">
        <v>107.82501540357363</v>
      </c>
      <c r="E3461" s="12">
        <f t="shared" si="54"/>
        <v>44899</v>
      </c>
    </row>
    <row r="3462" spans="1:5" x14ac:dyDescent="0.25">
      <c r="A3462" s="2">
        <f>IF(B3462="","",SUBTOTAL(3,$B$2:B3462))</f>
        <v>3461</v>
      </c>
      <c r="B3462" s="9" t="s">
        <v>48</v>
      </c>
      <c r="C3462" s="10" t="s">
        <v>49</v>
      </c>
      <c r="D3462" s="11">
        <v>77.017868145409736</v>
      </c>
      <c r="E3462" s="12">
        <f t="shared" si="54"/>
        <v>44900</v>
      </c>
    </row>
    <row r="3463" spans="1:5" x14ac:dyDescent="0.25">
      <c r="A3463" s="2">
        <f>IF(B3463="","",SUBTOTAL(3,$B$2:B3463))</f>
        <v>3462</v>
      </c>
      <c r="B3463" s="9" t="s">
        <v>48</v>
      </c>
      <c r="C3463" s="10" t="s">
        <v>52</v>
      </c>
      <c r="D3463" s="11">
        <v>123.22858903265558</v>
      </c>
      <c r="E3463" s="12">
        <f t="shared" si="54"/>
        <v>44901</v>
      </c>
    </row>
    <row r="3464" spans="1:5" x14ac:dyDescent="0.25">
      <c r="A3464" s="2">
        <f>IF(B3464="","",SUBTOTAL(3,$B$2:B3464))</f>
        <v>3463</v>
      </c>
      <c r="B3464" s="9" t="s">
        <v>48</v>
      </c>
      <c r="C3464" s="10" t="s">
        <v>49</v>
      </c>
      <c r="D3464" s="11">
        <v>77.017868145409736</v>
      </c>
      <c r="E3464" s="12">
        <f t="shared" si="54"/>
        <v>44902</v>
      </c>
    </row>
    <row r="3465" spans="1:5" x14ac:dyDescent="0.25">
      <c r="A3465" s="2">
        <f>IF(B3465="","",SUBTOTAL(3,$B$2:B3465))</f>
        <v>3464</v>
      </c>
      <c r="B3465" s="9" t="s">
        <v>48</v>
      </c>
      <c r="C3465" s="10" t="s">
        <v>49</v>
      </c>
      <c r="D3465" s="11">
        <v>77.017868145409736</v>
      </c>
      <c r="E3465" s="12">
        <f t="shared" si="54"/>
        <v>44903</v>
      </c>
    </row>
    <row r="3466" spans="1:5" x14ac:dyDescent="0.25">
      <c r="A3466" s="2">
        <f>IF(B3466="","",SUBTOTAL(3,$B$2:B3466))</f>
        <v>3465</v>
      </c>
      <c r="B3466" s="9" t="s">
        <v>48</v>
      </c>
      <c r="C3466" s="10" t="s">
        <v>54</v>
      </c>
      <c r="D3466" s="11">
        <v>77.017868145409736</v>
      </c>
      <c r="E3466" s="12">
        <f t="shared" si="54"/>
        <v>44904</v>
      </c>
    </row>
    <row r="3467" spans="1:5" x14ac:dyDescent="0.25">
      <c r="A3467" s="2">
        <f>IF(B3467="","",SUBTOTAL(3,$B$2:B3467))</f>
        <v>3466</v>
      </c>
      <c r="B3467" s="9" t="s">
        <v>48</v>
      </c>
      <c r="C3467" s="10" t="s">
        <v>52</v>
      </c>
      <c r="D3467" s="11">
        <v>123.22858903265558</v>
      </c>
      <c r="E3467" s="12">
        <f t="shared" si="54"/>
        <v>44905</v>
      </c>
    </row>
    <row r="3468" spans="1:5" x14ac:dyDescent="0.25">
      <c r="A3468" s="2">
        <f>IF(B3468="","",SUBTOTAL(3,$B$2:B3468))</f>
        <v>3467</v>
      </c>
      <c r="B3468" s="9" t="s">
        <v>53</v>
      </c>
      <c r="C3468" s="10" t="s">
        <v>52</v>
      </c>
      <c r="D3468" s="11">
        <v>174.01338987242073</v>
      </c>
      <c r="E3468" s="12">
        <f t="shared" si="54"/>
        <v>44906</v>
      </c>
    </row>
    <row r="3469" spans="1:5" x14ac:dyDescent="0.25">
      <c r="A3469" s="2">
        <f>IF(B3469="","",SUBTOTAL(3,$B$2:B3469))</f>
        <v>3468</v>
      </c>
      <c r="B3469" s="9" t="s">
        <v>50</v>
      </c>
      <c r="C3469" s="10" t="s">
        <v>52</v>
      </c>
      <c r="D3469" s="11">
        <v>55.114638447971785</v>
      </c>
      <c r="E3469" s="12">
        <f t="shared" si="54"/>
        <v>44907</v>
      </c>
    </row>
    <row r="3470" spans="1:5" x14ac:dyDescent="0.25">
      <c r="A3470" s="2">
        <f>IF(B3470="","",SUBTOTAL(3,$B$2:B3470))</f>
        <v>3469</v>
      </c>
      <c r="B3470" s="9" t="s">
        <v>50</v>
      </c>
      <c r="C3470" s="10" t="s">
        <v>49</v>
      </c>
      <c r="D3470" s="11">
        <v>2350.2645502645505</v>
      </c>
      <c r="E3470" s="12">
        <f t="shared" si="54"/>
        <v>44908</v>
      </c>
    </row>
    <row r="3471" spans="1:5" x14ac:dyDescent="0.25">
      <c r="A3471" s="2">
        <f>IF(B3471="","",SUBTOTAL(3,$B$2:B3471))</f>
        <v>3470</v>
      </c>
      <c r="B3471" s="9" t="s">
        <v>48</v>
      </c>
      <c r="C3471" s="10" t="s">
        <v>56</v>
      </c>
      <c r="D3471" s="11">
        <v>256.96041524803104</v>
      </c>
      <c r="E3471" s="12">
        <f t="shared" si="54"/>
        <v>44909</v>
      </c>
    </row>
    <row r="3472" spans="1:5" x14ac:dyDescent="0.25">
      <c r="A3472" s="2">
        <f>IF(B3472="","",SUBTOTAL(3,$B$2:B3472))</f>
        <v>3471</v>
      </c>
      <c r="B3472" s="9" t="s">
        <v>50</v>
      </c>
      <c r="C3472" s="10" t="s">
        <v>49</v>
      </c>
      <c r="D3472" s="11">
        <v>110.22927689594357</v>
      </c>
      <c r="E3472" s="12">
        <f t="shared" si="54"/>
        <v>44910</v>
      </c>
    </row>
    <row r="3473" spans="1:5" x14ac:dyDescent="0.25">
      <c r="A3473" s="2">
        <f>IF(B3473="","",SUBTOTAL(3,$B$2:B3473))</f>
        <v>3472</v>
      </c>
      <c r="B3473" s="9" t="s">
        <v>50</v>
      </c>
      <c r="C3473" s="10" t="s">
        <v>49</v>
      </c>
      <c r="D3473" s="11">
        <v>66.137566137566139</v>
      </c>
      <c r="E3473" s="12">
        <f t="shared" si="54"/>
        <v>44911</v>
      </c>
    </row>
    <row r="3474" spans="1:5" x14ac:dyDescent="0.25">
      <c r="A3474" s="2">
        <f>IF(B3474="","",SUBTOTAL(3,$B$2:B3474))</f>
        <v>3473</v>
      </c>
      <c r="B3474" s="9" t="s">
        <v>50</v>
      </c>
      <c r="C3474" s="10" t="s">
        <v>52</v>
      </c>
      <c r="D3474" s="11">
        <v>33.06878306878307</v>
      </c>
      <c r="E3474" s="12">
        <f t="shared" si="54"/>
        <v>44912</v>
      </c>
    </row>
    <row r="3475" spans="1:5" x14ac:dyDescent="0.25">
      <c r="A3475" s="2">
        <f>IF(B3475="","",SUBTOTAL(3,$B$2:B3475))</f>
        <v>3474</v>
      </c>
      <c r="B3475" s="9" t="s">
        <v>48</v>
      </c>
      <c r="C3475" s="10" t="s">
        <v>54</v>
      </c>
      <c r="D3475" s="11">
        <v>1155.2680221811461</v>
      </c>
      <c r="E3475" s="12">
        <f t="shared" si="54"/>
        <v>44913</v>
      </c>
    </row>
    <row r="3476" spans="1:5" x14ac:dyDescent="0.25">
      <c r="A3476" s="2">
        <f>IF(B3476="","",SUBTOTAL(3,$B$2:B3476))</f>
        <v>3475</v>
      </c>
      <c r="B3476" s="9" t="s">
        <v>50</v>
      </c>
      <c r="C3476" s="10" t="s">
        <v>52</v>
      </c>
      <c r="D3476" s="11">
        <v>44.091710758377424</v>
      </c>
      <c r="E3476" s="12">
        <f t="shared" si="54"/>
        <v>44914</v>
      </c>
    </row>
    <row r="3477" spans="1:5" x14ac:dyDescent="0.25">
      <c r="A3477" s="2">
        <f>IF(B3477="","",SUBTOTAL(3,$B$2:B3477))</f>
        <v>3476</v>
      </c>
      <c r="B3477" s="9" t="s">
        <v>50</v>
      </c>
      <c r="C3477" s="10" t="s">
        <v>52</v>
      </c>
      <c r="D3477" s="11">
        <v>44.091710758377424</v>
      </c>
      <c r="E3477" s="12">
        <f t="shared" si="54"/>
        <v>44915</v>
      </c>
    </row>
    <row r="3478" spans="1:5" x14ac:dyDescent="0.25">
      <c r="A3478" s="2">
        <f>IF(B3478="","",SUBTOTAL(3,$B$2:B3478))</f>
        <v>3477</v>
      </c>
      <c r="B3478" s="9" t="s">
        <v>50</v>
      </c>
      <c r="C3478" s="10" t="s">
        <v>52</v>
      </c>
      <c r="D3478" s="11">
        <v>66.137566137566139</v>
      </c>
      <c r="E3478" s="12">
        <f t="shared" si="54"/>
        <v>44916</v>
      </c>
    </row>
    <row r="3479" spans="1:5" x14ac:dyDescent="0.25">
      <c r="A3479" s="2">
        <f>IF(B3479="","",SUBTOTAL(3,$B$2:B3479))</f>
        <v>3478</v>
      </c>
      <c r="B3479" s="9" t="s">
        <v>50</v>
      </c>
      <c r="C3479" s="10" t="s">
        <v>52</v>
      </c>
      <c r="D3479" s="11">
        <v>66.137566137566139</v>
      </c>
      <c r="E3479" s="12">
        <f t="shared" si="54"/>
        <v>44917</v>
      </c>
    </row>
    <row r="3480" spans="1:5" x14ac:dyDescent="0.25">
      <c r="A3480" s="2">
        <f>IF(B3480="","",SUBTOTAL(3,$B$2:B3480))</f>
        <v>3479</v>
      </c>
      <c r="B3480" s="9" t="s">
        <v>50</v>
      </c>
      <c r="C3480" s="10" t="s">
        <v>52</v>
      </c>
      <c r="D3480" s="11">
        <v>66.137566137566139</v>
      </c>
      <c r="E3480" s="12">
        <f t="shared" si="54"/>
        <v>44918</v>
      </c>
    </row>
    <row r="3481" spans="1:5" x14ac:dyDescent="0.25">
      <c r="A3481" s="2">
        <f>IF(B3481="","",SUBTOTAL(3,$B$2:B3481))</f>
        <v>3480</v>
      </c>
      <c r="B3481" s="9" t="s">
        <v>50</v>
      </c>
      <c r="C3481" s="10" t="s">
        <v>52</v>
      </c>
      <c r="D3481" s="11">
        <v>66.137566137566139</v>
      </c>
      <c r="E3481" s="12">
        <f t="shared" si="54"/>
        <v>44919</v>
      </c>
    </row>
    <row r="3482" spans="1:5" x14ac:dyDescent="0.25">
      <c r="A3482" s="2">
        <f>IF(B3482="","",SUBTOTAL(3,$B$2:B3482))</f>
        <v>3481</v>
      </c>
      <c r="B3482" s="9" t="s">
        <v>55</v>
      </c>
      <c r="C3482" s="10" t="s">
        <v>52</v>
      </c>
      <c r="D3482" s="11">
        <v>120.3659123736158</v>
      </c>
      <c r="E3482" s="12">
        <f t="shared" si="54"/>
        <v>44920</v>
      </c>
    </row>
    <row r="3483" spans="1:5" x14ac:dyDescent="0.25">
      <c r="A3483" s="2">
        <f>IF(B3483="","",SUBTOTAL(3,$B$2:B3483))</f>
        <v>3482</v>
      </c>
      <c r="B3483" s="9" t="s">
        <v>55</v>
      </c>
      <c r="C3483" s="10" t="s">
        <v>54</v>
      </c>
      <c r="D3483" s="11">
        <v>80.243941582410528</v>
      </c>
      <c r="E3483" s="12">
        <f t="shared" si="54"/>
        <v>44921</v>
      </c>
    </row>
    <row r="3484" spans="1:5" x14ac:dyDescent="0.25">
      <c r="A3484" s="2">
        <f>IF(B3484="","",SUBTOTAL(3,$B$2:B3484))</f>
        <v>3483</v>
      </c>
      <c r="B3484" s="9" t="s">
        <v>55</v>
      </c>
      <c r="C3484" s="10" t="s">
        <v>56</v>
      </c>
      <c r="D3484" s="11">
        <v>96.292729898892631</v>
      </c>
      <c r="E3484" s="12">
        <f t="shared" si="54"/>
        <v>44922</v>
      </c>
    </row>
    <row r="3485" spans="1:5" x14ac:dyDescent="0.25">
      <c r="A3485" s="2">
        <f>IF(B3485="","",SUBTOTAL(3,$B$2:B3485))</f>
        <v>3484</v>
      </c>
      <c r="B3485" s="9" t="s">
        <v>55</v>
      </c>
      <c r="C3485" s="10" t="s">
        <v>56</v>
      </c>
      <c r="D3485" s="11">
        <v>96.292729898892631</v>
      </c>
      <c r="E3485" s="12">
        <f t="shared" si="54"/>
        <v>44923</v>
      </c>
    </row>
    <row r="3486" spans="1:5" x14ac:dyDescent="0.25">
      <c r="A3486" s="2">
        <f>IF(B3486="","",SUBTOTAL(3,$B$2:B3486))</f>
        <v>3485</v>
      </c>
      <c r="B3486" s="9" t="s">
        <v>50</v>
      </c>
      <c r="C3486" s="10" t="s">
        <v>52</v>
      </c>
      <c r="D3486" s="11">
        <v>44.091710758377424</v>
      </c>
      <c r="E3486" s="12">
        <f t="shared" si="54"/>
        <v>44924</v>
      </c>
    </row>
    <row r="3487" spans="1:5" x14ac:dyDescent="0.25">
      <c r="A3487" s="2">
        <f>IF(B3487="","",SUBTOTAL(3,$B$2:B3487))</f>
        <v>3486</v>
      </c>
      <c r="B3487" s="9" t="s">
        <v>48</v>
      </c>
      <c r="C3487" s="10" t="s">
        <v>52</v>
      </c>
      <c r="D3487" s="11">
        <v>86.177180282661155</v>
      </c>
      <c r="E3487" s="12">
        <f t="shared" si="54"/>
        <v>44925</v>
      </c>
    </row>
    <row r="3488" spans="1:5" x14ac:dyDescent="0.25">
      <c r="A3488" s="2">
        <f>IF(B3488="","",SUBTOTAL(3,$B$2:B3488))</f>
        <v>3487</v>
      </c>
      <c r="B3488" s="9" t="s">
        <v>48</v>
      </c>
      <c r="C3488" s="10" t="s">
        <v>49</v>
      </c>
      <c r="D3488" s="11">
        <v>122.05619724281476</v>
      </c>
      <c r="E3488" s="12">
        <f t="shared" si="54"/>
        <v>44926</v>
      </c>
    </row>
    <row r="3489" spans="1:5" x14ac:dyDescent="0.25">
      <c r="A3489" s="2">
        <f>IF(B3489="","",SUBTOTAL(3,$B$2:B3489))</f>
        <v>3488</v>
      </c>
      <c r="B3489" s="9" t="s">
        <v>48</v>
      </c>
      <c r="C3489" s="10" t="s">
        <v>49</v>
      </c>
      <c r="D3489" s="11">
        <v>310.23784901758017</v>
      </c>
      <c r="E3489" s="12">
        <f t="shared" si="54"/>
        <v>44927</v>
      </c>
    </row>
    <row r="3490" spans="1:5" x14ac:dyDescent="0.25">
      <c r="A3490" s="2">
        <f>IF(B3490="","",SUBTOTAL(3,$B$2:B3490))</f>
        <v>3489</v>
      </c>
      <c r="B3490" s="9" t="s">
        <v>48</v>
      </c>
      <c r="C3490" s="10" t="s">
        <v>54</v>
      </c>
      <c r="D3490" s="11">
        <v>86.177180282661155</v>
      </c>
      <c r="E3490" s="12">
        <f t="shared" si="54"/>
        <v>44928</v>
      </c>
    </row>
    <row r="3491" spans="1:5" x14ac:dyDescent="0.25">
      <c r="A3491" s="2">
        <f>IF(B3491="","",SUBTOTAL(3,$B$2:B3491))</f>
        <v>3490</v>
      </c>
      <c r="B3491" s="9" t="s">
        <v>55</v>
      </c>
      <c r="C3491" s="10" t="s">
        <v>54</v>
      </c>
      <c r="D3491" s="11">
        <v>8.0243941582410532</v>
      </c>
      <c r="E3491" s="12">
        <f t="shared" si="54"/>
        <v>44929</v>
      </c>
    </row>
    <row r="3492" spans="1:5" x14ac:dyDescent="0.25">
      <c r="A3492" s="2">
        <f>IF(B3492="","",SUBTOTAL(3,$B$2:B3492))</f>
        <v>3491</v>
      </c>
      <c r="B3492" s="9" t="s">
        <v>55</v>
      </c>
      <c r="C3492" s="10" t="s">
        <v>56</v>
      </c>
      <c r="D3492" s="11">
        <v>16.048788316482106</v>
      </c>
      <c r="E3492" s="12">
        <f t="shared" si="54"/>
        <v>44930</v>
      </c>
    </row>
    <row r="3493" spans="1:5" x14ac:dyDescent="0.25">
      <c r="A3493" s="2">
        <f>IF(B3493="","",SUBTOTAL(3,$B$2:B3493))</f>
        <v>3492</v>
      </c>
      <c r="B3493" s="9" t="s">
        <v>51</v>
      </c>
      <c r="C3493" s="10" t="s">
        <v>52</v>
      </c>
      <c r="D3493" s="11">
        <v>423.59419675950437</v>
      </c>
      <c r="E3493" s="12">
        <f t="shared" si="54"/>
        <v>44931</v>
      </c>
    </row>
    <row r="3494" spans="1:5" x14ac:dyDescent="0.25">
      <c r="A3494" s="2">
        <f>IF(B3494="","",SUBTOTAL(3,$B$2:B3494))</f>
        <v>3493</v>
      </c>
      <c r="B3494" s="9" t="s">
        <v>51</v>
      </c>
      <c r="C3494" s="10" t="s">
        <v>52</v>
      </c>
      <c r="D3494" s="11">
        <v>52.949274594938046</v>
      </c>
      <c r="E3494" s="12">
        <f t="shared" si="54"/>
        <v>44932</v>
      </c>
    </row>
    <row r="3495" spans="1:5" x14ac:dyDescent="0.25">
      <c r="A3495" s="2">
        <f>IF(B3495="","",SUBTOTAL(3,$B$2:B3495))</f>
        <v>3494</v>
      </c>
      <c r="B3495" s="9" t="s">
        <v>51</v>
      </c>
      <c r="C3495" s="10" t="s">
        <v>52</v>
      </c>
      <c r="D3495" s="11">
        <v>264.74637297469025</v>
      </c>
      <c r="E3495" s="12">
        <f t="shared" si="54"/>
        <v>44933</v>
      </c>
    </row>
    <row r="3496" spans="1:5" x14ac:dyDescent="0.25">
      <c r="A3496" s="2">
        <f>IF(B3496="","",SUBTOTAL(3,$B$2:B3496))</f>
        <v>3495</v>
      </c>
      <c r="B3496" s="9" t="s">
        <v>48</v>
      </c>
      <c r="C3496" s="10" t="s">
        <v>49</v>
      </c>
      <c r="D3496" s="11">
        <v>30.807147258163894</v>
      </c>
      <c r="E3496" s="12">
        <f t="shared" si="54"/>
        <v>44934</v>
      </c>
    </row>
    <row r="3497" spans="1:5" x14ac:dyDescent="0.25">
      <c r="A3497" s="2">
        <f>IF(B3497="","",SUBTOTAL(3,$B$2:B3497))</f>
        <v>3496</v>
      </c>
      <c r="B3497" s="9" t="s">
        <v>48</v>
      </c>
      <c r="C3497" s="10" t="s">
        <v>49</v>
      </c>
      <c r="D3497" s="11">
        <v>30.807147258163894</v>
      </c>
      <c r="E3497" s="12">
        <f t="shared" si="54"/>
        <v>44935</v>
      </c>
    </row>
    <row r="3498" spans="1:5" x14ac:dyDescent="0.25">
      <c r="A3498" s="2">
        <f>IF(B3498="","",SUBTOTAL(3,$B$2:B3498))</f>
        <v>3497</v>
      </c>
      <c r="B3498" s="9" t="s">
        <v>48</v>
      </c>
      <c r="C3498" s="10" t="s">
        <v>49</v>
      </c>
      <c r="D3498" s="11">
        <v>15.403573629081947</v>
      </c>
      <c r="E3498" s="12">
        <f t="shared" si="54"/>
        <v>44936</v>
      </c>
    </row>
    <row r="3499" spans="1:5" x14ac:dyDescent="0.25">
      <c r="A3499" s="2">
        <f>IF(B3499="","",SUBTOTAL(3,$B$2:B3499))</f>
        <v>3498</v>
      </c>
      <c r="B3499" s="9" t="s">
        <v>48</v>
      </c>
      <c r="C3499" s="10" t="s">
        <v>49</v>
      </c>
      <c r="D3499" s="11">
        <v>30.807147258163894</v>
      </c>
      <c r="E3499" s="12">
        <f t="shared" si="54"/>
        <v>44937</v>
      </c>
    </row>
    <row r="3500" spans="1:5" x14ac:dyDescent="0.25">
      <c r="A3500" s="2">
        <f>IF(B3500="","",SUBTOTAL(3,$B$2:B3500))</f>
        <v>3499</v>
      </c>
      <c r="B3500" s="9" t="s">
        <v>51</v>
      </c>
      <c r="C3500" s="10" t="s">
        <v>49</v>
      </c>
      <c r="D3500" s="11">
        <v>423.59419675950437</v>
      </c>
      <c r="E3500" s="12">
        <f t="shared" si="54"/>
        <v>44938</v>
      </c>
    </row>
    <row r="3501" spans="1:5" x14ac:dyDescent="0.25">
      <c r="A3501" s="2">
        <f>IF(B3501="","",SUBTOTAL(3,$B$2:B3501))</f>
        <v>3500</v>
      </c>
      <c r="B3501" s="9" t="s">
        <v>50</v>
      </c>
      <c r="C3501" s="10" t="s">
        <v>54</v>
      </c>
      <c r="D3501" s="11">
        <v>22.045855379188712</v>
      </c>
      <c r="E3501" s="12">
        <f t="shared" si="54"/>
        <v>44939</v>
      </c>
    </row>
    <row r="3502" spans="1:5" x14ac:dyDescent="0.25">
      <c r="A3502" s="2">
        <f>IF(B3502="","",SUBTOTAL(3,$B$2:B3502))</f>
        <v>3501</v>
      </c>
      <c r="B3502" s="9" t="s">
        <v>50</v>
      </c>
      <c r="C3502" s="10" t="s">
        <v>54</v>
      </c>
      <c r="D3502" s="11">
        <v>33.06878306878307</v>
      </c>
      <c r="E3502" s="12">
        <f t="shared" si="54"/>
        <v>44940</v>
      </c>
    </row>
    <row r="3503" spans="1:5" x14ac:dyDescent="0.25">
      <c r="A3503" s="2">
        <f>IF(B3503="","",SUBTOTAL(3,$B$2:B3503))</f>
        <v>3502</v>
      </c>
      <c r="B3503" s="9" t="s">
        <v>50</v>
      </c>
      <c r="C3503" s="10" t="s">
        <v>54</v>
      </c>
      <c r="D3503" s="11">
        <v>44.091710758377424</v>
      </c>
      <c r="E3503" s="12">
        <f t="shared" si="54"/>
        <v>44941</v>
      </c>
    </row>
    <row r="3504" spans="1:5" x14ac:dyDescent="0.25">
      <c r="A3504" s="2">
        <f>IF(B3504="","",SUBTOTAL(3,$B$2:B3504))</f>
        <v>3503</v>
      </c>
      <c r="B3504" s="9" t="s">
        <v>50</v>
      </c>
      <c r="C3504" s="10" t="s">
        <v>54</v>
      </c>
      <c r="D3504" s="11">
        <v>132.27513227513228</v>
      </c>
      <c r="E3504" s="12">
        <f t="shared" si="54"/>
        <v>44942</v>
      </c>
    </row>
    <row r="3505" spans="1:5" x14ac:dyDescent="0.25">
      <c r="A3505" s="2">
        <f>IF(B3505="","",SUBTOTAL(3,$B$2:B3505))</f>
        <v>3504</v>
      </c>
      <c r="B3505" s="9" t="s">
        <v>50</v>
      </c>
      <c r="C3505" s="10" t="s">
        <v>54</v>
      </c>
      <c r="D3505" s="11">
        <v>132.27513227513228</v>
      </c>
      <c r="E3505" s="12">
        <f t="shared" si="54"/>
        <v>44943</v>
      </c>
    </row>
    <row r="3506" spans="1:5" x14ac:dyDescent="0.25">
      <c r="A3506" s="2">
        <f>IF(B3506="","",SUBTOTAL(3,$B$2:B3506))</f>
        <v>3505</v>
      </c>
      <c r="B3506" s="9" t="s">
        <v>50</v>
      </c>
      <c r="C3506" s="10" t="s">
        <v>54</v>
      </c>
      <c r="D3506" s="11">
        <v>132.27513227513228</v>
      </c>
      <c r="E3506" s="12">
        <f t="shared" si="54"/>
        <v>44944</v>
      </c>
    </row>
    <row r="3507" spans="1:5" x14ac:dyDescent="0.25">
      <c r="A3507" s="2">
        <f>IF(B3507="","",SUBTOTAL(3,$B$2:B3507))</f>
        <v>3506</v>
      </c>
      <c r="B3507" s="9" t="s">
        <v>50</v>
      </c>
      <c r="C3507" s="10" t="s">
        <v>49</v>
      </c>
      <c r="D3507" s="11">
        <v>66.137566137566139</v>
      </c>
      <c r="E3507" s="12">
        <f t="shared" si="54"/>
        <v>44945</v>
      </c>
    </row>
    <row r="3508" spans="1:5" x14ac:dyDescent="0.25">
      <c r="A3508" s="2">
        <f>IF(B3508="","",SUBTOTAL(3,$B$2:B3508))</f>
        <v>3507</v>
      </c>
      <c r="B3508" s="9" t="s">
        <v>50</v>
      </c>
      <c r="C3508" s="10" t="s">
        <v>49</v>
      </c>
      <c r="D3508" s="11">
        <v>55.114638447971785</v>
      </c>
      <c r="E3508" s="12">
        <f t="shared" si="54"/>
        <v>44946</v>
      </c>
    </row>
    <row r="3509" spans="1:5" x14ac:dyDescent="0.25">
      <c r="A3509" s="2">
        <f>IF(B3509="","",SUBTOTAL(3,$B$2:B3509))</f>
        <v>3508</v>
      </c>
      <c r="B3509" s="9" t="s">
        <v>51</v>
      </c>
      <c r="C3509" s="10" t="s">
        <v>49</v>
      </c>
      <c r="D3509" s="11">
        <v>105.89854918987609</v>
      </c>
      <c r="E3509" s="12">
        <f t="shared" si="54"/>
        <v>44947</v>
      </c>
    </row>
    <row r="3510" spans="1:5" x14ac:dyDescent="0.25">
      <c r="A3510" s="2">
        <f>IF(B3510="","",SUBTOTAL(3,$B$2:B3510))</f>
        <v>3509</v>
      </c>
      <c r="B3510" s="9" t="s">
        <v>48</v>
      </c>
      <c r="C3510" s="10" t="s">
        <v>52</v>
      </c>
      <c r="D3510" s="11">
        <v>6.1614294516327792</v>
      </c>
      <c r="E3510" s="12">
        <f t="shared" si="54"/>
        <v>44948</v>
      </c>
    </row>
    <row r="3511" spans="1:5" x14ac:dyDescent="0.25">
      <c r="A3511" s="2">
        <f>IF(B3511="","",SUBTOTAL(3,$B$2:B3511))</f>
        <v>3510</v>
      </c>
      <c r="B3511" s="9" t="s">
        <v>48</v>
      </c>
      <c r="C3511" s="10" t="s">
        <v>49</v>
      </c>
      <c r="D3511" s="11">
        <v>44.670363524337645</v>
      </c>
      <c r="E3511" s="12">
        <f t="shared" si="54"/>
        <v>44949</v>
      </c>
    </row>
    <row r="3512" spans="1:5" x14ac:dyDescent="0.25">
      <c r="A3512" s="2">
        <f>IF(B3512="","",SUBTOTAL(3,$B$2:B3512))</f>
        <v>3511</v>
      </c>
      <c r="B3512" s="9" t="s">
        <v>48</v>
      </c>
      <c r="C3512" s="10" t="s">
        <v>52</v>
      </c>
      <c r="D3512" s="11">
        <v>77.017868145409736</v>
      </c>
      <c r="E3512" s="12">
        <f t="shared" si="54"/>
        <v>44950</v>
      </c>
    </row>
    <row r="3513" spans="1:5" x14ac:dyDescent="0.25">
      <c r="A3513" s="2">
        <f>IF(B3513="","",SUBTOTAL(3,$B$2:B3513))</f>
        <v>3512</v>
      </c>
      <c r="B3513" s="9" t="s">
        <v>48</v>
      </c>
      <c r="C3513" s="10" t="s">
        <v>49</v>
      </c>
      <c r="D3513" s="11">
        <v>28.496611213801604</v>
      </c>
      <c r="E3513" s="12">
        <f t="shared" si="54"/>
        <v>44951</v>
      </c>
    </row>
    <row r="3514" spans="1:5" x14ac:dyDescent="0.25">
      <c r="A3514" s="2">
        <f>IF(B3514="","",SUBTOTAL(3,$B$2:B3514))</f>
        <v>3513</v>
      </c>
      <c r="B3514" s="9" t="s">
        <v>48</v>
      </c>
      <c r="C3514" s="10" t="s">
        <v>49</v>
      </c>
      <c r="D3514" s="11">
        <v>46.210720887245841</v>
      </c>
      <c r="E3514" s="12">
        <f t="shared" si="54"/>
        <v>44952</v>
      </c>
    </row>
    <row r="3515" spans="1:5" x14ac:dyDescent="0.25">
      <c r="A3515" s="2">
        <f>IF(B3515="","",SUBTOTAL(3,$B$2:B3515))</f>
        <v>3514</v>
      </c>
      <c r="B3515" s="9" t="s">
        <v>48</v>
      </c>
      <c r="C3515" s="10" t="s">
        <v>49</v>
      </c>
      <c r="D3515" s="11">
        <v>7.7017868145409736</v>
      </c>
      <c r="E3515" s="12">
        <f t="shared" si="54"/>
        <v>44953</v>
      </c>
    </row>
    <row r="3516" spans="1:5" x14ac:dyDescent="0.25">
      <c r="A3516" s="2">
        <f>IF(B3516="","",SUBTOTAL(3,$B$2:B3516))</f>
        <v>3515</v>
      </c>
      <c r="B3516" s="9" t="s">
        <v>50</v>
      </c>
      <c r="C3516" s="10" t="s">
        <v>49</v>
      </c>
      <c r="D3516" s="11">
        <v>88.183421516754848</v>
      </c>
      <c r="E3516" s="12">
        <f t="shared" si="54"/>
        <v>44954</v>
      </c>
    </row>
    <row r="3517" spans="1:5" x14ac:dyDescent="0.25">
      <c r="A3517" s="2">
        <f>IF(B3517="","",SUBTOTAL(3,$B$2:B3517))</f>
        <v>3516</v>
      </c>
      <c r="B3517" s="9" t="s">
        <v>50</v>
      </c>
      <c r="C3517" s="10" t="s">
        <v>49</v>
      </c>
      <c r="D3517" s="11">
        <v>110.22927689594357</v>
      </c>
      <c r="E3517" s="12">
        <f t="shared" si="54"/>
        <v>44955</v>
      </c>
    </row>
    <row r="3518" spans="1:5" x14ac:dyDescent="0.25">
      <c r="A3518" s="2">
        <f>IF(B3518="","",SUBTOTAL(3,$B$2:B3518))</f>
        <v>3517</v>
      </c>
      <c r="B3518" s="9" t="s">
        <v>55</v>
      </c>
      <c r="C3518" s="10" t="s">
        <v>52</v>
      </c>
      <c r="D3518" s="11">
        <v>16.294606485253382</v>
      </c>
      <c r="E3518" s="12">
        <f t="shared" si="54"/>
        <v>44956</v>
      </c>
    </row>
    <row r="3519" spans="1:5" x14ac:dyDescent="0.25">
      <c r="A3519" s="2">
        <f>IF(B3519="","",SUBTOTAL(3,$B$2:B3519))</f>
        <v>3518</v>
      </c>
      <c r="B3519" s="9" t="s">
        <v>50</v>
      </c>
      <c r="C3519" s="10" t="s">
        <v>49</v>
      </c>
      <c r="D3519" s="11">
        <v>110.22927689594357</v>
      </c>
      <c r="E3519" s="12">
        <f t="shared" si="54"/>
        <v>44957</v>
      </c>
    </row>
    <row r="3520" spans="1:5" x14ac:dyDescent="0.25">
      <c r="A3520" s="2">
        <f>IF(B3520="","",SUBTOTAL(3,$B$2:B3520))</f>
        <v>3519</v>
      </c>
      <c r="B3520" s="9" t="s">
        <v>55</v>
      </c>
      <c r="C3520" s="10" t="s">
        <v>52</v>
      </c>
      <c r="D3520" s="11">
        <v>200</v>
      </c>
      <c r="E3520" s="12">
        <f t="shared" si="54"/>
        <v>44958</v>
      </c>
    </row>
    <row r="3521" spans="1:5" x14ac:dyDescent="0.25">
      <c r="A3521" s="2">
        <f>IF(B3521="","",SUBTOTAL(3,$B$2:B3521))</f>
        <v>3520</v>
      </c>
      <c r="B3521" s="9" t="s">
        <v>48</v>
      </c>
      <c r="C3521" s="10" t="s">
        <v>49</v>
      </c>
      <c r="D3521" s="11">
        <v>46.210720887245841</v>
      </c>
      <c r="E3521" s="12">
        <f t="shared" si="54"/>
        <v>44959</v>
      </c>
    </row>
    <row r="3522" spans="1:5" x14ac:dyDescent="0.25">
      <c r="A3522" s="2">
        <f>IF(B3522="","",SUBTOTAL(3,$B$2:B3522))</f>
        <v>3521</v>
      </c>
      <c r="B3522" s="9" t="s">
        <v>48</v>
      </c>
      <c r="C3522" s="10" t="s">
        <v>49</v>
      </c>
      <c r="D3522" s="11">
        <v>92.421441774491683</v>
      </c>
      <c r="E3522" s="12">
        <f t="shared" si="54"/>
        <v>44960</v>
      </c>
    </row>
    <row r="3523" spans="1:5" x14ac:dyDescent="0.25">
      <c r="A3523" s="2">
        <f>IF(B3523="","",SUBTOTAL(3,$B$2:B3523))</f>
        <v>3522</v>
      </c>
      <c r="B3523" s="9" t="s">
        <v>48</v>
      </c>
      <c r="C3523" s="10" t="s">
        <v>49</v>
      </c>
      <c r="D3523" s="11">
        <v>27.726432532347506</v>
      </c>
      <c r="E3523" s="12">
        <f t="shared" si="54"/>
        <v>44961</v>
      </c>
    </row>
    <row r="3524" spans="1:5" x14ac:dyDescent="0.25">
      <c r="A3524" s="2">
        <f>IF(B3524="","",SUBTOTAL(3,$B$2:B3524))</f>
        <v>3523</v>
      </c>
      <c r="B3524" s="9" t="s">
        <v>48</v>
      </c>
      <c r="C3524" s="10" t="s">
        <v>54</v>
      </c>
      <c r="D3524" s="11">
        <v>25.163736642537057</v>
      </c>
      <c r="E3524" s="12">
        <f t="shared" ref="E3524:E3587" si="55">E3523+1</f>
        <v>44962</v>
      </c>
    </row>
    <row r="3525" spans="1:5" x14ac:dyDescent="0.25">
      <c r="A3525" s="2">
        <f>IF(B3525="","",SUBTOTAL(3,$B$2:B3525))</f>
        <v>3524</v>
      </c>
      <c r="B3525" s="9" t="s">
        <v>50</v>
      </c>
      <c r="C3525" s="10" t="s">
        <v>49</v>
      </c>
      <c r="D3525" s="11">
        <v>771.60493827160496</v>
      </c>
      <c r="E3525" s="12">
        <f t="shared" si="55"/>
        <v>44963</v>
      </c>
    </row>
    <row r="3526" spans="1:5" x14ac:dyDescent="0.25">
      <c r="A3526" s="2">
        <f>IF(B3526="","",SUBTOTAL(3,$B$2:B3526))</f>
        <v>3525</v>
      </c>
      <c r="B3526" s="9" t="s">
        <v>50</v>
      </c>
      <c r="C3526" s="10" t="s">
        <v>52</v>
      </c>
      <c r="D3526" s="11">
        <v>66.137566137566139</v>
      </c>
      <c r="E3526" s="12">
        <f t="shared" si="55"/>
        <v>44964</v>
      </c>
    </row>
    <row r="3527" spans="1:5" x14ac:dyDescent="0.25">
      <c r="A3527" s="2">
        <f>IF(B3527="","",SUBTOTAL(3,$B$2:B3527))</f>
        <v>3526</v>
      </c>
      <c r="B3527" s="9" t="s">
        <v>50</v>
      </c>
      <c r="C3527" s="10" t="s">
        <v>49</v>
      </c>
      <c r="D3527" s="11">
        <v>979.34193121693124</v>
      </c>
      <c r="E3527" s="12">
        <f t="shared" si="55"/>
        <v>44965</v>
      </c>
    </row>
    <row r="3528" spans="1:5" x14ac:dyDescent="0.25">
      <c r="A3528" s="2">
        <f>IF(B3528="","",SUBTOTAL(3,$B$2:B3528))</f>
        <v>3527</v>
      </c>
      <c r="B3528" s="9" t="s">
        <v>55</v>
      </c>
      <c r="C3528" s="10" t="s">
        <v>49</v>
      </c>
      <c r="D3528" s="11">
        <v>2.6654717288577481</v>
      </c>
      <c r="E3528" s="12">
        <f t="shared" si="55"/>
        <v>44966</v>
      </c>
    </row>
    <row r="3529" spans="1:5" x14ac:dyDescent="0.25">
      <c r="A3529" s="2">
        <f>IF(B3529="","",SUBTOTAL(3,$B$2:B3529))</f>
        <v>3528</v>
      </c>
      <c r="B3529" s="9" t="s">
        <v>55</v>
      </c>
      <c r="C3529" s="10" t="s">
        <v>52</v>
      </c>
      <c r="D3529" s="11">
        <v>57.426379381632742</v>
      </c>
      <c r="E3529" s="12">
        <f t="shared" si="55"/>
        <v>44967</v>
      </c>
    </row>
    <row r="3530" spans="1:5" x14ac:dyDescent="0.25">
      <c r="A3530" s="2">
        <f>IF(B3530="","",SUBTOTAL(3,$B$2:B3530))</f>
        <v>3529</v>
      </c>
      <c r="B3530" s="9" t="s">
        <v>55</v>
      </c>
      <c r="C3530" s="10" t="s">
        <v>52</v>
      </c>
      <c r="D3530" s="11">
        <v>22.970551752653101</v>
      </c>
      <c r="E3530" s="12">
        <f t="shared" si="55"/>
        <v>44968</v>
      </c>
    </row>
    <row r="3531" spans="1:5" x14ac:dyDescent="0.25">
      <c r="A3531" s="2">
        <f>IF(B3531="","",SUBTOTAL(3,$B$2:B3531))</f>
        <v>3530</v>
      </c>
      <c r="B3531" s="9" t="s">
        <v>48</v>
      </c>
      <c r="C3531" s="10" t="s">
        <v>49</v>
      </c>
      <c r="D3531" s="11">
        <v>154.03573629081947</v>
      </c>
      <c r="E3531" s="12">
        <f t="shared" si="55"/>
        <v>44969</v>
      </c>
    </row>
    <row r="3532" spans="1:5" x14ac:dyDescent="0.25">
      <c r="A3532" s="2">
        <f>IF(B3532="","",SUBTOTAL(3,$B$2:B3532))</f>
        <v>3531</v>
      </c>
      <c r="B3532" s="9" t="s">
        <v>50</v>
      </c>
      <c r="C3532" s="10" t="s">
        <v>52</v>
      </c>
      <c r="D3532" s="11">
        <v>66.137566137566139</v>
      </c>
      <c r="E3532" s="12">
        <f t="shared" si="55"/>
        <v>44970</v>
      </c>
    </row>
    <row r="3533" spans="1:5" x14ac:dyDescent="0.25">
      <c r="A3533" s="2">
        <f>IF(B3533="","",SUBTOTAL(3,$B$2:B3533))</f>
        <v>3532</v>
      </c>
      <c r="B3533" s="9" t="s">
        <v>50</v>
      </c>
      <c r="C3533" s="10" t="s">
        <v>52</v>
      </c>
      <c r="D3533" s="11">
        <v>66.137566137566139</v>
      </c>
      <c r="E3533" s="12">
        <f t="shared" si="55"/>
        <v>44971</v>
      </c>
    </row>
    <row r="3534" spans="1:5" x14ac:dyDescent="0.25">
      <c r="A3534" s="2">
        <f>IF(B3534="","",SUBTOTAL(3,$B$2:B3534))</f>
        <v>3533</v>
      </c>
      <c r="B3534" s="9" t="s">
        <v>50</v>
      </c>
      <c r="C3534" s="10" t="s">
        <v>52</v>
      </c>
      <c r="D3534" s="11">
        <v>66.137566137566139</v>
      </c>
      <c r="E3534" s="12">
        <f t="shared" si="55"/>
        <v>44972</v>
      </c>
    </row>
    <row r="3535" spans="1:5" x14ac:dyDescent="0.25">
      <c r="A3535" s="2">
        <f>IF(B3535="","",SUBTOTAL(3,$B$2:B3535))</f>
        <v>3534</v>
      </c>
      <c r="B3535" s="9" t="s">
        <v>50</v>
      </c>
      <c r="C3535" s="10" t="s">
        <v>52</v>
      </c>
      <c r="D3535" s="11">
        <v>66.137566137566139</v>
      </c>
      <c r="E3535" s="12">
        <f t="shared" si="55"/>
        <v>44973</v>
      </c>
    </row>
    <row r="3536" spans="1:5" x14ac:dyDescent="0.25">
      <c r="A3536" s="2">
        <f>IF(B3536="","",SUBTOTAL(3,$B$2:B3536))</f>
        <v>3535</v>
      </c>
      <c r="B3536" s="9" t="s">
        <v>50</v>
      </c>
      <c r="C3536" s="10" t="s">
        <v>52</v>
      </c>
      <c r="D3536" s="11">
        <v>13.227513227513228</v>
      </c>
      <c r="E3536" s="12">
        <f t="shared" si="55"/>
        <v>44974</v>
      </c>
    </row>
    <row r="3537" spans="1:5" x14ac:dyDescent="0.25">
      <c r="A3537" s="2">
        <f>IF(B3537="","",SUBTOTAL(3,$B$2:B3537))</f>
        <v>3536</v>
      </c>
      <c r="B3537" s="9" t="s">
        <v>50</v>
      </c>
      <c r="C3537" s="10" t="s">
        <v>49</v>
      </c>
      <c r="D3537" s="11">
        <v>108.24305555555556</v>
      </c>
      <c r="E3537" s="12">
        <f t="shared" si="55"/>
        <v>44975</v>
      </c>
    </row>
    <row r="3538" spans="1:5" x14ac:dyDescent="0.25">
      <c r="A3538" s="2">
        <f>IF(B3538="","",SUBTOTAL(3,$B$2:B3538))</f>
        <v>3537</v>
      </c>
      <c r="B3538" s="9" t="s">
        <v>50</v>
      </c>
      <c r="C3538" s="10" t="s">
        <v>49</v>
      </c>
      <c r="D3538" s="11">
        <v>26.455026455026456</v>
      </c>
      <c r="E3538" s="12">
        <f t="shared" si="55"/>
        <v>44976</v>
      </c>
    </row>
    <row r="3539" spans="1:5" x14ac:dyDescent="0.25">
      <c r="A3539" s="2">
        <f>IF(B3539="","",SUBTOTAL(3,$B$2:B3539))</f>
        <v>3538</v>
      </c>
      <c r="B3539" s="9" t="s">
        <v>51</v>
      </c>
      <c r="C3539" s="10" t="s">
        <v>49</v>
      </c>
      <c r="D3539" s="11">
        <v>127.39595467542094</v>
      </c>
      <c r="E3539" s="12">
        <f t="shared" si="55"/>
        <v>44977</v>
      </c>
    </row>
    <row r="3540" spans="1:5" x14ac:dyDescent="0.25">
      <c r="A3540" s="2">
        <f>IF(B3540="","",SUBTOTAL(3,$B$2:B3540))</f>
        <v>3539</v>
      </c>
      <c r="B3540" s="9" t="s">
        <v>53</v>
      </c>
      <c r="C3540" s="10" t="s">
        <v>49</v>
      </c>
      <c r="D3540" s="11">
        <v>183.17198933939025</v>
      </c>
      <c r="E3540" s="12">
        <f t="shared" si="55"/>
        <v>44978</v>
      </c>
    </row>
    <row r="3541" spans="1:5" x14ac:dyDescent="0.25">
      <c r="A3541" s="2">
        <f>IF(B3541="","",SUBTOTAL(3,$B$2:B3541))</f>
        <v>3540</v>
      </c>
      <c r="B3541" s="9" t="s">
        <v>53</v>
      </c>
      <c r="C3541" s="10" t="s">
        <v>54</v>
      </c>
      <c r="D3541" s="11">
        <v>137.37899200454268</v>
      </c>
      <c r="E3541" s="12">
        <f t="shared" si="55"/>
        <v>44979</v>
      </c>
    </row>
    <row r="3542" spans="1:5" x14ac:dyDescent="0.25">
      <c r="A3542" s="2">
        <f>IF(B3542="","",SUBTOTAL(3,$B$2:B3542))</f>
        <v>3541</v>
      </c>
      <c r="B3542" s="9" t="s">
        <v>48</v>
      </c>
      <c r="C3542" s="10" t="s">
        <v>52</v>
      </c>
      <c r="D3542" s="11">
        <v>123.22858903265558</v>
      </c>
      <c r="E3542" s="12">
        <f t="shared" si="55"/>
        <v>44980</v>
      </c>
    </row>
    <row r="3543" spans="1:5" x14ac:dyDescent="0.25">
      <c r="A3543" s="2">
        <f>IF(B3543="","",SUBTOTAL(3,$B$2:B3543))</f>
        <v>3542</v>
      </c>
      <c r="B3543" s="9" t="s">
        <v>48</v>
      </c>
      <c r="C3543" s="10" t="s">
        <v>52</v>
      </c>
      <c r="D3543" s="11">
        <v>123.22858903265558</v>
      </c>
      <c r="E3543" s="12">
        <f t="shared" si="55"/>
        <v>44981</v>
      </c>
    </row>
    <row r="3544" spans="1:5" x14ac:dyDescent="0.25">
      <c r="A3544" s="2">
        <f>IF(B3544="","",SUBTOTAL(3,$B$2:B3544))</f>
        <v>3543</v>
      </c>
      <c r="B3544" s="9" t="s">
        <v>48</v>
      </c>
      <c r="C3544" s="10" t="s">
        <v>52</v>
      </c>
      <c r="D3544" s="11">
        <v>123.22858903265558</v>
      </c>
      <c r="E3544" s="12">
        <f t="shared" si="55"/>
        <v>44982</v>
      </c>
    </row>
    <row r="3545" spans="1:5" x14ac:dyDescent="0.25">
      <c r="A3545" s="2">
        <f>IF(B3545="","",SUBTOTAL(3,$B$2:B3545))</f>
        <v>3544</v>
      </c>
      <c r="B3545" s="9" t="s">
        <v>48</v>
      </c>
      <c r="C3545" s="10" t="s">
        <v>52</v>
      </c>
      <c r="D3545" s="11">
        <v>123.22858903265558</v>
      </c>
      <c r="E3545" s="12">
        <f t="shared" si="55"/>
        <v>44983</v>
      </c>
    </row>
    <row r="3546" spans="1:5" x14ac:dyDescent="0.25">
      <c r="A3546" s="2">
        <f>IF(B3546="","",SUBTOTAL(3,$B$2:B3546))</f>
        <v>3545</v>
      </c>
      <c r="B3546" s="9" t="s">
        <v>48</v>
      </c>
      <c r="C3546" s="10" t="s">
        <v>52</v>
      </c>
      <c r="D3546" s="11">
        <v>123.22858903265558</v>
      </c>
      <c r="E3546" s="12">
        <f t="shared" si="55"/>
        <v>44984</v>
      </c>
    </row>
    <row r="3547" spans="1:5" x14ac:dyDescent="0.25">
      <c r="A3547" s="2">
        <f>IF(B3547="","",SUBTOTAL(3,$B$2:B3547))</f>
        <v>3546</v>
      </c>
      <c r="B3547" s="9" t="s">
        <v>48</v>
      </c>
      <c r="C3547" s="10" t="s">
        <v>52</v>
      </c>
      <c r="D3547" s="11">
        <v>123.22858903265558</v>
      </c>
      <c r="E3547" s="12">
        <f t="shared" si="55"/>
        <v>44985</v>
      </c>
    </row>
    <row r="3548" spans="1:5" x14ac:dyDescent="0.25">
      <c r="A3548" s="2">
        <f>IF(B3548="","",SUBTOTAL(3,$B$2:B3548))</f>
        <v>3547</v>
      </c>
      <c r="B3548" s="9" t="s">
        <v>48</v>
      </c>
      <c r="C3548" s="10" t="s">
        <v>52</v>
      </c>
      <c r="D3548" s="11">
        <v>123.22858903265558</v>
      </c>
      <c r="E3548" s="12">
        <f t="shared" si="55"/>
        <v>44986</v>
      </c>
    </row>
    <row r="3549" spans="1:5" x14ac:dyDescent="0.25">
      <c r="A3549" s="2">
        <f>IF(B3549="","",SUBTOTAL(3,$B$2:B3549))</f>
        <v>3548</v>
      </c>
      <c r="B3549" s="9" t="s">
        <v>50</v>
      </c>
      <c r="C3549" s="10" t="s">
        <v>52</v>
      </c>
      <c r="D3549" s="11">
        <v>66.137566137566139</v>
      </c>
      <c r="E3549" s="12">
        <f t="shared" si="55"/>
        <v>44987</v>
      </c>
    </row>
    <row r="3550" spans="1:5" x14ac:dyDescent="0.25">
      <c r="A3550" s="2">
        <f>IF(B3550="","",SUBTOTAL(3,$B$2:B3550))</f>
        <v>3549</v>
      </c>
      <c r="B3550" s="9" t="s">
        <v>50</v>
      </c>
      <c r="C3550" s="10" t="s">
        <v>52</v>
      </c>
      <c r="D3550" s="11">
        <v>66.137566137566139</v>
      </c>
      <c r="E3550" s="12">
        <f t="shared" si="55"/>
        <v>44988</v>
      </c>
    </row>
    <row r="3551" spans="1:5" x14ac:dyDescent="0.25">
      <c r="A3551" s="2">
        <f>IF(B3551="","",SUBTOTAL(3,$B$2:B3551))</f>
        <v>3550</v>
      </c>
      <c r="B3551" s="9" t="s">
        <v>50</v>
      </c>
      <c r="C3551" s="10" t="s">
        <v>52</v>
      </c>
      <c r="D3551" s="11">
        <v>66.137566137566139</v>
      </c>
      <c r="E3551" s="12">
        <f t="shared" si="55"/>
        <v>44989</v>
      </c>
    </row>
    <row r="3552" spans="1:5" x14ac:dyDescent="0.25">
      <c r="A3552" s="2">
        <f>IF(B3552="","",SUBTOTAL(3,$B$2:B3552))</f>
        <v>3551</v>
      </c>
      <c r="B3552" s="9" t="s">
        <v>50</v>
      </c>
      <c r="C3552" s="10" t="s">
        <v>49</v>
      </c>
      <c r="D3552" s="11">
        <v>440.91710758377428</v>
      </c>
      <c r="E3552" s="12">
        <f t="shared" si="55"/>
        <v>44990</v>
      </c>
    </row>
    <row r="3553" spans="1:5" x14ac:dyDescent="0.25">
      <c r="A3553" s="2">
        <f>IF(B3553="","",SUBTOTAL(3,$B$2:B3553))</f>
        <v>3552</v>
      </c>
      <c r="B3553" s="9" t="s">
        <v>50</v>
      </c>
      <c r="C3553" s="10" t="s">
        <v>49</v>
      </c>
      <c r="D3553" s="11">
        <v>88.183421516754848</v>
      </c>
      <c r="E3553" s="12">
        <f t="shared" si="55"/>
        <v>44991</v>
      </c>
    </row>
    <row r="3554" spans="1:5" x14ac:dyDescent="0.25">
      <c r="A3554" s="2">
        <f>IF(B3554="","",SUBTOTAL(3,$B$2:B3554))</f>
        <v>3553</v>
      </c>
      <c r="B3554" s="9" t="s">
        <v>50</v>
      </c>
      <c r="C3554" s="10" t="s">
        <v>52</v>
      </c>
      <c r="D3554" s="11">
        <v>66.137566137566139</v>
      </c>
      <c r="E3554" s="12">
        <f t="shared" si="55"/>
        <v>44992</v>
      </c>
    </row>
    <row r="3555" spans="1:5" x14ac:dyDescent="0.25">
      <c r="A3555" s="2">
        <f>IF(B3555="","",SUBTOTAL(3,$B$2:B3555))</f>
        <v>3554</v>
      </c>
      <c r="B3555" s="9" t="s">
        <v>48</v>
      </c>
      <c r="C3555" s="10" t="s">
        <v>52</v>
      </c>
      <c r="D3555" s="11">
        <v>30.807147258163894</v>
      </c>
      <c r="E3555" s="12">
        <f t="shared" si="55"/>
        <v>44993</v>
      </c>
    </row>
    <row r="3556" spans="1:5" x14ac:dyDescent="0.25">
      <c r="A3556" s="2">
        <f>IF(B3556="","",SUBTOTAL(3,$B$2:B3556))</f>
        <v>3555</v>
      </c>
      <c r="B3556" s="9" t="s">
        <v>51</v>
      </c>
      <c r="C3556" s="10" t="s">
        <v>52</v>
      </c>
      <c r="D3556" s="11">
        <v>18.532246108228314</v>
      </c>
      <c r="E3556" s="12">
        <f t="shared" si="55"/>
        <v>44994</v>
      </c>
    </row>
    <row r="3557" spans="1:5" x14ac:dyDescent="0.25">
      <c r="A3557" s="2">
        <f>IF(B3557="","",SUBTOTAL(3,$B$2:B3557))</f>
        <v>3556</v>
      </c>
      <c r="B3557" s="9" t="s">
        <v>51</v>
      </c>
      <c r="C3557" s="10" t="s">
        <v>56</v>
      </c>
      <c r="D3557" s="11">
        <v>31.769564756962826</v>
      </c>
      <c r="E3557" s="12">
        <f t="shared" si="55"/>
        <v>44995</v>
      </c>
    </row>
    <row r="3558" spans="1:5" x14ac:dyDescent="0.25">
      <c r="A3558" s="2">
        <f>IF(B3558="","",SUBTOTAL(3,$B$2:B3558))</f>
        <v>3557</v>
      </c>
      <c r="B3558" s="9" t="s">
        <v>53</v>
      </c>
      <c r="C3558" s="10" t="s">
        <v>52</v>
      </c>
      <c r="D3558" s="11">
        <v>150</v>
      </c>
      <c r="E3558" s="12">
        <f t="shared" si="55"/>
        <v>44996</v>
      </c>
    </row>
    <row r="3559" spans="1:5" x14ac:dyDescent="0.25">
      <c r="A3559" s="2">
        <f>IF(B3559="","",SUBTOTAL(3,$B$2:B3559))</f>
        <v>3558</v>
      </c>
      <c r="B3559" s="9" t="s">
        <v>53</v>
      </c>
      <c r="C3559" s="10" t="s">
        <v>54</v>
      </c>
      <c r="D3559" s="11">
        <v>54.951596801817075</v>
      </c>
      <c r="E3559" s="12">
        <f t="shared" si="55"/>
        <v>44997</v>
      </c>
    </row>
    <row r="3560" spans="1:5" x14ac:dyDescent="0.25">
      <c r="A3560" s="2">
        <f>IF(B3560="","",SUBTOTAL(3,$B$2:B3560))</f>
        <v>3559</v>
      </c>
      <c r="B3560" s="9" t="s">
        <v>55</v>
      </c>
      <c r="C3560" s="10" t="s">
        <v>49</v>
      </c>
      <c r="D3560" s="11">
        <v>205.47617953783251</v>
      </c>
      <c r="E3560" s="12">
        <f t="shared" si="55"/>
        <v>44998</v>
      </c>
    </row>
    <row r="3561" spans="1:5" x14ac:dyDescent="0.25">
      <c r="A3561" s="2">
        <f>IF(B3561="","",SUBTOTAL(3,$B$2:B3561))</f>
        <v>3560</v>
      </c>
      <c r="B3561" s="9" t="s">
        <v>48</v>
      </c>
      <c r="C3561" s="10" t="s">
        <v>54</v>
      </c>
      <c r="D3561" s="11">
        <v>6.8941744226128918</v>
      </c>
      <c r="E3561" s="12">
        <f t="shared" si="55"/>
        <v>44999</v>
      </c>
    </row>
    <row r="3562" spans="1:5" x14ac:dyDescent="0.25">
      <c r="A3562" s="2">
        <f>IF(B3562="","",SUBTOTAL(3,$B$2:B3562))</f>
        <v>3561</v>
      </c>
      <c r="B3562" s="9" t="s">
        <v>50</v>
      </c>
      <c r="C3562" s="10" t="s">
        <v>49</v>
      </c>
      <c r="D3562" s="11">
        <v>391.73686067019401</v>
      </c>
      <c r="E3562" s="12">
        <f t="shared" si="55"/>
        <v>45000</v>
      </c>
    </row>
    <row r="3563" spans="1:5" x14ac:dyDescent="0.25">
      <c r="A3563" s="2">
        <f>IF(B3563="","",SUBTOTAL(3,$B$2:B3563))</f>
        <v>3562</v>
      </c>
      <c r="B3563" s="9" t="s">
        <v>48</v>
      </c>
      <c r="C3563" s="10" t="s">
        <v>52</v>
      </c>
      <c r="D3563" s="11">
        <v>231.05360443622922</v>
      </c>
      <c r="E3563" s="12">
        <f t="shared" si="55"/>
        <v>45001</v>
      </c>
    </row>
    <row r="3564" spans="1:5" x14ac:dyDescent="0.25">
      <c r="A3564" s="2">
        <f>IF(B3564="","",SUBTOTAL(3,$B$2:B3564))</f>
        <v>3563</v>
      </c>
      <c r="B3564" s="9" t="s">
        <v>48</v>
      </c>
      <c r="C3564" s="10" t="s">
        <v>54</v>
      </c>
      <c r="D3564" s="11">
        <v>6.8941744226128918</v>
      </c>
      <c r="E3564" s="12">
        <f t="shared" si="55"/>
        <v>45002</v>
      </c>
    </row>
    <row r="3565" spans="1:5" x14ac:dyDescent="0.25">
      <c r="A3565" s="2">
        <f>IF(B3565="","",SUBTOTAL(3,$B$2:B3565))</f>
        <v>3564</v>
      </c>
      <c r="B3565" s="9" t="s">
        <v>48</v>
      </c>
      <c r="C3565" s="10" t="s">
        <v>54</v>
      </c>
      <c r="D3565" s="11">
        <v>6.8941744226128918</v>
      </c>
      <c r="E3565" s="12">
        <f t="shared" si="55"/>
        <v>45003</v>
      </c>
    </row>
    <row r="3566" spans="1:5" x14ac:dyDescent="0.25">
      <c r="A3566" s="2">
        <f>IF(B3566="","",SUBTOTAL(3,$B$2:B3566))</f>
        <v>3565</v>
      </c>
      <c r="B3566" s="9" t="s">
        <v>48</v>
      </c>
      <c r="C3566" s="10" t="s">
        <v>52</v>
      </c>
      <c r="D3566" s="11">
        <v>642.4010381200776</v>
      </c>
      <c r="E3566" s="12">
        <f t="shared" si="55"/>
        <v>45004</v>
      </c>
    </row>
    <row r="3567" spans="1:5" x14ac:dyDescent="0.25">
      <c r="A3567" s="2">
        <f>IF(B3567="","",SUBTOTAL(3,$B$2:B3567))</f>
        <v>3566</v>
      </c>
      <c r="B3567" s="9" t="s">
        <v>50</v>
      </c>
      <c r="C3567" s="10" t="s">
        <v>49</v>
      </c>
      <c r="D3567" s="11">
        <v>618.77929894179897</v>
      </c>
      <c r="E3567" s="12">
        <f t="shared" si="55"/>
        <v>45005</v>
      </c>
    </row>
    <row r="3568" spans="1:5" x14ac:dyDescent="0.25">
      <c r="A3568" s="2">
        <f>IF(B3568="","",SUBTOTAL(3,$B$2:B3568))</f>
        <v>3567</v>
      </c>
      <c r="B3568" s="9" t="s">
        <v>51</v>
      </c>
      <c r="C3568" s="10" t="s">
        <v>54</v>
      </c>
      <c r="D3568" s="11">
        <v>810.30710639332301</v>
      </c>
      <c r="E3568" s="12">
        <f t="shared" si="55"/>
        <v>45006</v>
      </c>
    </row>
    <row r="3569" spans="1:5" x14ac:dyDescent="0.25">
      <c r="A3569" s="2">
        <f>IF(B3569="","",SUBTOTAL(3,$B$2:B3569))</f>
        <v>3568</v>
      </c>
      <c r="B3569" s="9" t="s">
        <v>51</v>
      </c>
      <c r="C3569" s="10" t="s">
        <v>49</v>
      </c>
      <c r="D3569" s="11">
        <v>211.79709837975219</v>
      </c>
      <c r="E3569" s="12">
        <f t="shared" si="55"/>
        <v>45007</v>
      </c>
    </row>
    <row r="3570" spans="1:5" x14ac:dyDescent="0.25">
      <c r="A3570" s="2">
        <f>IF(B3570="","",SUBTOTAL(3,$B$2:B3570))</f>
        <v>3569</v>
      </c>
      <c r="B3570" s="9" t="s">
        <v>48</v>
      </c>
      <c r="C3570" s="10" t="s">
        <v>54</v>
      </c>
      <c r="D3570" s="11">
        <v>61.614294516327789</v>
      </c>
      <c r="E3570" s="12">
        <f t="shared" si="55"/>
        <v>45008</v>
      </c>
    </row>
    <row r="3571" spans="1:5" x14ac:dyDescent="0.25">
      <c r="A3571" s="2">
        <f>IF(B3571="","",SUBTOTAL(3,$B$2:B3571))</f>
        <v>3570</v>
      </c>
      <c r="B3571" s="9" t="s">
        <v>48</v>
      </c>
      <c r="C3571" s="10" t="s">
        <v>49</v>
      </c>
      <c r="D3571" s="11">
        <v>138.63216266173754</v>
      </c>
      <c r="E3571" s="12">
        <f t="shared" si="55"/>
        <v>45009</v>
      </c>
    </row>
    <row r="3572" spans="1:5" x14ac:dyDescent="0.25">
      <c r="A3572" s="2">
        <f>IF(B3572="","",SUBTOTAL(3,$B$2:B3572))</f>
        <v>3571</v>
      </c>
      <c r="B3572" s="9" t="s">
        <v>51</v>
      </c>
      <c r="C3572" s="10" t="s">
        <v>54</v>
      </c>
      <c r="D3572" s="11">
        <v>39.182463200254155</v>
      </c>
      <c r="E3572" s="12">
        <f t="shared" si="55"/>
        <v>45010</v>
      </c>
    </row>
    <row r="3573" spans="1:5" x14ac:dyDescent="0.25">
      <c r="A3573" s="2">
        <f>IF(B3573="","",SUBTOTAL(3,$B$2:B3573))</f>
        <v>3572</v>
      </c>
      <c r="B3573" s="9" t="s">
        <v>55</v>
      </c>
      <c r="C3573" s="10" t="s">
        <v>49</v>
      </c>
      <c r="D3573" s="11">
        <v>1.5</v>
      </c>
      <c r="E3573" s="12">
        <f t="shared" si="55"/>
        <v>45011</v>
      </c>
    </row>
    <row r="3574" spans="1:5" x14ac:dyDescent="0.25">
      <c r="A3574" s="2">
        <f>IF(B3574="","",SUBTOTAL(3,$B$2:B3574))</f>
        <v>3573</v>
      </c>
      <c r="B3574" s="9" t="s">
        <v>48</v>
      </c>
      <c r="C3574" s="10" t="s">
        <v>52</v>
      </c>
      <c r="D3574" s="11">
        <v>128.48020762401552</v>
      </c>
      <c r="E3574" s="12">
        <f t="shared" si="55"/>
        <v>45012</v>
      </c>
    </row>
    <row r="3575" spans="1:5" x14ac:dyDescent="0.25">
      <c r="A3575" s="2">
        <f>IF(B3575="","",SUBTOTAL(3,$B$2:B3575))</f>
        <v>3574</v>
      </c>
      <c r="B3575" s="9" t="s">
        <v>55</v>
      </c>
      <c r="C3575" s="10" t="s">
        <v>54</v>
      </c>
      <c r="D3575" s="11">
        <v>822.60113058299385</v>
      </c>
      <c r="E3575" s="12">
        <f t="shared" si="55"/>
        <v>45013</v>
      </c>
    </row>
    <row r="3576" spans="1:5" x14ac:dyDescent="0.25">
      <c r="A3576" s="2">
        <f>IF(B3576="","",SUBTOTAL(3,$B$2:B3576))</f>
        <v>3575</v>
      </c>
      <c r="B3576" s="9" t="s">
        <v>51</v>
      </c>
      <c r="C3576" s="10" t="s">
        <v>49</v>
      </c>
      <c r="D3576" s="11">
        <v>211.79709837975219</v>
      </c>
      <c r="E3576" s="12">
        <f t="shared" si="55"/>
        <v>45014</v>
      </c>
    </row>
    <row r="3577" spans="1:5" x14ac:dyDescent="0.25">
      <c r="A3577" s="2">
        <f>IF(B3577="","",SUBTOTAL(3,$B$2:B3577))</f>
        <v>3576</v>
      </c>
      <c r="B3577" s="9" t="s">
        <v>53</v>
      </c>
      <c r="C3577" s="10" t="s">
        <v>49</v>
      </c>
      <c r="D3577" s="11">
        <v>91.585994669695125</v>
      </c>
      <c r="E3577" s="12">
        <f t="shared" si="55"/>
        <v>45015</v>
      </c>
    </row>
    <row r="3578" spans="1:5" x14ac:dyDescent="0.25">
      <c r="A3578" s="2">
        <f>IF(B3578="","",SUBTOTAL(3,$B$2:B3578))</f>
        <v>3577</v>
      </c>
      <c r="B3578" s="9" t="s">
        <v>50</v>
      </c>
      <c r="C3578" s="10" t="s">
        <v>49</v>
      </c>
      <c r="D3578" s="11">
        <v>97.934215167548501</v>
      </c>
      <c r="E3578" s="12">
        <f t="shared" si="55"/>
        <v>45016</v>
      </c>
    </row>
    <row r="3579" spans="1:5" x14ac:dyDescent="0.25">
      <c r="A3579" s="2">
        <f>IF(B3579="","",SUBTOTAL(3,$B$2:B3579))</f>
        <v>3578</v>
      </c>
      <c r="B3579" s="9" t="s">
        <v>53</v>
      </c>
      <c r="C3579" s="10" t="s">
        <v>49</v>
      </c>
      <c r="D3579" s="11">
        <v>54.951596801817075</v>
      </c>
      <c r="E3579" s="12">
        <f t="shared" si="55"/>
        <v>45017</v>
      </c>
    </row>
    <row r="3580" spans="1:5" x14ac:dyDescent="0.25">
      <c r="A3580" s="2">
        <f>IF(B3580="","",SUBTOTAL(3,$B$2:B3580))</f>
        <v>3579</v>
      </c>
      <c r="B3580" s="9" t="s">
        <v>48</v>
      </c>
      <c r="C3580" s="10" t="s">
        <v>52</v>
      </c>
      <c r="D3580" s="11">
        <v>15.403573629081947</v>
      </c>
      <c r="E3580" s="12">
        <f t="shared" si="55"/>
        <v>45018</v>
      </c>
    </row>
    <row r="3581" spans="1:5" x14ac:dyDescent="0.25">
      <c r="A3581" s="2">
        <f>IF(B3581="","",SUBTOTAL(3,$B$2:B3581))</f>
        <v>3580</v>
      </c>
      <c r="B3581" s="9" t="s">
        <v>48</v>
      </c>
      <c r="C3581" s="10" t="s">
        <v>49</v>
      </c>
      <c r="D3581" s="11">
        <v>33.887861983980287</v>
      </c>
      <c r="E3581" s="12">
        <f t="shared" si="55"/>
        <v>45019</v>
      </c>
    </row>
    <row r="3582" spans="1:5" x14ac:dyDescent="0.25">
      <c r="A3582" s="2">
        <f>IF(B3582="","",SUBTOTAL(3,$B$2:B3582))</f>
        <v>3581</v>
      </c>
      <c r="B3582" s="9" t="s">
        <v>50</v>
      </c>
      <c r="C3582" s="10" t="s">
        <v>49</v>
      </c>
      <c r="D3582" s="11">
        <v>28.659611992945326</v>
      </c>
      <c r="E3582" s="12">
        <f t="shared" si="55"/>
        <v>45020</v>
      </c>
    </row>
    <row r="3583" spans="1:5" x14ac:dyDescent="0.25">
      <c r="A3583" s="2">
        <f>IF(B3583="","",SUBTOTAL(3,$B$2:B3583))</f>
        <v>3582</v>
      </c>
      <c r="B3583" s="9" t="s">
        <v>48</v>
      </c>
      <c r="C3583" s="10" t="s">
        <v>52</v>
      </c>
      <c r="D3583" s="11">
        <v>0</v>
      </c>
      <c r="E3583" s="12">
        <f t="shared" si="55"/>
        <v>45021</v>
      </c>
    </row>
    <row r="3584" spans="1:5" x14ac:dyDescent="0.25">
      <c r="A3584" s="2">
        <f>IF(B3584="","",SUBTOTAL(3,$B$2:B3584))</f>
        <v>3583</v>
      </c>
      <c r="B3584" s="9" t="s">
        <v>50</v>
      </c>
      <c r="C3584" s="10" t="s">
        <v>49</v>
      </c>
      <c r="D3584" s="11">
        <v>120</v>
      </c>
      <c r="E3584" s="12">
        <f t="shared" si="55"/>
        <v>45022</v>
      </c>
    </row>
    <row r="3585" spans="1:5" x14ac:dyDescent="0.25">
      <c r="A3585" s="2">
        <f>IF(B3585="","",SUBTOTAL(3,$B$2:B3585))</f>
        <v>3584</v>
      </c>
      <c r="B3585" s="9" t="s">
        <v>50</v>
      </c>
      <c r="C3585" s="10" t="s">
        <v>52</v>
      </c>
      <c r="D3585" s="11">
        <v>132.27513227513228</v>
      </c>
      <c r="E3585" s="12">
        <f t="shared" si="55"/>
        <v>45023</v>
      </c>
    </row>
    <row r="3586" spans="1:5" x14ac:dyDescent="0.25">
      <c r="A3586" s="2">
        <f>IF(B3586="","",SUBTOTAL(3,$B$2:B3586))</f>
        <v>3585</v>
      </c>
      <c r="B3586" s="9" t="s">
        <v>50</v>
      </c>
      <c r="C3586" s="10" t="s">
        <v>49</v>
      </c>
      <c r="D3586" s="11">
        <v>220.45855379188714</v>
      </c>
      <c r="E3586" s="12">
        <f t="shared" si="55"/>
        <v>45024</v>
      </c>
    </row>
    <row r="3587" spans="1:5" x14ac:dyDescent="0.25">
      <c r="A3587" s="2">
        <f>IF(B3587="","",SUBTOTAL(3,$B$2:B3587))</f>
        <v>3586</v>
      </c>
      <c r="B3587" s="9" t="s">
        <v>50</v>
      </c>
      <c r="C3587" s="10" t="s">
        <v>52</v>
      </c>
      <c r="D3587" s="11">
        <v>55.114638447971785</v>
      </c>
      <c r="E3587" s="12">
        <f t="shared" si="55"/>
        <v>45025</v>
      </c>
    </row>
    <row r="3588" spans="1:5" x14ac:dyDescent="0.25">
      <c r="A3588" s="2">
        <f>IF(B3588="","",SUBTOTAL(3,$B$2:B3588))</f>
        <v>3587</v>
      </c>
      <c r="B3588" s="9" t="s">
        <v>50</v>
      </c>
      <c r="C3588" s="10" t="s">
        <v>52</v>
      </c>
      <c r="D3588" s="11">
        <v>44.091710758377424</v>
      </c>
      <c r="E3588" s="12">
        <f t="shared" ref="E3588:E3651" si="56">E3587+1</f>
        <v>45026</v>
      </c>
    </row>
    <row r="3589" spans="1:5" x14ac:dyDescent="0.25">
      <c r="A3589" s="2">
        <f>IF(B3589="","",SUBTOTAL(3,$B$2:B3589))</f>
        <v>3588</v>
      </c>
      <c r="B3589" s="9" t="s">
        <v>50</v>
      </c>
      <c r="C3589" s="10" t="s">
        <v>52</v>
      </c>
      <c r="D3589" s="11">
        <v>44.091710758377424</v>
      </c>
      <c r="E3589" s="12">
        <f t="shared" si="56"/>
        <v>45027</v>
      </c>
    </row>
    <row r="3590" spans="1:5" x14ac:dyDescent="0.25">
      <c r="A3590" s="2">
        <f>IF(B3590="","",SUBTOTAL(3,$B$2:B3590))</f>
        <v>3589</v>
      </c>
      <c r="B3590" s="9" t="s">
        <v>50</v>
      </c>
      <c r="C3590" s="10" t="s">
        <v>52</v>
      </c>
      <c r="D3590" s="11">
        <v>44.091710758377424</v>
      </c>
      <c r="E3590" s="12">
        <f t="shared" si="56"/>
        <v>45028</v>
      </c>
    </row>
    <row r="3591" spans="1:5" x14ac:dyDescent="0.25">
      <c r="A3591" s="2">
        <f>IF(B3591="","",SUBTOTAL(3,$B$2:B3591))</f>
        <v>3590</v>
      </c>
      <c r="B3591" s="9" t="s">
        <v>50</v>
      </c>
      <c r="C3591" s="10" t="s">
        <v>52</v>
      </c>
      <c r="D3591" s="11">
        <v>55.114638447971785</v>
      </c>
      <c r="E3591" s="12">
        <f t="shared" si="56"/>
        <v>45029</v>
      </c>
    </row>
    <row r="3592" spans="1:5" x14ac:dyDescent="0.25">
      <c r="A3592" s="2">
        <f>IF(B3592="","",SUBTOTAL(3,$B$2:B3592))</f>
        <v>3591</v>
      </c>
      <c r="B3592" s="9" t="s">
        <v>50</v>
      </c>
      <c r="C3592" s="10" t="s">
        <v>52</v>
      </c>
      <c r="D3592" s="11">
        <v>55.114638447971785</v>
      </c>
      <c r="E3592" s="12">
        <f t="shared" si="56"/>
        <v>45030</v>
      </c>
    </row>
    <row r="3593" spans="1:5" x14ac:dyDescent="0.25">
      <c r="A3593" s="2">
        <f>IF(B3593="","",SUBTOTAL(3,$B$2:B3593))</f>
        <v>3592</v>
      </c>
      <c r="B3593" s="9" t="s">
        <v>48</v>
      </c>
      <c r="C3593" s="10" t="s">
        <v>54</v>
      </c>
      <c r="D3593" s="11">
        <v>84.719654959950716</v>
      </c>
      <c r="E3593" s="12">
        <f t="shared" si="56"/>
        <v>45031</v>
      </c>
    </row>
    <row r="3594" spans="1:5" x14ac:dyDescent="0.25">
      <c r="A3594" s="2">
        <f>IF(B3594="","",SUBTOTAL(3,$B$2:B3594))</f>
        <v>3593</v>
      </c>
      <c r="B3594" s="9" t="s">
        <v>48</v>
      </c>
      <c r="C3594" s="10" t="s">
        <v>54</v>
      </c>
      <c r="D3594" s="11">
        <v>308.07147258163894</v>
      </c>
      <c r="E3594" s="12">
        <f t="shared" si="56"/>
        <v>45032</v>
      </c>
    </row>
    <row r="3595" spans="1:5" x14ac:dyDescent="0.25">
      <c r="A3595" s="2">
        <f>IF(B3595="","",SUBTOTAL(3,$B$2:B3595))</f>
        <v>3594</v>
      </c>
      <c r="B3595" s="9" t="s">
        <v>48</v>
      </c>
      <c r="C3595" s="10" t="s">
        <v>52</v>
      </c>
      <c r="D3595" s="11">
        <v>30.807147258163894</v>
      </c>
      <c r="E3595" s="12">
        <f t="shared" si="56"/>
        <v>45033</v>
      </c>
    </row>
    <row r="3596" spans="1:5" x14ac:dyDescent="0.25">
      <c r="A3596" s="2">
        <f>IF(B3596="","",SUBTOTAL(3,$B$2:B3596))</f>
        <v>3595</v>
      </c>
      <c r="B3596" s="9" t="s">
        <v>51</v>
      </c>
      <c r="C3596" s="10" t="s">
        <v>54</v>
      </c>
      <c r="D3596" s="11">
        <v>158.84782378481412</v>
      </c>
      <c r="E3596" s="12">
        <f t="shared" si="56"/>
        <v>45034</v>
      </c>
    </row>
    <row r="3597" spans="1:5" x14ac:dyDescent="0.25">
      <c r="A3597" s="2">
        <f>IF(B3597="","",SUBTOTAL(3,$B$2:B3597))</f>
        <v>3596</v>
      </c>
      <c r="B3597" s="9" t="s">
        <v>50</v>
      </c>
      <c r="C3597" s="10" t="s">
        <v>52</v>
      </c>
      <c r="D3597" s="11">
        <v>132.27513227513228</v>
      </c>
      <c r="E3597" s="12">
        <f t="shared" si="56"/>
        <v>45035</v>
      </c>
    </row>
    <row r="3598" spans="1:5" x14ac:dyDescent="0.25">
      <c r="A3598" s="2">
        <f>IF(B3598="","",SUBTOTAL(3,$B$2:B3598))</f>
        <v>3597</v>
      </c>
      <c r="B3598" s="9" t="s">
        <v>55</v>
      </c>
      <c r="C3598" s="10" t="s">
        <v>49</v>
      </c>
      <c r="D3598" s="11">
        <v>97.767638911520294</v>
      </c>
      <c r="E3598" s="12">
        <f t="shared" si="56"/>
        <v>45036</v>
      </c>
    </row>
    <row r="3599" spans="1:5" x14ac:dyDescent="0.25">
      <c r="A3599" s="2">
        <f>IF(B3599="","",SUBTOTAL(3,$B$2:B3599))</f>
        <v>3598</v>
      </c>
      <c r="B3599" s="9" t="s">
        <v>48</v>
      </c>
      <c r="C3599" s="10" t="s">
        <v>52</v>
      </c>
      <c r="D3599" s="11">
        <v>277.26432532347508</v>
      </c>
      <c r="E3599" s="12">
        <f t="shared" si="56"/>
        <v>45037</v>
      </c>
    </row>
    <row r="3600" spans="1:5" x14ac:dyDescent="0.25">
      <c r="A3600" s="2">
        <f>IF(B3600="","",SUBTOTAL(3,$B$2:B3600))</f>
        <v>3599</v>
      </c>
      <c r="B3600" s="9" t="s">
        <v>50</v>
      </c>
      <c r="C3600" s="10" t="s">
        <v>49</v>
      </c>
      <c r="D3600" s="11">
        <v>36.081018518518519</v>
      </c>
      <c r="E3600" s="12">
        <f t="shared" si="56"/>
        <v>45038</v>
      </c>
    </row>
    <row r="3601" spans="1:5" x14ac:dyDescent="0.25">
      <c r="A3601" s="2">
        <f>IF(B3601="","",SUBTOTAL(3,$B$2:B3601))</f>
        <v>3600</v>
      </c>
      <c r="B3601" s="9" t="s">
        <v>48</v>
      </c>
      <c r="C3601" s="10" t="s">
        <v>49</v>
      </c>
      <c r="D3601" s="11">
        <v>34.470872113064452</v>
      </c>
      <c r="E3601" s="12">
        <f t="shared" si="56"/>
        <v>45039</v>
      </c>
    </row>
    <row r="3602" spans="1:5" x14ac:dyDescent="0.25">
      <c r="A3602" s="2">
        <f>IF(B3602="","",SUBTOTAL(3,$B$2:B3602))</f>
        <v>3601</v>
      </c>
      <c r="B3602" s="9" t="s">
        <v>48</v>
      </c>
      <c r="C3602" s="10" t="s">
        <v>49</v>
      </c>
      <c r="D3602" s="11">
        <v>17.235436056532226</v>
      </c>
      <c r="E3602" s="12">
        <f t="shared" si="56"/>
        <v>45040</v>
      </c>
    </row>
    <row r="3603" spans="1:5" x14ac:dyDescent="0.25">
      <c r="A3603" s="2">
        <f>IF(B3603="","",SUBTOTAL(3,$B$2:B3603))</f>
        <v>3602</v>
      </c>
      <c r="B3603" s="9" t="s">
        <v>51</v>
      </c>
      <c r="C3603" s="10" t="s">
        <v>54</v>
      </c>
      <c r="D3603" s="11">
        <v>105.89854918987609</v>
      </c>
      <c r="E3603" s="12">
        <f t="shared" si="56"/>
        <v>45041</v>
      </c>
    </row>
    <row r="3604" spans="1:5" x14ac:dyDescent="0.25">
      <c r="A3604" s="2">
        <f>IF(B3604="","",SUBTOTAL(3,$B$2:B3604))</f>
        <v>3603</v>
      </c>
      <c r="B3604" s="9" t="s">
        <v>48</v>
      </c>
      <c r="C3604" s="10" t="s">
        <v>49</v>
      </c>
      <c r="D3604" s="11">
        <v>46.210720887245841</v>
      </c>
      <c r="E3604" s="12">
        <f t="shared" si="56"/>
        <v>45042</v>
      </c>
    </row>
    <row r="3605" spans="1:5" x14ac:dyDescent="0.25">
      <c r="A3605" s="2">
        <f>IF(B3605="","",SUBTOTAL(3,$B$2:B3605))</f>
        <v>3604</v>
      </c>
      <c r="B3605" s="9" t="s">
        <v>51</v>
      </c>
      <c r="C3605" s="10" t="s">
        <v>49</v>
      </c>
      <c r="D3605" s="11">
        <v>40.515355319666149</v>
      </c>
      <c r="E3605" s="12">
        <f t="shared" si="56"/>
        <v>45043</v>
      </c>
    </row>
    <row r="3606" spans="1:5" x14ac:dyDescent="0.25">
      <c r="A3606" s="2">
        <f>IF(B3606="","",SUBTOTAL(3,$B$2:B3606))</f>
        <v>3605</v>
      </c>
      <c r="B3606" s="9" t="s">
        <v>55</v>
      </c>
      <c r="C3606" s="10" t="s">
        <v>49</v>
      </c>
      <c r="D3606" s="11">
        <v>50</v>
      </c>
      <c r="E3606" s="12">
        <f t="shared" si="56"/>
        <v>45044</v>
      </c>
    </row>
    <row r="3607" spans="1:5" x14ac:dyDescent="0.25">
      <c r="A3607" s="2">
        <f>IF(B3607="","",SUBTOTAL(3,$B$2:B3607))</f>
        <v>3606</v>
      </c>
      <c r="B3607" s="9" t="s">
        <v>50</v>
      </c>
      <c r="C3607" s="10" t="s">
        <v>54</v>
      </c>
      <c r="D3607" s="11">
        <v>110.22927689594357</v>
      </c>
      <c r="E3607" s="12">
        <f t="shared" si="56"/>
        <v>45045</v>
      </c>
    </row>
    <row r="3608" spans="1:5" x14ac:dyDescent="0.25">
      <c r="A3608" s="2">
        <f>IF(B3608="","",SUBTOTAL(3,$B$2:B3608))</f>
        <v>3607</v>
      </c>
      <c r="B3608" s="9" t="s">
        <v>48</v>
      </c>
      <c r="C3608" s="10" t="s">
        <v>54</v>
      </c>
      <c r="D3608" s="11">
        <v>308.07147258163894</v>
      </c>
      <c r="E3608" s="12">
        <f t="shared" si="56"/>
        <v>45046</v>
      </c>
    </row>
    <row r="3609" spans="1:5" x14ac:dyDescent="0.25">
      <c r="A3609" s="2">
        <f>IF(B3609="","",SUBTOTAL(3,$B$2:B3609))</f>
        <v>3608</v>
      </c>
      <c r="B3609" s="9" t="s">
        <v>48</v>
      </c>
      <c r="C3609" s="10" t="s">
        <v>52</v>
      </c>
      <c r="D3609" s="11">
        <v>92.421441774491683</v>
      </c>
      <c r="E3609" s="12">
        <f t="shared" si="56"/>
        <v>45047</v>
      </c>
    </row>
    <row r="3610" spans="1:5" x14ac:dyDescent="0.25">
      <c r="A3610" s="2">
        <f>IF(B3610="","",SUBTOTAL(3,$B$2:B3610))</f>
        <v>3609</v>
      </c>
      <c r="B3610" s="9" t="s">
        <v>48</v>
      </c>
      <c r="C3610" s="10" t="s">
        <v>49</v>
      </c>
      <c r="D3610" s="11">
        <v>25.053640486683026</v>
      </c>
      <c r="E3610" s="12">
        <f t="shared" si="56"/>
        <v>45048</v>
      </c>
    </row>
    <row r="3611" spans="1:5" x14ac:dyDescent="0.25">
      <c r="A3611" s="2">
        <f>IF(B3611="","",SUBTOTAL(3,$B$2:B3611))</f>
        <v>3610</v>
      </c>
      <c r="B3611" s="9" t="s">
        <v>48</v>
      </c>
      <c r="C3611" s="10" t="s">
        <v>52</v>
      </c>
      <c r="D3611" s="11">
        <v>9.2421441774491679</v>
      </c>
      <c r="E3611" s="12">
        <f t="shared" si="56"/>
        <v>45049</v>
      </c>
    </row>
    <row r="3612" spans="1:5" x14ac:dyDescent="0.25">
      <c r="A3612" s="2">
        <f>IF(B3612="","",SUBTOTAL(3,$B$2:B3612))</f>
        <v>3611</v>
      </c>
      <c r="B3612" s="9" t="s">
        <v>50</v>
      </c>
      <c r="C3612" s="10" t="s">
        <v>54</v>
      </c>
      <c r="D3612" s="11">
        <v>121.25220458553792</v>
      </c>
      <c r="E3612" s="12">
        <f t="shared" si="56"/>
        <v>45050</v>
      </c>
    </row>
    <row r="3613" spans="1:5" x14ac:dyDescent="0.25">
      <c r="A3613" s="2">
        <f>IF(B3613="","",SUBTOTAL(3,$B$2:B3613))</f>
        <v>3612</v>
      </c>
      <c r="B3613" s="9" t="s">
        <v>50</v>
      </c>
      <c r="C3613" s="10" t="s">
        <v>49</v>
      </c>
      <c r="D3613" s="11">
        <v>97.934215167548501</v>
      </c>
      <c r="E3613" s="12">
        <f t="shared" si="56"/>
        <v>45051</v>
      </c>
    </row>
    <row r="3614" spans="1:5" x14ac:dyDescent="0.25">
      <c r="A3614" s="2">
        <f>IF(B3614="","",SUBTOTAL(3,$B$2:B3614))</f>
        <v>3613</v>
      </c>
      <c r="B3614" s="9" t="s">
        <v>50</v>
      </c>
      <c r="C3614" s="10" t="s">
        <v>52</v>
      </c>
      <c r="D3614" s="11">
        <v>44.091710758377424</v>
      </c>
      <c r="E3614" s="12">
        <f t="shared" si="56"/>
        <v>45052</v>
      </c>
    </row>
    <row r="3615" spans="1:5" x14ac:dyDescent="0.25">
      <c r="A3615" s="2">
        <f>IF(B3615="","",SUBTOTAL(3,$B$2:B3615))</f>
        <v>3614</v>
      </c>
      <c r="B3615" s="9" t="s">
        <v>50</v>
      </c>
      <c r="C3615" s="10" t="s">
        <v>52</v>
      </c>
      <c r="D3615" s="11">
        <v>44.091710758377424</v>
      </c>
      <c r="E3615" s="12">
        <f t="shared" si="56"/>
        <v>45053</v>
      </c>
    </row>
    <row r="3616" spans="1:5" x14ac:dyDescent="0.25">
      <c r="A3616" s="2">
        <f>IF(B3616="","",SUBTOTAL(3,$B$2:B3616))</f>
        <v>3615</v>
      </c>
      <c r="B3616" s="9" t="s">
        <v>50</v>
      </c>
      <c r="C3616" s="10" t="s">
        <v>52</v>
      </c>
      <c r="D3616" s="11">
        <v>44.091710758377424</v>
      </c>
      <c r="E3616" s="12">
        <f t="shared" si="56"/>
        <v>45054</v>
      </c>
    </row>
    <row r="3617" spans="1:5" x14ac:dyDescent="0.25">
      <c r="A3617" s="2">
        <f>IF(B3617="","",SUBTOTAL(3,$B$2:B3617))</f>
        <v>3616</v>
      </c>
      <c r="B3617" s="9" t="s">
        <v>50</v>
      </c>
      <c r="C3617" s="10" t="s">
        <v>52</v>
      </c>
      <c r="D3617" s="11">
        <v>44.091710758377424</v>
      </c>
      <c r="E3617" s="12">
        <f t="shared" si="56"/>
        <v>45055</v>
      </c>
    </row>
    <row r="3618" spans="1:5" x14ac:dyDescent="0.25">
      <c r="A3618" s="2">
        <f>IF(B3618="","",SUBTOTAL(3,$B$2:B3618))</f>
        <v>3617</v>
      </c>
      <c r="B3618" s="9" t="s">
        <v>48</v>
      </c>
      <c r="C3618" s="10" t="s">
        <v>56</v>
      </c>
      <c r="D3618" s="11">
        <v>646.95009242144181</v>
      </c>
      <c r="E3618" s="12">
        <f t="shared" si="56"/>
        <v>45056</v>
      </c>
    </row>
    <row r="3619" spans="1:5" x14ac:dyDescent="0.25">
      <c r="A3619" s="2">
        <f>IF(B3619="","",SUBTOTAL(3,$B$2:B3619))</f>
        <v>3618</v>
      </c>
      <c r="B3619" s="9" t="s">
        <v>50</v>
      </c>
      <c r="C3619" s="10" t="s">
        <v>49</v>
      </c>
      <c r="D3619" s="11">
        <v>587.60582010582004</v>
      </c>
      <c r="E3619" s="12">
        <f t="shared" si="56"/>
        <v>45057</v>
      </c>
    </row>
    <row r="3620" spans="1:5" x14ac:dyDescent="0.25">
      <c r="A3620" s="2">
        <f>IF(B3620="","",SUBTOTAL(3,$B$2:B3620))</f>
        <v>3619</v>
      </c>
      <c r="B3620" s="9" t="s">
        <v>48</v>
      </c>
      <c r="C3620" s="10" t="s">
        <v>52</v>
      </c>
      <c r="D3620" s="11">
        <v>61.614294516327789</v>
      </c>
      <c r="E3620" s="12">
        <f t="shared" si="56"/>
        <v>45058</v>
      </c>
    </row>
    <row r="3621" spans="1:5" x14ac:dyDescent="0.25">
      <c r="A3621" s="2">
        <f>IF(B3621="","",SUBTOTAL(3,$B$2:B3621))</f>
        <v>3620</v>
      </c>
      <c r="B3621" s="9" t="s">
        <v>55</v>
      </c>
      <c r="C3621" s="10" t="s">
        <v>54</v>
      </c>
      <c r="D3621" s="11">
        <v>16.452022611659878</v>
      </c>
      <c r="E3621" s="12">
        <f t="shared" si="56"/>
        <v>45059</v>
      </c>
    </row>
    <row r="3622" spans="1:5" x14ac:dyDescent="0.25">
      <c r="A3622" s="2">
        <f>IF(B3622="","",SUBTOTAL(3,$B$2:B3622))</f>
        <v>3621</v>
      </c>
      <c r="B3622" s="9" t="s">
        <v>48</v>
      </c>
      <c r="C3622" s="10" t="s">
        <v>52</v>
      </c>
      <c r="D3622" s="11">
        <v>61.614294516327789</v>
      </c>
      <c r="E3622" s="12">
        <f t="shared" si="56"/>
        <v>45060</v>
      </c>
    </row>
    <row r="3623" spans="1:5" x14ac:dyDescent="0.25">
      <c r="A3623" s="2">
        <f>IF(B3623="","",SUBTOTAL(3,$B$2:B3623))</f>
        <v>3622</v>
      </c>
      <c r="B3623" s="9" t="s">
        <v>55</v>
      </c>
      <c r="C3623" s="10" t="s">
        <v>52</v>
      </c>
      <c r="D3623" s="11">
        <v>9.8712135669959267</v>
      </c>
      <c r="E3623" s="12">
        <f t="shared" si="56"/>
        <v>45061</v>
      </c>
    </row>
    <row r="3624" spans="1:5" x14ac:dyDescent="0.25">
      <c r="A3624" s="2">
        <f>IF(B3624="","",SUBTOTAL(3,$B$2:B3624))</f>
        <v>3623</v>
      </c>
      <c r="B3624" s="9" t="s">
        <v>55</v>
      </c>
      <c r="C3624" s="10" t="s">
        <v>49</v>
      </c>
      <c r="D3624" s="11">
        <v>308.21426930674875</v>
      </c>
      <c r="E3624" s="12">
        <f t="shared" si="56"/>
        <v>45062</v>
      </c>
    </row>
    <row r="3625" spans="1:5" x14ac:dyDescent="0.25">
      <c r="A3625" s="2">
        <f>IF(B3625="","",SUBTOTAL(3,$B$2:B3625))</f>
        <v>3624</v>
      </c>
      <c r="B3625" s="9" t="s">
        <v>48</v>
      </c>
      <c r="C3625" s="10" t="s">
        <v>49</v>
      </c>
      <c r="D3625" s="11">
        <v>77.017868145409736</v>
      </c>
      <c r="E3625" s="12">
        <f t="shared" si="56"/>
        <v>45063</v>
      </c>
    </row>
    <row r="3626" spans="1:5" x14ac:dyDescent="0.25">
      <c r="A3626" s="2">
        <f>IF(B3626="","",SUBTOTAL(3,$B$2:B3626))</f>
        <v>3625</v>
      </c>
      <c r="B3626" s="9" t="s">
        <v>53</v>
      </c>
      <c r="C3626" s="10" t="s">
        <v>49</v>
      </c>
      <c r="D3626" s="11">
        <v>119.06179307060366</v>
      </c>
      <c r="E3626" s="12">
        <f t="shared" si="56"/>
        <v>45064</v>
      </c>
    </row>
    <row r="3627" spans="1:5" x14ac:dyDescent="0.25">
      <c r="A3627" s="2">
        <f>IF(B3627="","",SUBTOTAL(3,$B$2:B3627))</f>
        <v>3626</v>
      </c>
      <c r="B3627" s="9" t="s">
        <v>48</v>
      </c>
      <c r="C3627" s="10" t="s">
        <v>52</v>
      </c>
      <c r="D3627" s="11">
        <v>154.03573629081947</v>
      </c>
      <c r="E3627" s="12">
        <f t="shared" si="56"/>
        <v>45065</v>
      </c>
    </row>
    <row r="3628" spans="1:5" x14ac:dyDescent="0.25">
      <c r="A3628" s="2">
        <f>IF(B3628="","",SUBTOTAL(3,$B$2:B3628))</f>
        <v>3627</v>
      </c>
      <c r="B3628" s="9" t="s">
        <v>48</v>
      </c>
      <c r="C3628" s="10" t="s">
        <v>52</v>
      </c>
      <c r="D3628" s="11">
        <v>46.210720887245841</v>
      </c>
      <c r="E3628" s="12">
        <f t="shared" si="56"/>
        <v>45066</v>
      </c>
    </row>
    <row r="3629" spans="1:5" x14ac:dyDescent="0.25">
      <c r="A3629" s="2">
        <f>IF(B3629="","",SUBTOTAL(3,$B$2:B3629))</f>
        <v>3628</v>
      </c>
      <c r="B3629" s="9" t="s">
        <v>48</v>
      </c>
      <c r="C3629" s="10" t="s">
        <v>52</v>
      </c>
      <c r="D3629" s="11">
        <v>46.210720887245841</v>
      </c>
      <c r="E3629" s="12">
        <f t="shared" si="56"/>
        <v>45067</v>
      </c>
    </row>
    <row r="3630" spans="1:5" x14ac:dyDescent="0.25">
      <c r="A3630" s="2">
        <f>IF(B3630="","",SUBTOTAL(3,$B$2:B3630))</f>
        <v>3629</v>
      </c>
      <c r="B3630" s="9" t="s">
        <v>48</v>
      </c>
      <c r="C3630" s="10" t="s">
        <v>52</v>
      </c>
      <c r="D3630" s="11">
        <v>770.17868145409739</v>
      </c>
      <c r="E3630" s="12">
        <f t="shared" si="56"/>
        <v>45068</v>
      </c>
    </row>
    <row r="3631" spans="1:5" x14ac:dyDescent="0.25">
      <c r="A3631" s="2">
        <f>IF(B3631="","",SUBTOTAL(3,$B$2:B3631))</f>
        <v>3630</v>
      </c>
      <c r="B3631" s="9" t="s">
        <v>53</v>
      </c>
      <c r="C3631" s="10" t="s">
        <v>54</v>
      </c>
      <c r="D3631" s="11">
        <v>13.737899200454269</v>
      </c>
      <c r="E3631" s="12">
        <f t="shared" si="56"/>
        <v>45069</v>
      </c>
    </row>
    <row r="3632" spans="1:5" x14ac:dyDescent="0.25">
      <c r="A3632" s="2">
        <f>IF(B3632="","",SUBTOTAL(3,$B$2:B3632))</f>
        <v>3631</v>
      </c>
      <c r="B3632" s="9" t="s">
        <v>53</v>
      </c>
      <c r="C3632" s="10" t="s">
        <v>54</v>
      </c>
      <c r="D3632" s="11">
        <v>27.475798400908538</v>
      </c>
      <c r="E3632" s="12">
        <f t="shared" si="56"/>
        <v>45070</v>
      </c>
    </row>
    <row r="3633" spans="1:5" x14ac:dyDescent="0.25">
      <c r="A3633" s="2">
        <f>IF(B3633="","",SUBTOTAL(3,$B$2:B3633))</f>
        <v>3632</v>
      </c>
      <c r="B3633" s="9" t="s">
        <v>51</v>
      </c>
      <c r="C3633" s="10" t="s">
        <v>49</v>
      </c>
      <c r="D3633" s="11">
        <v>10.58985491898761</v>
      </c>
      <c r="E3633" s="12">
        <f t="shared" si="56"/>
        <v>45071</v>
      </c>
    </row>
    <row r="3634" spans="1:5" x14ac:dyDescent="0.25">
      <c r="A3634" s="2">
        <f>IF(B3634="","",SUBTOTAL(3,$B$2:B3634))</f>
        <v>3633</v>
      </c>
      <c r="B3634" s="9" t="s">
        <v>48</v>
      </c>
      <c r="C3634" s="10" t="s">
        <v>49</v>
      </c>
      <c r="D3634" s="11">
        <v>44.968072668405433</v>
      </c>
      <c r="E3634" s="12">
        <f t="shared" si="56"/>
        <v>45072</v>
      </c>
    </row>
    <row r="3635" spans="1:5" x14ac:dyDescent="0.25">
      <c r="A3635" s="2">
        <f>IF(B3635="","",SUBTOTAL(3,$B$2:B3635))</f>
        <v>3634</v>
      </c>
      <c r="B3635" s="9" t="s">
        <v>55</v>
      </c>
      <c r="C3635" s="10" t="s">
        <v>49</v>
      </c>
      <c r="D3635" s="11">
        <v>22.812449079354735</v>
      </c>
      <c r="E3635" s="12">
        <f t="shared" si="56"/>
        <v>45073</v>
      </c>
    </row>
    <row r="3636" spans="1:5" x14ac:dyDescent="0.25">
      <c r="A3636" s="2">
        <f>IF(B3636="","",SUBTOTAL(3,$B$2:B3636))</f>
        <v>3635</v>
      </c>
      <c r="B3636" s="9" t="s">
        <v>48</v>
      </c>
      <c r="C3636" s="10" t="s">
        <v>49</v>
      </c>
      <c r="D3636" s="11">
        <v>3.4470872113064459</v>
      </c>
      <c r="E3636" s="12">
        <f t="shared" si="56"/>
        <v>45074</v>
      </c>
    </row>
    <row r="3637" spans="1:5" x14ac:dyDescent="0.25">
      <c r="A3637" s="2">
        <f>IF(B3637="","",SUBTOTAL(3,$B$2:B3637))</f>
        <v>3636</v>
      </c>
      <c r="B3637" s="9" t="s">
        <v>48</v>
      </c>
      <c r="C3637" s="10" t="s">
        <v>49</v>
      </c>
      <c r="D3637" s="11">
        <v>184.84288354898337</v>
      </c>
      <c r="E3637" s="12">
        <f t="shared" si="56"/>
        <v>45075</v>
      </c>
    </row>
    <row r="3638" spans="1:5" x14ac:dyDescent="0.25">
      <c r="A3638" s="2">
        <f>IF(B3638="","",SUBTOTAL(3,$B$2:B3638))</f>
        <v>3637</v>
      </c>
      <c r="B3638" s="9" t="s">
        <v>48</v>
      </c>
      <c r="C3638" s="10" t="s">
        <v>49</v>
      </c>
      <c r="D3638" s="11">
        <v>30.807147258163894</v>
      </c>
      <c r="E3638" s="12">
        <f t="shared" si="56"/>
        <v>45076</v>
      </c>
    </row>
    <row r="3639" spans="1:5" x14ac:dyDescent="0.25">
      <c r="A3639" s="2">
        <f>IF(B3639="","",SUBTOTAL(3,$B$2:B3639))</f>
        <v>3638</v>
      </c>
      <c r="B3639" s="9" t="s">
        <v>48</v>
      </c>
      <c r="C3639" s="10" t="s">
        <v>49</v>
      </c>
      <c r="D3639" s="11">
        <v>15.403573629081947</v>
      </c>
      <c r="E3639" s="12">
        <f t="shared" si="56"/>
        <v>45077</v>
      </c>
    </row>
    <row r="3640" spans="1:5" x14ac:dyDescent="0.25">
      <c r="A3640" s="2">
        <f>IF(B3640="","",SUBTOTAL(3,$B$2:B3640))</f>
        <v>3639</v>
      </c>
      <c r="B3640" s="9" t="s">
        <v>48</v>
      </c>
      <c r="C3640" s="10" t="s">
        <v>49</v>
      </c>
      <c r="D3640" s="11">
        <v>30.807147258163894</v>
      </c>
      <c r="E3640" s="12">
        <f t="shared" si="56"/>
        <v>45078</v>
      </c>
    </row>
    <row r="3641" spans="1:5" x14ac:dyDescent="0.25">
      <c r="A3641" s="2">
        <f>IF(B3641="","",SUBTOTAL(3,$B$2:B3641))</f>
        <v>3640</v>
      </c>
      <c r="B3641" s="9" t="s">
        <v>48</v>
      </c>
      <c r="C3641" s="10" t="s">
        <v>49</v>
      </c>
      <c r="D3641" s="11">
        <v>30.807147258163894</v>
      </c>
      <c r="E3641" s="12">
        <f t="shared" si="56"/>
        <v>45079</v>
      </c>
    </row>
    <row r="3642" spans="1:5" x14ac:dyDescent="0.25">
      <c r="A3642" s="2">
        <f>IF(B3642="","",SUBTOTAL(3,$B$2:B3642))</f>
        <v>3641</v>
      </c>
      <c r="B3642" s="9" t="s">
        <v>50</v>
      </c>
      <c r="C3642" s="10" t="s">
        <v>52</v>
      </c>
      <c r="D3642" s="11">
        <v>132.27513227513228</v>
      </c>
      <c r="E3642" s="12">
        <f t="shared" si="56"/>
        <v>45080</v>
      </c>
    </row>
    <row r="3643" spans="1:5" x14ac:dyDescent="0.25">
      <c r="A3643" s="2">
        <f>IF(B3643="","",SUBTOTAL(3,$B$2:B3643))</f>
        <v>3642</v>
      </c>
      <c r="B3643" s="9" t="s">
        <v>51</v>
      </c>
      <c r="C3643" s="10" t="s">
        <v>49</v>
      </c>
      <c r="D3643" s="11">
        <v>211.79709837975219</v>
      </c>
      <c r="E3643" s="12">
        <f t="shared" si="56"/>
        <v>45081</v>
      </c>
    </row>
    <row r="3644" spans="1:5" x14ac:dyDescent="0.25">
      <c r="A3644" s="2">
        <f>IF(B3644="","",SUBTOTAL(3,$B$2:B3644))</f>
        <v>3643</v>
      </c>
      <c r="B3644" s="9" t="s">
        <v>51</v>
      </c>
      <c r="C3644" s="10" t="s">
        <v>52</v>
      </c>
      <c r="D3644" s="11">
        <v>211.79709837975219</v>
      </c>
      <c r="E3644" s="12">
        <f t="shared" si="56"/>
        <v>45082</v>
      </c>
    </row>
    <row r="3645" spans="1:5" x14ac:dyDescent="0.25">
      <c r="A3645" s="2">
        <f>IF(B3645="","",SUBTOTAL(3,$B$2:B3645))</f>
        <v>3644</v>
      </c>
      <c r="B3645" s="9" t="s">
        <v>48</v>
      </c>
      <c r="C3645" s="10" t="s">
        <v>49</v>
      </c>
      <c r="D3645" s="11">
        <v>15.403573629081947</v>
      </c>
      <c r="E3645" s="12">
        <f t="shared" si="56"/>
        <v>45083</v>
      </c>
    </row>
    <row r="3646" spans="1:5" x14ac:dyDescent="0.25">
      <c r="A3646" s="2">
        <f>IF(B3646="","",SUBTOTAL(3,$B$2:B3646))</f>
        <v>3645</v>
      </c>
      <c r="B3646" s="9" t="s">
        <v>48</v>
      </c>
      <c r="C3646" s="10" t="s">
        <v>49</v>
      </c>
      <c r="D3646" s="11">
        <v>15.403573629081947</v>
      </c>
      <c r="E3646" s="12">
        <f t="shared" si="56"/>
        <v>45084</v>
      </c>
    </row>
    <row r="3647" spans="1:5" x14ac:dyDescent="0.25">
      <c r="A3647" s="2">
        <f>IF(B3647="","",SUBTOTAL(3,$B$2:B3647))</f>
        <v>3646</v>
      </c>
      <c r="B3647" s="9" t="s">
        <v>51</v>
      </c>
      <c r="C3647" s="10" t="s">
        <v>49</v>
      </c>
      <c r="D3647" s="11">
        <v>105.89854918987609</v>
      </c>
      <c r="E3647" s="12">
        <f t="shared" si="56"/>
        <v>45085</v>
      </c>
    </row>
    <row r="3648" spans="1:5" x14ac:dyDescent="0.25">
      <c r="A3648" s="2">
        <f>IF(B3648="","",SUBTOTAL(3,$B$2:B3648))</f>
        <v>3647</v>
      </c>
      <c r="B3648" s="9" t="s">
        <v>48</v>
      </c>
      <c r="C3648" s="10" t="s">
        <v>49</v>
      </c>
      <c r="D3648" s="11">
        <v>104.74430067775724</v>
      </c>
      <c r="E3648" s="12">
        <f t="shared" si="56"/>
        <v>45086</v>
      </c>
    </row>
    <row r="3649" spans="1:5" x14ac:dyDescent="0.25">
      <c r="A3649" s="2">
        <f>IF(B3649="","",SUBTOTAL(3,$B$2:B3649))</f>
        <v>3648</v>
      </c>
      <c r="B3649" s="9" t="s">
        <v>48</v>
      </c>
      <c r="C3649" s="10" t="s">
        <v>49</v>
      </c>
      <c r="D3649" s="11">
        <v>15.403573629081947</v>
      </c>
      <c r="E3649" s="12">
        <f t="shared" si="56"/>
        <v>45087</v>
      </c>
    </row>
    <row r="3650" spans="1:5" x14ac:dyDescent="0.25">
      <c r="A3650" s="2">
        <f>IF(B3650="","",SUBTOTAL(3,$B$2:B3650))</f>
        <v>3649</v>
      </c>
      <c r="B3650" s="9" t="s">
        <v>48</v>
      </c>
      <c r="C3650" s="10" t="s">
        <v>49</v>
      </c>
      <c r="D3650" s="11">
        <v>15.403573629081947</v>
      </c>
      <c r="E3650" s="12">
        <f t="shared" si="56"/>
        <v>45088</v>
      </c>
    </row>
    <row r="3651" spans="1:5" x14ac:dyDescent="0.25">
      <c r="A3651" s="2">
        <f>IF(B3651="","",SUBTOTAL(3,$B$2:B3651))</f>
        <v>3650</v>
      </c>
      <c r="B3651" s="9" t="s">
        <v>48</v>
      </c>
      <c r="C3651" s="10" t="s">
        <v>49</v>
      </c>
      <c r="D3651" s="11">
        <v>15.403573629081947</v>
      </c>
      <c r="E3651" s="12">
        <f t="shared" si="56"/>
        <v>45089</v>
      </c>
    </row>
    <row r="3652" spans="1:5" x14ac:dyDescent="0.25">
      <c r="A3652" s="2">
        <f>IF(B3652="","",SUBTOTAL(3,$B$2:B3652))</f>
        <v>3651</v>
      </c>
      <c r="B3652" s="9" t="s">
        <v>48</v>
      </c>
      <c r="C3652" s="10" t="s">
        <v>49</v>
      </c>
      <c r="D3652" s="11">
        <v>15.403573629081947</v>
      </c>
      <c r="E3652" s="12">
        <f t="shared" ref="E3652:E3715" si="57">E3651+1</f>
        <v>45090</v>
      </c>
    </row>
    <row r="3653" spans="1:5" x14ac:dyDescent="0.25">
      <c r="A3653" s="2">
        <f>IF(B3653="","",SUBTOTAL(3,$B$2:B3653))</f>
        <v>3652</v>
      </c>
      <c r="B3653" s="9" t="s">
        <v>48</v>
      </c>
      <c r="C3653" s="10" t="s">
        <v>49</v>
      </c>
      <c r="D3653" s="11">
        <v>15.403573629081947</v>
      </c>
      <c r="E3653" s="12">
        <f t="shared" si="57"/>
        <v>45091</v>
      </c>
    </row>
    <row r="3654" spans="1:5" x14ac:dyDescent="0.25">
      <c r="A3654" s="2">
        <f>IF(B3654="","",SUBTOTAL(3,$B$2:B3654))</f>
        <v>3653</v>
      </c>
      <c r="B3654" s="9" t="s">
        <v>48</v>
      </c>
      <c r="C3654" s="10" t="s">
        <v>49</v>
      </c>
      <c r="D3654" s="11">
        <v>15.403573629081947</v>
      </c>
      <c r="E3654" s="12">
        <f t="shared" si="57"/>
        <v>45092</v>
      </c>
    </row>
    <row r="3655" spans="1:5" x14ac:dyDescent="0.25">
      <c r="A3655" s="2">
        <f>IF(B3655="","",SUBTOTAL(3,$B$2:B3655))</f>
        <v>3654</v>
      </c>
      <c r="B3655" s="9" t="s">
        <v>48</v>
      </c>
      <c r="C3655" s="10" t="s">
        <v>49</v>
      </c>
      <c r="D3655" s="11">
        <v>15.403573629081947</v>
      </c>
      <c r="E3655" s="12">
        <f t="shared" si="57"/>
        <v>45093</v>
      </c>
    </row>
    <row r="3656" spans="1:5" x14ac:dyDescent="0.25">
      <c r="A3656" s="2">
        <f>IF(B3656="","",SUBTOTAL(3,$B$2:B3656))</f>
        <v>3655</v>
      </c>
      <c r="B3656" s="9" t="s">
        <v>51</v>
      </c>
      <c r="C3656" s="10" t="s">
        <v>52</v>
      </c>
      <c r="D3656" s="11">
        <v>105.89854918987609</v>
      </c>
      <c r="E3656" s="12">
        <f t="shared" si="57"/>
        <v>45094</v>
      </c>
    </row>
    <row r="3657" spans="1:5" x14ac:dyDescent="0.25">
      <c r="A3657" s="2">
        <f>IF(B3657="","",SUBTOTAL(3,$B$2:B3657))</f>
        <v>3656</v>
      </c>
      <c r="B3657" s="9" t="s">
        <v>48</v>
      </c>
      <c r="C3657" s="10" t="s">
        <v>49</v>
      </c>
      <c r="D3657" s="11">
        <v>15.403573629081947</v>
      </c>
      <c r="E3657" s="12">
        <f t="shared" si="57"/>
        <v>45095</v>
      </c>
    </row>
    <row r="3658" spans="1:5" x14ac:dyDescent="0.25">
      <c r="A3658" s="2">
        <f>IF(B3658="","",SUBTOTAL(3,$B$2:B3658))</f>
        <v>3657</v>
      </c>
      <c r="B3658" s="9" t="s">
        <v>51</v>
      </c>
      <c r="C3658" s="10" t="s">
        <v>54</v>
      </c>
      <c r="D3658" s="11">
        <v>10.58985491898761</v>
      </c>
      <c r="E3658" s="12">
        <f t="shared" si="57"/>
        <v>45096</v>
      </c>
    </row>
    <row r="3659" spans="1:5" x14ac:dyDescent="0.25">
      <c r="A3659" s="2">
        <f>IF(B3659="","",SUBTOTAL(3,$B$2:B3659))</f>
        <v>3658</v>
      </c>
      <c r="B3659" s="9" t="s">
        <v>48</v>
      </c>
      <c r="C3659" s="10" t="s">
        <v>49</v>
      </c>
      <c r="D3659" s="11">
        <v>62.84658040665434</v>
      </c>
      <c r="E3659" s="12">
        <f t="shared" si="57"/>
        <v>45097</v>
      </c>
    </row>
    <row r="3660" spans="1:5" x14ac:dyDescent="0.25">
      <c r="A3660" s="2">
        <f>IF(B3660="","",SUBTOTAL(3,$B$2:B3660))</f>
        <v>3659</v>
      </c>
      <c r="B3660" s="9" t="s">
        <v>48</v>
      </c>
      <c r="C3660" s="10" t="s">
        <v>49</v>
      </c>
      <c r="D3660" s="11">
        <v>15.403573629081947</v>
      </c>
      <c r="E3660" s="12">
        <f t="shared" si="57"/>
        <v>45098</v>
      </c>
    </row>
    <row r="3661" spans="1:5" x14ac:dyDescent="0.25">
      <c r="A3661" s="2">
        <f>IF(B3661="","",SUBTOTAL(3,$B$2:B3661))</f>
        <v>3660</v>
      </c>
      <c r="B3661" s="9" t="s">
        <v>48</v>
      </c>
      <c r="C3661" s="10" t="s">
        <v>49</v>
      </c>
      <c r="D3661" s="11">
        <v>15.403573629081947</v>
      </c>
      <c r="E3661" s="12">
        <f t="shared" si="57"/>
        <v>45099</v>
      </c>
    </row>
    <row r="3662" spans="1:5" x14ac:dyDescent="0.25">
      <c r="A3662" s="2">
        <f>IF(B3662="","",SUBTOTAL(3,$B$2:B3662))</f>
        <v>3661</v>
      </c>
      <c r="B3662" s="9" t="s">
        <v>48</v>
      </c>
      <c r="C3662" s="10" t="s">
        <v>49</v>
      </c>
      <c r="D3662" s="11">
        <v>15.403573629081947</v>
      </c>
      <c r="E3662" s="12">
        <f t="shared" si="57"/>
        <v>45100</v>
      </c>
    </row>
    <row r="3663" spans="1:5" x14ac:dyDescent="0.25">
      <c r="A3663" s="2">
        <f>IF(B3663="","",SUBTOTAL(3,$B$2:B3663))</f>
        <v>3662</v>
      </c>
      <c r="B3663" s="9" t="s">
        <v>48</v>
      </c>
      <c r="C3663" s="10" t="s">
        <v>49</v>
      </c>
      <c r="D3663" s="11">
        <v>15.403573629081947</v>
      </c>
      <c r="E3663" s="12">
        <f t="shared" si="57"/>
        <v>45101</v>
      </c>
    </row>
    <row r="3664" spans="1:5" x14ac:dyDescent="0.25">
      <c r="A3664" s="2">
        <f>IF(B3664="","",SUBTOTAL(3,$B$2:B3664))</f>
        <v>3663</v>
      </c>
      <c r="B3664" s="9" t="s">
        <v>48</v>
      </c>
      <c r="C3664" s="10" t="s">
        <v>49</v>
      </c>
      <c r="D3664" s="11">
        <v>15.403573629081947</v>
      </c>
      <c r="E3664" s="12">
        <f t="shared" si="57"/>
        <v>45102</v>
      </c>
    </row>
    <row r="3665" spans="1:5" x14ac:dyDescent="0.25">
      <c r="A3665" s="2">
        <f>IF(B3665="","",SUBTOTAL(3,$B$2:B3665))</f>
        <v>3664</v>
      </c>
      <c r="B3665" s="9" t="s">
        <v>48</v>
      </c>
      <c r="C3665" s="10" t="s">
        <v>49</v>
      </c>
      <c r="D3665" s="11">
        <v>15.403573629081947</v>
      </c>
      <c r="E3665" s="12">
        <f t="shared" si="57"/>
        <v>45103</v>
      </c>
    </row>
    <row r="3666" spans="1:5" x14ac:dyDescent="0.25">
      <c r="A3666" s="2">
        <f>IF(B3666="","",SUBTOTAL(3,$B$2:B3666))</f>
        <v>3665</v>
      </c>
      <c r="B3666" s="9" t="s">
        <v>48</v>
      </c>
      <c r="C3666" s="10" t="s">
        <v>49</v>
      </c>
      <c r="D3666" s="11">
        <v>15.403573629081947</v>
      </c>
      <c r="E3666" s="12">
        <f t="shared" si="57"/>
        <v>45104</v>
      </c>
    </row>
    <row r="3667" spans="1:5" x14ac:dyDescent="0.25">
      <c r="A3667" s="2">
        <f>IF(B3667="","",SUBTOTAL(3,$B$2:B3667))</f>
        <v>3666</v>
      </c>
      <c r="B3667" s="9" t="s">
        <v>48</v>
      </c>
      <c r="C3667" s="10" t="s">
        <v>49</v>
      </c>
      <c r="D3667" s="11">
        <v>15.403573629081947</v>
      </c>
      <c r="E3667" s="12">
        <f t="shared" si="57"/>
        <v>45105</v>
      </c>
    </row>
    <row r="3668" spans="1:5" x14ac:dyDescent="0.25">
      <c r="A3668" s="2">
        <f>IF(B3668="","",SUBTOTAL(3,$B$2:B3668))</f>
        <v>3667</v>
      </c>
      <c r="B3668" s="9" t="s">
        <v>55</v>
      </c>
      <c r="C3668" s="10" t="s">
        <v>49</v>
      </c>
      <c r="D3668" s="11">
        <v>58.660583346912176</v>
      </c>
      <c r="E3668" s="12">
        <f t="shared" si="57"/>
        <v>45106</v>
      </c>
    </row>
    <row r="3669" spans="1:5" x14ac:dyDescent="0.25">
      <c r="A3669" s="2">
        <f>IF(B3669="","",SUBTOTAL(3,$B$2:B3669))</f>
        <v>3668</v>
      </c>
      <c r="B3669" s="9" t="s">
        <v>48</v>
      </c>
      <c r="C3669" s="10" t="s">
        <v>49</v>
      </c>
      <c r="D3669" s="11">
        <v>15.403573629081947</v>
      </c>
      <c r="E3669" s="12">
        <f t="shared" si="57"/>
        <v>45107</v>
      </c>
    </row>
    <row r="3670" spans="1:5" x14ac:dyDescent="0.25">
      <c r="A3670" s="2">
        <f>IF(B3670="","",SUBTOTAL(3,$B$2:B3670))</f>
        <v>3669</v>
      </c>
      <c r="B3670" s="9" t="s">
        <v>50</v>
      </c>
      <c r="C3670" s="10" t="s">
        <v>49</v>
      </c>
      <c r="D3670" s="11">
        <v>239.35185185185185</v>
      </c>
      <c r="E3670" s="12">
        <f t="shared" si="57"/>
        <v>45108</v>
      </c>
    </row>
    <row r="3671" spans="1:5" x14ac:dyDescent="0.25">
      <c r="A3671" s="2">
        <f>IF(B3671="","",SUBTOTAL(3,$B$2:B3671))</f>
        <v>3670</v>
      </c>
      <c r="B3671" s="9" t="s">
        <v>51</v>
      </c>
      <c r="C3671" s="10" t="s">
        <v>54</v>
      </c>
      <c r="D3671" s="11">
        <v>7.4128984432913265</v>
      </c>
      <c r="E3671" s="12">
        <f t="shared" si="57"/>
        <v>45109</v>
      </c>
    </row>
    <row r="3672" spans="1:5" x14ac:dyDescent="0.25">
      <c r="A3672" s="2">
        <f>IF(B3672="","",SUBTOTAL(3,$B$2:B3672))</f>
        <v>3671</v>
      </c>
      <c r="B3672" s="9" t="s">
        <v>48</v>
      </c>
      <c r="C3672" s="10" t="s">
        <v>49</v>
      </c>
      <c r="D3672" s="11">
        <v>15.403573629081947</v>
      </c>
      <c r="E3672" s="12">
        <f t="shared" si="57"/>
        <v>45110</v>
      </c>
    </row>
    <row r="3673" spans="1:5" x14ac:dyDescent="0.25">
      <c r="A3673" s="2">
        <f>IF(B3673="","",SUBTOTAL(3,$B$2:B3673))</f>
        <v>3672</v>
      </c>
      <c r="B3673" s="9" t="s">
        <v>48</v>
      </c>
      <c r="C3673" s="10" t="s">
        <v>49</v>
      </c>
      <c r="D3673" s="11">
        <v>15.403573629081947</v>
      </c>
      <c r="E3673" s="12">
        <f t="shared" si="57"/>
        <v>45111</v>
      </c>
    </row>
    <row r="3674" spans="1:5" x14ac:dyDescent="0.25">
      <c r="A3674" s="2">
        <f>IF(B3674="","",SUBTOTAL(3,$B$2:B3674))</f>
        <v>3673</v>
      </c>
      <c r="B3674" s="9" t="s">
        <v>48</v>
      </c>
      <c r="C3674" s="10" t="s">
        <v>49</v>
      </c>
      <c r="D3674" s="11">
        <v>53.912507701786815</v>
      </c>
      <c r="E3674" s="12">
        <f t="shared" si="57"/>
        <v>45112</v>
      </c>
    </row>
    <row r="3675" spans="1:5" x14ac:dyDescent="0.25">
      <c r="A3675" s="2">
        <f>IF(B3675="","",SUBTOTAL(3,$B$2:B3675))</f>
        <v>3674</v>
      </c>
      <c r="B3675" s="9" t="s">
        <v>51</v>
      </c>
      <c r="C3675" s="10" t="s">
        <v>49</v>
      </c>
      <c r="D3675" s="11">
        <v>52.949274594938046</v>
      </c>
      <c r="E3675" s="12">
        <f t="shared" si="57"/>
        <v>45113</v>
      </c>
    </row>
    <row r="3676" spans="1:5" x14ac:dyDescent="0.25">
      <c r="A3676" s="2">
        <f>IF(B3676="","",SUBTOTAL(3,$B$2:B3676))</f>
        <v>3675</v>
      </c>
      <c r="B3676" s="9" t="s">
        <v>50</v>
      </c>
      <c r="C3676" s="10" t="s">
        <v>52</v>
      </c>
      <c r="D3676" s="11">
        <v>0.66137566137566139</v>
      </c>
      <c r="E3676" s="12">
        <f t="shared" si="57"/>
        <v>45114</v>
      </c>
    </row>
    <row r="3677" spans="1:5" x14ac:dyDescent="0.25">
      <c r="A3677" s="2">
        <f>IF(B3677="","",SUBTOTAL(3,$B$2:B3677))</f>
        <v>3676</v>
      </c>
      <c r="B3677" s="9" t="s">
        <v>53</v>
      </c>
      <c r="C3677" s="10" t="s">
        <v>49</v>
      </c>
      <c r="D3677" s="11">
        <v>54.951596801817075</v>
      </c>
      <c r="E3677" s="12">
        <f t="shared" si="57"/>
        <v>45115</v>
      </c>
    </row>
    <row r="3678" spans="1:5" x14ac:dyDescent="0.25">
      <c r="A3678" s="2">
        <f>IF(B3678="","",SUBTOTAL(3,$B$2:B3678))</f>
        <v>3677</v>
      </c>
      <c r="B3678" s="9" t="s">
        <v>50</v>
      </c>
      <c r="C3678" s="10" t="s">
        <v>49</v>
      </c>
      <c r="D3678" s="11">
        <v>110.22927689594357</v>
      </c>
      <c r="E3678" s="12">
        <f t="shared" si="57"/>
        <v>45116</v>
      </c>
    </row>
    <row r="3679" spans="1:5" x14ac:dyDescent="0.25">
      <c r="A3679" s="2">
        <f>IF(B3679="","",SUBTOTAL(3,$B$2:B3679))</f>
        <v>3678</v>
      </c>
      <c r="B3679" s="9" t="s">
        <v>48</v>
      </c>
      <c r="C3679" s="10" t="s">
        <v>49</v>
      </c>
      <c r="D3679" s="11">
        <v>15.403573629081947</v>
      </c>
      <c r="E3679" s="12">
        <f t="shared" si="57"/>
        <v>45117</v>
      </c>
    </row>
    <row r="3680" spans="1:5" x14ac:dyDescent="0.25">
      <c r="A3680" s="2">
        <f>IF(B3680="","",SUBTOTAL(3,$B$2:B3680))</f>
        <v>3679</v>
      </c>
      <c r="B3680" s="9" t="s">
        <v>48</v>
      </c>
      <c r="C3680" s="10" t="s">
        <v>49</v>
      </c>
      <c r="D3680" s="11">
        <v>161.32368148914165</v>
      </c>
      <c r="E3680" s="12">
        <f t="shared" si="57"/>
        <v>45118</v>
      </c>
    </row>
    <row r="3681" spans="1:5" x14ac:dyDescent="0.25">
      <c r="A3681" s="2">
        <f>IF(B3681="","",SUBTOTAL(3,$B$2:B3681))</f>
        <v>3680</v>
      </c>
      <c r="B3681" s="9" t="s">
        <v>48</v>
      </c>
      <c r="C3681" s="10" t="s">
        <v>49</v>
      </c>
      <c r="D3681" s="11">
        <v>15.403573629081947</v>
      </c>
      <c r="E3681" s="12">
        <f t="shared" si="57"/>
        <v>45119</v>
      </c>
    </row>
    <row r="3682" spans="1:5" x14ac:dyDescent="0.25">
      <c r="A3682" s="2">
        <f>IF(B3682="","",SUBTOTAL(3,$B$2:B3682))</f>
        <v>3681</v>
      </c>
      <c r="B3682" s="9" t="s">
        <v>55</v>
      </c>
      <c r="C3682" s="10" t="s">
        <v>49</v>
      </c>
      <c r="D3682" s="11">
        <v>20.106240834283852</v>
      </c>
      <c r="E3682" s="12">
        <f t="shared" si="57"/>
        <v>45120</v>
      </c>
    </row>
    <row r="3683" spans="1:5" x14ac:dyDescent="0.25">
      <c r="A3683" s="2">
        <f>IF(B3683="","",SUBTOTAL(3,$B$2:B3683))</f>
        <v>3682</v>
      </c>
      <c r="B3683" s="9" t="s">
        <v>50</v>
      </c>
      <c r="C3683" s="10" t="s">
        <v>49</v>
      </c>
      <c r="D3683" s="11">
        <v>130</v>
      </c>
      <c r="E3683" s="12">
        <f t="shared" si="57"/>
        <v>45121</v>
      </c>
    </row>
    <row r="3684" spans="1:5" x14ac:dyDescent="0.25">
      <c r="A3684" s="2">
        <f>IF(B3684="","",SUBTOTAL(3,$B$2:B3684))</f>
        <v>3683</v>
      </c>
      <c r="B3684" s="9" t="s">
        <v>55</v>
      </c>
      <c r="C3684" s="10" t="s">
        <v>52</v>
      </c>
      <c r="D3684" s="11">
        <v>200.60985395602631</v>
      </c>
      <c r="E3684" s="12">
        <f t="shared" si="57"/>
        <v>45122</v>
      </c>
    </row>
    <row r="3685" spans="1:5" x14ac:dyDescent="0.25">
      <c r="A3685" s="2">
        <f>IF(B3685="","",SUBTOTAL(3,$B$2:B3685))</f>
        <v>3684</v>
      </c>
      <c r="B3685" s="9" t="s">
        <v>50</v>
      </c>
      <c r="C3685" s="10" t="s">
        <v>49</v>
      </c>
      <c r="D3685" s="11">
        <v>489.63844797178132</v>
      </c>
      <c r="E3685" s="12">
        <f t="shared" si="57"/>
        <v>45123</v>
      </c>
    </row>
    <row r="3686" spans="1:5" x14ac:dyDescent="0.25">
      <c r="A3686" s="2">
        <f>IF(B3686="","",SUBTOTAL(3,$B$2:B3686))</f>
        <v>3685</v>
      </c>
      <c r="B3686" s="9" t="s">
        <v>48</v>
      </c>
      <c r="C3686" s="10" t="s">
        <v>49</v>
      </c>
      <c r="D3686" s="11">
        <v>92.421441774491683</v>
      </c>
      <c r="E3686" s="12">
        <f t="shared" si="57"/>
        <v>45124</v>
      </c>
    </row>
    <row r="3687" spans="1:5" x14ac:dyDescent="0.25">
      <c r="A3687" s="2">
        <f>IF(B3687="","",SUBTOTAL(3,$B$2:B3687))</f>
        <v>3686</v>
      </c>
      <c r="B3687" s="9" t="s">
        <v>55</v>
      </c>
      <c r="C3687" s="10" t="s">
        <v>52</v>
      </c>
      <c r="D3687" s="11">
        <v>40.121970791205264</v>
      </c>
      <c r="E3687" s="12">
        <f t="shared" si="57"/>
        <v>45125</v>
      </c>
    </row>
    <row r="3688" spans="1:5" x14ac:dyDescent="0.25">
      <c r="A3688" s="2">
        <f>IF(B3688="","",SUBTOTAL(3,$B$2:B3688))</f>
        <v>3687</v>
      </c>
      <c r="B3688" s="9" t="s">
        <v>48</v>
      </c>
      <c r="C3688" s="10" t="s">
        <v>52</v>
      </c>
      <c r="D3688" s="11">
        <v>15.403573629081947</v>
      </c>
      <c r="E3688" s="12">
        <f t="shared" si="57"/>
        <v>45126</v>
      </c>
    </row>
    <row r="3689" spans="1:5" x14ac:dyDescent="0.25">
      <c r="A3689" s="2">
        <f>IF(B3689="","",SUBTOTAL(3,$B$2:B3689))</f>
        <v>3688</v>
      </c>
      <c r="B3689" s="9" t="s">
        <v>48</v>
      </c>
      <c r="C3689" s="10" t="s">
        <v>49</v>
      </c>
      <c r="D3689" s="11">
        <v>92.421441774491683</v>
      </c>
      <c r="E3689" s="12">
        <f t="shared" si="57"/>
        <v>45127</v>
      </c>
    </row>
    <row r="3690" spans="1:5" x14ac:dyDescent="0.25">
      <c r="A3690" s="2">
        <f>IF(B3690="","",SUBTOTAL(3,$B$2:B3690))</f>
        <v>3689</v>
      </c>
      <c r="B3690" s="9" t="s">
        <v>48</v>
      </c>
      <c r="C3690" s="10" t="s">
        <v>49</v>
      </c>
      <c r="D3690" s="11">
        <v>15.403573629081947</v>
      </c>
      <c r="E3690" s="12">
        <f t="shared" si="57"/>
        <v>45128</v>
      </c>
    </row>
    <row r="3691" spans="1:5" x14ac:dyDescent="0.25">
      <c r="A3691" s="2">
        <f>IF(B3691="","",SUBTOTAL(3,$B$2:B3691))</f>
        <v>3690</v>
      </c>
      <c r="B3691" s="9" t="s">
        <v>48</v>
      </c>
      <c r="C3691" s="10" t="s">
        <v>49</v>
      </c>
      <c r="D3691" s="11">
        <v>15.403573629081947</v>
      </c>
      <c r="E3691" s="12">
        <f t="shared" si="57"/>
        <v>45129</v>
      </c>
    </row>
    <row r="3692" spans="1:5" x14ac:dyDescent="0.25">
      <c r="A3692" s="2">
        <f>IF(B3692="","",SUBTOTAL(3,$B$2:B3692))</f>
        <v>3691</v>
      </c>
      <c r="B3692" s="9" t="s">
        <v>48</v>
      </c>
      <c r="C3692" s="10" t="s">
        <v>49</v>
      </c>
      <c r="D3692" s="11">
        <v>15.403573629081947</v>
      </c>
      <c r="E3692" s="12">
        <f t="shared" si="57"/>
        <v>45130</v>
      </c>
    </row>
    <row r="3693" spans="1:5" x14ac:dyDescent="0.25">
      <c r="A3693" s="2">
        <f>IF(B3693="","",SUBTOTAL(3,$B$2:B3693))</f>
        <v>3692</v>
      </c>
      <c r="B3693" s="9" t="s">
        <v>50</v>
      </c>
      <c r="C3693" s="10" t="s">
        <v>52</v>
      </c>
      <c r="D3693" s="11">
        <v>66.137566137566139</v>
      </c>
      <c r="E3693" s="12">
        <f t="shared" si="57"/>
        <v>45131</v>
      </c>
    </row>
    <row r="3694" spans="1:5" x14ac:dyDescent="0.25">
      <c r="A3694" s="2">
        <f>IF(B3694="","",SUBTOTAL(3,$B$2:B3694))</f>
        <v>3693</v>
      </c>
      <c r="B3694" s="9" t="s">
        <v>51</v>
      </c>
      <c r="C3694" s="10" t="s">
        <v>54</v>
      </c>
      <c r="D3694" s="11">
        <v>370.64492216456637</v>
      </c>
      <c r="E3694" s="12">
        <f t="shared" si="57"/>
        <v>45132</v>
      </c>
    </row>
    <row r="3695" spans="1:5" x14ac:dyDescent="0.25">
      <c r="A3695" s="2">
        <f>IF(B3695="","",SUBTOTAL(3,$B$2:B3695))</f>
        <v>3694</v>
      </c>
      <c r="B3695" s="9" t="s">
        <v>51</v>
      </c>
      <c r="C3695" s="10" t="s">
        <v>49</v>
      </c>
      <c r="D3695" s="11">
        <v>32.412284255732921</v>
      </c>
      <c r="E3695" s="12">
        <f t="shared" si="57"/>
        <v>45133</v>
      </c>
    </row>
    <row r="3696" spans="1:5" x14ac:dyDescent="0.25">
      <c r="A3696" s="2">
        <f>IF(B3696="","",SUBTOTAL(3,$B$2:B3696))</f>
        <v>3695</v>
      </c>
      <c r="B3696" s="9" t="s">
        <v>50</v>
      </c>
      <c r="C3696" s="10" t="s">
        <v>49</v>
      </c>
      <c r="D3696" s="11">
        <v>661.37566137566137</v>
      </c>
      <c r="E3696" s="12">
        <f t="shared" si="57"/>
        <v>45134</v>
      </c>
    </row>
    <row r="3697" spans="1:5" x14ac:dyDescent="0.25">
      <c r="A3697" s="2">
        <f>IF(B3697="","",SUBTOTAL(3,$B$2:B3697))</f>
        <v>3696</v>
      </c>
      <c r="B3697" s="9" t="s">
        <v>48</v>
      </c>
      <c r="C3697" s="10" t="s">
        <v>49</v>
      </c>
      <c r="D3697" s="11">
        <v>15.403573629081947</v>
      </c>
      <c r="E3697" s="12">
        <f t="shared" si="57"/>
        <v>45135</v>
      </c>
    </row>
    <row r="3698" spans="1:5" x14ac:dyDescent="0.25">
      <c r="A3698" s="2">
        <f>IF(B3698="","",SUBTOTAL(3,$B$2:B3698))</f>
        <v>3697</v>
      </c>
      <c r="B3698" s="9" t="s">
        <v>50</v>
      </c>
      <c r="C3698" s="10" t="s">
        <v>49</v>
      </c>
      <c r="D3698" s="11">
        <v>97.934215167548501</v>
      </c>
      <c r="E3698" s="12">
        <f t="shared" si="57"/>
        <v>45136</v>
      </c>
    </row>
    <row r="3699" spans="1:5" x14ac:dyDescent="0.25">
      <c r="A3699" s="2">
        <f>IF(B3699="","",SUBTOTAL(3,$B$2:B3699))</f>
        <v>3698</v>
      </c>
      <c r="B3699" s="9" t="s">
        <v>48</v>
      </c>
      <c r="C3699" s="10" t="s">
        <v>49</v>
      </c>
      <c r="D3699" s="11">
        <v>129.26577042399171</v>
      </c>
      <c r="E3699" s="12">
        <f t="shared" si="57"/>
        <v>45137</v>
      </c>
    </row>
    <row r="3700" spans="1:5" x14ac:dyDescent="0.25">
      <c r="A3700" s="2">
        <f>IF(B3700="","",SUBTOTAL(3,$B$2:B3700))</f>
        <v>3699</v>
      </c>
      <c r="B3700" s="9" t="s">
        <v>51</v>
      </c>
      <c r="C3700" s="10" t="s">
        <v>49</v>
      </c>
      <c r="D3700" s="11">
        <v>20.652335063009637</v>
      </c>
      <c r="E3700" s="12">
        <f t="shared" si="57"/>
        <v>45138</v>
      </c>
    </row>
    <row r="3701" spans="1:5" x14ac:dyDescent="0.25">
      <c r="A3701" s="2">
        <f>IF(B3701="","",SUBTOTAL(3,$B$2:B3701))</f>
        <v>3700</v>
      </c>
      <c r="B3701" s="9" t="s">
        <v>53</v>
      </c>
      <c r="C3701" s="10" t="s">
        <v>49</v>
      </c>
      <c r="D3701" s="11">
        <v>91.585994669695125</v>
      </c>
      <c r="E3701" s="12">
        <f t="shared" si="57"/>
        <v>45139</v>
      </c>
    </row>
    <row r="3702" spans="1:5" x14ac:dyDescent="0.25">
      <c r="A3702" s="2">
        <f>IF(B3702="","",SUBTOTAL(3,$B$2:B3702))</f>
        <v>3701</v>
      </c>
      <c r="B3702" s="9" t="s">
        <v>50</v>
      </c>
      <c r="C3702" s="10" t="s">
        <v>52</v>
      </c>
      <c r="D3702" s="11">
        <v>132.27513227513228</v>
      </c>
      <c r="E3702" s="12">
        <f t="shared" si="57"/>
        <v>45140</v>
      </c>
    </row>
    <row r="3703" spans="1:5" x14ac:dyDescent="0.25">
      <c r="A3703" s="2">
        <f>IF(B3703="","",SUBTOTAL(3,$B$2:B3703))</f>
        <v>3702</v>
      </c>
      <c r="B3703" s="9" t="s">
        <v>48</v>
      </c>
      <c r="C3703" s="10" t="s">
        <v>52</v>
      </c>
      <c r="D3703" s="11">
        <v>17.235436056532226</v>
      </c>
      <c r="E3703" s="12">
        <f t="shared" si="57"/>
        <v>45141</v>
      </c>
    </row>
    <row r="3704" spans="1:5" x14ac:dyDescent="0.25">
      <c r="A3704" s="2">
        <f>IF(B3704="","",SUBTOTAL(3,$B$2:B3704))</f>
        <v>3703</v>
      </c>
      <c r="B3704" s="9" t="s">
        <v>48</v>
      </c>
      <c r="C3704" s="10" t="s">
        <v>49</v>
      </c>
      <c r="D3704" s="11">
        <v>24.957640172520023</v>
      </c>
      <c r="E3704" s="12">
        <f t="shared" si="57"/>
        <v>45142</v>
      </c>
    </row>
    <row r="3705" spans="1:5" x14ac:dyDescent="0.25">
      <c r="A3705" s="2">
        <f>IF(B3705="","",SUBTOTAL(3,$B$2:B3705))</f>
        <v>3704</v>
      </c>
      <c r="B3705" s="9" t="s">
        <v>48</v>
      </c>
      <c r="C3705" s="10" t="s">
        <v>49</v>
      </c>
      <c r="D3705" s="11">
        <v>38.508934072704868</v>
      </c>
      <c r="E3705" s="12">
        <f t="shared" si="57"/>
        <v>45143</v>
      </c>
    </row>
    <row r="3706" spans="1:5" x14ac:dyDescent="0.25">
      <c r="A3706" s="2">
        <f>IF(B3706="","",SUBTOTAL(3,$B$2:B3706))</f>
        <v>3705</v>
      </c>
      <c r="B3706" s="9" t="s">
        <v>50</v>
      </c>
      <c r="C3706" s="10" t="s">
        <v>49</v>
      </c>
      <c r="D3706" s="11">
        <v>165.34391534391534</v>
      </c>
      <c r="E3706" s="12">
        <f t="shared" si="57"/>
        <v>45144</v>
      </c>
    </row>
    <row r="3707" spans="1:5" x14ac:dyDescent="0.25">
      <c r="A3707" s="2">
        <f>IF(B3707="","",SUBTOTAL(3,$B$2:B3707))</f>
        <v>3706</v>
      </c>
      <c r="B3707" s="9" t="s">
        <v>50</v>
      </c>
      <c r="C3707" s="10" t="s">
        <v>52</v>
      </c>
      <c r="D3707" s="11">
        <v>55.114638447971785</v>
      </c>
      <c r="E3707" s="12">
        <f t="shared" si="57"/>
        <v>45145</v>
      </c>
    </row>
    <row r="3708" spans="1:5" x14ac:dyDescent="0.25">
      <c r="A3708" s="2">
        <f>IF(B3708="","",SUBTOTAL(3,$B$2:B3708))</f>
        <v>3707</v>
      </c>
      <c r="B3708" s="9" t="s">
        <v>48</v>
      </c>
      <c r="C3708" s="10" t="s">
        <v>49</v>
      </c>
      <c r="D3708" s="11">
        <v>15.403573629081947</v>
      </c>
      <c r="E3708" s="12">
        <f t="shared" si="57"/>
        <v>45146</v>
      </c>
    </row>
    <row r="3709" spans="1:5" x14ac:dyDescent="0.25">
      <c r="A3709" s="2">
        <f>IF(B3709="","",SUBTOTAL(3,$B$2:B3709))</f>
        <v>3708</v>
      </c>
      <c r="B3709" s="9" t="s">
        <v>48</v>
      </c>
      <c r="C3709" s="10" t="s">
        <v>49</v>
      </c>
      <c r="D3709" s="11">
        <v>15.403573629081947</v>
      </c>
      <c r="E3709" s="12">
        <f t="shared" si="57"/>
        <v>45147</v>
      </c>
    </row>
    <row r="3710" spans="1:5" x14ac:dyDescent="0.25">
      <c r="A3710" s="2">
        <f>IF(B3710="","",SUBTOTAL(3,$B$2:B3710))</f>
        <v>3709</v>
      </c>
      <c r="B3710" s="9" t="s">
        <v>48</v>
      </c>
      <c r="C3710" s="10" t="s">
        <v>49</v>
      </c>
      <c r="D3710" s="11">
        <v>15.403573629081947</v>
      </c>
      <c r="E3710" s="12">
        <f t="shared" si="57"/>
        <v>45148</v>
      </c>
    </row>
    <row r="3711" spans="1:5" x14ac:dyDescent="0.25">
      <c r="A3711" s="2">
        <f>IF(B3711="","",SUBTOTAL(3,$B$2:B3711))</f>
        <v>3710</v>
      </c>
      <c r="B3711" s="9" t="s">
        <v>48</v>
      </c>
      <c r="C3711" s="10" t="s">
        <v>49</v>
      </c>
      <c r="D3711" s="11">
        <v>15.403573629081947</v>
      </c>
      <c r="E3711" s="12">
        <f t="shared" si="57"/>
        <v>45149</v>
      </c>
    </row>
    <row r="3712" spans="1:5" x14ac:dyDescent="0.25">
      <c r="A3712" s="2">
        <f>IF(B3712="","",SUBTOTAL(3,$B$2:B3712))</f>
        <v>3711</v>
      </c>
      <c r="B3712" s="9" t="s">
        <v>48</v>
      </c>
      <c r="C3712" s="10" t="s">
        <v>49</v>
      </c>
      <c r="D3712" s="11">
        <v>15.403573629081947</v>
      </c>
      <c r="E3712" s="12">
        <f t="shared" si="57"/>
        <v>45150</v>
      </c>
    </row>
    <row r="3713" spans="1:5" x14ac:dyDescent="0.25">
      <c r="A3713" s="2">
        <f>IF(B3713="","",SUBTOTAL(3,$B$2:B3713))</f>
        <v>3712</v>
      </c>
      <c r="B3713" s="9" t="s">
        <v>48</v>
      </c>
      <c r="C3713" s="10" t="s">
        <v>49</v>
      </c>
      <c r="D3713" s="11">
        <v>15.403573629081947</v>
      </c>
      <c r="E3713" s="12">
        <f t="shared" si="57"/>
        <v>45151</v>
      </c>
    </row>
    <row r="3714" spans="1:5" x14ac:dyDescent="0.25">
      <c r="A3714" s="2">
        <f>IF(B3714="","",SUBTOTAL(3,$B$2:B3714))</f>
        <v>3713</v>
      </c>
      <c r="B3714" s="9" t="s">
        <v>50</v>
      </c>
      <c r="C3714" s="10" t="s">
        <v>52</v>
      </c>
      <c r="D3714" s="11">
        <v>110.22927689594357</v>
      </c>
      <c r="E3714" s="12">
        <f t="shared" si="57"/>
        <v>45152</v>
      </c>
    </row>
    <row r="3715" spans="1:5" x14ac:dyDescent="0.25">
      <c r="A3715" s="2">
        <f>IF(B3715="","",SUBTOTAL(3,$B$2:B3715))</f>
        <v>3714</v>
      </c>
      <c r="B3715" s="9" t="s">
        <v>48</v>
      </c>
      <c r="C3715" s="10" t="s">
        <v>49</v>
      </c>
      <c r="D3715" s="11">
        <v>15.403573629081947</v>
      </c>
      <c r="E3715" s="12">
        <f t="shared" si="57"/>
        <v>45153</v>
      </c>
    </row>
    <row r="3716" spans="1:5" x14ac:dyDescent="0.25">
      <c r="A3716" s="2">
        <f>IF(B3716="","",SUBTOTAL(3,$B$2:B3716))</f>
        <v>3715</v>
      </c>
      <c r="B3716" s="9" t="s">
        <v>48</v>
      </c>
      <c r="C3716" s="10" t="s">
        <v>49</v>
      </c>
      <c r="D3716" s="11">
        <v>15.403573629081947</v>
      </c>
      <c r="E3716" s="12">
        <f t="shared" ref="E3716:E3779" si="58">E3715+1</f>
        <v>45154</v>
      </c>
    </row>
    <row r="3717" spans="1:5" x14ac:dyDescent="0.25">
      <c r="A3717" s="2">
        <f>IF(B3717="","",SUBTOTAL(3,$B$2:B3717))</f>
        <v>3716</v>
      </c>
      <c r="B3717" s="9" t="s">
        <v>48</v>
      </c>
      <c r="C3717" s="10" t="s">
        <v>49</v>
      </c>
      <c r="D3717" s="11">
        <v>15.403573629081947</v>
      </c>
      <c r="E3717" s="12">
        <f t="shared" si="58"/>
        <v>45155</v>
      </c>
    </row>
    <row r="3718" spans="1:5" x14ac:dyDescent="0.25">
      <c r="A3718" s="2">
        <f>IF(B3718="","",SUBTOTAL(3,$B$2:B3718))</f>
        <v>3717</v>
      </c>
      <c r="B3718" s="9" t="s">
        <v>48</v>
      </c>
      <c r="C3718" s="10" t="s">
        <v>49</v>
      </c>
      <c r="D3718" s="11">
        <v>15.403573629081947</v>
      </c>
      <c r="E3718" s="12">
        <f t="shared" si="58"/>
        <v>45156</v>
      </c>
    </row>
    <row r="3719" spans="1:5" x14ac:dyDescent="0.25">
      <c r="A3719" s="2">
        <f>IF(B3719="","",SUBTOTAL(3,$B$2:B3719))</f>
        <v>3718</v>
      </c>
      <c r="B3719" s="9" t="s">
        <v>48</v>
      </c>
      <c r="C3719" s="10" t="s">
        <v>49</v>
      </c>
      <c r="D3719" s="11">
        <v>15.403573629081947</v>
      </c>
      <c r="E3719" s="12">
        <f t="shared" si="58"/>
        <v>45157</v>
      </c>
    </row>
    <row r="3720" spans="1:5" x14ac:dyDescent="0.25">
      <c r="A3720" s="2">
        <f>IF(B3720="","",SUBTOTAL(3,$B$2:B3720))</f>
        <v>3719</v>
      </c>
      <c r="B3720" s="9" t="s">
        <v>48</v>
      </c>
      <c r="C3720" s="10" t="s">
        <v>49</v>
      </c>
      <c r="D3720" s="11">
        <v>15.403573629081947</v>
      </c>
      <c r="E3720" s="12">
        <f t="shared" si="58"/>
        <v>45158</v>
      </c>
    </row>
    <row r="3721" spans="1:5" x14ac:dyDescent="0.25">
      <c r="A3721" s="2">
        <f>IF(B3721="","",SUBTOTAL(3,$B$2:B3721))</f>
        <v>3720</v>
      </c>
      <c r="B3721" s="9" t="s">
        <v>48</v>
      </c>
      <c r="C3721" s="10" t="s">
        <v>49</v>
      </c>
      <c r="D3721" s="11">
        <v>15.403573629081947</v>
      </c>
      <c r="E3721" s="12">
        <f t="shared" si="58"/>
        <v>45159</v>
      </c>
    </row>
    <row r="3722" spans="1:5" x14ac:dyDescent="0.25">
      <c r="A3722" s="2">
        <f>IF(B3722="","",SUBTOTAL(3,$B$2:B3722))</f>
        <v>3721</v>
      </c>
      <c r="B3722" s="9" t="s">
        <v>48</v>
      </c>
      <c r="C3722" s="10" t="s">
        <v>49</v>
      </c>
      <c r="D3722" s="11">
        <v>15.403573629081947</v>
      </c>
      <c r="E3722" s="12">
        <f t="shared" si="58"/>
        <v>45160</v>
      </c>
    </row>
    <row r="3723" spans="1:5" x14ac:dyDescent="0.25">
      <c r="A3723" s="2">
        <f>IF(B3723="","",SUBTOTAL(3,$B$2:B3723))</f>
        <v>3722</v>
      </c>
      <c r="B3723" s="9" t="s">
        <v>48</v>
      </c>
      <c r="C3723" s="10" t="s">
        <v>49</v>
      </c>
      <c r="D3723" s="11">
        <v>15.403573629081947</v>
      </c>
      <c r="E3723" s="12">
        <f t="shared" si="58"/>
        <v>45161</v>
      </c>
    </row>
    <row r="3724" spans="1:5" x14ac:dyDescent="0.25">
      <c r="A3724" s="2">
        <f>IF(B3724="","",SUBTOTAL(3,$B$2:B3724))</f>
        <v>3723</v>
      </c>
      <c r="B3724" s="9" t="s">
        <v>51</v>
      </c>
      <c r="C3724" s="10" t="s">
        <v>52</v>
      </c>
      <c r="D3724" s="11">
        <v>52.949274594938046</v>
      </c>
      <c r="E3724" s="12">
        <f t="shared" si="58"/>
        <v>45162</v>
      </c>
    </row>
    <row r="3725" spans="1:5" x14ac:dyDescent="0.25">
      <c r="A3725" s="2">
        <f>IF(B3725="","",SUBTOTAL(3,$B$2:B3725))</f>
        <v>3724</v>
      </c>
      <c r="B3725" s="9" t="s">
        <v>51</v>
      </c>
      <c r="C3725" s="10" t="s">
        <v>52</v>
      </c>
      <c r="D3725" s="11">
        <v>105.89854918987609</v>
      </c>
      <c r="E3725" s="12">
        <f t="shared" si="58"/>
        <v>45163</v>
      </c>
    </row>
    <row r="3726" spans="1:5" x14ac:dyDescent="0.25">
      <c r="A3726" s="2">
        <f>IF(B3726="","",SUBTOTAL(3,$B$2:B3726))</f>
        <v>3725</v>
      </c>
      <c r="B3726" s="9" t="s">
        <v>51</v>
      </c>
      <c r="C3726" s="10" t="s">
        <v>49</v>
      </c>
      <c r="D3726" s="11">
        <v>10.58985491898761</v>
      </c>
      <c r="E3726" s="12">
        <f t="shared" si="58"/>
        <v>45164</v>
      </c>
    </row>
    <row r="3727" spans="1:5" x14ac:dyDescent="0.25">
      <c r="A3727" s="2">
        <f>IF(B3727="","",SUBTOTAL(3,$B$2:B3727))</f>
        <v>3726</v>
      </c>
      <c r="B3727" s="9" t="s">
        <v>48</v>
      </c>
      <c r="C3727" s="10" t="s">
        <v>49</v>
      </c>
      <c r="D3727" s="11">
        <v>15.403573629081947</v>
      </c>
      <c r="E3727" s="12">
        <f t="shared" si="58"/>
        <v>45165</v>
      </c>
    </row>
    <row r="3728" spans="1:5" x14ac:dyDescent="0.25">
      <c r="A3728" s="2">
        <f>IF(B3728="","",SUBTOTAL(3,$B$2:B3728))</f>
        <v>3727</v>
      </c>
      <c r="B3728" s="9" t="s">
        <v>48</v>
      </c>
      <c r="C3728" s="10" t="s">
        <v>49</v>
      </c>
      <c r="D3728" s="11">
        <v>7.7017868145409736</v>
      </c>
      <c r="E3728" s="12">
        <f t="shared" si="58"/>
        <v>45166</v>
      </c>
    </row>
    <row r="3729" spans="1:5" x14ac:dyDescent="0.25">
      <c r="A3729" s="2">
        <f>IF(B3729="","",SUBTOTAL(3,$B$2:B3729))</f>
        <v>3728</v>
      </c>
      <c r="B3729" s="9" t="s">
        <v>48</v>
      </c>
      <c r="C3729" s="10" t="s">
        <v>49</v>
      </c>
      <c r="D3729" s="11">
        <v>15.403573629081947</v>
      </c>
      <c r="E3729" s="12">
        <f t="shared" si="58"/>
        <v>45167</v>
      </c>
    </row>
    <row r="3730" spans="1:5" x14ac:dyDescent="0.25">
      <c r="A3730" s="2">
        <f>IF(B3730="","",SUBTOTAL(3,$B$2:B3730))</f>
        <v>3729</v>
      </c>
      <c r="B3730" s="9" t="s">
        <v>48</v>
      </c>
      <c r="C3730" s="10" t="s">
        <v>49</v>
      </c>
      <c r="D3730" s="11">
        <v>15.403573629081947</v>
      </c>
      <c r="E3730" s="12">
        <f t="shared" si="58"/>
        <v>45168</v>
      </c>
    </row>
    <row r="3731" spans="1:5" x14ac:dyDescent="0.25">
      <c r="A3731" s="2">
        <f>IF(B3731="","",SUBTOTAL(3,$B$2:B3731))</f>
        <v>3730</v>
      </c>
      <c r="B3731" s="9" t="s">
        <v>48</v>
      </c>
      <c r="C3731" s="10" t="s">
        <v>49</v>
      </c>
      <c r="D3731" s="11">
        <v>15.403573629081947</v>
      </c>
      <c r="E3731" s="12">
        <f t="shared" si="58"/>
        <v>45169</v>
      </c>
    </row>
    <row r="3732" spans="1:5" x14ac:dyDescent="0.25">
      <c r="A3732" s="2">
        <f>IF(B3732="","",SUBTOTAL(3,$B$2:B3732))</f>
        <v>3731</v>
      </c>
      <c r="B3732" s="9" t="s">
        <v>48</v>
      </c>
      <c r="C3732" s="10" t="s">
        <v>49</v>
      </c>
      <c r="D3732" s="11">
        <v>15.403573629081947</v>
      </c>
      <c r="E3732" s="12">
        <f t="shared" si="58"/>
        <v>45170</v>
      </c>
    </row>
    <row r="3733" spans="1:5" x14ac:dyDescent="0.25">
      <c r="A3733" s="2">
        <f>IF(B3733="","",SUBTOTAL(3,$B$2:B3733))</f>
        <v>3732</v>
      </c>
      <c r="B3733" s="9" t="s">
        <v>48</v>
      </c>
      <c r="C3733" s="10" t="s">
        <v>54</v>
      </c>
      <c r="D3733" s="11">
        <v>1540.3573629081948</v>
      </c>
      <c r="E3733" s="12">
        <f t="shared" si="58"/>
        <v>45171</v>
      </c>
    </row>
    <row r="3734" spans="1:5" x14ac:dyDescent="0.25">
      <c r="A3734" s="2">
        <f>IF(B3734="","",SUBTOTAL(3,$B$2:B3734))</f>
        <v>3733</v>
      </c>
      <c r="B3734" s="9" t="s">
        <v>48</v>
      </c>
      <c r="C3734" s="10" t="s">
        <v>49</v>
      </c>
      <c r="D3734" s="11">
        <v>15.403573629081947</v>
      </c>
      <c r="E3734" s="12">
        <f t="shared" si="58"/>
        <v>45172</v>
      </c>
    </row>
    <row r="3735" spans="1:5" x14ac:dyDescent="0.25">
      <c r="A3735" s="2">
        <f>IF(B3735="","",SUBTOTAL(3,$B$2:B3735))</f>
        <v>3734</v>
      </c>
      <c r="B3735" s="9" t="s">
        <v>48</v>
      </c>
      <c r="C3735" s="10" t="s">
        <v>49</v>
      </c>
      <c r="D3735" s="11">
        <v>15.403573629081947</v>
      </c>
      <c r="E3735" s="12">
        <f t="shared" si="58"/>
        <v>45173</v>
      </c>
    </row>
    <row r="3736" spans="1:5" x14ac:dyDescent="0.25">
      <c r="A3736" s="2">
        <f>IF(B3736="","",SUBTOTAL(3,$B$2:B3736))</f>
        <v>3735</v>
      </c>
      <c r="B3736" s="9" t="s">
        <v>48</v>
      </c>
      <c r="C3736" s="10" t="s">
        <v>49</v>
      </c>
      <c r="D3736" s="11">
        <v>15.403573629081947</v>
      </c>
      <c r="E3736" s="12">
        <f t="shared" si="58"/>
        <v>45174</v>
      </c>
    </row>
    <row r="3737" spans="1:5" x14ac:dyDescent="0.25">
      <c r="A3737" s="2">
        <f>IF(B3737="","",SUBTOTAL(3,$B$2:B3737))</f>
        <v>3736</v>
      </c>
      <c r="B3737" s="9" t="s">
        <v>48</v>
      </c>
      <c r="C3737" s="10" t="s">
        <v>54</v>
      </c>
      <c r="D3737" s="11">
        <v>46.210720887245841</v>
      </c>
      <c r="E3737" s="12">
        <f t="shared" si="58"/>
        <v>45175</v>
      </c>
    </row>
    <row r="3738" spans="1:5" x14ac:dyDescent="0.25">
      <c r="A3738" s="2">
        <f>IF(B3738="","",SUBTOTAL(3,$B$2:B3738))</f>
        <v>3737</v>
      </c>
      <c r="B3738" s="9" t="s">
        <v>48</v>
      </c>
      <c r="C3738" s="10" t="s">
        <v>49</v>
      </c>
      <c r="D3738" s="11">
        <v>15.403573629081947</v>
      </c>
      <c r="E3738" s="12">
        <f t="shared" si="58"/>
        <v>45176</v>
      </c>
    </row>
    <row r="3739" spans="1:5" x14ac:dyDescent="0.25">
      <c r="A3739" s="2">
        <f>IF(B3739="","",SUBTOTAL(3,$B$2:B3739))</f>
        <v>3738</v>
      </c>
      <c r="B3739" s="9" t="s">
        <v>48</v>
      </c>
      <c r="C3739" s="10" t="s">
        <v>49</v>
      </c>
      <c r="D3739" s="11">
        <v>15.403573629081947</v>
      </c>
      <c r="E3739" s="12">
        <f t="shared" si="58"/>
        <v>45177</v>
      </c>
    </row>
    <row r="3740" spans="1:5" x14ac:dyDescent="0.25">
      <c r="A3740" s="2">
        <f>IF(B3740="","",SUBTOTAL(3,$B$2:B3740))</f>
        <v>3739</v>
      </c>
      <c r="B3740" s="9" t="s">
        <v>48</v>
      </c>
      <c r="C3740" s="10" t="s">
        <v>49</v>
      </c>
      <c r="D3740" s="11">
        <v>15.403573629081947</v>
      </c>
      <c r="E3740" s="12">
        <f t="shared" si="58"/>
        <v>45178</v>
      </c>
    </row>
    <row r="3741" spans="1:5" x14ac:dyDescent="0.25">
      <c r="A3741" s="2">
        <f>IF(B3741="","",SUBTOTAL(3,$B$2:B3741))</f>
        <v>3740</v>
      </c>
      <c r="B3741" s="9" t="s">
        <v>48</v>
      </c>
      <c r="C3741" s="10" t="s">
        <v>49</v>
      </c>
      <c r="D3741" s="11">
        <v>15.403573629081947</v>
      </c>
      <c r="E3741" s="12">
        <f t="shared" si="58"/>
        <v>45179</v>
      </c>
    </row>
    <row r="3742" spans="1:5" x14ac:dyDescent="0.25">
      <c r="A3742" s="2">
        <f>IF(B3742="","",SUBTOTAL(3,$B$2:B3742))</f>
        <v>3741</v>
      </c>
      <c r="B3742" s="9" t="s">
        <v>48</v>
      </c>
      <c r="C3742" s="10" t="s">
        <v>49</v>
      </c>
      <c r="D3742" s="11">
        <v>34.470872113064452</v>
      </c>
      <c r="E3742" s="12">
        <f t="shared" si="58"/>
        <v>45180</v>
      </c>
    </row>
    <row r="3743" spans="1:5" x14ac:dyDescent="0.25">
      <c r="A3743" s="2">
        <f>IF(B3743="","",SUBTOTAL(3,$B$2:B3743))</f>
        <v>3742</v>
      </c>
      <c r="B3743" s="9" t="s">
        <v>48</v>
      </c>
      <c r="C3743" s="10" t="s">
        <v>49</v>
      </c>
      <c r="D3743" s="11">
        <v>15.403573629081947</v>
      </c>
      <c r="E3743" s="12">
        <f t="shared" si="58"/>
        <v>45181</v>
      </c>
    </row>
    <row r="3744" spans="1:5" x14ac:dyDescent="0.25">
      <c r="A3744" s="2">
        <f>IF(B3744="","",SUBTOTAL(3,$B$2:B3744))</f>
        <v>3743</v>
      </c>
      <c r="B3744" s="9" t="s">
        <v>48</v>
      </c>
      <c r="C3744" s="10" t="s">
        <v>49</v>
      </c>
      <c r="D3744" s="11">
        <v>46.210720887245841</v>
      </c>
      <c r="E3744" s="12">
        <f t="shared" si="58"/>
        <v>45182</v>
      </c>
    </row>
    <row r="3745" spans="1:5" x14ac:dyDescent="0.25">
      <c r="A3745" s="2">
        <f>IF(B3745="","",SUBTOTAL(3,$B$2:B3745))</f>
        <v>3744</v>
      </c>
      <c r="B3745" s="9" t="s">
        <v>48</v>
      </c>
      <c r="C3745" s="10" t="s">
        <v>54</v>
      </c>
      <c r="D3745" s="11">
        <v>92.421441774491683</v>
      </c>
      <c r="E3745" s="12">
        <f t="shared" si="58"/>
        <v>45183</v>
      </c>
    </row>
    <row r="3746" spans="1:5" x14ac:dyDescent="0.25">
      <c r="A3746" s="2">
        <f>IF(B3746="","",SUBTOTAL(3,$B$2:B3746))</f>
        <v>3745</v>
      </c>
      <c r="B3746" s="9" t="s">
        <v>48</v>
      </c>
      <c r="C3746" s="10" t="s">
        <v>49</v>
      </c>
      <c r="D3746" s="11">
        <v>92.421441774491683</v>
      </c>
      <c r="E3746" s="12">
        <f t="shared" si="58"/>
        <v>45184</v>
      </c>
    </row>
    <row r="3747" spans="1:5" x14ac:dyDescent="0.25">
      <c r="A3747" s="2">
        <f>IF(B3747="","",SUBTOTAL(3,$B$2:B3747))</f>
        <v>3746</v>
      </c>
      <c r="B3747" s="9" t="s">
        <v>48</v>
      </c>
      <c r="C3747" s="10" t="s">
        <v>52</v>
      </c>
      <c r="D3747" s="11">
        <v>385.08934072704869</v>
      </c>
      <c r="E3747" s="12">
        <f t="shared" si="58"/>
        <v>45185</v>
      </c>
    </row>
    <row r="3748" spans="1:5" x14ac:dyDescent="0.25">
      <c r="A3748" s="2">
        <f>IF(B3748="","",SUBTOTAL(3,$B$2:B3748))</f>
        <v>3747</v>
      </c>
      <c r="B3748" s="9" t="s">
        <v>51</v>
      </c>
      <c r="C3748" s="10" t="s">
        <v>54</v>
      </c>
      <c r="D3748" s="11">
        <v>52.949274594938046</v>
      </c>
      <c r="E3748" s="12">
        <f t="shared" si="58"/>
        <v>45186</v>
      </c>
    </row>
    <row r="3749" spans="1:5" x14ac:dyDescent="0.25">
      <c r="A3749" s="2">
        <f>IF(B3749="","",SUBTOTAL(3,$B$2:B3749))</f>
        <v>3748</v>
      </c>
      <c r="B3749" s="9" t="s">
        <v>48</v>
      </c>
      <c r="C3749" s="10" t="s">
        <v>52</v>
      </c>
      <c r="D3749" s="11">
        <v>106.85970355049982</v>
      </c>
      <c r="E3749" s="12">
        <f t="shared" si="58"/>
        <v>45187</v>
      </c>
    </row>
    <row r="3750" spans="1:5" x14ac:dyDescent="0.25">
      <c r="A3750" s="2">
        <f>IF(B3750="","",SUBTOTAL(3,$B$2:B3750))</f>
        <v>3749</v>
      </c>
      <c r="B3750" s="9" t="s">
        <v>51</v>
      </c>
      <c r="C3750" s="10" t="s">
        <v>54</v>
      </c>
      <c r="D3750" s="11">
        <v>2117.970983797522</v>
      </c>
      <c r="E3750" s="12">
        <f t="shared" si="58"/>
        <v>45188</v>
      </c>
    </row>
    <row r="3751" spans="1:5" x14ac:dyDescent="0.25">
      <c r="A3751" s="2">
        <f>IF(B3751="","",SUBTOTAL(3,$B$2:B3751))</f>
        <v>3750</v>
      </c>
      <c r="B3751" s="9" t="s">
        <v>55</v>
      </c>
      <c r="C3751" s="10" t="s">
        <v>49</v>
      </c>
      <c r="D3751" s="11">
        <v>300</v>
      </c>
      <c r="E3751" s="12">
        <f t="shared" si="58"/>
        <v>45189</v>
      </c>
    </row>
    <row r="3752" spans="1:5" x14ac:dyDescent="0.25">
      <c r="A3752" s="2">
        <f>IF(B3752="","",SUBTOTAL(3,$B$2:B3752))</f>
        <v>3751</v>
      </c>
      <c r="B3752" s="9" t="s">
        <v>50</v>
      </c>
      <c r="C3752" s="10" t="s">
        <v>52</v>
      </c>
      <c r="D3752" s="11">
        <v>8.8183421516754841</v>
      </c>
      <c r="E3752" s="12">
        <f t="shared" si="58"/>
        <v>45190</v>
      </c>
    </row>
    <row r="3753" spans="1:5" x14ac:dyDescent="0.25">
      <c r="A3753" s="2">
        <f>IF(B3753="","",SUBTOTAL(3,$B$2:B3753))</f>
        <v>3752</v>
      </c>
      <c r="B3753" s="9" t="s">
        <v>50</v>
      </c>
      <c r="C3753" s="10" t="s">
        <v>52</v>
      </c>
      <c r="D3753" s="11">
        <v>33.06878306878307</v>
      </c>
      <c r="E3753" s="12">
        <f t="shared" si="58"/>
        <v>45191</v>
      </c>
    </row>
    <row r="3754" spans="1:5" x14ac:dyDescent="0.25">
      <c r="A3754" s="2">
        <f>IF(B3754="","",SUBTOTAL(3,$B$2:B3754))</f>
        <v>3753</v>
      </c>
      <c r="B3754" s="9" t="s">
        <v>55</v>
      </c>
      <c r="C3754" s="10" t="s">
        <v>49</v>
      </c>
      <c r="D3754" s="11">
        <v>0.55800000000000005</v>
      </c>
      <c r="E3754" s="12">
        <f t="shared" si="58"/>
        <v>45192</v>
      </c>
    </row>
    <row r="3755" spans="1:5" x14ac:dyDescent="0.25">
      <c r="A3755" s="2">
        <f>IF(B3755="","",SUBTOTAL(3,$B$2:B3755))</f>
        <v>3754</v>
      </c>
      <c r="B3755" s="9" t="s">
        <v>51</v>
      </c>
      <c r="C3755" s="10" t="s">
        <v>52</v>
      </c>
      <c r="D3755" s="11">
        <v>81.030710639332298</v>
      </c>
      <c r="E3755" s="12">
        <f t="shared" si="58"/>
        <v>45193</v>
      </c>
    </row>
    <row r="3756" spans="1:5" x14ac:dyDescent="0.25">
      <c r="A3756" s="2">
        <f>IF(B3756="","",SUBTOTAL(3,$B$2:B3756))</f>
        <v>3755</v>
      </c>
      <c r="B3756" s="9" t="s">
        <v>51</v>
      </c>
      <c r="C3756" s="10" t="s">
        <v>52</v>
      </c>
      <c r="D3756" s="11">
        <v>81.030710639332298</v>
      </c>
      <c r="E3756" s="12">
        <f t="shared" si="58"/>
        <v>45194</v>
      </c>
    </row>
    <row r="3757" spans="1:5" x14ac:dyDescent="0.25">
      <c r="A3757" s="2">
        <f>IF(B3757="","",SUBTOTAL(3,$B$2:B3757))</f>
        <v>3756</v>
      </c>
      <c r="B3757" s="9" t="s">
        <v>50</v>
      </c>
      <c r="C3757" s="10" t="s">
        <v>49</v>
      </c>
      <c r="D3757" s="11">
        <v>33.06878306878307</v>
      </c>
      <c r="E3757" s="12">
        <f t="shared" si="58"/>
        <v>45195</v>
      </c>
    </row>
    <row r="3758" spans="1:5" x14ac:dyDescent="0.25">
      <c r="A3758" s="2">
        <f>IF(B3758="","",SUBTOTAL(3,$B$2:B3758))</f>
        <v>3757</v>
      </c>
      <c r="B3758" s="9" t="s">
        <v>50</v>
      </c>
      <c r="C3758" s="10" t="s">
        <v>52</v>
      </c>
      <c r="D3758" s="11">
        <v>88.183421516754848</v>
      </c>
      <c r="E3758" s="12">
        <f t="shared" si="58"/>
        <v>45196</v>
      </c>
    </row>
    <row r="3759" spans="1:5" x14ac:dyDescent="0.25">
      <c r="A3759" s="2">
        <f>IF(B3759="","",SUBTOTAL(3,$B$2:B3759))</f>
        <v>3758</v>
      </c>
      <c r="B3759" s="9" t="s">
        <v>50</v>
      </c>
      <c r="C3759" s="10" t="s">
        <v>49</v>
      </c>
      <c r="D3759" s="11">
        <v>440.91710758377428</v>
      </c>
      <c r="E3759" s="12">
        <f t="shared" si="58"/>
        <v>45197</v>
      </c>
    </row>
    <row r="3760" spans="1:5" x14ac:dyDescent="0.25">
      <c r="A3760" s="2">
        <f>IF(B3760="","",SUBTOTAL(3,$B$2:B3760))</f>
        <v>3759</v>
      </c>
      <c r="B3760" s="9" t="s">
        <v>50</v>
      </c>
      <c r="C3760" s="10" t="s">
        <v>49</v>
      </c>
      <c r="D3760" s="11">
        <v>48.500881834215171</v>
      </c>
      <c r="E3760" s="12">
        <f t="shared" si="58"/>
        <v>45198</v>
      </c>
    </row>
    <row r="3761" spans="1:5" x14ac:dyDescent="0.25">
      <c r="A3761" s="2">
        <f>IF(B3761="","",SUBTOTAL(3,$B$2:B3761))</f>
        <v>3760</v>
      </c>
      <c r="B3761" s="9" t="s">
        <v>48</v>
      </c>
      <c r="C3761" s="10" t="s">
        <v>49</v>
      </c>
      <c r="D3761" s="11">
        <v>15.403573629081947</v>
      </c>
      <c r="E3761" s="12">
        <f t="shared" si="58"/>
        <v>45199</v>
      </c>
    </row>
    <row r="3762" spans="1:5" x14ac:dyDescent="0.25">
      <c r="A3762" s="2">
        <f>IF(B3762="","",SUBTOTAL(3,$B$2:B3762))</f>
        <v>3761</v>
      </c>
      <c r="B3762" s="9" t="s">
        <v>48</v>
      </c>
      <c r="C3762" s="10" t="s">
        <v>49</v>
      </c>
      <c r="D3762" s="11">
        <v>15.403573629081947</v>
      </c>
      <c r="E3762" s="12">
        <f t="shared" si="58"/>
        <v>45200</v>
      </c>
    </row>
    <row r="3763" spans="1:5" x14ac:dyDescent="0.25">
      <c r="A3763" s="2">
        <f>IF(B3763="","",SUBTOTAL(3,$B$2:B3763))</f>
        <v>3762</v>
      </c>
      <c r="B3763" s="9" t="s">
        <v>48</v>
      </c>
      <c r="C3763" s="10" t="s">
        <v>49</v>
      </c>
      <c r="D3763" s="11">
        <v>15.403573629081947</v>
      </c>
      <c r="E3763" s="12">
        <f t="shared" si="58"/>
        <v>45201</v>
      </c>
    </row>
    <row r="3764" spans="1:5" x14ac:dyDescent="0.25">
      <c r="A3764" s="2">
        <f>IF(B3764="","",SUBTOTAL(3,$B$2:B3764))</f>
        <v>3763</v>
      </c>
      <c r="B3764" s="9" t="s">
        <v>48</v>
      </c>
      <c r="C3764" s="10" t="s">
        <v>49</v>
      </c>
      <c r="D3764" s="11">
        <v>15.403573629081947</v>
      </c>
      <c r="E3764" s="12">
        <f t="shared" si="58"/>
        <v>45202</v>
      </c>
    </row>
    <row r="3765" spans="1:5" x14ac:dyDescent="0.25">
      <c r="A3765" s="2">
        <f>IF(B3765="","",SUBTOTAL(3,$B$2:B3765))</f>
        <v>3764</v>
      </c>
      <c r="B3765" s="9" t="s">
        <v>50</v>
      </c>
      <c r="C3765" s="10" t="s">
        <v>49</v>
      </c>
      <c r="D3765" s="11">
        <v>661.37566137566137</v>
      </c>
      <c r="E3765" s="12">
        <f t="shared" si="58"/>
        <v>45203</v>
      </c>
    </row>
    <row r="3766" spans="1:5" x14ac:dyDescent="0.25">
      <c r="A3766" s="2">
        <f>IF(B3766="","",SUBTOTAL(3,$B$2:B3766))</f>
        <v>3765</v>
      </c>
      <c r="B3766" s="9" t="s">
        <v>50</v>
      </c>
      <c r="C3766" s="10" t="s">
        <v>49</v>
      </c>
      <c r="D3766" s="11">
        <v>24.250440917107586</v>
      </c>
      <c r="E3766" s="12">
        <f t="shared" si="58"/>
        <v>45204</v>
      </c>
    </row>
    <row r="3767" spans="1:5" x14ac:dyDescent="0.25">
      <c r="A3767" s="2">
        <f>IF(B3767="","",SUBTOTAL(3,$B$2:B3767))</f>
        <v>3766</v>
      </c>
      <c r="B3767" s="9" t="s">
        <v>48</v>
      </c>
      <c r="C3767" s="10" t="s">
        <v>49</v>
      </c>
      <c r="D3767" s="11">
        <v>154.03573629081947</v>
      </c>
      <c r="E3767" s="12">
        <f t="shared" si="58"/>
        <v>45205</v>
      </c>
    </row>
    <row r="3768" spans="1:5" x14ac:dyDescent="0.25">
      <c r="A3768" s="2">
        <f>IF(B3768="","",SUBTOTAL(3,$B$2:B3768))</f>
        <v>3767</v>
      </c>
      <c r="B3768" s="9" t="s">
        <v>50</v>
      </c>
      <c r="C3768" s="10" t="s">
        <v>49</v>
      </c>
      <c r="D3768" s="11">
        <v>66.137566137566139</v>
      </c>
      <c r="E3768" s="12">
        <f t="shared" si="58"/>
        <v>45206</v>
      </c>
    </row>
    <row r="3769" spans="1:5" x14ac:dyDescent="0.25">
      <c r="A3769" s="2">
        <f>IF(B3769="","",SUBTOTAL(3,$B$2:B3769))</f>
        <v>3768</v>
      </c>
      <c r="B3769" s="9" t="s">
        <v>51</v>
      </c>
      <c r="C3769" s="10" t="s">
        <v>52</v>
      </c>
      <c r="D3769" s="11">
        <v>211.79709837975219</v>
      </c>
      <c r="E3769" s="12">
        <f t="shared" si="58"/>
        <v>45207</v>
      </c>
    </row>
    <row r="3770" spans="1:5" x14ac:dyDescent="0.25">
      <c r="A3770" s="2">
        <f>IF(B3770="","",SUBTOTAL(3,$B$2:B3770))</f>
        <v>3769</v>
      </c>
      <c r="B3770" s="9" t="s">
        <v>48</v>
      </c>
      <c r="C3770" s="10" t="s">
        <v>49</v>
      </c>
      <c r="D3770" s="11">
        <v>122.96994847943675</v>
      </c>
      <c r="E3770" s="12">
        <f t="shared" si="58"/>
        <v>45208</v>
      </c>
    </row>
    <row r="3771" spans="1:5" x14ac:dyDescent="0.25">
      <c r="A3771" s="2">
        <f>IF(B3771="","",SUBTOTAL(3,$B$2:B3771))</f>
        <v>3770</v>
      </c>
      <c r="B3771" s="9" t="s">
        <v>50</v>
      </c>
      <c r="C3771" s="10" t="s">
        <v>49</v>
      </c>
      <c r="D3771" s="11">
        <v>110.22927689594357</v>
      </c>
      <c r="E3771" s="12">
        <f t="shared" si="58"/>
        <v>45209</v>
      </c>
    </row>
    <row r="3772" spans="1:5" x14ac:dyDescent="0.25">
      <c r="A3772" s="2">
        <f>IF(B3772="","",SUBTOTAL(3,$B$2:B3772))</f>
        <v>3771</v>
      </c>
      <c r="B3772" s="9" t="s">
        <v>48</v>
      </c>
      <c r="C3772" s="10" t="s">
        <v>49</v>
      </c>
      <c r="D3772" s="11">
        <v>61.614294516327789</v>
      </c>
      <c r="E3772" s="12">
        <f t="shared" si="58"/>
        <v>45210</v>
      </c>
    </row>
    <row r="3773" spans="1:5" x14ac:dyDescent="0.25">
      <c r="A3773" s="2">
        <f>IF(B3773="","",SUBTOTAL(3,$B$2:B3773))</f>
        <v>3772</v>
      </c>
      <c r="B3773" s="9" t="s">
        <v>48</v>
      </c>
      <c r="C3773" s="10" t="s">
        <v>54</v>
      </c>
      <c r="D3773" s="11">
        <v>154.03573629081947</v>
      </c>
      <c r="E3773" s="12">
        <f t="shared" si="58"/>
        <v>45211</v>
      </c>
    </row>
    <row r="3774" spans="1:5" x14ac:dyDescent="0.25">
      <c r="A3774" s="2">
        <f>IF(B3774="","",SUBTOTAL(3,$B$2:B3774))</f>
        <v>3773</v>
      </c>
      <c r="B3774" s="9" t="s">
        <v>50</v>
      </c>
      <c r="C3774" s="10" t="s">
        <v>49</v>
      </c>
      <c r="D3774" s="11">
        <v>110.22927689594357</v>
      </c>
      <c r="E3774" s="12">
        <f t="shared" si="58"/>
        <v>45212</v>
      </c>
    </row>
    <row r="3775" spans="1:5" x14ac:dyDescent="0.25">
      <c r="A3775" s="2">
        <f>IF(B3775="","",SUBTOTAL(3,$B$2:B3775))</f>
        <v>3774</v>
      </c>
      <c r="B3775" s="9" t="s">
        <v>50</v>
      </c>
      <c r="C3775" s="10" t="s">
        <v>49</v>
      </c>
      <c r="D3775" s="11">
        <v>110.22927689594357</v>
      </c>
      <c r="E3775" s="12">
        <f t="shared" si="58"/>
        <v>45213</v>
      </c>
    </row>
    <row r="3776" spans="1:5" x14ac:dyDescent="0.25">
      <c r="A3776" s="2">
        <f>IF(B3776="","",SUBTOTAL(3,$B$2:B3776))</f>
        <v>3775</v>
      </c>
      <c r="B3776" s="9" t="s">
        <v>50</v>
      </c>
      <c r="C3776" s="10" t="s">
        <v>52</v>
      </c>
      <c r="D3776" s="11">
        <v>55.114638447971785</v>
      </c>
      <c r="E3776" s="12">
        <f t="shared" si="58"/>
        <v>45214</v>
      </c>
    </row>
    <row r="3777" spans="1:5" x14ac:dyDescent="0.25">
      <c r="A3777" s="2">
        <f>IF(B3777="","",SUBTOTAL(3,$B$2:B3777))</f>
        <v>3776</v>
      </c>
      <c r="B3777" s="9" t="s">
        <v>50</v>
      </c>
      <c r="C3777" s="10" t="s">
        <v>49</v>
      </c>
      <c r="D3777" s="11">
        <v>391.73677248677251</v>
      </c>
      <c r="E3777" s="12">
        <f t="shared" si="58"/>
        <v>45215</v>
      </c>
    </row>
    <row r="3778" spans="1:5" x14ac:dyDescent="0.25">
      <c r="A3778" s="2">
        <f>IF(B3778="","",SUBTOTAL(3,$B$2:B3778))</f>
        <v>3777</v>
      </c>
      <c r="B3778" s="9" t="s">
        <v>48</v>
      </c>
      <c r="C3778" s="10" t="s">
        <v>52</v>
      </c>
      <c r="D3778" s="11">
        <v>103.41261633919338</v>
      </c>
      <c r="E3778" s="12">
        <f t="shared" si="58"/>
        <v>45216</v>
      </c>
    </row>
    <row r="3779" spans="1:5" x14ac:dyDescent="0.25">
      <c r="A3779" s="2">
        <f>IF(B3779="","",SUBTOTAL(3,$B$2:B3779))</f>
        <v>3778</v>
      </c>
      <c r="B3779" s="9" t="s">
        <v>51</v>
      </c>
      <c r="C3779" s="10" t="s">
        <v>54</v>
      </c>
      <c r="D3779" s="11">
        <v>31.769564756962826</v>
      </c>
      <c r="E3779" s="12">
        <f t="shared" si="58"/>
        <v>45217</v>
      </c>
    </row>
    <row r="3780" spans="1:5" x14ac:dyDescent="0.25">
      <c r="A3780" s="2">
        <f>IF(B3780="","",SUBTOTAL(3,$B$2:B3780))</f>
        <v>3779</v>
      </c>
      <c r="B3780" s="9" t="s">
        <v>48</v>
      </c>
      <c r="C3780" s="10" t="s">
        <v>49</v>
      </c>
      <c r="D3780" s="11">
        <v>231.05360443622922</v>
      </c>
      <c r="E3780" s="12">
        <f t="shared" ref="E3780:E3843" si="59">E3779+1</f>
        <v>45218</v>
      </c>
    </row>
    <row r="3781" spans="1:5" x14ac:dyDescent="0.25">
      <c r="A3781" s="2">
        <f>IF(B3781="","",SUBTOTAL(3,$B$2:B3781))</f>
        <v>3780</v>
      </c>
      <c r="B3781" s="9" t="s">
        <v>50</v>
      </c>
      <c r="C3781" s="10" t="s">
        <v>52</v>
      </c>
      <c r="D3781" s="11">
        <v>66.137566137566139</v>
      </c>
      <c r="E3781" s="12">
        <f t="shared" si="59"/>
        <v>45219</v>
      </c>
    </row>
    <row r="3782" spans="1:5" x14ac:dyDescent="0.25">
      <c r="A3782" s="2">
        <f>IF(B3782="","",SUBTOTAL(3,$B$2:B3782))</f>
        <v>3781</v>
      </c>
      <c r="B3782" s="9" t="s">
        <v>50</v>
      </c>
      <c r="C3782" s="10" t="s">
        <v>52</v>
      </c>
      <c r="D3782" s="11">
        <v>66.137566137566139</v>
      </c>
      <c r="E3782" s="12">
        <f t="shared" si="59"/>
        <v>45220</v>
      </c>
    </row>
    <row r="3783" spans="1:5" x14ac:dyDescent="0.25">
      <c r="A3783" s="2">
        <f>IF(B3783="","",SUBTOTAL(3,$B$2:B3783))</f>
        <v>3782</v>
      </c>
      <c r="B3783" s="9" t="s">
        <v>50</v>
      </c>
      <c r="C3783" s="10" t="s">
        <v>49</v>
      </c>
      <c r="D3783" s="11">
        <v>220.45855379188714</v>
      </c>
      <c r="E3783" s="12">
        <f t="shared" si="59"/>
        <v>45221</v>
      </c>
    </row>
    <row r="3784" spans="1:5" x14ac:dyDescent="0.25">
      <c r="A3784" s="2">
        <f>IF(B3784="","",SUBTOTAL(3,$B$2:B3784))</f>
        <v>3783</v>
      </c>
      <c r="B3784" s="9" t="s">
        <v>48</v>
      </c>
      <c r="C3784" s="10" t="s">
        <v>49</v>
      </c>
      <c r="D3784" s="11">
        <v>46.210720887245841</v>
      </c>
      <c r="E3784" s="12">
        <f t="shared" si="59"/>
        <v>45222</v>
      </c>
    </row>
    <row r="3785" spans="1:5" x14ac:dyDescent="0.25">
      <c r="A3785" s="2">
        <f>IF(B3785="","",SUBTOTAL(3,$B$2:B3785))</f>
        <v>3784</v>
      </c>
      <c r="B3785" s="9" t="s">
        <v>50</v>
      </c>
      <c r="C3785" s="10" t="s">
        <v>49</v>
      </c>
      <c r="D3785" s="11">
        <v>881.83421516754856</v>
      </c>
      <c r="E3785" s="12">
        <f t="shared" si="59"/>
        <v>45223</v>
      </c>
    </row>
    <row r="3786" spans="1:5" x14ac:dyDescent="0.25">
      <c r="A3786" s="2">
        <f>IF(B3786="","",SUBTOTAL(3,$B$2:B3786))</f>
        <v>3785</v>
      </c>
      <c r="B3786" s="9" t="s">
        <v>48</v>
      </c>
      <c r="C3786" s="10" t="s">
        <v>52</v>
      </c>
      <c r="D3786" s="11">
        <v>123.22858903265558</v>
      </c>
      <c r="E3786" s="12">
        <f t="shared" si="59"/>
        <v>45224</v>
      </c>
    </row>
    <row r="3787" spans="1:5" x14ac:dyDescent="0.25">
      <c r="A3787" s="2">
        <f>IF(B3787="","",SUBTOTAL(3,$B$2:B3787))</f>
        <v>3786</v>
      </c>
      <c r="B3787" s="9" t="s">
        <v>48</v>
      </c>
      <c r="C3787" s="10" t="s">
        <v>56</v>
      </c>
      <c r="D3787" s="11">
        <v>770.88124574409323</v>
      </c>
      <c r="E3787" s="12">
        <f t="shared" si="59"/>
        <v>45225</v>
      </c>
    </row>
    <row r="3788" spans="1:5" x14ac:dyDescent="0.25">
      <c r="A3788" s="2">
        <f>IF(B3788="","",SUBTOTAL(3,$B$2:B3788))</f>
        <v>3787</v>
      </c>
      <c r="B3788" s="9" t="s">
        <v>50</v>
      </c>
      <c r="C3788" s="10" t="s">
        <v>49</v>
      </c>
      <c r="D3788" s="11">
        <v>220.45855379188714</v>
      </c>
      <c r="E3788" s="12">
        <f t="shared" si="59"/>
        <v>45226</v>
      </c>
    </row>
    <row r="3789" spans="1:5" x14ac:dyDescent="0.25">
      <c r="A3789" s="2">
        <f>IF(B3789="","",SUBTOTAL(3,$B$2:B3789))</f>
        <v>3788</v>
      </c>
      <c r="B3789" s="9" t="s">
        <v>50</v>
      </c>
      <c r="C3789" s="10" t="s">
        <v>49</v>
      </c>
      <c r="D3789" s="11">
        <v>165.34391534391534</v>
      </c>
      <c r="E3789" s="12">
        <f t="shared" si="59"/>
        <v>45227</v>
      </c>
    </row>
    <row r="3790" spans="1:5" x14ac:dyDescent="0.25">
      <c r="A3790" s="2">
        <f>IF(B3790="","",SUBTOTAL(3,$B$2:B3790))</f>
        <v>3789</v>
      </c>
      <c r="B3790" s="9" t="s">
        <v>51</v>
      </c>
      <c r="C3790" s="10" t="s">
        <v>49</v>
      </c>
      <c r="D3790" s="11">
        <v>615.83340085892553</v>
      </c>
      <c r="E3790" s="12">
        <f t="shared" si="59"/>
        <v>45228</v>
      </c>
    </row>
    <row r="3791" spans="1:5" x14ac:dyDescent="0.25">
      <c r="A3791" s="2">
        <f>IF(B3791="","",SUBTOTAL(3,$B$2:B3791))</f>
        <v>3790</v>
      </c>
      <c r="B3791" s="9" t="s">
        <v>53</v>
      </c>
      <c r="C3791" s="10" t="s">
        <v>49</v>
      </c>
      <c r="D3791" s="11">
        <v>549.51596801817072</v>
      </c>
      <c r="E3791" s="12">
        <f t="shared" si="59"/>
        <v>45229</v>
      </c>
    </row>
    <row r="3792" spans="1:5" x14ac:dyDescent="0.25">
      <c r="A3792" s="2">
        <f>IF(B3792="","",SUBTOTAL(3,$B$2:B3792))</f>
        <v>3791</v>
      </c>
      <c r="B3792" s="9" t="s">
        <v>51</v>
      </c>
      <c r="C3792" s="10" t="s">
        <v>49</v>
      </c>
      <c r="D3792" s="11">
        <v>21.179709837975221</v>
      </c>
      <c r="E3792" s="12">
        <f t="shared" si="59"/>
        <v>45230</v>
      </c>
    </row>
    <row r="3793" spans="1:5" x14ac:dyDescent="0.25">
      <c r="A3793" s="2">
        <f>IF(B3793="","",SUBTOTAL(3,$B$2:B3793))</f>
        <v>3792</v>
      </c>
      <c r="B3793" s="9" t="s">
        <v>51</v>
      </c>
      <c r="C3793" s="10" t="s">
        <v>54</v>
      </c>
      <c r="D3793" s="11">
        <v>52.949274594938046</v>
      </c>
      <c r="E3793" s="12">
        <f t="shared" si="59"/>
        <v>45231</v>
      </c>
    </row>
    <row r="3794" spans="1:5" x14ac:dyDescent="0.25">
      <c r="A3794" s="2">
        <f>IF(B3794="","",SUBTOTAL(3,$B$2:B3794))</f>
        <v>3793</v>
      </c>
      <c r="B3794" s="9" t="s">
        <v>53</v>
      </c>
      <c r="C3794" s="10" t="s">
        <v>49</v>
      </c>
      <c r="D3794" s="11">
        <v>91.585994669695125</v>
      </c>
      <c r="E3794" s="12">
        <f t="shared" si="59"/>
        <v>45232</v>
      </c>
    </row>
    <row r="3795" spans="1:5" x14ac:dyDescent="0.25">
      <c r="A3795" s="2">
        <f>IF(B3795="","",SUBTOTAL(3,$B$2:B3795))</f>
        <v>3794</v>
      </c>
      <c r="B3795" s="9" t="s">
        <v>51</v>
      </c>
      <c r="C3795" s="10" t="s">
        <v>49</v>
      </c>
      <c r="D3795" s="11">
        <v>4.0515355319666151</v>
      </c>
      <c r="E3795" s="12">
        <f t="shared" si="59"/>
        <v>45233</v>
      </c>
    </row>
    <row r="3796" spans="1:5" x14ac:dyDescent="0.25">
      <c r="A3796" s="2">
        <f>IF(B3796="","",SUBTOTAL(3,$B$2:B3796))</f>
        <v>3795</v>
      </c>
      <c r="B3796" s="9" t="s">
        <v>48</v>
      </c>
      <c r="C3796" s="10" t="s">
        <v>49</v>
      </c>
      <c r="D3796" s="11">
        <v>41.365046535677351</v>
      </c>
      <c r="E3796" s="12">
        <f t="shared" si="59"/>
        <v>45234</v>
      </c>
    </row>
    <row r="3797" spans="1:5" x14ac:dyDescent="0.25">
      <c r="A3797" s="2">
        <f>IF(B3797="","",SUBTOTAL(3,$B$2:B3797))</f>
        <v>3796</v>
      </c>
      <c r="B3797" s="9" t="s">
        <v>55</v>
      </c>
      <c r="C3797" s="10" t="s">
        <v>52</v>
      </c>
      <c r="D3797" s="11">
        <v>28.404417039030776</v>
      </c>
      <c r="E3797" s="12">
        <f t="shared" si="59"/>
        <v>45235</v>
      </c>
    </row>
    <row r="3798" spans="1:5" x14ac:dyDescent="0.25">
      <c r="A3798" s="2">
        <f>IF(B3798="","",SUBTOTAL(3,$B$2:B3798))</f>
        <v>3797</v>
      </c>
      <c r="B3798" s="9" t="s">
        <v>50</v>
      </c>
      <c r="C3798" s="10" t="s">
        <v>49</v>
      </c>
      <c r="D3798" s="11">
        <v>10.824294532627865</v>
      </c>
      <c r="E3798" s="12">
        <f t="shared" si="59"/>
        <v>45236</v>
      </c>
    </row>
    <row r="3799" spans="1:5" x14ac:dyDescent="0.25">
      <c r="A3799" s="2">
        <f>IF(B3799="","",SUBTOTAL(3,$B$2:B3799))</f>
        <v>3798</v>
      </c>
      <c r="B3799" s="9" t="s">
        <v>55</v>
      </c>
      <c r="C3799" s="10" t="s">
        <v>52</v>
      </c>
      <c r="D3799" s="11">
        <v>60.871686497909678</v>
      </c>
      <c r="E3799" s="12">
        <f t="shared" si="59"/>
        <v>45237</v>
      </c>
    </row>
    <row r="3800" spans="1:5" x14ac:dyDescent="0.25">
      <c r="A3800" s="2">
        <f>IF(B3800="","",SUBTOTAL(3,$B$2:B3800))</f>
        <v>3799</v>
      </c>
      <c r="B3800" s="9" t="s">
        <v>55</v>
      </c>
      <c r="C3800" s="10" t="s">
        <v>57</v>
      </c>
      <c r="D3800" s="11">
        <v>60.871686497909678</v>
      </c>
      <c r="E3800" s="12">
        <f t="shared" si="59"/>
        <v>45238</v>
      </c>
    </row>
    <row r="3801" spans="1:5" x14ac:dyDescent="0.25">
      <c r="A3801" s="2">
        <f>IF(B3801="","",SUBTOTAL(3,$B$2:B3801))</f>
        <v>3800</v>
      </c>
      <c r="B3801" s="9" t="s">
        <v>50</v>
      </c>
      <c r="C3801" s="10" t="s">
        <v>49</v>
      </c>
      <c r="D3801" s="11">
        <v>391.73721340388005</v>
      </c>
      <c r="E3801" s="12">
        <f t="shared" si="59"/>
        <v>45239</v>
      </c>
    </row>
    <row r="3802" spans="1:5" x14ac:dyDescent="0.25">
      <c r="A3802" s="2">
        <f>IF(B3802="","",SUBTOTAL(3,$B$2:B3802))</f>
        <v>3801</v>
      </c>
      <c r="B3802" s="9" t="s">
        <v>48</v>
      </c>
      <c r="C3802" s="10" t="s">
        <v>52</v>
      </c>
      <c r="D3802" s="11">
        <v>41.365046535677351</v>
      </c>
      <c r="E3802" s="12">
        <f t="shared" si="59"/>
        <v>45240</v>
      </c>
    </row>
    <row r="3803" spans="1:5" x14ac:dyDescent="0.25">
      <c r="A3803" s="2">
        <f>IF(B3803="","",SUBTOTAL(3,$B$2:B3803))</f>
        <v>3802</v>
      </c>
      <c r="B3803" s="9" t="s">
        <v>55</v>
      </c>
      <c r="C3803" s="10" t="s">
        <v>49</v>
      </c>
      <c r="D3803" s="11">
        <v>397.97491615748606</v>
      </c>
      <c r="E3803" s="12">
        <f t="shared" si="59"/>
        <v>45241</v>
      </c>
    </row>
    <row r="3804" spans="1:5" x14ac:dyDescent="0.25">
      <c r="A3804" s="2">
        <f>IF(B3804="","",SUBTOTAL(3,$B$2:B3804))</f>
        <v>3803</v>
      </c>
      <c r="B3804" s="9" t="s">
        <v>50</v>
      </c>
      <c r="C3804" s="10" t="s">
        <v>49</v>
      </c>
      <c r="D3804" s="11">
        <v>337.19135802469134</v>
      </c>
      <c r="E3804" s="12">
        <f t="shared" si="59"/>
        <v>45242</v>
      </c>
    </row>
    <row r="3805" spans="1:5" x14ac:dyDescent="0.25">
      <c r="A3805" s="2">
        <f>IF(B3805="","",SUBTOTAL(3,$B$2:B3805))</f>
        <v>3804</v>
      </c>
      <c r="B3805" s="9" t="s">
        <v>50</v>
      </c>
      <c r="C3805" s="10" t="s">
        <v>49</v>
      </c>
      <c r="D3805" s="11">
        <v>189.68306878306879</v>
      </c>
      <c r="E3805" s="12">
        <f t="shared" si="59"/>
        <v>45243</v>
      </c>
    </row>
    <row r="3806" spans="1:5" x14ac:dyDescent="0.25">
      <c r="A3806" s="2">
        <f>IF(B3806="","",SUBTOTAL(3,$B$2:B3806))</f>
        <v>3805</v>
      </c>
      <c r="B3806" s="9" t="s">
        <v>48</v>
      </c>
      <c r="C3806" s="10" t="s">
        <v>49</v>
      </c>
      <c r="D3806" s="11">
        <v>38.54406228720466</v>
      </c>
      <c r="E3806" s="12">
        <f t="shared" si="59"/>
        <v>45244</v>
      </c>
    </row>
    <row r="3807" spans="1:5" x14ac:dyDescent="0.25">
      <c r="A3807" s="2">
        <f>IF(B3807="","",SUBTOTAL(3,$B$2:B3807))</f>
        <v>3806</v>
      </c>
      <c r="B3807" s="9" t="s">
        <v>50</v>
      </c>
      <c r="C3807" s="10" t="s">
        <v>49</v>
      </c>
      <c r="D3807" s="11">
        <v>24.250440917107586</v>
      </c>
      <c r="E3807" s="12">
        <f t="shared" si="59"/>
        <v>45245</v>
      </c>
    </row>
    <row r="3808" spans="1:5" x14ac:dyDescent="0.25">
      <c r="A3808" s="2">
        <f>IF(B3808="","",SUBTOTAL(3,$B$2:B3808))</f>
        <v>3807</v>
      </c>
      <c r="B3808" s="9" t="s">
        <v>50</v>
      </c>
      <c r="C3808" s="10" t="s">
        <v>49</v>
      </c>
      <c r="D3808" s="11">
        <v>79.365079365079367</v>
      </c>
      <c r="E3808" s="12">
        <f t="shared" si="59"/>
        <v>45246</v>
      </c>
    </row>
    <row r="3809" spans="1:5" x14ac:dyDescent="0.25">
      <c r="A3809" s="2">
        <f>IF(B3809="","",SUBTOTAL(3,$B$2:B3809))</f>
        <v>3808</v>
      </c>
      <c r="B3809" s="9" t="s">
        <v>48</v>
      </c>
      <c r="C3809" s="10" t="s">
        <v>49</v>
      </c>
      <c r="D3809" s="11">
        <v>48.259220958290243</v>
      </c>
      <c r="E3809" s="12">
        <f t="shared" si="59"/>
        <v>45247</v>
      </c>
    </row>
    <row r="3810" spans="1:5" x14ac:dyDescent="0.25">
      <c r="A3810" s="2">
        <f>IF(B3810="","",SUBTOTAL(3,$B$2:B3810))</f>
        <v>3809</v>
      </c>
      <c r="B3810" s="9" t="s">
        <v>48</v>
      </c>
      <c r="C3810" s="10" t="s">
        <v>52</v>
      </c>
      <c r="D3810" s="11">
        <v>25.696041524803107</v>
      </c>
      <c r="E3810" s="12">
        <f t="shared" si="59"/>
        <v>45248</v>
      </c>
    </row>
    <row r="3811" spans="1:5" x14ac:dyDescent="0.25">
      <c r="A3811" s="2">
        <f>IF(B3811="","",SUBTOTAL(3,$B$2:B3811))</f>
        <v>3810</v>
      </c>
      <c r="B3811" s="9" t="s">
        <v>50</v>
      </c>
      <c r="C3811" s="10" t="s">
        <v>54</v>
      </c>
      <c r="D3811" s="11">
        <v>4.409171075837742</v>
      </c>
      <c r="E3811" s="12">
        <f t="shared" si="59"/>
        <v>45249</v>
      </c>
    </row>
    <row r="3812" spans="1:5" x14ac:dyDescent="0.25">
      <c r="A3812" s="2">
        <f>IF(B3812="","",SUBTOTAL(3,$B$2:B3812))</f>
        <v>3811</v>
      </c>
      <c r="B3812" s="9" t="s">
        <v>50</v>
      </c>
      <c r="C3812" s="10" t="s">
        <v>52</v>
      </c>
      <c r="D3812" s="11">
        <v>440.91710758377428</v>
      </c>
      <c r="E3812" s="12">
        <f t="shared" si="59"/>
        <v>45250</v>
      </c>
    </row>
    <row r="3813" spans="1:5" x14ac:dyDescent="0.25">
      <c r="A3813" s="2">
        <f>IF(B3813="","",SUBTOTAL(3,$B$2:B3813))</f>
        <v>3812</v>
      </c>
      <c r="B3813" s="9" t="s">
        <v>55</v>
      </c>
      <c r="C3813" s="10" t="s">
        <v>49</v>
      </c>
      <c r="D3813" s="11">
        <v>50</v>
      </c>
      <c r="E3813" s="12">
        <f t="shared" si="59"/>
        <v>45251</v>
      </c>
    </row>
    <row r="3814" spans="1:5" x14ac:dyDescent="0.25">
      <c r="A3814" s="2">
        <f>IF(B3814="","",SUBTOTAL(3,$B$2:B3814))</f>
        <v>3813</v>
      </c>
      <c r="B3814" s="9" t="s">
        <v>51</v>
      </c>
      <c r="C3814" s="10" t="s">
        <v>49</v>
      </c>
      <c r="D3814" s="11">
        <v>31.769564756962826</v>
      </c>
      <c r="E3814" s="12">
        <f t="shared" si="59"/>
        <v>45252</v>
      </c>
    </row>
    <row r="3815" spans="1:5" x14ac:dyDescent="0.25">
      <c r="A3815" s="2">
        <f>IF(B3815="","",SUBTOTAL(3,$B$2:B3815))</f>
        <v>3814</v>
      </c>
      <c r="B3815" s="9" t="s">
        <v>50</v>
      </c>
      <c r="C3815" s="10" t="s">
        <v>52</v>
      </c>
      <c r="D3815" s="11">
        <v>44.091710758377424</v>
      </c>
      <c r="E3815" s="12">
        <f t="shared" si="59"/>
        <v>45253</v>
      </c>
    </row>
    <row r="3816" spans="1:5" x14ac:dyDescent="0.25">
      <c r="A3816" s="2">
        <f>IF(B3816="","",SUBTOTAL(3,$B$2:B3816))</f>
        <v>3815</v>
      </c>
      <c r="B3816" s="9" t="s">
        <v>51</v>
      </c>
      <c r="C3816" s="10" t="s">
        <v>54</v>
      </c>
      <c r="D3816" s="11">
        <v>0</v>
      </c>
      <c r="E3816" s="12">
        <f t="shared" si="59"/>
        <v>45254</v>
      </c>
    </row>
    <row r="3817" spans="1:5" x14ac:dyDescent="0.25">
      <c r="A3817" s="2">
        <f>IF(B3817="","",SUBTOTAL(3,$B$2:B3817))</f>
        <v>3816</v>
      </c>
      <c r="B3817" s="9" t="s">
        <v>51</v>
      </c>
      <c r="C3817" s="10" t="s">
        <v>49</v>
      </c>
      <c r="D3817" s="11">
        <v>8.4718839351900872</v>
      </c>
      <c r="E3817" s="12">
        <f t="shared" si="59"/>
        <v>45255</v>
      </c>
    </row>
    <row r="3818" spans="1:5" x14ac:dyDescent="0.25">
      <c r="A3818" s="2">
        <f>IF(B3818="","",SUBTOTAL(3,$B$2:B3818))</f>
        <v>3817</v>
      </c>
      <c r="B3818" s="9" t="s">
        <v>55</v>
      </c>
      <c r="C3818" s="10" t="s">
        <v>52</v>
      </c>
      <c r="D3818" s="11">
        <v>100</v>
      </c>
      <c r="E3818" s="12">
        <f t="shared" si="59"/>
        <v>45256</v>
      </c>
    </row>
    <row r="3819" spans="1:5" x14ac:dyDescent="0.25">
      <c r="A3819" s="2">
        <f>IF(B3819="","",SUBTOTAL(3,$B$2:B3819))</f>
        <v>3818</v>
      </c>
      <c r="B3819" s="9" t="s">
        <v>55</v>
      </c>
      <c r="C3819" s="10" t="s">
        <v>52</v>
      </c>
      <c r="D3819" s="11">
        <v>83.842238250562772</v>
      </c>
      <c r="E3819" s="12">
        <f t="shared" si="59"/>
        <v>45257</v>
      </c>
    </row>
    <row r="3820" spans="1:5" x14ac:dyDescent="0.25">
      <c r="A3820" s="2">
        <f>IF(B3820="","",SUBTOTAL(3,$B$2:B3820))</f>
        <v>3819</v>
      </c>
      <c r="B3820" s="9" t="s">
        <v>50</v>
      </c>
      <c r="C3820" s="10" t="s">
        <v>49</v>
      </c>
      <c r="D3820" s="11">
        <v>60.045194003527335</v>
      </c>
      <c r="E3820" s="12">
        <f t="shared" si="59"/>
        <v>45258</v>
      </c>
    </row>
    <row r="3821" spans="1:5" x14ac:dyDescent="0.25">
      <c r="A3821" s="2">
        <f>IF(B3821="","",SUBTOTAL(3,$B$2:B3821))</f>
        <v>3820</v>
      </c>
      <c r="B3821" s="9" t="s">
        <v>55</v>
      </c>
      <c r="C3821" s="10" t="s">
        <v>49</v>
      </c>
      <c r="D3821" s="11">
        <v>34.218673619032103</v>
      </c>
      <c r="E3821" s="12">
        <f t="shared" si="59"/>
        <v>45259</v>
      </c>
    </row>
    <row r="3822" spans="1:5" x14ac:dyDescent="0.25">
      <c r="A3822" s="2">
        <f>IF(B3822="","",SUBTOTAL(3,$B$2:B3822))</f>
        <v>3821</v>
      </c>
      <c r="B3822" s="9" t="s">
        <v>55</v>
      </c>
      <c r="C3822" s="10" t="s">
        <v>54</v>
      </c>
      <c r="D3822" s="11">
        <v>70</v>
      </c>
      <c r="E3822" s="12">
        <f t="shared" si="59"/>
        <v>45260</v>
      </c>
    </row>
    <row r="3823" spans="1:5" x14ac:dyDescent="0.25">
      <c r="A3823" s="2">
        <f>IF(B3823="","",SUBTOTAL(3,$B$2:B3823))</f>
        <v>3822</v>
      </c>
      <c r="B3823" s="9" t="s">
        <v>55</v>
      </c>
      <c r="C3823" s="10" t="s">
        <v>52</v>
      </c>
      <c r="D3823" s="11">
        <v>200</v>
      </c>
      <c r="E3823" s="12">
        <f t="shared" si="59"/>
        <v>45261</v>
      </c>
    </row>
    <row r="3824" spans="1:5" x14ac:dyDescent="0.25">
      <c r="A3824" s="2">
        <f>IF(B3824="","",SUBTOTAL(3,$B$2:B3824))</f>
        <v>3823</v>
      </c>
      <c r="B3824" s="9" t="s">
        <v>48</v>
      </c>
      <c r="C3824" s="10" t="s">
        <v>54</v>
      </c>
      <c r="D3824" s="11">
        <v>27.576697690451567</v>
      </c>
      <c r="E3824" s="12">
        <f t="shared" si="59"/>
        <v>45262</v>
      </c>
    </row>
    <row r="3825" spans="1:5" x14ac:dyDescent="0.25">
      <c r="A3825" s="2">
        <f>IF(B3825="","",SUBTOTAL(3,$B$2:B3825))</f>
        <v>3824</v>
      </c>
      <c r="B3825" s="9" t="s">
        <v>48</v>
      </c>
      <c r="C3825" s="10" t="s">
        <v>52</v>
      </c>
      <c r="D3825" s="11">
        <v>16.173752310536045</v>
      </c>
      <c r="E3825" s="12">
        <f t="shared" si="59"/>
        <v>45263</v>
      </c>
    </row>
    <row r="3826" spans="1:5" x14ac:dyDescent="0.25">
      <c r="A3826" s="2">
        <f>IF(B3826="","",SUBTOTAL(3,$B$2:B3826))</f>
        <v>3825</v>
      </c>
      <c r="B3826" s="9" t="s">
        <v>55</v>
      </c>
      <c r="C3826" s="10" t="s">
        <v>49</v>
      </c>
      <c r="D3826" s="11">
        <v>128.32577637094704</v>
      </c>
      <c r="E3826" s="12">
        <f t="shared" si="59"/>
        <v>45264</v>
      </c>
    </row>
    <row r="3827" spans="1:5" x14ac:dyDescent="0.25">
      <c r="A3827" s="2">
        <f>IF(B3827="","",SUBTOTAL(3,$B$2:B3827))</f>
        <v>3826</v>
      </c>
      <c r="B3827" s="9" t="s">
        <v>55</v>
      </c>
      <c r="C3827" s="10" t="s">
        <v>57</v>
      </c>
      <c r="D3827" s="11">
        <v>100</v>
      </c>
      <c r="E3827" s="12">
        <f t="shared" si="59"/>
        <v>45265</v>
      </c>
    </row>
    <row r="3828" spans="1:5" x14ac:dyDescent="0.25">
      <c r="A3828" s="2">
        <f>IF(B3828="","",SUBTOTAL(3,$B$2:B3828))</f>
        <v>3827</v>
      </c>
      <c r="B3828" s="9" t="s">
        <v>50</v>
      </c>
      <c r="C3828" s="10" t="s">
        <v>52</v>
      </c>
      <c r="D3828" s="11">
        <v>26.455026455026456</v>
      </c>
      <c r="E3828" s="12">
        <f t="shared" si="59"/>
        <v>45266</v>
      </c>
    </row>
    <row r="3829" spans="1:5" x14ac:dyDescent="0.25">
      <c r="A3829" s="2">
        <f>IF(B3829="","",SUBTOTAL(3,$B$2:B3829))</f>
        <v>3828</v>
      </c>
      <c r="B3829" s="9" t="s">
        <v>48</v>
      </c>
      <c r="C3829" s="10" t="s">
        <v>49</v>
      </c>
      <c r="D3829" s="11">
        <v>4.1365046535677346</v>
      </c>
      <c r="E3829" s="12">
        <f t="shared" si="59"/>
        <v>45267</v>
      </c>
    </row>
    <row r="3830" spans="1:5" x14ac:dyDescent="0.25">
      <c r="A3830" s="2">
        <f>IF(B3830="","",SUBTOTAL(3,$B$2:B3830))</f>
        <v>3829</v>
      </c>
      <c r="B3830" s="9" t="s">
        <v>50</v>
      </c>
      <c r="C3830" s="10" t="s">
        <v>49</v>
      </c>
      <c r="D3830" s="11">
        <v>330.68783068783068</v>
      </c>
      <c r="E3830" s="12">
        <f t="shared" si="59"/>
        <v>45268</v>
      </c>
    </row>
    <row r="3831" spans="1:5" x14ac:dyDescent="0.25">
      <c r="A3831" s="2">
        <f>IF(B3831="","",SUBTOTAL(3,$B$2:B3831))</f>
        <v>3830</v>
      </c>
      <c r="B3831" s="9" t="s">
        <v>48</v>
      </c>
      <c r="C3831" s="10" t="s">
        <v>49</v>
      </c>
      <c r="D3831" s="11">
        <v>77.017868145409736</v>
      </c>
      <c r="E3831" s="12">
        <f t="shared" si="59"/>
        <v>45269</v>
      </c>
    </row>
    <row r="3832" spans="1:5" x14ac:dyDescent="0.25">
      <c r="A3832" s="2">
        <f>IF(B3832="","",SUBTOTAL(3,$B$2:B3832))</f>
        <v>3831</v>
      </c>
      <c r="B3832" s="9" t="s">
        <v>55</v>
      </c>
      <c r="C3832" s="10" t="s">
        <v>49</v>
      </c>
      <c r="D3832" s="11">
        <v>26.071370376405412</v>
      </c>
      <c r="E3832" s="12">
        <f t="shared" si="59"/>
        <v>45270</v>
      </c>
    </row>
    <row r="3833" spans="1:5" x14ac:dyDescent="0.25">
      <c r="A3833" s="2">
        <f>IF(B3833="","",SUBTOTAL(3,$B$2:B3833))</f>
        <v>3832</v>
      </c>
      <c r="B3833" s="9" t="s">
        <v>48</v>
      </c>
      <c r="C3833" s="10" t="s">
        <v>49</v>
      </c>
      <c r="D3833" s="11">
        <v>154.03573629081947</v>
      </c>
      <c r="E3833" s="12">
        <f t="shared" si="59"/>
        <v>45271</v>
      </c>
    </row>
    <row r="3834" spans="1:5" x14ac:dyDescent="0.25">
      <c r="A3834" s="2">
        <f>IF(B3834="","",SUBTOTAL(3,$B$2:B3834))</f>
        <v>3833</v>
      </c>
      <c r="B3834" s="9" t="s">
        <v>55</v>
      </c>
      <c r="C3834" s="10" t="s">
        <v>49</v>
      </c>
      <c r="D3834" s="11">
        <v>32.904045223319756</v>
      </c>
      <c r="E3834" s="12">
        <f t="shared" si="59"/>
        <v>45272</v>
      </c>
    </row>
    <row r="3835" spans="1:5" x14ac:dyDescent="0.25">
      <c r="A3835" s="2">
        <f>IF(B3835="","",SUBTOTAL(3,$B$2:B3835))</f>
        <v>3834</v>
      </c>
      <c r="B3835" s="9" t="s">
        <v>48</v>
      </c>
      <c r="C3835" s="10" t="s">
        <v>52</v>
      </c>
      <c r="D3835" s="11">
        <v>68.941744226128904</v>
      </c>
      <c r="E3835" s="12">
        <f t="shared" si="59"/>
        <v>45273</v>
      </c>
    </row>
    <row r="3836" spans="1:5" x14ac:dyDescent="0.25">
      <c r="A3836" s="2">
        <f>IF(B3836="","",SUBTOTAL(3,$B$2:B3836))</f>
        <v>3835</v>
      </c>
      <c r="B3836" s="9" t="s">
        <v>50</v>
      </c>
      <c r="C3836" s="10" t="s">
        <v>56</v>
      </c>
      <c r="D3836" s="11">
        <v>440.91710758377428</v>
      </c>
      <c r="E3836" s="12">
        <f t="shared" si="59"/>
        <v>45274</v>
      </c>
    </row>
    <row r="3837" spans="1:5" x14ac:dyDescent="0.25">
      <c r="A3837" s="2">
        <f>IF(B3837="","",SUBTOTAL(3,$B$2:B3837))</f>
        <v>3836</v>
      </c>
      <c r="B3837" s="9" t="s">
        <v>50</v>
      </c>
      <c r="C3837" s="10" t="s">
        <v>49</v>
      </c>
      <c r="D3837" s="11">
        <v>9.0200617283950617</v>
      </c>
      <c r="E3837" s="12">
        <f t="shared" si="59"/>
        <v>45275</v>
      </c>
    </row>
    <row r="3838" spans="1:5" x14ac:dyDescent="0.25">
      <c r="A3838" s="2">
        <f>IF(B3838="","",SUBTOTAL(3,$B$2:B3838))</f>
        <v>3837</v>
      </c>
      <c r="B3838" s="9" t="s">
        <v>50</v>
      </c>
      <c r="C3838" s="10" t="s">
        <v>49</v>
      </c>
      <c r="D3838" s="11">
        <v>24.483575837742503</v>
      </c>
      <c r="E3838" s="12">
        <f t="shared" si="59"/>
        <v>45276</v>
      </c>
    </row>
    <row r="3839" spans="1:5" x14ac:dyDescent="0.25">
      <c r="A3839" s="2">
        <f>IF(B3839="","",SUBTOTAL(3,$B$2:B3839))</f>
        <v>3838</v>
      </c>
      <c r="B3839" s="9" t="s">
        <v>48</v>
      </c>
      <c r="C3839" s="10" t="s">
        <v>52</v>
      </c>
      <c r="D3839" s="11">
        <v>46.210720887245841</v>
      </c>
      <c r="E3839" s="12">
        <f t="shared" si="59"/>
        <v>45277</v>
      </c>
    </row>
    <row r="3840" spans="1:5" x14ac:dyDescent="0.25">
      <c r="A3840" s="2">
        <f>IF(B3840="","",SUBTOTAL(3,$B$2:B3840))</f>
        <v>3839</v>
      </c>
      <c r="B3840" s="9" t="s">
        <v>51</v>
      </c>
      <c r="C3840" s="10" t="s">
        <v>52</v>
      </c>
      <c r="D3840" s="11">
        <v>1588.4782378481414</v>
      </c>
      <c r="E3840" s="12">
        <f t="shared" si="59"/>
        <v>45278</v>
      </c>
    </row>
    <row r="3841" spans="1:5" x14ac:dyDescent="0.25">
      <c r="A3841" s="2">
        <f>IF(B3841="","",SUBTOTAL(3,$B$2:B3841))</f>
        <v>3840</v>
      </c>
      <c r="B3841" s="9" t="s">
        <v>51</v>
      </c>
      <c r="C3841" s="10" t="s">
        <v>52</v>
      </c>
      <c r="D3841" s="11">
        <v>1058.985491898761</v>
      </c>
      <c r="E3841" s="12">
        <f t="shared" si="59"/>
        <v>45279</v>
      </c>
    </row>
    <row r="3842" spans="1:5" x14ac:dyDescent="0.25">
      <c r="A3842" s="2">
        <f>IF(B3842="","",SUBTOTAL(3,$B$2:B3842))</f>
        <v>3841</v>
      </c>
      <c r="B3842" s="9" t="s">
        <v>51</v>
      </c>
      <c r="C3842" s="10" t="s">
        <v>52</v>
      </c>
      <c r="D3842" s="11">
        <v>201.20724346076457</v>
      </c>
      <c r="E3842" s="12">
        <f t="shared" si="59"/>
        <v>45280</v>
      </c>
    </row>
    <row r="3843" spans="1:5" x14ac:dyDescent="0.25">
      <c r="A3843" s="2">
        <f>IF(B3843="","",SUBTOTAL(3,$B$2:B3843))</f>
        <v>3842</v>
      </c>
      <c r="B3843" s="9" t="s">
        <v>48</v>
      </c>
      <c r="C3843" s="10" t="s">
        <v>56</v>
      </c>
      <c r="D3843" s="11">
        <v>34.470872113064452</v>
      </c>
      <c r="E3843" s="12">
        <f t="shared" si="59"/>
        <v>45281</v>
      </c>
    </row>
    <row r="3844" spans="1:5" x14ac:dyDescent="0.25">
      <c r="A3844" s="2">
        <f>IF(B3844="","",SUBTOTAL(3,$B$2:B3844))</f>
        <v>3843</v>
      </c>
      <c r="B3844" s="9" t="s">
        <v>53</v>
      </c>
      <c r="C3844" s="10" t="s">
        <v>49</v>
      </c>
      <c r="D3844" s="11">
        <v>50.189125078992923</v>
      </c>
      <c r="E3844" s="12">
        <f t="shared" ref="E3844:E3907" si="60">E3843+1</f>
        <v>45282</v>
      </c>
    </row>
    <row r="3845" spans="1:5" x14ac:dyDescent="0.25">
      <c r="A3845" s="2">
        <f>IF(B3845="","",SUBTOTAL(3,$B$2:B3845))</f>
        <v>3844</v>
      </c>
      <c r="B3845" s="9" t="s">
        <v>55</v>
      </c>
      <c r="C3845" s="10" t="s">
        <v>52</v>
      </c>
      <c r="D3845" s="11">
        <v>201.3</v>
      </c>
      <c r="E3845" s="12">
        <f t="shared" si="60"/>
        <v>45283</v>
      </c>
    </row>
    <row r="3846" spans="1:5" x14ac:dyDescent="0.25">
      <c r="A3846" s="2">
        <f>IF(B3846="","",SUBTOTAL(3,$B$2:B3846))</f>
        <v>3845</v>
      </c>
      <c r="B3846" s="9" t="s">
        <v>55</v>
      </c>
      <c r="C3846" s="10" t="s">
        <v>52</v>
      </c>
      <c r="D3846" s="11">
        <v>100</v>
      </c>
      <c r="E3846" s="12">
        <f t="shared" si="60"/>
        <v>45284</v>
      </c>
    </row>
    <row r="3847" spans="1:5" x14ac:dyDescent="0.25">
      <c r="A3847" s="2">
        <f>IF(B3847="","",SUBTOTAL(3,$B$2:B3847))</f>
        <v>3846</v>
      </c>
      <c r="B3847" s="9" t="s">
        <v>48</v>
      </c>
      <c r="C3847" s="10" t="s">
        <v>49</v>
      </c>
      <c r="D3847" s="11">
        <v>22.652345406190175</v>
      </c>
      <c r="E3847" s="12">
        <f t="shared" si="60"/>
        <v>45285</v>
      </c>
    </row>
    <row r="3848" spans="1:5" x14ac:dyDescent="0.25">
      <c r="A3848" s="2">
        <f>IF(B3848="","",SUBTOTAL(3,$B$2:B3848))</f>
        <v>3847</v>
      </c>
      <c r="B3848" s="9" t="s">
        <v>50</v>
      </c>
      <c r="C3848" s="10" t="s">
        <v>49</v>
      </c>
      <c r="D3848" s="11">
        <v>97.938712522045861</v>
      </c>
      <c r="E3848" s="12">
        <f t="shared" si="60"/>
        <v>45286</v>
      </c>
    </row>
    <row r="3849" spans="1:5" x14ac:dyDescent="0.25">
      <c r="A3849" s="2">
        <f>IF(B3849="","",SUBTOTAL(3,$B$2:B3849))</f>
        <v>3848</v>
      </c>
      <c r="B3849" s="9" t="s">
        <v>53</v>
      </c>
      <c r="C3849" s="10" t="s">
        <v>54</v>
      </c>
      <c r="D3849" s="11">
        <v>9.1585994669695125</v>
      </c>
      <c r="E3849" s="12">
        <f t="shared" si="60"/>
        <v>45287</v>
      </c>
    </row>
    <row r="3850" spans="1:5" x14ac:dyDescent="0.25">
      <c r="A3850" s="2">
        <f>IF(B3850="","",SUBTOTAL(3,$B$2:B3850))</f>
        <v>3849</v>
      </c>
      <c r="B3850" s="9" t="s">
        <v>50</v>
      </c>
      <c r="C3850" s="10" t="s">
        <v>52</v>
      </c>
      <c r="D3850" s="11">
        <v>55.114638447971785</v>
      </c>
      <c r="E3850" s="12">
        <f t="shared" si="60"/>
        <v>45288</v>
      </c>
    </row>
    <row r="3851" spans="1:5" x14ac:dyDescent="0.25">
      <c r="A3851" s="2">
        <f>IF(B3851="","",SUBTOTAL(3,$B$2:B3851))</f>
        <v>3850</v>
      </c>
      <c r="B3851" s="9" t="s">
        <v>53</v>
      </c>
      <c r="C3851" s="10" t="s">
        <v>49</v>
      </c>
      <c r="D3851" s="11">
        <v>183.17198933939025</v>
      </c>
      <c r="E3851" s="12">
        <f t="shared" si="60"/>
        <v>45289</v>
      </c>
    </row>
    <row r="3852" spans="1:5" x14ac:dyDescent="0.25">
      <c r="A3852" s="2">
        <f>IF(B3852="","",SUBTOTAL(3,$B$2:B3852))</f>
        <v>3851</v>
      </c>
      <c r="B3852" s="9" t="s">
        <v>50</v>
      </c>
      <c r="C3852" s="10" t="s">
        <v>52</v>
      </c>
      <c r="D3852" s="11">
        <v>44.091710758377424</v>
      </c>
      <c r="E3852" s="12">
        <f t="shared" si="60"/>
        <v>45290</v>
      </c>
    </row>
    <row r="3853" spans="1:5" x14ac:dyDescent="0.25">
      <c r="A3853" s="2">
        <f>IF(B3853="","",SUBTOTAL(3,$B$2:B3853))</f>
        <v>3852</v>
      </c>
      <c r="B3853" s="9" t="s">
        <v>50</v>
      </c>
      <c r="C3853" s="10" t="s">
        <v>52</v>
      </c>
      <c r="D3853" s="11">
        <v>55.114638447971785</v>
      </c>
      <c r="E3853" s="12">
        <f t="shared" si="60"/>
        <v>45291</v>
      </c>
    </row>
    <row r="3854" spans="1:5" x14ac:dyDescent="0.25">
      <c r="A3854" s="2">
        <f>IF(B3854="","",SUBTOTAL(3,$B$2:B3854))</f>
        <v>3853</v>
      </c>
      <c r="B3854" s="9" t="s">
        <v>50</v>
      </c>
      <c r="C3854" s="10" t="s">
        <v>49</v>
      </c>
      <c r="D3854" s="11">
        <v>112.24801587301587</v>
      </c>
      <c r="E3854" s="12">
        <f t="shared" si="60"/>
        <v>45292</v>
      </c>
    </row>
    <row r="3855" spans="1:5" x14ac:dyDescent="0.25">
      <c r="A3855" s="2">
        <f>IF(B3855="","",SUBTOTAL(3,$B$2:B3855))</f>
        <v>3854</v>
      </c>
      <c r="B3855" s="9" t="s">
        <v>48</v>
      </c>
      <c r="C3855" s="10" t="s">
        <v>49</v>
      </c>
      <c r="D3855" s="11">
        <v>46.210720887245841</v>
      </c>
      <c r="E3855" s="12">
        <f t="shared" si="60"/>
        <v>45293</v>
      </c>
    </row>
    <row r="3856" spans="1:5" x14ac:dyDescent="0.25">
      <c r="A3856" s="2">
        <f>IF(B3856="","",SUBTOTAL(3,$B$2:B3856))</f>
        <v>3855</v>
      </c>
      <c r="B3856" s="9" t="s">
        <v>55</v>
      </c>
      <c r="C3856" s="10" t="s">
        <v>49</v>
      </c>
      <c r="D3856" s="11">
        <v>5.5</v>
      </c>
      <c r="E3856" s="12">
        <f t="shared" si="60"/>
        <v>45294</v>
      </c>
    </row>
    <row r="3857" spans="1:5" x14ac:dyDescent="0.25">
      <c r="A3857" s="2">
        <f>IF(B3857="","",SUBTOTAL(3,$B$2:B3857))</f>
        <v>3856</v>
      </c>
      <c r="B3857" s="9" t="s">
        <v>51</v>
      </c>
      <c r="C3857" s="10" t="s">
        <v>52</v>
      </c>
      <c r="D3857" s="11">
        <v>1058.985491898761</v>
      </c>
      <c r="E3857" s="12">
        <f t="shared" si="60"/>
        <v>45295</v>
      </c>
    </row>
    <row r="3858" spans="1:5" x14ac:dyDescent="0.25">
      <c r="A3858" s="2">
        <f>IF(B3858="","",SUBTOTAL(3,$B$2:B3858))</f>
        <v>3857</v>
      </c>
      <c r="B3858" s="9" t="s">
        <v>51</v>
      </c>
      <c r="C3858" s="10" t="s">
        <v>49</v>
      </c>
      <c r="D3858" s="11">
        <v>180.02753362278938</v>
      </c>
      <c r="E3858" s="12">
        <f t="shared" si="60"/>
        <v>45296</v>
      </c>
    </row>
    <row r="3859" spans="1:5" x14ac:dyDescent="0.25">
      <c r="A3859" s="2">
        <f>IF(B3859="","",SUBTOTAL(3,$B$2:B3859))</f>
        <v>3858</v>
      </c>
      <c r="B3859" s="9" t="s">
        <v>55</v>
      </c>
      <c r="C3859" s="10" t="s">
        <v>52</v>
      </c>
      <c r="D3859" s="11">
        <v>236.16750855466842</v>
      </c>
      <c r="E3859" s="12">
        <f t="shared" si="60"/>
        <v>45297</v>
      </c>
    </row>
    <row r="3860" spans="1:5" x14ac:dyDescent="0.25">
      <c r="A3860" s="2">
        <f>IF(B3860="","",SUBTOTAL(3,$B$2:B3860))</f>
        <v>3859</v>
      </c>
      <c r="B3860" s="9" t="s">
        <v>48</v>
      </c>
      <c r="C3860" s="10" t="s">
        <v>52</v>
      </c>
      <c r="D3860" s="11">
        <v>30.807147258163894</v>
      </c>
      <c r="E3860" s="12">
        <f t="shared" si="60"/>
        <v>45298</v>
      </c>
    </row>
    <row r="3861" spans="1:5" x14ac:dyDescent="0.25">
      <c r="A3861" s="2">
        <f>IF(B3861="","",SUBTOTAL(3,$B$2:B3861))</f>
        <v>3860</v>
      </c>
      <c r="B3861" s="9" t="s">
        <v>51</v>
      </c>
      <c r="C3861" s="10" t="s">
        <v>49</v>
      </c>
      <c r="D3861" s="11">
        <v>84.718839351900883</v>
      </c>
      <c r="E3861" s="12">
        <f t="shared" si="60"/>
        <v>45299</v>
      </c>
    </row>
    <row r="3862" spans="1:5" x14ac:dyDescent="0.25">
      <c r="A3862" s="2">
        <f>IF(B3862="","",SUBTOTAL(3,$B$2:B3862))</f>
        <v>3861</v>
      </c>
      <c r="B3862" s="9" t="s">
        <v>51</v>
      </c>
      <c r="C3862" s="10" t="s">
        <v>49</v>
      </c>
      <c r="D3862" s="11">
        <v>6.4068622259875037</v>
      </c>
      <c r="E3862" s="12">
        <f t="shared" si="60"/>
        <v>45300</v>
      </c>
    </row>
    <row r="3863" spans="1:5" x14ac:dyDescent="0.25">
      <c r="A3863" s="2">
        <f>IF(B3863="","",SUBTOTAL(3,$B$2:B3863))</f>
        <v>3862</v>
      </c>
      <c r="B3863" s="9" t="s">
        <v>48</v>
      </c>
      <c r="C3863" s="10" t="s">
        <v>49</v>
      </c>
      <c r="D3863" s="11">
        <v>1540.3573629081948</v>
      </c>
      <c r="E3863" s="12">
        <f t="shared" si="60"/>
        <v>45301</v>
      </c>
    </row>
    <row r="3864" spans="1:5" x14ac:dyDescent="0.25">
      <c r="A3864" s="2">
        <f>IF(B3864="","",SUBTOTAL(3,$B$2:B3864))</f>
        <v>3863</v>
      </c>
      <c r="B3864" s="9" t="s">
        <v>48</v>
      </c>
      <c r="C3864" s="10" t="s">
        <v>49</v>
      </c>
      <c r="D3864" s="11">
        <v>161.73752310536045</v>
      </c>
      <c r="E3864" s="12">
        <f t="shared" si="60"/>
        <v>45302</v>
      </c>
    </row>
    <row r="3865" spans="1:5" x14ac:dyDescent="0.25">
      <c r="A3865" s="2">
        <f>IF(B3865="","",SUBTOTAL(3,$B$2:B3865))</f>
        <v>3864</v>
      </c>
      <c r="B3865" s="9" t="s">
        <v>48</v>
      </c>
      <c r="C3865" s="10" t="s">
        <v>49</v>
      </c>
      <c r="D3865" s="11">
        <v>246.45717806531115</v>
      </c>
      <c r="E3865" s="12">
        <f t="shared" si="60"/>
        <v>45303</v>
      </c>
    </row>
    <row r="3866" spans="1:5" x14ac:dyDescent="0.25">
      <c r="A3866" s="2">
        <f>IF(B3866="","",SUBTOTAL(3,$B$2:B3866))</f>
        <v>3865</v>
      </c>
      <c r="B3866" s="9" t="s">
        <v>48</v>
      </c>
      <c r="C3866" s="10" t="s">
        <v>54</v>
      </c>
      <c r="D3866" s="11">
        <v>286.31646328852116</v>
      </c>
      <c r="E3866" s="12">
        <f t="shared" si="60"/>
        <v>45304</v>
      </c>
    </row>
    <row r="3867" spans="1:5" x14ac:dyDescent="0.25">
      <c r="A3867" s="2">
        <f>IF(B3867="","",SUBTOTAL(3,$B$2:B3867))</f>
        <v>3866</v>
      </c>
      <c r="B3867" s="9" t="s">
        <v>48</v>
      </c>
      <c r="C3867" s="10" t="s">
        <v>49</v>
      </c>
      <c r="D3867" s="11">
        <v>17.235436056532226</v>
      </c>
      <c r="E3867" s="12">
        <f t="shared" si="60"/>
        <v>45305</v>
      </c>
    </row>
    <row r="3868" spans="1:5" x14ac:dyDescent="0.25">
      <c r="A3868" s="2">
        <f>IF(B3868="","",SUBTOTAL(3,$B$2:B3868))</f>
        <v>3867</v>
      </c>
      <c r="B3868" s="9" t="s">
        <v>48</v>
      </c>
      <c r="C3868" s="10" t="s">
        <v>52</v>
      </c>
      <c r="D3868" s="11">
        <v>103.41261633919338</v>
      </c>
      <c r="E3868" s="12">
        <f t="shared" si="60"/>
        <v>45306</v>
      </c>
    </row>
    <row r="3869" spans="1:5" x14ac:dyDescent="0.25">
      <c r="A3869" s="2">
        <f>IF(B3869="","",SUBTOTAL(3,$B$2:B3869))</f>
        <v>3868</v>
      </c>
      <c r="B3869" s="9" t="s">
        <v>48</v>
      </c>
      <c r="C3869" s="10" t="s">
        <v>49</v>
      </c>
      <c r="D3869" s="11">
        <v>62.047569803516026</v>
      </c>
      <c r="E3869" s="12">
        <f t="shared" si="60"/>
        <v>45307</v>
      </c>
    </row>
    <row r="3870" spans="1:5" x14ac:dyDescent="0.25">
      <c r="A3870" s="2">
        <f>IF(B3870="","",SUBTOTAL(3,$B$2:B3870))</f>
        <v>3869</v>
      </c>
      <c r="B3870" s="9" t="s">
        <v>48</v>
      </c>
      <c r="C3870" s="10" t="s">
        <v>52</v>
      </c>
      <c r="D3870" s="11">
        <v>6.1614294516327792</v>
      </c>
      <c r="E3870" s="12">
        <f t="shared" si="60"/>
        <v>45308</v>
      </c>
    </row>
    <row r="3871" spans="1:5" x14ac:dyDescent="0.25">
      <c r="A3871" s="2">
        <f>IF(B3871="","",SUBTOTAL(3,$B$2:B3871))</f>
        <v>3870</v>
      </c>
      <c r="B3871" s="9" t="s">
        <v>48</v>
      </c>
      <c r="C3871" s="10" t="s">
        <v>49</v>
      </c>
      <c r="D3871" s="11">
        <v>6.4240103812007767</v>
      </c>
      <c r="E3871" s="12">
        <f t="shared" si="60"/>
        <v>45309</v>
      </c>
    </row>
    <row r="3872" spans="1:5" x14ac:dyDescent="0.25">
      <c r="A3872" s="2">
        <f>IF(B3872="","",SUBTOTAL(3,$B$2:B3872))</f>
        <v>3871</v>
      </c>
      <c r="B3872" s="9" t="s">
        <v>53</v>
      </c>
      <c r="C3872" s="10" t="s">
        <v>49</v>
      </c>
      <c r="D3872" s="11">
        <v>32.05509813439329</v>
      </c>
      <c r="E3872" s="12">
        <f t="shared" si="60"/>
        <v>45310</v>
      </c>
    </row>
    <row r="3873" spans="1:5" x14ac:dyDescent="0.25">
      <c r="A3873" s="2">
        <f>IF(B3873="","",SUBTOTAL(3,$B$2:B3873))</f>
        <v>3872</v>
      </c>
      <c r="B3873" s="9" t="s">
        <v>51</v>
      </c>
      <c r="C3873" s="10" t="s">
        <v>52</v>
      </c>
      <c r="D3873" s="11">
        <v>52.949274594938046</v>
      </c>
      <c r="E3873" s="12">
        <f t="shared" si="60"/>
        <v>45311</v>
      </c>
    </row>
    <row r="3874" spans="1:5" x14ac:dyDescent="0.25">
      <c r="A3874" s="2">
        <f>IF(B3874="","",SUBTOTAL(3,$B$2:B3874))</f>
        <v>3873</v>
      </c>
      <c r="B3874" s="9" t="s">
        <v>48</v>
      </c>
      <c r="C3874" s="10" t="s">
        <v>52</v>
      </c>
      <c r="D3874" s="11">
        <v>701.5019336271248</v>
      </c>
      <c r="E3874" s="12">
        <f t="shared" si="60"/>
        <v>45312</v>
      </c>
    </row>
    <row r="3875" spans="1:5" x14ac:dyDescent="0.25">
      <c r="A3875" s="2">
        <f>IF(B3875="","",SUBTOTAL(3,$B$2:B3875))</f>
        <v>3874</v>
      </c>
      <c r="B3875" s="9" t="s">
        <v>48</v>
      </c>
      <c r="C3875" s="10" t="s">
        <v>49</v>
      </c>
      <c r="D3875" s="11">
        <v>385.44062287204662</v>
      </c>
      <c r="E3875" s="12">
        <f t="shared" si="60"/>
        <v>45313</v>
      </c>
    </row>
    <row r="3876" spans="1:5" x14ac:dyDescent="0.25">
      <c r="A3876" s="2">
        <f>IF(B3876="","",SUBTOTAL(3,$B$2:B3876))</f>
        <v>3875</v>
      </c>
      <c r="B3876" s="9" t="s">
        <v>48</v>
      </c>
      <c r="C3876" s="10" t="s">
        <v>49</v>
      </c>
      <c r="D3876" s="11">
        <v>77.017868145409736</v>
      </c>
      <c r="E3876" s="12">
        <f t="shared" si="60"/>
        <v>45314</v>
      </c>
    </row>
    <row r="3877" spans="1:5" x14ac:dyDescent="0.25">
      <c r="A3877" s="2">
        <f>IF(B3877="","",SUBTOTAL(3,$B$2:B3877))</f>
        <v>3876</v>
      </c>
      <c r="B3877" s="9" t="s">
        <v>50</v>
      </c>
      <c r="C3877" s="10" t="s">
        <v>49</v>
      </c>
      <c r="D3877" s="11">
        <v>32.675999999999995</v>
      </c>
      <c r="E3877" s="12">
        <f t="shared" si="60"/>
        <v>45315</v>
      </c>
    </row>
    <row r="3878" spans="1:5" x14ac:dyDescent="0.25">
      <c r="A3878" s="2">
        <f>IF(B3878="","",SUBTOTAL(3,$B$2:B3878))</f>
        <v>3877</v>
      </c>
      <c r="B3878" s="9" t="s">
        <v>48</v>
      </c>
      <c r="C3878" s="10" t="s">
        <v>52</v>
      </c>
      <c r="D3878" s="11">
        <v>92.505749489291176</v>
      </c>
      <c r="E3878" s="12">
        <f t="shared" si="60"/>
        <v>45316</v>
      </c>
    </row>
    <row r="3879" spans="1:5" x14ac:dyDescent="0.25">
      <c r="A3879" s="2">
        <f>IF(B3879="","",SUBTOTAL(3,$B$2:B3879))</f>
        <v>3878</v>
      </c>
      <c r="B3879" s="9" t="s">
        <v>50</v>
      </c>
      <c r="C3879" s="10" t="s">
        <v>52</v>
      </c>
      <c r="D3879" s="11">
        <v>2.204585537918871</v>
      </c>
      <c r="E3879" s="12">
        <f t="shared" si="60"/>
        <v>45317</v>
      </c>
    </row>
    <row r="3880" spans="1:5" x14ac:dyDescent="0.25">
      <c r="A3880" s="2">
        <f>IF(B3880="","",SUBTOTAL(3,$B$2:B3880))</f>
        <v>3879</v>
      </c>
      <c r="B3880" s="9" t="s">
        <v>48</v>
      </c>
      <c r="C3880" s="10" t="s">
        <v>54</v>
      </c>
      <c r="D3880" s="11">
        <v>12.848020762401553</v>
      </c>
      <c r="E3880" s="12">
        <f t="shared" si="60"/>
        <v>45318</v>
      </c>
    </row>
    <row r="3881" spans="1:5" x14ac:dyDescent="0.25">
      <c r="A3881" s="2">
        <f>IF(B3881="","",SUBTOTAL(3,$B$2:B3881))</f>
        <v>3880</v>
      </c>
      <c r="B3881" s="9" t="s">
        <v>50</v>
      </c>
      <c r="C3881" s="10" t="s">
        <v>49</v>
      </c>
      <c r="D3881" s="11">
        <v>440.91710758377428</v>
      </c>
      <c r="E3881" s="12">
        <f t="shared" si="60"/>
        <v>45319</v>
      </c>
    </row>
    <row r="3882" spans="1:5" x14ac:dyDescent="0.25">
      <c r="A3882" s="2">
        <f>IF(B3882="","",SUBTOTAL(3,$B$2:B3882))</f>
        <v>3881</v>
      </c>
      <c r="B3882" s="9" t="s">
        <v>50</v>
      </c>
      <c r="C3882" s="10" t="s">
        <v>52</v>
      </c>
      <c r="D3882" s="11">
        <v>55.114638447971785</v>
      </c>
      <c r="E3882" s="12">
        <f t="shared" si="60"/>
        <v>45320</v>
      </c>
    </row>
    <row r="3883" spans="1:5" x14ac:dyDescent="0.25">
      <c r="A3883" s="2">
        <f>IF(B3883="","",SUBTOTAL(3,$B$2:B3883))</f>
        <v>3882</v>
      </c>
      <c r="B3883" s="9" t="s">
        <v>48</v>
      </c>
      <c r="C3883" s="10" t="s">
        <v>54</v>
      </c>
      <c r="D3883" s="11">
        <v>154.03573629081947</v>
      </c>
      <c r="E3883" s="12">
        <f t="shared" si="60"/>
        <v>45321</v>
      </c>
    </row>
    <row r="3884" spans="1:5" x14ac:dyDescent="0.25">
      <c r="A3884" s="2">
        <f>IF(B3884="","",SUBTOTAL(3,$B$2:B3884))</f>
        <v>3883</v>
      </c>
      <c r="B3884" s="9" t="s">
        <v>55</v>
      </c>
      <c r="C3884" s="10" t="s">
        <v>54</v>
      </c>
      <c r="D3884" s="11">
        <v>18.097224872825862</v>
      </c>
      <c r="E3884" s="12">
        <f t="shared" si="60"/>
        <v>45322</v>
      </c>
    </row>
    <row r="3885" spans="1:5" x14ac:dyDescent="0.25">
      <c r="A3885" s="2">
        <f>IF(B3885="","",SUBTOTAL(3,$B$2:B3885))</f>
        <v>3884</v>
      </c>
      <c r="B3885" s="9" t="s">
        <v>48</v>
      </c>
      <c r="C3885" s="10" t="s">
        <v>52</v>
      </c>
      <c r="D3885" s="11">
        <v>25.696041524803107</v>
      </c>
      <c r="E3885" s="12">
        <f t="shared" si="60"/>
        <v>45323</v>
      </c>
    </row>
    <row r="3886" spans="1:5" x14ac:dyDescent="0.25">
      <c r="A3886" s="2">
        <f>IF(B3886="","",SUBTOTAL(3,$B$2:B3886))</f>
        <v>3885</v>
      </c>
      <c r="B3886" s="9" t="s">
        <v>55</v>
      </c>
      <c r="C3886" s="10" t="s">
        <v>49</v>
      </c>
      <c r="D3886" s="11">
        <v>45.5</v>
      </c>
      <c r="E3886" s="12">
        <f t="shared" si="60"/>
        <v>45324</v>
      </c>
    </row>
    <row r="3887" spans="1:5" x14ac:dyDescent="0.25">
      <c r="A3887" s="2">
        <f>IF(B3887="","",SUBTOTAL(3,$B$2:B3887))</f>
        <v>3886</v>
      </c>
      <c r="B3887" s="9" t="s">
        <v>48</v>
      </c>
      <c r="C3887" s="10" t="s">
        <v>49</v>
      </c>
      <c r="D3887" s="11">
        <v>68.941744226128904</v>
      </c>
      <c r="E3887" s="12">
        <f t="shared" si="60"/>
        <v>45325</v>
      </c>
    </row>
    <row r="3888" spans="1:5" x14ac:dyDescent="0.25">
      <c r="A3888" s="2">
        <f>IF(B3888="","",SUBTOTAL(3,$B$2:B3888))</f>
        <v>3887</v>
      </c>
      <c r="B3888" s="9" t="s">
        <v>48</v>
      </c>
      <c r="C3888" s="10" t="s">
        <v>49</v>
      </c>
      <c r="D3888" s="11">
        <v>22.652345406190175</v>
      </c>
      <c r="E3888" s="12">
        <f t="shared" si="60"/>
        <v>45326</v>
      </c>
    </row>
    <row r="3889" spans="1:5" x14ac:dyDescent="0.25">
      <c r="A3889" s="2">
        <f>IF(B3889="","",SUBTOTAL(3,$B$2:B3889))</f>
        <v>3888</v>
      </c>
      <c r="B3889" s="9" t="s">
        <v>55</v>
      </c>
      <c r="C3889" s="10" t="s">
        <v>52</v>
      </c>
      <c r="D3889" s="11">
        <v>96.292729898892631</v>
      </c>
      <c r="E3889" s="12">
        <f t="shared" si="60"/>
        <v>45327</v>
      </c>
    </row>
    <row r="3890" spans="1:5" x14ac:dyDescent="0.25">
      <c r="A3890" s="2">
        <f>IF(B3890="","",SUBTOTAL(3,$B$2:B3890))</f>
        <v>3889</v>
      </c>
      <c r="B3890" s="9" t="s">
        <v>50</v>
      </c>
      <c r="C3890" s="10" t="s">
        <v>52</v>
      </c>
      <c r="D3890" s="11">
        <v>110.22927689594357</v>
      </c>
      <c r="E3890" s="12">
        <f t="shared" si="60"/>
        <v>45328</v>
      </c>
    </row>
    <row r="3891" spans="1:5" x14ac:dyDescent="0.25">
      <c r="A3891" s="2">
        <f>IF(B3891="","",SUBTOTAL(3,$B$2:B3891))</f>
        <v>3890</v>
      </c>
      <c r="B3891" s="9" t="s">
        <v>50</v>
      </c>
      <c r="C3891" s="10" t="s">
        <v>52</v>
      </c>
      <c r="D3891" s="11">
        <v>66.137566137566139</v>
      </c>
      <c r="E3891" s="12">
        <f t="shared" si="60"/>
        <v>45329</v>
      </c>
    </row>
    <row r="3892" spans="1:5" x14ac:dyDescent="0.25">
      <c r="A3892" s="2">
        <f>IF(B3892="","",SUBTOTAL(3,$B$2:B3892))</f>
        <v>3891</v>
      </c>
      <c r="B3892" s="9" t="s">
        <v>55</v>
      </c>
      <c r="C3892" s="10" t="s">
        <v>52</v>
      </c>
      <c r="D3892" s="11">
        <v>100</v>
      </c>
      <c r="E3892" s="12">
        <f t="shared" si="60"/>
        <v>45330</v>
      </c>
    </row>
    <row r="3893" spans="1:5" x14ac:dyDescent="0.25">
      <c r="A3893" s="2">
        <f>IF(B3893="","",SUBTOTAL(3,$B$2:B3893))</f>
        <v>3892</v>
      </c>
      <c r="B3893" s="9" t="s">
        <v>55</v>
      </c>
      <c r="C3893" s="10" t="s">
        <v>57</v>
      </c>
      <c r="D3893" s="11">
        <v>200</v>
      </c>
      <c r="E3893" s="12">
        <f t="shared" si="60"/>
        <v>45331</v>
      </c>
    </row>
    <row r="3894" spans="1:5" x14ac:dyDescent="0.25">
      <c r="A3894" s="2">
        <f>IF(B3894="","",SUBTOTAL(3,$B$2:B3894))</f>
        <v>3893</v>
      </c>
      <c r="B3894" s="9" t="s">
        <v>48</v>
      </c>
      <c r="C3894" s="10" t="s">
        <v>49</v>
      </c>
      <c r="D3894" s="11">
        <v>77.017868145409736</v>
      </c>
      <c r="E3894" s="12">
        <f t="shared" si="60"/>
        <v>45332</v>
      </c>
    </row>
    <row r="3895" spans="1:5" x14ac:dyDescent="0.25">
      <c r="A3895" s="2">
        <f>IF(B3895="","",SUBTOTAL(3,$B$2:B3895))</f>
        <v>3894</v>
      </c>
      <c r="B3895" s="9" t="s">
        <v>55</v>
      </c>
      <c r="C3895" s="10" t="s">
        <v>49</v>
      </c>
      <c r="D3895" s="11">
        <v>48.883819455760147</v>
      </c>
      <c r="E3895" s="12">
        <f t="shared" si="60"/>
        <v>45333</v>
      </c>
    </row>
    <row r="3896" spans="1:5" x14ac:dyDescent="0.25">
      <c r="A3896" s="2">
        <f>IF(B3896="","",SUBTOTAL(3,$B$2:B3896))</f>
        <v>3895</v>
      </c>
      <c r="B3896" s="9" t="s">
        <v>55</v>
      </c>
      <c r="C3896" s="10" t="s">
        <v>49</v>
      </c>
      <c r="D3896" s="11">
        <v>71.696268535114882</v>
      </c>
      <c r="E3896" s="12">
        <f t="shared" si="60"/>
        <v>45334</v>
      </c>
    </row>
    <row r="3897" spans="1:5" x14ac:dyDescent="0.25">
      <c r="A3897" s="2">
        <f>IF(B3897="","",SUBTOTAL(3,$B$2:B3897))</f>
        <v>3896</v>
      </c>
      <c r="B3897" s="9" t="s">
        <v>55</v>
      </c>
      <c r="C3897" s="10" t="s">
        <v>52</v>
      </c>
      <c r="D3897" s="11">
        <v>100</v>
      </c>
      <c r="E3897" s="12">
        <f t="shared" si="60"/>
        <v>45335</v>
      </c>
    </row>
    <row r="3898" spans="1:5" x14ac:dyDescent="0.25">
      <c r="A3898" s="2">
        <f>IF(B3898="","",SUBTOTAL(3,$B$2:B3898))</f>
        <v>3897</v>
      </c>
      <c r="B3898" s="9" t="s">
        <v>48</v>
      </c>
      <c r="C3898" s="10" t="s">
        <v>54</v>
      </c>
      <c r="D3898" s="11">
        <v>8.993614533681086</v>
      </c>
      <c r="E3898" s="12">
        <f t="shared" si="60"/>
        <v>45336</v>
      </c>
    </row>
    <row r="3899" spans="1:5" x14ac:dyDescent="0.25">
      <c r="A3899" s="2">
        <f>IF(B3899="","",SUBTOTAL(3,$B$2:B3899))</f>
        <v>3898</v>
      </c>
      <c r="B3899" s="9" t="s">
        <v>48</v>
      </c>
      <c r="C3899" s="10" t="s">
        <v>49</v>
      </c>
      <c r="D3899" s="11">
        <v>84.719654959950716</v>
      </c>
      <c r="E3899" s="12">
        <f t="shared" si="60"/>
        <v>45337</v>
      </c>
    </row>
    <row r="3900" spans="1:5" x14ac:dyDescent="0.25">
      <c r="A3900" s="2">
        <f>IF(B3900="","",SUBTOTAL(3,$B$2:B3900))</f>
        <v>3899</v>
      </c>
      <c r="B3900" s="9" t="s">
        <v>48</v>
      </c>
      <c r="C3900" s="10" t="s">
        <v>49</v>
      </c>
      <c r="D3900" s="11">
        <v>12.848020762401553</v>
      </c>
      <c r="E3900" s="12">
        <f t="shared" si="60"/>
        <v>45338</v>
      </c>
    </row>
    <row r="3901" spans="1:5" x14ac:dyDescent="0.25">
      <c r="A3901" s="2">
        <f>IF(B3901="","",SUBTOTAL(3,$B$2:B3901))</f>
        <v>3900</v>
      </c>
      <c r="B3901" s="9" t="s">
        <v>48</v>
      </c>
      <c r="C3901" s="10" t="s">
        <v>49</v>
      </c>
      <c r="D3901" s="11">
        <v>422.05791743684534</v>
      </c>
      <c r="E3901" s="12">
        <f t="shared" si="60"/>
        <v>45339</v>
      </c>
    </row>
    <row r="3902" spans="1:5" x14ac:dyDescent="0.25">
      <c r="A3902" s="2">
        <f>IF(B3902="","",SUBTOTAL(3,$B$2:B3902))</f>
        <v>3901</v>
      </c>
      <c r="B3902" s="9" t="s">
        <v>48</v>
      </c>
      <c r="C3902" s="10" t="s">
        <v>49</v>
      </c>
      <c r="D3902" s="11">
        <v>52.372150338878619</v>
      </c>
      <c r="E3902" s="12">
        <f t="shared" si="60"/>
        <v>45340</v>
      </c>
    </row>
    <row r="3903" spans="1:5" x14ac:dyDescent="0.25">
      <c r="A3903" s="2">
        <f>IF(B3903="","",SUBTOTAL(3,$B$2:B3903))</f>
        <v>3902</v>
      </c>
      <c r="B3903" s="9" t="s">
        <v>48</v>
      </c>
      <c r="C3903" s="10" t="s">
        <v>49</v>
      </c>
      <c r="D3903" s="11">
        <v>8.617718028266113</v>
      </c>
      <c r="E3903" s="12">
        <f t="shared" si="60"/>
        <v>45341</v>
      </c>
    </row>
    <row r="3904" spans="1:5" x14ac:dyDescent="0.25">
      <c r="A3904" s="2">
        <f>IF(B3904="","",SUBTOTAL(3,$B$2:B3904))</f>
        <v>3903</v>
      </c>
      <c r="B3904" s="9" t="s">
        <v>48</v>
      </c>
      <c r="C3904" s="10" t="s">
        <v>49</v>
      </c>
      <c r="D3904" s="11">
        <v>123.22858903265558</v>
      </c>
      <c r="E3904" s="12">
        <f t="shared" si="60"/>
        <v>45342</v>
      </c>
    </row>
    <row r="3905" spans="1:5" x14ac:dyDescent="0.25">
      <c r="A3905" s="2">
        <f>IF(B3905="","",SUBTOTAL(3,$B$2:B3905))</f>
        <v>3904</v>
      </c>
      <c r="B3905" s="9" t="s">
        <v>50</v>
      </c>
      <c r="C3905" s="10" t="s">
        <v>49</v>
      </c>
      <c r="D3905" s="11">
        <v>5.0825837742504412</v>
      </c>
      <c r="E3905" s="12">
        <f t="shared" si="60"/>
        <v>45343</v>
      </c>
    </row>
    <row r="3906" spans="1:5" x14ac:dyDescent="0.25">
      <c r="A3906" s="2">
        <f>IF(B3906="","",SUBTOTAL(3,$B$2:B3906))</f>
        <v>3905</v>
      </c>
      <c r="B3906" s="9" t="s">
        <v>48</v>
      </c>
      <c r="C3906" s="10" t="s">
        <v>49</v>
      </c>
      <c r="D3906" s="11">
        <v>107.82501540357363</v>
      </c>
      <c r="E3906" s="12">
        <f t="shared" si="60"/>
        <v>45344</v>
      </c>
    </row>
    <row r="3907" spans="1:5" x14ac:dyDescent="0.25">
      <c r="A3907" s="2">
        <f>IF(B3907="","",SUBTOTAL(3,$B$2:B3907))</f>
        <v>3906</v>
      </c>
      <c r="B3907" s="9" t="s">
        <v>48</v>
      </c>
      <c r="C3907" s="10" t="s">
        <v>49</v>
      </c>
      <c r="D3907" s="11">
        <v>24.645717806531117</v>
      </c>
      <c r="E3907" s="12">
        <f t="shared" si="60"/>
        <v>45345</v>
      </c>
    </row>
    <row r="3908" spans="1:5" x14ac:dyDescent="0.25">
      <c r="A3908" s="2">
        <f>IF(B3908="","",SUBTOTAL(3,$B$2:B3908))</f>
        <v>3907</v>
      </c>
      <c r="B3908" s="9" t="s">
        <v>48</v>
      </c>
      <c r="C3908" s="10" t="s">
        <v>52</v>
      </c>
      <c r="D3908" s="11">
        <v>46.210720887245841</v>
      </c>
      <c r="E3908" s="12">
        <f t="shared" ref="E3908:E3971" si="61">E3907+1</f>
        <v>45346</v>
      </c>
    </row>
    <row r="3909" spans="1:5" x14ac:dyDescent="0.25">
      <c r="A3909" s="2">
        <f>IF(B3909="","",SUBTOTAL(3,$B$2:B3909))</f>
        <v>3908</v>
      </c>
      <c r="B3909" s="9" t="s">
        <v>48</v>
      </c>
      <c r="C3909" s="10" t="s">
        <v>49</v>
      </c>
      <c r="D3909" s="11">
        <v>6.8941744226128918</v>
      </c>
      <c r="E3909" s="12">
        <f t="shared" si="61"/>
        <v>45347</v>
      </c>
    </row>
    <row r="3910" spans="1:5" x14ac:dyDescent="0.25">
      <c r="A3910" s="2">
        <f>IF(B3910="","",SUBTOTAL(3,$B$2:B3910))</f>
        <v>3909</v>
      </c>
      <c r="B3910" s="9" t="s">
        <v>55</v>
      </c>
      <c r="C3910" s="10" t="s">
        <v>54</v>
      </c>
      <c r="D3910" s="11">
        <v>27.3</v>
      </c>
      <c r="E3910" s="12">
        <f t="shared" si="61"/>
        <v>45348</v>
      </c>
    </row>
    <row r="3911" spans="1:5" x14ac:dyDescent="0.25">
      <c r="A3911" s="2">
        <f>IF(B3911="","",SUBTOTAL(3,$B$2:B3911))</f>
        <v>3910</v>
      </c>
      <c r="B3911" s="9" t="s">
        <v>48</v>
      </c>
      <c r="C3911" s="10" t="s">
        <v>49</v>
      </c>
      <c r="D3911" s="11">
        <v>51.392083049606214</v>
      </c>
      <c r="E3911" s="12">
        <f t="shared" si="61"/>
        <v>45349</v>
      </c>
    </row>
    <row r="3912" spans="1:5" x14ac:dyDescent="0.25">
      <c r="A3912" s="2">
        <f>IF(B3912="","",SUBTOTAL(3,$B$2:B3912))</f>
        <v>3911</v>
      </c>
      <c r="B3912" s="9" t="s">
        <v>48</v>
      </c>
      <c r="C3912" s="10" t="s">
        <v>49</v>
      </c>
      <c r="D3912" s="11">
        <v>32.12005190600388</v>
      </c>
      <c r="E3912" s="12">
        <f t="shared" si="61"/>
        <v>45350</v>
      </c>
    </row>
    <row r="3913" spans="1:5" x14ac:dyDescent="0.25">
      <c r="A3913" s="2">
        <f>IF(B3913="","",SUBTOTAL(3,$B$2:B3913))</f>
        <v>3912</v>
      </c>
      <c r="B3913" s="9" t="s">
        <v>48</v>
      </c>
      <c r="C3913" s="10" t="s">
        <v>49</v>
      </c>
      <c r="D3913" s="11">
        <v>42.359827479975358</v>
      </c>
      <c r="E3913" s="12">
        <f t="shared" si="61"/>
        <v>45351</v>
      </c>
    </row>
    <row r="3914" spans="1:5" x14ac:dyDescent="0.25">
      <c r="A3914" s="2">
        <f>IF(B3914="","",SUBTOTAL(3,$B$2:B3914))</f>
        <v>3913</v>
      </c>
      <c r="B3914" s="9" t="s">
        <v>55</v>
      </c>
      <c r="C3914" s="10" t="s">
        <v>54</v>
      </c>
      <c r="D3914" s="11">
        <v>197.4242713399185</v>
      </c>
      <c r="E3914" s="12">
        <f t="shared" si="61"/>
        <v>45352</v>
      </c>
    </row>
    <row r="3915" spans="1:5" x14ac:dyDescent="0.25">
      <c r="A3915" s="2">
        <f>IF(B3915="","",SUBTOTAL(3,$B$2:B3915))</f>
        <v>3914</v>
      </c>
      <c r="B3915" s="9" t="s">
        <v>50</v>
      </c>
      <c r="C3915" s="10" t="s">
        <v>52</v>
      </c>
      <c r="D3915" s="11">
        <v>2.204585537918871</v>
      </c>
      <c r="E3915" s="12">
        <f t="shared" si="61"/>
        <v>45353</v>
      </c>
    </row>
    <row r="3916" spans="1:5" x14ac:dyDescent="0.25">
      <c r="A3916" s="2">
        <f>IF(B3916="","",SUBTOTAL(3,$B$2:B3916))</f>
        <v>3915</v>
      </c>
      <c r="B3916" s="9" t="s">
        <v>48</v>
      </c>
      <c r="C3916" s="10" t="s">
        <v>52</v>
      </c>
      <c r="D3916" s="11">
        <v>86.177180282661155</v>
      </c>
      <c r="E3916" s="12">
        <f t="shared" si="61"/>
        <v>45354</v>
      </c>
    </row>
    <row r="3917" spans="1:5" x14ac:dyDescent="0.25">
      <c r="A3917" s="2">
        <f>IF(B3917="","",SUBTOTAL(3,$B$2:B3917))</f>
        <v>3916</v>
      </c>
      <c r="B3917" s="9" t="s">
        <v>48</v>
      </c>
      <c r="C3917" s="10" t="s">
        <v>49</v>
      </c>
      <c r="D3917" s="11">
        <v>92.421441774491683</v>
      </c>
      <c r="E3917" s="12">
        <f t="shared" si="61"/>
        <v>45355</v>
      </c>
    </row>
    <row r="3918" spans="1:5" x14ac:dyDescent="0.25">
      <c r="A3918" s="2">
        <f>IF(B3918="","",SUBTOTAL(3,$B$2:B3918))</f>
        <v>3917</v>
      </c>
      <c r="B3918" s="9" t="s">
        <v>50</v>
      </c>
      <c r="C3918" s="10" t="s">
        <v>52</v>
      </c>
      <c r="D3918" s="11">
        <v>33.06878306878307</v>
      </c>
      <c r="E3918" s="12">
        <f t="shared" si="61"/>
        <v>45356</v>
      </c>
    </row>
    <row r="3919" spans="1:5" x14ac:dyDescent="0.25">
      <c r="A3919" s="2">
        <f>IF(B3919="","",SUBTOTAL(3,$B$2:B3919))</f>
        <v>3918</v>
      </c>
      <c r="B3919" s="9" t="s">
        <v>48</v>
      </c>
      <c r="C3919" s="10" t="s">
        <v>52</v>
      </c>
      <c r="D3919" s="11">
        <v>24.260628465804068</v>
      </c>
      <c r="E3919" s="12">
        <f t="shared" si="61"/>
        <v>45357</v>
      </c>
    </row>
    <row r="3920" spans="1:5" x14ac:dyDescent="0.25">
      <c r="A3920" s="2">
        <f>IF(B3920="","",SUBTOTAL(3,$B$2:B3920))</f>
        <v>3919</v>
      </c>
      <c r="B3920" s="9" t="s">
        <v>51</v>
      </c>
      <c r="C3920" s="10" t="s">
        <v>49</v>
      </c>
      <c r="D3920" s="11">
        <v>84.718839351900883</v>
      </c>
      <c r="E3920" s="12">
        <f t="shared" si="61"/>
        <v>45358</v>
      </c>
    </row>
    <row r="3921" spans="1:5" x14ac:dyDescent="0.25">
      <c r="A3921" s="2">
        <f>IF(B3921="","",SUBTOTAL(3,$B$2:B3921))</f>
        <v>3920</v>
      </c>
      <c r="B3921" s="9" t="s">
        <v>50</v>
      </c>
      <c r="C3921" s="10" t="s">
        <v>52</v>
      </c>
      <c r="D3921" s="11">
        <v>110.22927689594357</v>
      </c>
      <c r="E3921" s="12">
        <f t="shared" si="61"/>
        <v>45359</v>
      </c>
    </row>
    <row r="3922" spans="1:5" x14ac:dyDescent="0.25">
      <c r="A3922" s="2">
        <f>IF(B3922="","",SUBTOTAL(3,$B$2:B3922))</f>
        <v>3921</v>
      </c>
      <c r="B3922" s="9" t="s">
        <v>50</v>
      </c>
      <c r="C3922" s="10" t="s">
        <v>52</v>
      </c>
      <c r="D3922" s="11">
        <v>66.137566137566139</v>
      </c>
      <c r="E3922" s="12">
        <f t="shared" si="61"/>
        <v>45360</v>
      </c>
    </row>
    <row r="3923" spans="1:5" x14ac:dyDescent="0.25">
      <c r="A3923" s="2">
        <f>IF(B3923="","",SUBTOTAL(3,$B$2:B3923))</f>
        <v>3922</v>
      </c>
      <c r="B3923" s="9" t="s">
        <v>51</v>
      </c>
      <c r="C3923" s="10" t="s">
        <v>52</v>
      </c>
      <c r="D3923" s="11">
        <v>21.179709837975221</v>
      </c>
      <c r="E3923" s="12">
        <f t="shared" si="61"/>
        <v>45361</v>
      </c>
    </row>
    <row r="3924" spans="1:5" x14ac:dyDescent="0.25">
      <c r="A3924" s="2">
        <f>IF(B3924="","",SUBTOTAL(3,$B$2:B3924))</f>
        <v>3923</v>
      </c>
      <c r="B3924" s="9" t="s">
        <v>55</v>
      </c>
      <c r="C3924" s="10" t="s">
        <v>52</v>
      </c>
      <c r="D3924" s="11">
        <v>16.048788316482106</v>
      </c>
      <c r="E3924" s="12">
        <f t="shared" si="61"/>
        <v>45362</v>
      </c>
    </row>
    <row r="3925" spans="1:5" x14ac:dyDescent="0.25">
      <c r="A3925" s="2">
        <f>IF(B3925="","",SUBTOTAL(3,$B$2:B3925))</f>
        <v>3924</v>
      </c>
      <c r="B3925" s="9" t="s">
        <v>51</v>
      </c>
      <c r="C3925" s="10" t="s">
        <v>49</v>
      </c>
      <c r="D3925" s="11">
        <v>48.618426383599385</v>
      </c>
      <c r="E3925" s="12">
        <f t="shared" si="61"/>
        <v>45363</v>
      </c>
    </row>
    <row r="3926" spans="1:5" x14ac:dyDescent="0.25">
      <c r="A3926" s="2">
        <f>IF(B3926="","",SUBTOTAL(3,$B$2:B3926))</f>
        <v>3925</v>
      </c>
      <c r="B3926" s="9" t="s">
        <v>50</v>
      </c>
      <c r="C3926" s="10" t="s">
        <v>49</v>
      </c>
      <c r="D3926" s="11">
        <v>176.3668430335097</v>
      </c>
      <c r="E3926" s="12">
        <f t="shared" si="61"/>
        <v>45364</v>
      </c>
    </row>
    <row r="3927" spans="1:5" x14ac:dyDescent="0.25">
      <c r="A3927" s="2">
        <f>IF(B3927="","",SUBTOTAL(3,$B$2:B3927))</f>
        <v>3926</v>
      </c>
      <c r="B3927" s="9" t="s">
        <v>48</v>
      </c>
      <c r="C3927" s="10" t="s">
        <v>52</v>
      </c>
      <c r="D3927" s="11">
        <v>154.03573629081947</v>
      </c>
      <c r="E3927" s="12">
        <f t="shared" si="61"/>
        <v>45365</v>
      </c>
    </row>
    <row r="3928" spans="1:5" x14ac:dyDescent="0.25">
      <c r="A3928" s="2">
        <f>IF(B3928="","",SUBTOTAL(3,$B$2:B3928))</f>
        <v>3927</v>
      </c>
      <c r="B3928" s="9" t="s">
        <v>50</v>
      </c>
      <c r="C3928" s="10" t="s">
        <v>52</v>
      </c>
      <c r="D3928" s="11">
        <v>88.183421516754848</v>
      </c>
      <c r="E3928" s="12">
        <f t="shared" si="61"/>
        <v>45366</v>
      </c>
    </row>
    <row r="3929" spans="1:5" x14ac:dyDescent="0.25">
      <c r="A3929" s="2">
        <f>IF(B3929="","",SUBTOTAL(3,$B$2:B3929))</f>
        <v>3928</v>
      </c>
      <c r="B3929" s="9" t="s">
        <v>50</v>
      </c>
      <c r="C3929" s="10" t="s">
        <v>52</v>
      </c>
      <c r="D3929" s="11">
        <v>66.137566137566139</v>
      </c>
      <c r="E3929" s="12">
        <f t="shared" si="61"/>
        <v>45367</v>
      </c>
    </row>
    <row r="3930" spans="1:5" x14ac:dyDescent="0.25">
      <c r="A3930" s="2">
        <f>IF(B3930="","",SUBTOTAL(3,$B$2:B3930))</f>
        <v>3929</v>
      </c>
      <c r="B3930" s="9" t="s">
        <v>55</v>
      </c>
      <c r="C3930" s="10" t="s">
        <v>52</v>
      </c>
      <c r="D3930" s="11">
        <v>32.097576632964213</v>
      </c>
      <c r="E3930" s="12">
        <f t="shared" si="61"/>
        <v>45368</v>
      </c>
    </row>
    <row r="3931" spans="1:5" x14ac:dyDescent="0.25">
      <c r="A3931" s="2">
        <f>IF(B3931="","",SUBTOTAL(3,$B$2:B3931))</f>
        <v>3930</v>
      </c>
      <c r="B3931" s="9" t="s">
        <v>50</v>
      </c>
      <c r="C3931" s="10" t="s">
        <v>52</v>
      </c>
      <c r="D3931" s="11">
        <v>661.37566137566137</v>
      </c>
      <c r="E3931" s="12">
        <f t="shared" si="61"/>
        <v>45369</v>
      </c>
    </row>
    <row r="3932" spans="1:5" x14ac:dyDescent="0.25">
      <c r="A3932" s="2">
        <f>IF(B3932="","",SUBTOTAL(3,$B$2:B3932))</f>
        <v>3931</v>
      </c>
      <c r="B3932" s="9" t="s">
        <v>50</v>
      </c>
      <c r="C3932" s="10" t="s">
        <v>52</v>
      </c>
      <c r="D3932" s="11">
        <v>48.500881834215171</v>
      </c>
      <c r="E3932" s="12">
        <f t="shared" si="61"/>
        <v>45370</v>
      </c>
    </row>
    <row r="3933" spans="1:5" x14ac:dyDescent="0.25">
      <c r="A3933" s="2">
        <f>IF(B3933="","",SUBTOTAL(3,$B$2:B3933))</f>
        <v>3932</v>
      </c>
      <c r="B3933" s="9" t="s">
        <v>48</v>
      </c>
      <c r="C3933" s="10" t="s">
        <v>49</v>
      </c>
      <c r="D3933" s="11">
        <v>53.912507701786815</v>
      </c>
      <c r="E3933" s="12">
        <f t="shared" si="61"/>
        <v>45371</v>
      </c>
    </row>
    <row r="3934" spans="1:5" x14ac:dyDescent="0.25">
      <c r="A3934" s="2">
        <f>IF(B3934="","",SUBTOTAL(3,$B$2:B3934))</f>
        <v>3933</v>
      </c>
      <c r="B3934" s="9" t="s">
        <v>48</v>
      </c>
      <c r="C3934" s="10" t="s">
        <v>52</v>
      </c>
      <c r="D3934" s="11">
        <v>102.78416609921243</v>
      </c>
      <c r="E3934" s="12">
        <f t="shared" si="61"/>
        <v>45372</v>
      </c>
    </row>
    <row r="3935" spans="1:5" x14ac:dyDescent="0.25">
      <c r="A3935" s="2">
        <f>IF(B3935="","",SUBTOTAL(3,$B$2:B3935))</f>
        <v>3934</v>
      </c>
      <c r="B3935" s="9" t="s">
        <v>48</v>
      </c>
      <c r="C3935" s="10" t="s">
        <v>49</v>
      </c>
      <c r="D3935" s="11">
        <v>41.11366643968497</v>
      </c>
      <c r="E3935" s="12">
        <f t="shared" si="61"/>
        <v>45373</v>
      </c>
    </row>
    <row r="3936" spans="1:5" x14ac:dyDescent="0.25">
      <c r="A3936" s="2">
        <f>IF(B3936="","",SUBTOTAL(3,$B$2:B3936))</f>
        <v>3935</v>
      </c>
      <c r="B3936" s="9" t="s">
        <v>50</v>
      </c>
      <c r="C3936" s="10" t="s">
        <v>52</v>
      </c>
      <c r="D3936" s="11">
        <v>55.114638447971785</v>
      </c>
      <c r="E3936" s="12">
        <f t="shared" si="61"/>
        <v>45374</v>
      </c>
    </row>
    <row r="3937" spans="1:5" x14ac:dyDescent="0.25">
      <c r="A3937" s="2">
        <f>IF(B3937="","",SUBTOTAL(3,$B$2:B3937))</f>
        <v>3936</v>
      </c>
      <c r="B3937" s="9" t="s">
        <v>48</v>
      </c>
      <c r="C3937" s="10" t="s">
        <v>52</v>
      </c>
      <c r="D3937" s="11">
        <v>50</v>
      </c>
      <c r="E3937" s="12">
        <f t="shared" si="61"/>
        <v>45375</v>
      </c>
    </row>
    <row r="3938" spans="1:5" x14ac:dyDescent="0.25">
      <c r="A3938" s="2">
        <f>IF(B3938="","",SUBTOTAL(3,$B$2:B3938))</f>
        <v>3937</v>
      </c>
      <c r="B3938" s="9" t="s">
        <v>48</v>
      </c>
      <c r="C3938" s="10" t="s">
        <v>49</v>
      </c>
      <c r="D3938" s="11">
        <v>51.392083049606214</v>
      </c>
      <c r="E3938" s="12">
        <f t="shared" si="61"/>
        <v>45376</v>
      </c>
    </row>
    <row r="3939" spans="1:5" x14ac:dyDescent="0.25">
      <c r="A3939" s="2">
        <f>IF(B3939="","",SUBTOTAL(3,$B$2:B3939))</f>
        <v>3938</v>
      </c>
      <c r="B3939" s="9" t="s">
        <v>51</v>
      </c>
      <c r="C3939" s="10" t="s">
        <v>52</v>
      </c>
      <c r="D3939" s="11">
        <v>105.89854918987609</v>
      </c>
      <c r="E3939" s="12">
        <f t="shared" si="61"/>
        <v>45377</v>
      </c>
    </row>
    <row r="3940" spans="1:5" x14ac:dyDescent="0.25">
      <c r="A3940" s="2">
        <f>IF(B3940="","",SUBTOTAL(3,$B$2:B3940))</f>
        <v>3939</v>
      </c>
      <c r="B3940" s="9" t="s">
        <v>51</v>
      </c>
      <c r="C3940" s="10" t="s">
        <v>52</v>
      </c>
      <c r="D3940" s="11">
        <v>132.37318648734512</v>
      </c>
      <c r="E3940" s="12">
        <f t="shared" si="61"/>
        <v>45378</v>
      </c>
    </row>
    <row r="3941" spans="1:5" x14ac:dyDescent="0.25">
      <c r="A3941" s="2">
        <f>IF(B3941="","",SUBTOTAL(3,$B$2:B3941))</f>
        <v>3940</v>
      </c>
      <c r="B3941" s="9" t="s">
        <v>51</v>
      </c>
      <c r="C3941" s="10" t="s">
        <v>49</v>
      </c>
      <c r="D3941" s="11">
        <v>40.515355319666149</v>
      </c>
      <c r="E3941" s="12">
        <f t="shared" si="61"/>
        <v>45379</v>
      </c>
    </row>
    <row r="3942" spans="1:5" x14ac:dyDescent="0.25">
      <c r="A3942" s="2">
        <f>IF(B3942="","",SUBTOTAL(3,$B$2:B3942))</f>
        <v>3941</v>
      </c>
      <c r="B3942" s="9" t="s">
        <v>48</v>
      </c>
      <c r="C3942" s="10" t="s">
        <v>49</v>
      </c>
      <c r="D3942" s="11">
        <v>34.470872113064452</v>
      </c>
      <c r="E3942" s="12">
        <f t="shared" si="61"/>
        <v>45380</v>
      </c>
    </row>
    <row r="3943" spans="1:5" x14ac:dyDescent="0.25">
      <c r="A3943" s="2">
        <f>IF(B3943="","",SUBTOTAL(3,$B$2:B3943))</f>
        <v>3942</v>
      </c>
      <c r="B3943" s="9" t="s">
        <v>48</v>
      </c>
      <c r="C3943" s="10" t="s">
        <v>49</v>
      </c>
      <c r="D3943" s="11">
        <v>256.96041524803104</v>
      </c>
      <c r="E3943" s="12">
        <f t="shared" si="61"/>
        <v>45381</v>
      </c>
    </row>
    <row r="3944" spans="1:5" x14ac:dyDescent="0.25">
      <c r="A3944" s="2">
        <f>IF(B3944="","",SUBTOTAL(3,$B$2:B3944))</f>
        <v>3943</v>
      </c>
      <c r="B3944" s="9" t="s">
        <v>55</v>
      </c>
      <c r="C3944" s="10" t="s">
        <v>52</v>
      </c>
      <c r="D3944" s="11">
        <v>37.269662792300274</v>
      </c>
      <c r="E3944" s="12">
        <f t="shared" si="61"/>
        <v>45382</v>
      </c>
    </row>
    <row r="3945" spans="1:5" x14ac:dyDescent="0.25">
      <c r="A3945" s="2">
        <f>IF(B3945="","",SUBTOTAL(3,$B$2:B3945))</f>
        <v>3944</v>
      </c>
      <c r="B3945" s="9" t="s">
        <v>55</v>
      </c>
      <c r="C3945" s="10" t="s">
        <v>49</v>
      </c>
      <c r="D3945" s="11">
        <v>3.77</v>
      </c>
      <c r="E3945" s="12">
        <f t="shared" si="61"/>
        <v>45383</v>
      </c>
    </row>
    <row r="3946" spans="1:5" x14ac:dyDescent="0.25">
      <c r="A3946" s="2">
        <f>IF(B3946="","",SUBTOTAL(3,$B$2:B3946))</f>
        <v>3945</v>
      </c>
      <c r="B3946" s="9" t="s">
        <v>48</v>
      </c>
      <c r="C3946" s="10" t="s">
        <v>49</v>
      </c>
      <c r="D3946" s="11">
        <v>38.508934072704868</v>
      </c>
      <c r="E3946" s="12">
        <f t="shared" si="61"/>
        <v>45384</v>
      </c>
    </row>
    <row r="3947" spans="1:5" x14ac:dyDescent="0.25">
      <c r="A3947" s="2">
        <f>IF(B3947="","",SUBTOTAL(3,$B$2:B3947))</f>
        <v>3946</v>
      </c>
      <c r="B3947" s="9" t="s">
        <v>55</v>
      </c>
      <c r="C3947" s="10" t="s">
        <v>52</v>
      </c>
      <c r="D3947" s="11">
        <v>120.3659123736158</v>
      </c>
      <c r="E3947" s="12">
        <f t="shared" si="61"/>
        <v>45385</v>
      </c>
    </row>
    <row r="3948" spans="1:5" x14ac:dyDescent="0.25">
      <c r="A3948" s="2">
        <f>IF(B3948="","",SUBTOTAL(3,$B$2:B3948))</f>
        <v>3947</v>
      </c>
      <c r="B3948" s="9" t="s">
        <v>55</v>
      </c>
      <c r="C3948" s="10" t="s">
        <v>49</v>
      </c>
      <c r="D3948" s="11">
        <v>798.96659605670538</v>
      </c>
      <c r="E3948" s="12">
        <f t="shared" si="61"/>
        <v>45386</v>
      </c>
    </row>
    <row r="3949" spans="1:5" x14ac:dyDescent="0.25">
      <c r="A3949" s="2">
        <f>IF(B3949="","",SUBTOTAL(3,$B$2:B3949))</f>
        <v>3948</v>
      </c>
      <c r="B3949" s="9" t="s">
        <v>50</v>
      </c>
      <c r="C3949" s="10" t="s">
        <v>49</v>
      </c>
      <c r="D3949" s="11">
        <v>195.868430335097</v>
      </c>
      <c r="E3949" s="12">
        <f t="shared" si="61"/>
        <v>45387</v>
      </c>
    </row>
    <row r="3950" spans="1:5" x14ac:dyDescent="0.25">
      <c r="A3950" s="2">
        <f>IF(B3950="","",SUBTOTAL(3,$B$2:B3950))</f>
        <v>3949</v>
      </c>
      <c r="B3950" s="9" t="s">
        <v>51</v>
      </c>
      <c r="C3950" s="10" t="s">
        <v>52</v>
      </c>
      <c r="D3950" s="11">
        <v>211.79709837975219</v>
      </c>
      <c r="E3950" s="12">
        <f t="shared" si="61"/>
        <v>45388</v>
      </c>
    </row>
    <row r="3951" spans="1:5" x14ac:dyDescent="0.25">
      <c r="A3951" s="2">
        <f>IF(B3951="","",SUBTOTAL(3,$B$2:B3951))</f>
        <v>3950</v>
      </c>
      <c r="B3951" s="9" t="s">
        <v>48</v>
      </c>
      <c r="C3951" s="10" t="s">
        <v>54</v>
      </c>
      <c r="D3951" s="11">
        <v>30.807147258163894</v>
      </c>
      <c r="E3951" s="12">
        <f t="shared" si="61"/>
        <v>45389</v>
      </c>
    </row>
    <row r="3952" spans="1:5" x14ac:dyDescent="0.25">
      <c r="A3952" s="2">
        <f>IF(B3952="","",SUBTOTAL(3,$B$2:B3952))</f>
        <v>3951</v>
      </c>
      <c r="B3952" s="9" t="s">
        <v>51</v>
      </c>
      <c r="C3952" s="10" t="s">
        <v>52</v>
      </c>
      <c r="D3952" s="11">
        <v>51.195594620353702</v>
      </c>
      <c r="E3952" s="12">
        <f t="shared" si="61"/>
        <v>45390</v>
      </c>
    </row>
    <row r="3953" spans="1:5" x14ac:dyDescent="0.25">
      <c r="A3953" s="2">
        <f>IF(B3953="","",SUBTOTAL(3,$B$2:B3953))</f>
        <v>3952</v>
      </c>
      <c r="B3953" s="9" t="s">
        <v>55</v>
      </c>
      <c r="C3953" s="10" t="s">
        <v>56</v>
      </c>
      <c r="D3953" s="11">
        <v>600</v>
      </c>
      <c r="E3953" s="12">
        <f t="shared" si="61"/>
        <v>45391</v>
      </c>
    </row>
    <row r="3954" spans="1:5" x14ac:dyDescent="0.25">
      <c r="A3954" s="2">
        <f>IF(B3954="","",SUBTOTAL(3,$B$2:B3954))</f>
        <v>3953</v>
      </c>
      <c r="B3954" s="9" t="s">
        <v>50</v>
      </c>
      <c r="C3954" s="10" t="s">
        <v>52</v>
      </c>
      <c r="D3954" s="11">
        <v>66.137566137566139</v>
      </c>
      <c r="E3954" s="12">
        <f t="shared" si="61"/>
        <v>45392</v>
      </c>
    </row>
    <row r="3955" spans="1:5" x14ac:dyDescent="0.25">
      <c r="A3955" s="2">
        <f>IF(B3955="","",SUBTOTAL(3,$B$2:B3955))</f>
        <v>3954</v>
      </c>
      <c r="B3955" s="9" t="s">
        <v>55</v>
      </c>
      <c r="C3955" s="10" t="s">
        <v>57</v>
      </c>
      <c r="D3955" s="11">
        <v>299.7</v>
      </c>
      <c r="E3955" s="12">
        <f t="shared" si="61"/>
        <v>45393</v>
      </c>
    </row>
    <row r="3956" spans="1:5" x14ac:dyDescent="0.25">
      <c r="A3956" s="2">
        <f>IF(B3956="","",SUBTOTAL(3,$B$2:B3956))</f>
        <v>3955</v>
      </c>
      <c r="B3956" s="9" t="s">
        <v>48</v>
      </c>
      <c r="C3956" s="10" t="s">
        <v>49</v>
      </c>
      <c r="D3956" s="11">
        <v>24.645717806531117</v>
      </c>
      <c r="E3956" s="12">
        <f t="shared" si="61"/>
        <v>45394</v>
      </c>
    </row>
    <row r="3957" spans="1:5" x14ac:dyDescent="0.25">
      <c r="A3957" s="2">
        <f>IF(B3957="","",SUBTOTAL(3,$B$2:B3957))</f>
        <v>3956</v>
      </c>
      <c r="B3957" s="9" t="s">
        <v>48</v>
      </c>
      <c r="C3957" s="10" t="s">
        <v>52</v>
      </c>
      <c r="D3957" s="11">
        <v>107.82501540357363</v>
      </c>
      <c r="E3957" s="12">
        <f t="shared" si="61"/>
        <v>45395</v>
      </c>
    </row>
    <row r="3958" spans="1:5" x14ac:dyDescent="0.25">
      <c r="A3958" s="2">
        <f>IF(B3958="","",SUBTOTAL(3,$B$2:B3958))</f>
        <v>3957</v>
      </c>
      <c r="B3958" s="9" t="s">
        <v>51</v>
      </c>
      <c r="C3958" s="10" t="s">
        <v>49</v>
      </c>
      <c r="D3958" s="11">
        <v>211.79709837975219</v>
      </c>
      <c r="E3958" s="12">
        <f t="shared" si="61"/>
        <v>45396</v>
      </c>
    </row>
    <row r="3959" spans="1:5" x14ac:dyDescent="0.25">
      <c r="A3959" s="2">
        <f>IF(B3959="","",SUBTOTAL(3,$B$2:B3959))</f>
        <v>3958</v>
      </c>
      <c r="B3959" s="9" t="s">
        <v>48</v>
      </c>
      <c r="C3959" s="10" t="s">
        <v>49</v>
      </c>
      <c r="D3959" s="11">
        <v>154.03573629081947</v>
      </c>
      <c r="E3959" s="12">
        <f t="shared" si="61"/>
        <v>45397</v>
      </c>
    </row>
    <row r="3960" spans="1:5" x14ac:dyDescent="0.25">
      <c r="A3960" s="2">
        <f>IF(B3960="","",SUBTOTAL(3,$B$2:B3960))</f>
        <v>3959</v>
      </c>
      <c r="B3960" s="9" t="s">
        <v>50</v>
      </c>
      <c r="C3960" s="10" t="s">
        <v>52</v>
      </c>
      <c r="D3960" s="11">
        <v>66.137566137566139</v>
      </c>
      <c r="E3960" s="12">
        <f t="shared" si="61"/>
        <v>45398</v>
      </c>
    </row>
    <row r="3961" spans="1:5" x14ac:dyDescent="0.25">
      <c r="A3961" s="2">
        <f>IF(B3961="","",SUBTOTAL(3,$B$2:B3961))</f>
        <v>3960</v>
      </c>
      <c r="B3961" s="9" t="s">
        <v>50</v>
      </c>
      <c r="C3961" s="10" t="s">
        <v>52</v>
      </c>
      <c r="D3961" s="11">
        <v>44.091710758377424</v>
      </c>
      <c r="E3961" s="12">
        <f t="shared" si="61"/>
        <v>45399</v>
      </c>
    </row>
    <row r="3962" spans="1:5" x14ac:dyDescent="0.25">
      <c r="A3962" s="2">
        <f>IF(B3962="","",SUBTOTAL(3,$B$2:B3962))</f>
        <v>3961</v>
      </c>
      <c r="B3962" s="9" t="s">
        <v>50</v>
      </c>
      <c r="C3962" s="10" t="s">
        <v>52</v>
      </c>
      <c r="D3962" s="11">
        <v>44.091710758377424</v>
      </c>
      <c r="E3962" s="12">
        <f t="shared" si="61"/>
        <v>45400</v>
      </c>
    </row>
    <row r="3963" spans="1:5" x14ac:dyDescent="0.25">
      <c r="A3963" s="2">
        <f>IF(B3963="","",SUBTOTAL(3,$B$2:B3963))</f>
        <v>3962</v>
      </c>
      <c r="B3963" s="9" t="s">
        <v>50</v>
      </c>
      <c r="C3963" s="10" t="s">
        <v>52</v>
      </c>
      <c r="D3963" s="11">
        <v>55.114638447971785</v>
      </c>
      <c r="E3963" s="12">
        <f t="shared" si="61"/>
        <v>45401</v>
      </c>
    </row>
    <row r="3964" spans="1:5" x14ac:dyDescent="0.25">
      <c r="A3964" s="2">
        <f>IF(B3964="","",SUBTOTAL(3,$B$2:B3964))</f>
        <v>3963</v>
      </c>
      <c r="B3964" s="9" t="s">
        <v>50</v>
      </c>
      <c r="C3964" s="10" t="s">
        <v>52</v>
      </c>
      <c r="D3964" s="11">
        <v>44.091710758377424</v>
      </c>
      <c r="E3964" s="12">
        <f t="shared" si="61"/>
        <v>45402</v>
      </c>
    </row>
    <row r="3965" spans="1:5" x14ac:dyDescent="0.25">
      <c r="A3965" s="2">
        <f>IF(B3965="","",SUBTOTAL(3,$B$2:B3965))</f>
        <v>3964</v>
      </c>
      <c r="B3965" s="9" t="s">
        <v>48</v>
      </c>
      <c r="C3965" s="10" t="s">
        <v>54</v>
      </c>
      <c r="D3965" s="11">
        <v>62.047569803516026</v>
      </c>
      <c r="E3965" s="12">
        <f t="shared" si="61"/>
        <v>45403</v>
      </c>
    </row>
    <row r="3966" spans="1:5" x14ac:dyDescent="0.25">
      <c r="A3966" s="2">
        <f>IF(B3966="","",SUBTOTAL(3,$B$2:B3966))</f>
        <v>3965</v>
      </c>
      <c r="B3966" s="9" t="s">
        <v>50</v>
      </c>
      <c r="C3966" s="10" t="s">
        <v>52</v>
      </c>
      <c r="D3966" s="11">
        <v>220.45855379188714</v>
      </c>
      <c r="E3966" s="12">
        <f t="shared" si="61"/>
        <v>45404</v>
      </c>
    </row>
    <row r="3967" spans="1:5" x14ac:dyDescent="0.25">
      <c r="A3967" s="2">
        <f>IF(B3967="","",SUBTOTAL(3,$B$2:B3967))</f>
        <v>3966</v>
      </c>
      <c r="B3967" s="9" t="s">
        <v>50</v>
      </c>
      <c r="C3967" s="10" t="s">
        <v>49</v>
      </c>
      <c r="D3967" s="11">
        <v>881.83421516754856</v>
      </c>
      <c r="E3967" s="12">
        <f t="shared" si="61"/>
        <v>45405</v>
      </c>
    </row>
    <row r="3968" spans="1:5" x14ac:dyDescent="0.25">
      <c r="A3968" s="2">
        <f>IF(B3968="","",SUBTOTAL(3,$B$2:B3968))</f>
        <v>3967</v>
      </c>
      <c r="B3968" s="9" t="s">
        <v>48</v>
      </c>
      <c r="C3968" s="10" t="s">
        <v>52</v>
      </c>
      <c r="D3968" s="11">
        <v>23.105360443622921</v>
      </c>
      <c r="E3968" s="12">
        <f t="shared" si="61"/>
        <v>45406</v>
      </c>
    </row>
    <row r="3969" spans="1:5" x14ac:dyDescent="0.25">
      <c r="A3969" s="2">
        <f>IF(B3969="","",SUBTOTAL(3,$B$2:B3969))</f>
        <v>3968</v>
      </c>
      <c r="B3969" s="9" t="s">
        <v>48</v>
      </c>
      <c r="C3969" s="10" t="s">
        <v>52</v>
      </c>
      <c r="D3969" s="11">
        <v>23.105360443622921</v>
      </c>
      <c r="E3969" s="12">
        <f t="shared" si="61"/>
        <v>45407</v>
      </c>
    </row>
    <row r="3970" spans="1:5" x14ac:dyDescent="0.25">
      <c r="A3970" s="2">
        <f>IF(B3970="","",SUBTOTAL(3,$B$2:B3970))</f>
        <v>3969</v>
      </c>
      <c r="B3970" s="9" t="s">
        <v>50</v>
      </c>
      <c r="C3970" s="10" t="s">
        <v>49</v>
      </c>
      <c r="D3970" s="11">
        <v>2.4162257495590831</v>
      </c>
      <c r="E3970" s="12">
        <f t="shared" si="61"/>
        <v>45408</v>
      </c>
    </row>
    <row r="3971" spans="1:5" x14ac:dyDescent="0.25">
      <c r="A3971" s="2">
        <f>IF(B3971="","",SUBTOTAL(3,$B$2:B3971))</f>
        <v>3970</v>
      </c>
      <c r="B3971" s="9" t="s">
        <v>50</v>
      </c>
      <c r="C3971" s="10" t="s">
        <v>49</v>
      </c>
      <c r="D3971" s="11">
        <v>220.45855379188714</v>
      </c>
      <c r="E3971" s="12">
        <f t="shared" si="61"/>
        <v>45409</v>
      </c>
    </row>
    <row r="3972" spans="1:5" x14ac:dyDescent="0.25">
      <c r="A3972" s="2">
        <f>IF(B3972="","",SUBTOTAL(3,$B$2:B3972))</f>
        <v>3971</v>
      </c>
      <c r="B3972" s="9" t="s">
        <v>50</v>
      </c>
      <c r="C3972" s="10" t="s">
        <v>52</v>
      </c>
      <c r="D3972" s="11">
        <v>66.137566137566139</v>
      </c>
      <c r="E3972" s="12">
        <f t="shared" ref="E3972:E4035" si="62">E3971+1</f>
        <v>45410</v>
      </c>
    </row>
    <row r="3973" spans="1:5" x14ac:dyDescent="0.25">
      <c r="A3973" s="2">
        <f>IF(B3973="","",SUBTOTAL(3,$B$2:B3973))</f>
        <v>3972</v>
      </c>
      <c r="B3973" s="9" t="s">
        <v>53</v>
      </c>
      <c r="C3973" s="10" t="s">
        <v>49</v>
      </c>
      <c r="D3973" s="11">
        <v>91.585994669695125</v>
      </c>
      <c r="E3973" s="12">
        <f t="shared" si="62"/>
        <v>45411</v>
      </c>
    </row>
    <row r="3974" spans="1:5" x14ac:dyDescent="0.25">
      <c r="A3974" s="2">
        <f>IF(B3974="","",SUBTOTAL(3,$B$2:B3974))</f>
        <v>3973</v>
      </c>
      <c r="B3974" s="9" t="s">
        <v>55</v>
      </c>
      <c r="C3974" s="10" t="s">
        <v>49</v>
      </c>
      <c r="D3974" s="11">
        <v>100</v>
      </c>
      <c r="E3974" s="12">
        <f t="shared" si="62"/>
        <v>45412</v>
      </c>
    </row>
    <row r="3975" spans="1:5" x14ac:dyDescent="0.25">
      <c r="A3975" s="2">
        <f>IF(B3975="","",SUBTOTAL(3,$B$2:B3975))</f>
        <v>3974</v>
      </c>
      <c r="B3975" s="9" t="s">
        <v>53</v>
      </c>
      <c r="C3975" s="10" t="s">
        <v>54</v>
      </c>
      <c r="D3975" s="11">
        <v>27.475798400908538</v>
      </c>
      <c r="E3975" s="12">
        <f t="shared" si="62"/>
        <v>45413</v>
      </c>
    </row>
    <row r="3976" spans="1:5" x14ac:dyDescent="0.25">
      <c r="A3976" s="2">
        <f>IF(B3976="","",SUBTOTAL(3,$B$2:B3976))</f>
        <v>3975</v>
      </c>
      <c r="B3976" s="9" t="s">
        <v>48</v>
      </c>
      <c r="C3976" s="10" t="s">
        <v>52</v>
      </c>
      <c r="D3976" s="11">
        <v>154.03573629081947</v>
      </c>
      <c r="E3976" s="12">
        <f t="shared" si="62"/>
        <v>45414</v>
      </c>
    </row>
    <row r="3977" spans="1:5" x14ac:dyDescent="0.25">
      <c r="A3977" s="2">
        <f>IF(B3977="","",SUBTOTAL(3,$B$2:B3977))</f>
        <v>3976</v>
      </c>
      <c r="B3977" s="9" t="s">
        <v>48</v>
      </c>
      <c r="C3977" s="10" t="s">
        <v>52</v>
      </c>
      <c r="D3977" s="11">
        <v>154.03573629081947</v>
      </c>
      <c r="E3977" s="12">
        <f t="shared" si="62"/>
        <v>45415</v>
      </c>
    </row>
    <row r="3978" spans="1:5" x14ac:dyDescent="0.25">
      <c r="A3978" s="2">
        <f>IF(B3978="","",SUBTOTAL(3,$B$2:B3978))</f>
        <v>3977</v>
      </c>
      <c r="B3978" s="9" t="s">
        <v>53</v>
      </c>
      <c r="C3978" s="10" t="s">
        <v>49</v>
      </c>
      <c r="D3978" s="11">
        <v>27.475798400908538</v>
      </c>
      <c r="E3978" s="12">
        <f t="shared" si="62"/>
        <v>45416</v>
      </c>
    </row>
    <row r="3979" spans="1:5" x14ac:dyDescent="0.25">
      <c r="A3979" s="2">
        <f>IF(B3979="","",SUBTOTAL(3,$B$2:B3979))</f>
        <v>3978</v>
      </c>
      <c r="B3979" s="9" t="s">
        <v>50</v>
      </c>
      <c r="C3979" s="10" t="s">
        <v>49</v>
      </c>
      <c r="D3979" s="11">
        <v>110.22927689594357</v>
      </c>
      <c r="E3979" s="12">
        <f t="shared" si="62"/>
        <v>45417</v>
      </c>
    </row>
    <row r="3980" spans="1:5" x14ac:dyDescent="0.25">
      <c r="A3980" s="2">
        <f>IF(B3980="","",SUBTOTAL(3,$B$2:B3980))</f>
        <v>3979</v>
      </c>
      <c r="B3980" s="9" t="s">
        <v>48</v>
      </c>
      <c r="C3980" s="10" t="s">
        <v>49</v>
      </c>
      <c r="D3980" s="11">
        <v>46.210720887245841</v>
      </c>
      <c r="E3980" s="12">
        <f t="shared" si="62"/>
        <v>45418</v>
      </c>
    </row>
    <row r="3981" spans="1:5" x14ac:dyDescent="0.25">
      <c r="A3981" s="2">
        <f>IF(B3981="","",SUBTOTAL(3,$B$2:B3981))</f>
        <v>3980</v>
      </c>
      <c r="B3981" s="9" t="s">
        <v>50</v>
      </c>
      <c r="C3981" s="10" t="s">
        <v>52</v>
      </c>
      <c r="D3981" s="11">
        <v>44.091710758377424</v>
      </c>
      <c r="E3981" s="12">
        <f t="shared" si="62"/>
        <v>45419</v>
      </c>
    </row>
    <row r="3982" spans="1:5" x14ac:dyDescent="0.25">
      <c r="A3982" s="2">
        <f>IF(B3982="","",SUBTOTAL(3,$B$2:B3982))</f>
        <v>3981</v>
      </c>
      <c r="B3982" s="9" t="s">
        <v>48</v>
      </c>
      <c r="C3982" s="10" t="s">
        <v>49</v>
      </c>
      <c r="D3982" s="11">
        <v>7.7017868145409736</v>
      </c>
      <c r="E3982" s="12">
        <f t="shared" si="62"/>
        <v>45420</v>
      </c>
    </row>
    <row r="3983" spans="1:5" x14ac:dyDescent="0.25">
      <c r="A3983" s="2">
        <f>IF(B3983="","",SUBTOTAL(3,$B$2:B3983))</f>
        <v>3982</v>
      </c>
      <c r="B3983" s="9" t="s">
        <v>50</v>
      </c>
      <c r="C3983" s="10" t="s">
        <v>49</v>
      </c>
      <c r="D3983" s="11">
        <v>88.183421516754848</v>
      </c>
      <c r="E3983" s="12">
        <f t="shared" si="62"/>
        <v>45421</v>
      </c>
    </row>
    <row r="3984" spans="1:5" x14ac:dyDescent="0.25">
      <c r="A3984" s="2">
        <f>IF(B3984="","",SUBTOTAL(3,$B$2:B3984))</f>
        <v>3983</v>
      </c>
      <c r="B3984" s="9" t="s">
        <v>48</v>
      </c>
      <c r="C3984" s="10" t="s">
        <v>49</v>
      </c>
      <c r="D3984" s="11">
        <v>154.03573629081947</v>
      </c>
      <c r="E3984" s="12">
        <f t="shared" si="62"/>
        <v>45422</v>
      </c>
    </row>
    <row r="3985" spans="1:5" x14ac:dyDescent="0.25">
      <c r="A3985" s="2">
        <f>IF(B3985="","",SUBTOTAL(3,$B$2:B3985))</f>
        <v>3984</v>
      </c>
      <c r="B3985" s="9" t="s">
        <v>51</v>
      </c>
      <c r="C3985" s="10" t="s">
        <v>52</v>
      </c>
      <c r="D3985" s="11">
        <v>21.179709837975221</v>
      </c>
      <c r="E3985" s="12">
        <f t="shared" si="62"/>
        <v>45423</v>
      </c>
    </row>
    <row r="3986" spans="1:5" x14ac:dyDescent="0.25">
      <c r="A3986" s="2">
        <f>IF(B3986="","",SUBTOTAL(3,$B$2:B3986))</f>
        <v>3985</v>
      </c>
      <c r="B3986" s="9" t="s">
        <v>55</v>
      </c>
      <c r="C3986" s="10" t="s">
        <v>52</v>
      </c>
      <c r="D3986" s="11">
        <v>45.941103505306202</v>
      </c>
      <c r="E3986" s="12">
        <f t="shared" si="62"/>
        <v>45424</v>
      </c>
    </row>
    <row r="3987" spans="1:5" x14ac:dyDescent="0.25">
      <c r="A3987" s="2">
        <f>IF(B3987="","",SUBTOTAL(3,$B$2:B3987))</f>
        <v>3986</v>
      </c>
      <c r="B3987" s="9" t="s">
        <v>50</v>
      </c>
      <c r="C3987" s="10" t="s">
        <v>49</v>
      </c>
      <c r="D3987" s="11">
        <v>132.27513227513228</v>
      </c>
      <c r="E3987" s="12">
        <f t="shared" si="62"/>
        <v>45425</v>
      </c>
    </row>
    <row r="3988" spans="1:5" x14ac:dyDescent="0.25">
      <c r="A3988" s="2">
        <f>IF(B3988="","",SUBTOTAL(3,$B$2:B3988))</f>
        <v>3987</v>
      </c>
      <c r="B3988" s="9" t="s">
        <v>50</v>
      </c>
      <c r="C3988" s="10" t="s">
        <v>49</v>
      </c>
      <c r="D3988" s="11">
        <v>24.801587301587301</v>
      </c>
      <c r="E3988" s="12">
        <f t="shared" si="62"/>
        <v>45426</v>
      </c>
    </row>
    <row r="3989" spans="1:5" x14ac:dyDescent="0.25">
      <c r="A3989" s="2">
        <f>IF(B3989="","",SUBTOTAL(3,$B$2:B3989))</f>
        <v>3988</v>
      </c>
      <c r="B3989" s="9" t="s">
        <v>50</v>
      </c>
      <c r="C3989" s="10" t="s">
        <v>49</v>
      </c>
      <c r="D3989" s="11">
        <v>156.52557319223985</v>
      </c>
      <c r="E3989" s="12">
        <f t="shared" si="62"/>
        <v>45427</v>
      </c>
    </row>
    <row r="3990" spans="1:5" x14ac:dyDescent="0.25">
      <c r="A3990" s="2">
        <f>IF(B3990="","",SUBTOTAL(3,$B$2:B3990))</f>
        <v>3989</v>
      </c>
      <c r="B3990" s="9" t="s">
        <v>50</v>
      </c>
      <c r="C3990" s="10" t="s">
        <v>54</v>
      </c>
      <c r="D3990" s="11">
        <v>110.22927689594357</v>
      </c>
      <c r="E3990" s="12">
        <f t="shared" si="62"/>
        <v>45428</v>
      </c>
    </row>
    <row r="3991" spans="1:5" x14ac:dyDescent="0.25">
      <c r="A3991" s="2">
        <f>IF(B3991="","",SUBTOTAL(3,$B$2:B3991))</f>
        <v>3990</v>
      </c>
      <c r="B3991" s="9" t="s">
        <v>51</v>
      </c>
      <c r="C3991" s="10" t="s">
        <v>49</v>
      </c>
      <c r="D3991" s="11">
        <v>158.84782378481412</v>
      </c>
      <c r="E3991" s="12">
        <f t="shared" si="62"/>
        <v>45429</v>
      </c>
    </row>
    <row r="3992" spans="1:5" x14ac:dyDescent="0.25">
      <c r="A3992" s="2">
        <f>IF(B3992="","",SUBTOTAL(3,$B$2:B3992))</f>
        <v>3991</v>
      </c>
      <c r="B3992" s="9" t="s">
        <v>48</v>
      </c>
      <c r="C3992" s="10" t="s">
        <v>54</v>
      </c>
      <c r="D3992" s="11">
        <v>8.617718028266113</v>
      </c>
      <c r="E3992" s="12">
        <f t="shared" si="62"/>
        <v>45430</v>
      </c>
    </row>
    <row r="3993" spans="1:5" x14ac:dyDescent="0.25">
      <c r="A3993" s="2">
        <f>IF(B3993="","",SUBTOTAL(3,$B$2:B3993))</f>
        <v>3992</v>
      </c>
      <c r="B3993" s="9" t="s">
        <v>53</v>
      </c>
      <c r="C3993" s="10" t="s">
        <v>49</v>
      </c>
      <c r="D3993" s="11">
        <v>119.06179307060366</v>
      </c>
      <c r="E3993" s="12">
        <f t="shared" si="62"/>
        <v>45431</v>
      </c>
    </row>
    <row r="3994" spans="1:5" x14ac:dyDescent="0.25">
      <c r="A3994" s="2">
        <f>IF(B3994="","",SUBTOTAL(3,$B$2:B3994))</f>
        <v>3993</v>
      </c>
      <c r="B3994" s="9" t="s">
        <v>50</v>
      </c>
      <c r="C3994" s="10" t="s">
        <v>49</v>
      </c>
      <c r="D3994" s="11">
        <v>119.46649029982363</v>
      </c>
      <c r="E3994" s="12">
        <f t="shared" si="62"/>
        <v>45432</v>
      </c>
    </row>
    <row r="3995" spans="1:5" x14ac:dyDescent="0.25">
      <c r="A3995" s="2">
        <f>IF(B3995="","",SUBTOTAL(3,$B$2:B3995))</f>
        <v>3994</v>
      </c>
      <c r="B3995" s="9" t="s">
        <v>48</v>
      </c>
      <c r="C3995" s="10" t="s">
        <v>49</v>
      </c>
      <c r="D3995" s="11">
        <v>46.210720887245841</v>
      </c>
      <c r="E3995" s="12">
        <f t="shared" si="62"/>
        <v>45433</v>
      </c>
    </row>
    <row r="3996" spans="1:5" x14ac:dyDescent="0.25">
      <c r="A3996" s="2">
        <f>IF(B3996="","",SUBTOTAL(3,$B$2:B3996))</f>
        <v>3995</v>
      </c>
      <c r="B3996" s="9" t="s">
        <v>55</v>
      </c>
      <c r="C3996" s="10" t="s">
        <v>49</v>
      </c>
      <c r="D3996" s="11">
        <v>20.480896310929388</v>
      </c>
      <c r="E3996" s="12">
        <f t="shared" si="62"/>
        <v>45434</v>
      </c>
    </row>
    <row r="3997" spans="1:5" x14ac:dyDescent="0.25">
      <c r="A3997" s="2">
        <f>IF(B3997="","",SUBTOTAL(3,$B$2:B3997))</f>
        <v>3996</v>
      </c>
      <c r="B3997" s="9" t="s">
        <v>53</v>
      </c>
      <c r="C3997" s="10" t="s">
        <v>49</v>
      </c>
      <c r="D3997" s="11">
        <v>549.51596801817072</v>
      </c>
      <c r="E3997" s="12">
        <f t="shared" si="62"/>
        <v>45435</v>
      </c>
    </row>
    <row r="3998" spans="1:5" x14ac:dyDescent="0.25">
      <c r="A3998" s="2">
        <f>IF(B3998="","",SUBTOTAL(3,$B$2:B3998))</f>
        <v>3997</v>
      </c>
      <c r="B3998" s="9" t="s">
        <v>50</v>
      </c>
      <c r="C3998" s="10" t="s">
        <v>49</v>
      </c>
      <c r="D3998" s="11">
        <v>661.37566137566137</v>
      </c>
      <c r="E3998" s="12">
        <f t="shared" si="62"/>
        <v>45436</v>
      </c>
    </row>
    <row r="3999" spans="1:5" x14ac:dyDescent="0.25">
      <c r="A3999" s="2">
        <f>IF(B3999="","",SUBTOTAL(3,$B$2:B3999))</f>
        <v>3998</v>
      </c>
      <c r="B3999" s="9" t="s">
        <v>50</v>
      </c>
      <c r="C3999" s="10" t="s">
        <v>49</v>
      </c>
      <c r="D3999" s="11">
        <v>661.37566137566137</v>
      </c>
      <c r="E3999" s="12">
        <f t="shared" si="62"/>
        <v>45437</v>
      </c>
    </row>
    <row r="4000" spans="1:5" x14ac:dyDescent="0.25">
      <c r="A4000" s="2">
        <f>IF(B4000="","",SUBTOTAL(3,$B$2:B4000))</f>
        <v>3999</v>
      </c>
      <c r="B4000" s="9" t="s">
        <v>51</v>
      </c>
      <c r="C4000" s="10" t="s">
        <v>52</v>
      </c>
      <c r="D4000" s="11">
        <v>264.74637297469025</v>
      </c>
      <c r="E4000" s="12">
        <f t="shared" si="62"/>
        <v>45438</v>
      </c>
    </row>
    <row r="4001" spans="1:5" x14ac:dyDescent="0.25">
      <c r="A4001" s="2">
        <f>IF(B4001="","",SUBTOTAL(3,$B$2:B4001))</f>
        <v>4000</v>
      </c>
      <c r="B4001" s="9" t="s">
        <v>48</v>
      </c>
      <c r="C4001" s="10" t="s">
        <v>49</v>
      </c>
      <c r="D4001" s="11">
        <v>231.05360443622922</v>
      </c>
      <c r="E4001" s="12">
        <f t="shared" si="62"/>
        <v>45439</v>
      </c>
    </row>
    <row r="4002" spans="1:5" x14ac:dyDescent="0.25">
      <c r="A4002" s="2">
        <f>IF(B4002="","",SUBTOTAL(3,$B$2:B4002))</f>
        <v>4001</v>
      </c>
      <c r="B4002" s="9" t="s">
        <v>51</v>
      </c>
      <c r="C4002" s="10" t="s">
        <v>52</v>
      </c>
      <c r="D4002" s="11">
        <v>42.359419675950441</v>
      </c>
      <c r="E4002" s="12">
        <f t="shared" si="62"/>
        <v>45440</v>
      </c>
    </row>
    <row r="4003" spans="1:5" x14ac:dyDescent="0.25">
      <c r="A4003" s="2">
        <f>IF(B4003="","",SUBTOTAL(3,$B$2:B4003))</f>
        <v>4002</v>
      </c>
      <c r="B4003" s="9" t="s">
        <v>55</v>
      </c>
      <c r="C4003" s="10" t="s">
        <v>49</v>
      </c>
      <c r="D4003" s="11">
        <v>0</v>
      </c>
      <c r="E4003" s="12">
        <f t="shared" si="62"/>
        <v>45441</v>
      </c>
    </row>
    <row r="4004" spans="1:5" x14ac:dyDescent="0.25">
      <c r="A4004" s="2">
        <f>IF(B4004="","",SUBTOTAL(3,$B$2:B4004))</f>
        <v>4003</v>
      </c>
      <c r="B4004" s="9" t="s">
        <v>48</v>
      </c>
      <c r="C4004" s="10" t="s">
        <v>52</v>
      </c>
      <c r="D4004" s="11">
        <v>61.614294516327789</v>
      </c>
      <c r="E4004" s="12">
        <f t="shared" si="62"/>
        <v>45442</v>
      </c>
    </row>
    <row r="4005" spans="1:5" x14ac:dyDescent="0.25">
      <c r="A4005" s="2">
        <f>IF(B4005="","",SUBTOTAL(3,$B$2:B4005))</f>
        <v>4004</v>
      </c>
      <c r="B4005" s="9" t="s">
        <v>48</v>
      </c>
      <c r="C4005" s="10" t="s">
        <v>49</v>
      </c>
      <c r="D4005" s="11">
        <v>79.362288865908297</v>
      </c>
      <c r="E4005" s="12">
        <f t="shared" si="62"/>
        <v>45443</v>
      </c>
    </row>
    <row r="4006" spans="1:5" x14ac:dyDescent="0.25">
      <c r="A4006" s="2">
        <f>IF(B4006="","",SUBTOTAL(3,$B$2:B4006))</f>
        <v>4005</v>
      </c>
      <c r="B4006" s="9" t="s">
        <v>51</v>
      </c>
      <c r="C4006" s="10" t="s">
        <v>49</v>
      </c>
      <c r="D4006" s="11">
        <v>63.539129513925651</v>
      </c>
      <c r="E4006" s="12">
        <f t="shared" si="62"/>
        <v>45444</v>
      </c>
    </row>
    <row r="4007" spans="1:5" x14ac:dyDescent="0.25">
      <c r="A4007" s="2">
        <f>IF(B4007="","",SUBTOTAL(3,$B$2:B4007))</f>
        <v>4006</v>
      </c>
      <c r="B4007" s="9" t="s">
        <v>51</v>
      </c>
      <c r="C4007" s="10" t="s">
        <v>52</v>
      </c>
      <c r="D4007" s="11">
        <v>42.359419675950441</v>
      </c>
      <c r="E4007" s="12">
        <f t="shared" si="62"/>
        <v>45445</v>
      </c>
    </row>
    <row r="4008" spans="1:5" x14ac:dyDescent="0.25">
      <c r="A4008" s="2">
        <f>IF(B4008="","",SUBTOTAL(3,$B$2:B4008))</f>
        <v>4007</v>
      </c>
      <c r="B4008" s="9" t="s">
        <v>51</v>
      </c>
      <c r="C4008" s="10" t="s">
        <v>49</v>
      </c>
      <c r="D4008" s="11">
        <v>317.69564756962825</v>
      </c>
      <c r="E4008" s="12">
        <f t="shared" si="62"/>
        <v>45446</v>
      </c>
    </row>
    <row r="4009" spans="1:5" x14ac:dyDescent="0.25">
      <c r="A4009" s="2">
        <f>IF(B4009="","",SUBTOTAL(3,$B$2:B4009))</f>
        <v>4008</v>
      </c>
      <c r="B4009" s="9" t="s">
        <v>50</v>
      </c>
      <c r="C4009" s="10" t="s">
        <v>49</v>
      </c>
      <c r="D4009" s="11">
        <v>52.910052910052912</v>
      </c>
      <c r="E4009" s="12">
        <f t="shared" si="62"/>
        <v>45447</v>
      </c>
    </row>
    <row r="4010" spans="1:5" x14ac:dyDescent="0.25">
      <c r="A4010" s="2">
        <f>IF(B4010="","",SUBTOTAL(3,$B$2:B4010))</f>
        <v>4009</v>
      </c>
      <c r="B4010" s="9" t="s">
        <v>48</v>
      </c>
      <c r="C4010" s="10" t="s">
        <v>49</v>
      </c>
      <c r="D4010" s="11">
        <v>154.03573629081947</v>
      </c>
      <c r="E4010" s="12">
        <f t="shared" si="62"/>
        <v>45448</v>
      </c>
    </row>
    <row r="4011" spans="1:5" x14ac:dyDescent="0.25">
      <c r="A4011" s="2">
        <f>IF(B4011="","",SUBTOTAL(3,$B$2:B4011))</f>
        <v>4010</v>
      </c>
      <c r="B4011" s="9" t="s">
        <v>48</v>
      </c>
      <c r="C4011" s="10" t="s">
        <v>52</v>
      </c>
      <c r="D4011" s="11">
        <v>18.484288354898336</v>
      </c>
      <c r="E4011" s="12">
        <f t="shared" si="62"/>
        <v>45449</v>
      </c>
    </row>
    <row r="4012" spans="1:5" x14ac:dyDescent="0.25">
      <c r="A4012" s="2">
        <f>IF(B4012="","",SUBTOTAL(3,$B$2:B4012))</f>
        <v>4011</v>
      </c>
      <c r="B4012" s="9" t="s">
        <v>55</v>
      </c>
      <c r="C4012" s="10" t="s">
        <v>54</v>
      </c>
      <c r="D4012" s="11">
        <v>2.1633766650617878</v>
      </c>
      <c r="E4012" s="12">
        <f t="shared" si="62"/>
        <v>45450</v>
      </c>
    </row>
    <row r="4013" spans="1:5" x14ac:dyDescent="0.25">
      <c r="A4013" s="2">
        <f>IF(B4013="","",SUBTOTAL(3,$B$2:B4013))</f>
        <v>4012</v>
      </c>
      <c r="B4013" s="9" t="s">
        <v>50</v>
      </c>
      <c r="C4013" s="10" t="s">
        <v>52</v>
      </c>
      <c r="D4013" s="11">
        <v>33.06878306878307</v>
      </c>
      <c r="E4013" s="12">
        <f t="shared" si="62"/>
        <v>45451</v>
      </c>
    </row>
    <row r="4014" spans="1:5" x14ac:dyDescent="0.25">
      <c r="A4014" s="2">
        <f>IF(B4014="","",SUBTOTAL(3,$B$2:B4014))</f>
        <v>4013</v>
      </c>
      <c r="B4014" s="9" t="s">
        <v>50</v>
      </c>
      <c r="C4014" s="10" t="s">
        <v>52</v>
      </c>
      <c r="D4014" s="11">
        <v>44.091710758377424</v>
      </c>
      <c r="E4014" s="12">
        <f t="shared" si="62"/>
        <v>45452</v>
      </c>
    </row>
    <row r="4015" spans="1:5" x14ac:dyDescent="0.25">
      <c r="A4015" s="2">
        <f>IF(B4015="","",SUBTOTAL(3,$B$2:B4015))</f>
        <v>4014</v>
      </c>
      <c r="B4015" s="9" t="s">
        <v>50</v>
      </c>
      <c r="C4015" s="10" t="s">
        <v>52</v>
      </c>
      <c r="D4015" s="11">
        <v>88.183421516754848</v>
      </c>
      <c r="E4015" s="12">
        <f t="shared" si="62"/>
        <v>45453</v>
      </c>
    </row>
    <row r="4016" spans="1:5" x14ac:dyDescent="0.25">
      <c r="A4016" s="2">
        <f>IF(B4016="","",SUBTOTAL(3,$B$2:B4016))</f>
        <v>4015</v>
      </c>
      <c r="B4016" s="9" t="s">
        <v>51</v>
      </c>
      <c r="C4016" s="10" t="s">
        <v>49</v>
      </c>
      <c r="D4016" s="11">
        <v>423.59419675950437</v>
      </c>
      <c r="E4016" s="12">
        <f t="shared" si="62"/>
        <v>45454</v>
      </c>
    </row>
    <row r="4017" spans="1:5" x14ac:dyDescent="0.25">
      <c r="A4017" s="2">
        <f>IF(B4017="","",SUBTOTAL(3,$B$2:B4017))</f>
        <v>4016</v>
      </c>
      <c r="B4017" s="9" t="s">
        <v>51</v>
      </c>
      <c r="C4017" s="10" t="s">
        <v>52</v>
      </c>
      <c r="D4017" s="11">
        <v>1.0589854918987609E-5</v>
      </c>
      <c r="E4017" s="12">
        <f t="shared" si="62"/>
        <v>45455</v>
      </c>
    </row>
    <row r="4018" spans="1:5" x14ac:dyDescent="0.25">
      <c r="A4018" s="2">
        <f>IF(B4018="","",SUBTOTAL(3,$B$2:B4018))</f>
        <v>4017</v>
      </c>
      <c r="B4018" s="9" t="s">
        <v>51</v>
      </c>
      <c r="C4018" s="10" t="s">
        <v>49</v>
      </c>
      <c r="D4018" s="11">
        <v>317.69564756962825</v>
      </c>
      <c r="E4018" s="12">
        <f t="shared" si="62"/>
        <v>45456</v>
      </c>
    </row>
    <row r="4019" spans="1:5" x14ac:dyDescent="0.25">
      <c r="A4019" s="2">
        <f>IF(B4019="","",SUBTOTAL(3,$B$2:B4019))</f>
        <v>4018</v>
      </c>
      <c r="B4019" s="9" t="s">
        <v>53</v>
      </c>
      <c r="C4019" s="10" t="s">
        <v>49</v>
      </c>
      <c r="D4019" s="11">
        <v>54.951596801817075</v>
      </c>
      <c r="E4019" s="12">
        <f t="shared" si="62"/>
        <v>45457</v>
      </c>
    </row>
    <row r="4020" spans="1:5" x14ac:dyDescent="0.25">
      <c r="A4020" s="2">
        <f>IF(B4020="","",SUBTOTAL(3,$B$2:B4020))</f>
        <v>4019</v>
      </c>
      <c r="B4020" s="9" t="s">
        <v>50</v>
      </c>
      <c r="C4020" s="10" t="s">
        <v>52</v>
      </c>
      <c r="D4020" s="11">
        <v>26.455026455026456</v>
      </c>
      <c r="E4020" s="12">
        <f t="shared" si="62"/>
        <v>45458</v>
      </c>
    </row>
    <row r="4021" spans="1:5" x14ac:dyDescent="0.25">
      <c r="A4021" s="2">
        <f>IF(B4021="","",SUBTOTAL(3,$B$2:B4021))</f>
        <v>4020</v>
      </c>
      <c r="B4021" s="9" t="s">
        <v>53</v>
      </c>
      <c r="C4021" s="10" t="s">
        <v>49</v>
      </c>
      <c r="D4021" s="11">
        <v>27.475798400908538</v>
      </c>
      <c r="E4021" s="12">
        <f t="shared" si="62"/>
        <v>45459</v>
      </c>
    </row>
    <row r="4022" spans="1:5" x14ac:dyDescent="0.25">
      <c r="A4022" s="2">
        <f>IF(B4022="","",SUBTOTAL(3,$B$2:B4022))</f>
        <v>4021</v>
      </c>
      <c r="B4022" s="9" t="s">
        <v>53</v>
      </c>
      <c r="C4022" s="10" t="s">
        <v>49</v>
      </c>
      <c r="D4022" s="11">
        <v>27.475798400908538</v>
      </c>
      <c r="E4022" s="12">
        <f t="shared" si="62"/>
        <v>45460</v>
      </c>
    </row>
    <row r="4023" spans="1:5" x14ac:dyDescent="0.25">
      <c r="A4023" s="2">
        <f>IF(B4023="","",SUBTOTAL(3,$B$2:B4023))</f>
        <v>4022</v>
      </c>
      <c r="B4023" s="9" t="s">
        <v>50</v>
      </c>
      <c r="C4023" s="10" t="s">
        <v>49</v>
      </c>
      <c r="D4023" s="11">
        <v>110.22927689594357</v>
      </c>
      <c r="E4023" s="12">
        <f t="shared" si="62"/>
        <v>45461</v>
      </c>
    </row>
    <row r="4024" spans="1:5" x14ac:dyDescent="0.25">
      <c r="A4024" s="2">
        <f>IF(B4024="","",SUBTOTAL(3,$B$2:B4024))</f>
        <v>4023</v>
      </c>
      <c r="B4024" s="9" t="s">
        <v>55</v>
      </c>
      <c r="C4024" s="10" t="s">
        <v>52</v>
      </c>
      <c r="D4024" s="11">
        <v>15.246348900658001</v>
      </c>
      <c r="E4024" s="12">
        <f t="shared" si="62"/>
        <v>45462</v>
      </c>
    </row>
    <row r="4025" spans="1:5" x14ac:dyDescent="0.25">
      <c r="A4025" s="2">
        <f>IF(B4025="","",SUBTOTAL(3,$B$2:B4025))</f>
        <v>4024</v>
      </c>
      <c r="B4025" s="9" t="s">
        <v>48</v>
      </c>
      <c r="C4025" s="10" t="s">
        <v>52</v>
      </c>
      <c r="D4025" s="11">
        <v>770.17868145409739</v>
      </c>
      <c r="E4025" s="12">
        <f t="shared" si="62"/>
        <v>45463</v>
      </c>
    </row>
    <row r="4026" spans="1:5" x14ac:dyDescent="0.25">
      <c r="A4026" s="2">
        <f>IF(B4026="","",SUBTOTAL(3,$B$2:B4026))</f>
        <v>4025</v>
      </c>
      <c r="B4026" s="9" t="s">
        <v>48</v>
      </c>
      <c r="C4026" s="10" t="s">
        <v>49</v>
      </c>
      <c r="D4026" s="11">
        <v>77.017868145409736</v>
      </c>
      <c r="E4026" s="12">
        <f t="shared" si="62"/>
        <v>45464</v>
      </c>
    </row>
    <row r="4027" spans="1:5" x14ac:dyDescent="0.25">
      <c r="A4027" s="2">
        <f>IF(B4027="","",SUBTOTAL(3,$B$2:B4027))</f>
        <v>4026</v>
      </c>
      <c r="B4027" s="9" t="s">
        <v>48</v>
      </c>
      <c r="C4027" s="10" t="s">
        <v>52</v>
      </c>
      <c r="D4027" s="11">
        <v>154.03573629081947</v>
      </c>
      <c r="E4027" s="12">
        <f t="shared" si="62"/>
        <v>45465</v>
      </c>
    </row>
    <row r="4028" spans="1:5" x14ac:dyDescent="0.25">
      <c r="A4028" s="2">
        <f>IF(B4028="","",SUBTOTAL(3,$B$2:B4028))</f>
        <v>4027</v>
      </c>
      <c r="B4028" s="9" t="s">
        <v>50</v>
      </c>
      <c r="C4028" s="10" t="s">
        <v>49</v>
      </c>
      <c r="D4028" s="11">
        <v>264.55026455026456</v>
      </c>
      <c r="E4028" s="12">
        <f t="shared" si="62"/>
        <v>45466</v>
      </c>
    </row>
    <row r="4029" spans="1:5" x14ac:dyDescent="0.25">
      <c r="A4029" s="2">
        <f>IF(B4029="","",SUBTOTAL(3,$B$2:B4029))</f>
        <v>4028</v>
      </c>
      <c r="B4029" s="9" t="s">
        <v>55</v>
      </c>
      <c r="C4029" s="10" t="s">
        <v>56</v>
      </c>
      <c r="D4029" s="11">
        <v>70.614668592521269</v>
      </c>
      <c r="E4029" s="12">
        <f t="shared" si="62"/>
        <v>45467</v>
      </c>
    </row>
    <row r="4030" spans="1:5" x14ac:dyDescent="0.25">
      <c r="A4030" s="2">
        <f>IF(B4030="","",SUBTOTAL(3,$B$2:B4030))</f>
        <v>4029</v>
      </c>
      <c r="B4030" s="9" t="s">
        <v>50</v>
      </c>
      <c r="C4030" s="10" t="s">
        <v>52</v>
      </c>
      <c r="D4030" s="11">
        <v>55.114638447971785</v>
      </c>
      <c r="E4030" s="12">
        <f t="shared" si="62"/>
        <v>45468</v>
      </c>
    </row>
    <row r="4031" spans="1:5" x14ac:dyDescent="0.25">
      <c r="A4031" s="2">
        <f>IF(B4031="","",SUBTOTAL(3,$B$2:B4031))</f>
        <v>4030</v>
      </c>
      <c r="B4031" s="9" t="s">
        <v>48</v>
      </c>
      <c r="C4031" s="10" t="s">
        <v>52</v>
      </c>
      <c r="D4031" s="11">
        <v>77.017868145409736</v>
      </c>
      <c r="E4031" s="12">
        <f t="shared" si="62"/>
        <v>45469</v>
      </c>
    </row>
    <row r="4032" spans="1:5" x14ac:dyDescent="0.25">
      <c r="A4032" s="2">
        <f>IF(B4032="","",SUBTOTAL(3,$B$2:B4032))</f>
        <v>4031</v>
      </c>
      <c r="B4032" s="9" t="s">
        <v>48</v>
      </c>
      <c r="C4032" s="10" t="s">
        <v>52</v>
      </c>
      <c r="D4032" s="11">
        <v>77.017868145409736</v>
      </c>
      <c r="E4032" s="12">
        <f t="shared" si="62"/>
        <v>45470</v>
      </c>
    </row>
    <row r="4033" spans="1:5" x14ac:dyDescent="0.25">
      <c r="A4033" s="2">
        <f>IF(B4033="","",SUBTOTAL(3,$B$2:B4033))</f>
        <v>4032</v>
      </c>
      <c r="B4033" s="9" t="s">
        <v>55</v>
      </c>
      <c r="C4033" s="10" t="s">
        <v>52</v>
      </c>
      <c r="D4033" s="11">
        <v>120.3659123736158</v>
      </c>
      <c r="E4033" s="12">
        <f t="shared" si="62"/>
        <v>45471</v>
      </c>
    </row>
    <row r="4034" spans="1:5" x14ac:dyDescent="0.25">
      <c r="A4034" s="2">
        <f>IF(B4034="","",SUBTOTAL(3,$B$2:B4034))</f>
        <v>4033</v>
      </c>
      <c r="B4034" s="9" t="s">
        <v>55</v>
      </c>
      <c r="C4034" s="10" t="s">
        <v>49</v>
      </c>
      <c r="D4034" s="11">
        <v>380</v>
      </c>
      <c r="E4034" s="12">
        <f t="shared" si="62"/>
        <v>45472</v>
      </c>
    </row>
    <row r="4035" spans="1:5" x14ac:dyDescent="0.25">
      <c r="A4035" s="2">
        <f>IF(B4035="","",SUBTOTAL(3,$B$2:B4035))</f>
        <v>4034</v>
      </c>
      <c r="B4035" s="9" t="s">
        <v>48</v>
      </c>
      <c r="C4035" s="10" t="s">
        <v>49</v>
      </c>
      <c r="D4035" s="11">
        <v>246.45717806531115</v>
      </c>
      <c r="E4035" s="12">
        <f t="shared" si="62"/>
        <v>45473</v>
      </c>
    </row>
    <row r="4036" spans="1:5" x14ac:dyDescent="0.25">
      <c r="A4036" s="2">
        <f>IF(B4036="","",SUBTOTAL(3,$B$2:B4036))</f>
        <v>4035</v>
      </c>
      <c r="B4036" s="9" t="s">
        <v>48</v>
      </c>
      <c r="C4036" s="10" t="s">
        <v>52</v>
      </c>
      <c r="D4036" s="11">
        <v>77.017868145409736</v>
      </c>
      <c r="E4036" s="12">
        <f t="shared" ref="E4036:E4099" si="63">E4035+1</f>
        <v>45474</v>
      </c>
    </row>
    <row r="4037" spans="1:5" x14ac:dyDescent="0.25">
      <c r="A4037" s="2">
        <f>IF(B4037="","",SUBTOTAL(3,$B$2:B4037))</f>
        <v>4036</v>
      </c>
      <c r="B4037" s="9" t="s">
        <v>53</v>
      </c>
      <c r="C4037" s="10" t="s">
        <v>54</v>
      </c>
      <c r="D4037" s="11">
        <v>18.317198933939025</v>
      </c>
      <c r="E4037" s="12">
        <f t="shared" si="63"/>
        <v>45475</v>
      </c>
    </row>
    <row r="4038" spans="1:5" x14ac:dyDescent="0.25">
      <c r="A4038" s="2">
        <f>IF(B4038="","",SUBTOTAL(3,$B$2:B4038))</f>
        <v>4037</v>
      </c>
      <c r="B4038" s="9" t="s">
        <v>50</v>
      </c>
      <c r="C4038" s="10" t="s">
        <v>49</v>
      </c>
      <c r="D4038" s="11">
        <v>3527.3368606701943</v>
      </c>
      <c r="E4038" s="12">
        <f t="shared" si="63"/>
        <v>45476</v>
      </c>
    </row>
    <row r="4039" spans="1:5" x14ac:dyDescent="0.25">
      <c r="A4039" s="2">
        <f>IF(B4039="","",SUBTOTAL(3,$B$2:B4039))</f>
        <v>4038</v>
      </c>
      <c r="B4039" s="9" t="s">
        <v>51</v>
      </c>
      <c r="C4039" s="10" t="s">
        <v>54</v>
      </c>
      <c r="D4039" s="11">
        <v>52.949274594938046</v>
      </c>
      <c r="E4039" s="12">
        <f t="shared" si="63"/>
        <v>45477</v>
      </c>
    </row>
    <row r="4040" spans="1:5" x14ac:dyDescent="0.25">
      <c r="A4040" s="2">
        <f>IF(B4040="","",SUBTOTAL(3,$B$2:B4040))</f>
        <v>4039</v>
      </c>
      <c r="B4040" s="9" t="s">
        <v>51</v>
      </c>
      <c r="C4040" s="10" t="s">
        <v>54</v>
      </c>
      <c r="D4040" s="11">
        <v>102.90900251195202</v>
      </c>
      <c r="E4040" s="12">
        <f t="shared" si="63"/>
        <v>45478</v>
      </c>
    </row>
    <row r="4041" spans="1:5" x14ac:dyDescent="0.25">
      <c r="A4041" s="2">
        <f>IF(B4041="","",SUBTOTAL(3,$B$2:B4041))</f>
        <v>4040</v>
      </c>
      <c r="B4041" s="9" t="s">
        <v>51</v>
      </c>
      <c r="C4041" s="10" t="s">
        <v>52</v>
      </c>
      <c r="D4041" s="11">
        <v>130.25521550354759</v>
      </c>
      <c r="E4041" s="12">
        <f t="shared" si="63"/>
        <v>45479</v>
      </c>
    </row>
    <row r="4042" spans="1:5" x14ac:dyDescent="0.25">
      <c r="A4042" s="2">
        <f>IF(B4042="","",SUBTOTAL(3,$B$2:B4042))</f>
        <v>4041</v>
      </c>
      <c r="B4042" s="9" t="s">
        <v>51</v>
      </c>
      <c r="C4042" s="10" t="s">
        <v>52</v>
      </c>
      <c r="D4042" s="11">
        <v>18.108651911468812</v>
      </c>
      <c r="E4042" s="12">
        <f t="shared" si="63"/>
        <v>45480</v>
      </c>
    </row>
    <row r="4043" spans="1:5" x14ac:dyDescent="0.25">
      <c r="A4043" s="2">
        <f>IF(B4043="","",SUBTOTAL(3,$B$2:B4043))</f>
        <v>4042</v>
      </c>
      <c r="B4043" s="9" t="s">
        <v>51</v>
      </c>
      <c r="C4043" s="10" t="s">
        <v>52</v>
      </c>
      <c r="D4043" s="11">
        <v>476.54347135444243</v>
      </c>
      <c r="E4043" s="12">
        <f t="shared" si="63"/>
        <v>45481</v>
      </c>
    </row>
    <row r="4044" spans="1:5" x14ac:dyDescent="0.25">
      <c r="A4044" s="2">
        <f>IF(B4044="","",SUBTOTAL(3,$B$2:B4044))</f>
        <v>4043</v>
      </c>
      <c r="B4044" s="9" t="s">
        <v>48</v>
      </c>
      <c r="C4044" s="10" t="s">
        <v>52</v>
      </c>
      <c r="D4044" s="11">
        <v>174.95378927911275</v>
      </c>
      <c r="E4044" s="12">
        <f t="shared" si="63"/>
        <v>45482</v>
      </c>
    </row>
    <row r="4045" spans="1:5" x14ac:dyDescent="0.25">
      <c r="A4045" s="2">
        <f>IF(B4045="","",SUBTOTAL(3,$B$2:B4045))</f>
        <v>4044</v>
      </c>
      <c r="B4045" s="9" t="s">
        <v>48</v>
      </c>
      <c r="C4045" s="10" t="s">
        <v>52</v>
      </c>
      <c r="D4045" s="11">
        <v>159.34411583487369</v>
      </c>
      <c r="E4045" s="12">
        <f t="shared" si="63"/>
        <v>45483</v>
      </c>
    </row>
    <row r="4046" spans="1:5" x14ac:dyDescent="0.25">
      <c r="A4046" s="2">
        <f>IF(B4046="","",SUBTOTAL(3,$B$2:B4046))</f>
        <v>4045</v>
      </c>
      <c r="B4046" s="9" t="s">
        <v>53</v>
      </c>
      <c r="C4046" s="10" t="s">
        <v>49</v>
      </c>
      <c r="D4046" s="11">
        <v>183.17198933939025</v>
      </c>
      <c r="E4046" s="12">
        <f t="shared" si="63"/>
        <v>45484</v>
      </c>
    </row>
    <row r="4047" spans="1:5" x14ac:dyDescent="0.25">
      <c r="A4047" s="2">
        <f>IF(B4047="","",SUBTOTAL(3,$B$2:B4047))</f>
        <v>4046</v>
      </c>
      <c r="B4047" s="9" t="s">
        <v>50</v>
      </c>
      <c r="C4047" s="10" t="s">
        <v>52</v>
      </c>
      <c r="D4047" s="11">
        <v>44.091710758377424</v>
      </c>
      <c r="E4047" s="12">
        <f t="shared" si="63"/>
        <v>45485</v>
      </c>
    </row>
    <row r="4048" spans="1:5" x14ac:dyDescent="0.25">
      <c r="A4048" s="2">
        <f>IF(B4048="","",SUBTOTAL(3,$B$2:B4048))</f>
        <v>4047</v>
      </c>
      <c r="B4048" s="9" t="s">
        <v>48</v>
      </c>
      <c r="C4048" s="10" t="s">
        <v>54</v>
      </c>
      <c r="D4048" s="11">
        <v>241.29610479145123</v>
      </c>
      <c r="E4048" s="12">
        <f t="shared" si="63"/>
        <v>45486</v>
      </c>
    </row>
    <row r="4049" spans="1:5" x14ac:dyDescent="0.25">
      <c r="A4049" s="2">
        <f>IF(B4049="","",SUBTOTAL(3,$B$2:B4049))</f>
        <v>4048</v>
      </c>
      <c r="B4049" s="9" t="s">
        <v>53</v>
      </c>
      <c r="C4049" s="10" t="s">
        <v>52</v>
      </c>
      <c r="D4049" s="11">
        <v>170</v>
      </c>
      <c r="E4049" s="12">
        <f t="shared" si="63"/>
        <v>45487</v>
      </c>
    </row>
    <row r="4050" spans="1:5" x14ac:dyDescent="0.25">
      <c r="A4050" s="2">
        <f>IF(B4050="","",SUBTOTAL(3,$B$2:B4050))</f>
        <v>4049</v>
      </c>
      <c r="B4050" s="9" t="s">
        <v>50</v>
      </c>
      <c r="C4050" s="10" t="s">
        <v>52</v>
      </c>
      <c r="D4050" s="11">
        <v>2.2266313932980597E-5</v>
      </c>
      <c r="E4050" s="12">
        <f t="shared" si="63"/>
        <v>45488</v>
      </c>
    </row>
    <row r="4051" spans="1:5" x14ac:dyDescent="0.25">
      <c r="A4051" s="2">
        <f>IF(B4051="","",SUBTOTAL(3,$B$2:B4051))</f>
        <v>4050</v>
      </c>
      <c r="B4051" s="9" t="s">
        <v>51</v>
      </c>
      <c r="C4051" s="10" t="s">
        <v>54</v>
      </c>
      <c r="D4051" s="11">
        <v>200</v>
      </c>
      <c r="E4051" s="12">
        <f t="shared" si="63"/>
        <v>45489</v>
      </c>
    </row>
    <row r="4052" spans="1:5" x14ac:dyDescent="0.25">
      <c r="A4052" s="2">
        <f>IF(B4052="","",SUBTOTAL(3,$B$2:B4052))</f>
        <v>4051</v>
      </c>
      <c r="B4052" s="9" t="s">
        <v>50</v>
      </c>
      <c r="C4052" s="10" t="s">
        <v>54</v>
      </c>
      <c r="D4052" s="11">
        <v>35.273368606701936</v>
      </c>
      <c r="E4052" s="12">
        <f t="shared" si="63"/>
        <v>45490</v>
      </c>
    </row>
    <row r="4053" spans="1:5" x14ac:dyDescent="0.25">
      <c r="A4053" s="2">
        <f>IF(B4053="","",SUBTOTAL(3,$B$2:B4053))</f>
        <v>4052</v>
      </c>
      <c r="B4053" s="9" t="s">
        <v>50</v>
      </c>
      <c r="C4053" s="10" t="s">
        <v>52</v>
      </c>
      <c r="D4053" s="11">
        <v>66.137566137566139</v>
      </c>
      <c r="E4053" s="12">
        <f t="shared" si="63"/>
        <v>45491</v>
      </c>
    </row>
    <row r="4054" spans="1:5" x14ac:dyDescent="0.25">
      <c r="A4054" s="2">
        <f>IF(B4054="","",SUBTOTAL(3,$B$2:B4054))</f>
        <v>4053</v>
      </c>
      <c r="B4054" s="9" t="s">
        <v>55</v>
      </c>
      <c r="C4054" s="10" t="s">
        <v>56</v>
      </c>
      <c r="D4054" s="11">
        <v>40.121970791205264</v>
      </c>
      <c r="E4054" s="12">
        <f t="shared" si="63"/>
        <v>45492</v>
      </c>
    </row>
    <row r="4055" spans="1:5" x14ac:dyDescent="0.25">
      <c r="A4055" s="2">
        <f>IF(B4055="","",SUBTOTAL(3,$B$2:B4055))</f>
        <v>4054</v>
      </c>
      <c r="B4055" s="9" t="s">
        <v>48</v>
      </c>
      <c r="C4055" s="10" t="s">
        <v>49</v>
      </c>
      <c r="D4055" s="11">
        <v>12.064805239572561</v>
      </c>
      <c r="E4055" s="12">
        <f t="shared" si="63"/>
        <v>45493</v>
      </c>
    </row>
    <row r="4056" spans="1:5" x14ac:dyDescent="0.25">
      <c r="A4056" s="2">
        <f>IF(B4056="","",SUBTOTAL(3,$B$2:B4056))</f>
        <v>4055</v>
      </c>
      <c r="B4056" s="9" t="s">
        <v>48</v>
      </c>
      <c r="C4056" s="10" t="s">
        <v>49</v>
      </c>
      <c r="D4056" s="11">
        <v>55.153395380903135</v>
      </c>
      <c r="E4056" s="12">
        <f t="shared" si="63"/>
        <v>45494</v>
      </c>
    </row>
    <row r="4057" spans="1:5" x14ac:dyDescent="0.25">
      <c r="A4057" s="2">
        <f>IF(B4057="","",SUBTOTAL(3,$B$2:B4057))</f>
        <v>4056</v>
      </c>
      <c r="B4057" s="9" t="s">
        <v>48</v>
      </c>
      <c r="C4057" s="10" t="s">
        <v>52</v>
      </c>
      <c r="D4057" s="11">
        <v>154.43484288354898</v>
      </c>
      <c r="E4057" s="12">
        <f t="shared" si="63"/>
        <v>45495</v>
      </c>
    </row>
    <row r="4058" spans="1:5" x14ac:dyDescent="0.25">
      <c r="A4058" s="2">
        <f>IF(B4058="","",SUBTOTAL(3,$B$2:B4058))</f>
        <v>4057</v>
      </c>
      <c r="B4058" s="9" t="s">
        <v>48</v>
      </c>
      <c r="C4058" s="10" t="s">
        <v>52</v>
      </c>
      <c r="D4058" s="11">
        <v>159.34411583487369</v>
      </c>
      <c r="E4058" s="12">
        <f t="shared" si="63"/>
        <v>45496</v>
      </c>
    </row>
    <row r="4059" spans="1:5" x14ac:dyDescent="0.25">
      <c r="A4059" s="2">
        <f>IF(B4059="","",SUBTOTAL(3,$B$2:B4059))</f>
        <v>4058</v>
      </c>
      <c r="B4059" s="9" t="s">
        <v>50</v>
      </c>
      <c r="C4059" s="10" t="s">
        <v>54</v>
      </c>
      <c r="D4059" s="11">
        <v>176.3668430335097</v>
      </c>
      <c r="E4059" s="12">
        <f t="shared" si="63"/>
        <v>45497</v>
      </c>
    </row>
    <row r="4060" spans="1:5" x14ac:dyDescent="0.25">
      <c r="A4060" s="2">
        <f>IF(B4060="","",SUBTOTAL(3,$B$2:B4060))</f>
        <v>4059</v>
      </c>
      <c r="B4060" s="9" t="s">
        <v>48</v>
      </c>
      <c r="C4060" s="10" t="s">
        <v>52</v>
      </c>
      <c r="D4060" s="11">
        <v>211.02895871842267</v>
      </c>
      <c r="E4060" s="12">
        <f t="shared" si="63"/>
        <v>45498</v>
      </c>
    </row>
    <row r="4061" spans="1:5" x14ac:dyDescent="0.25">
      <c r="A4061" s="2">
        <f>IF(B4061="","",SUBTOTAL(3,$B$2:B4061))</f>
        <v>4060</v>
      </c>
      <c r="B4061" s="9" t="s">
        <v>53</v>
      </c>
      <c r="C4061" s="10" t="s">
        <v>49</v>
      </c>
      <c r="D4061" s="11">
        <v>164.85479040545121</v>
      </c>
      <c r="E4061" s="12">
        <f t="shared" si="63"/>
        <v>45499</v>
      </c>
    </row>
    <row r="4062" spans="1:5" x14ac:dyDescent="0.25">
      <c r="A4062" s="2">
        <f>IF(B4062="","",SUBTOTAL(3,$B$2:B4062))</f>
        <v>4061</v>
      </c>
      <c r="B4062" s="9" t="s">
        <v>48</v>
      </c>
      <c r="C4062" s="10" t="s">
        <v>49</v>
      </c>
      <c r="D4062" s="11">
        <v>46.210720887245841</v>
      </c>
      <c r="E4062" s="12">
        <f t="shared" si="63"/>
        <v>45500</v>
      </c>
    </row>
    <row r="4063" spans="1:5" x14ac:dyDescent="0.25">
      <c r="A4063" s="2">
        <f>IF(B4063="","",SUBTOTAL(3,$B$2:B4063))</f>
        <v>4062</v>
      </c>
      <c r="B4063" s="9" t="s">
        <v>55</v>
      </c>
      <c r="C4063" s="10" t="s">
        <v>54</v>
      </c>
      <c r="D4063" s="11">
        <v>50</v>
      </c>
      <c r="E4063" s="12">
        <f t="shared" si="63"/>
        <v>45501</v>
      </c>
    </row>
    <row r="4064" spans="1:5" x14ac:dyDescent="0.25">
      <c r="A4064" s="2">
        <f>IF(B4064="","",SUBTOTAL(3,$B$2:B4064))</f>
        <v>4063</v>
      </c>
      <c r="B4064" s="9" t="s">
        <v>48</v>
      </c>
      <c r="C4064" s="10" t="s">
        <v>54</v>
      </c>
      <c r="D4064" s="11">
        <v>41.365046535677351</v>
      </c>
      <c r="E4064" s="12">
        <f t="shared" si="63"/>
        <v>45502</v>
      </c>
    </row>
    <row r="4065" spans="1:5" x14ac:dyDescent="0.25">
      <c r="A4065" s="2">
        <f>IF(B4065="","",SUBTOTAL(3,$B$2:B4065))</f>
        <v>4064</v>
      </c>
      <c r="B4065" s="9" t="s">
        <v>53</v>
      </c>
      <c r="C4065" s="10" t="s">
        <v>52</v>
      </c>
      <c r="D4065" s="11">
        <v>155.69619093848172</v>
      </c>
      <c r="E4065" s="12">
        <f t="shared" si="63"/>
        <v>45503</v>
      </c>
    </row>
    <row r="4066" spans="1:5" x14ac:dyDescent="0.25">
      <c r="A4066" s="2">
        <f>IF(B4066="","",SUBTOTAL(3,$B$2:B4066))</f>
        <v>4065</v>
      </c>
      <c r="B4066" s="9" t="s">
        <v>51</v>
      </c>
      <c r="C4066" s="10" t="s">
        <v>49</v>
      </c>
      <c r="D4066" s="11">
        <v>23.29768082177274</v>
      </c>
      <c r="E4066" s="12">
        <f t="shared" si="63"/>
        <v>45504</v>
      </c>
    </row>
    <row r="4067" spans="1:5" x14ac:dyDescent="0.25">
      <c r="A4067" s="2">
        <f>IF(B4067="","",SUBTOTAL(3,$B$2:B4067))</f>
        <v>4066</v>
      </c>
      <c r="B4067" s="9" t="s">
        <v>48</v>
      </c>
      <c r="C4067" s="10" t="s">
        <v>49</v>
      </c>
      <c r="D4067" s="11">
        <v>46.210720887245841</v>
      </c>
      <c r="E4067" s="12">
        <f t="shared" si="63"/>
        <v>45505</v>
      </c>
    </row>
    <row r="4068" spans="1:5" x14ac:dyDescent="0.25">
      <c r="A4068" s="2">
        <f>IF(B4068="","",SUBTOTAL(3,$B$2:B4068))</f>
        <v>4067</v>
      </c>
      <c r="B4068" s="9" t="s">
        <v>48</v>
      </c>
      <c r="C4068" s="10" t="s">
        <v>52</v>
      </c>
      <c r="D4068" s="11">
        <v>308.07147258163894</v>
      </c>
      <c r="E4068" s="12">
        <f t="shared" si="63"/>
        <v>45506</v>
      </c>
    </row>
    <row r="4069" spans="1:5" x14ac:dyDescent="0.25">
      <c r="A4069" s="2">
        <f>IF(B4069="","",SUBTOTAL(3,$B$2:B4069))</f>
        <v>4068</v>
      </c>
      <c r="B4069" s="9" t="s">
        <v>51</v>
      </c>
      <c r="C4069" s="10" t="s">
        <v>49</v>
      </c>
      <c r="D4069" s="11">
        <v>105.89854918987609</v>
      </c>
      <c r="E4069" s="12">
        <f t="shared" si="63"/>
        <v>45507</v>
      </c>
    </row>
    <row r="4070" spans="1:5" x14ac:dyDescent="0.25">
      <c r="A4070" s="2">
        <f>IF(B4070="","",SUBTOTAL(3,$B$2:B4070))</f>
        <v>4069</v>
      </c>
      <c r="B4070" s="9" t="s">
        <v>53</v>
      </c>
      <c r="C4070" s="10" t="s">
        <v>49</v>
      </c>
      <c r="D4070" s="11">
        <v>137.37899200454268</v>
      </c>
      <c r="E4070" s="12">
        <f t="shared" si="63"/>
        <v>45508</v>
      </c>
    </row>
    <row r="4071" spans="1:5" x14ac:dyDescent="0.25">
      <c r="A4071" s="2">
        <f>IF(B4071="","",SUBTOTAL(3,$B$2:B4071))</f>
        <v>4070</v>
      </c>
      <c r="B4071" s="9" t="s">
        <v>48</v>
      </c>
      <c r="C4071" s="10" t="s">
        <v>52</v>
      </c>
      <c r="D4071" s="11">
        <v>123.22858903265558</v>
      </c>
      <c r="E4071" s="12">
        <f t="shared" si="63"/>
        <v>45509</v>
      </c>
    </row>
    <row r="4072" spans="1:5" x14ac:dyDescent="0.25">
      <c r="A4072" s="2">
        <f>IF(B4072="","",SUBTOTAL(3,$B$2:B4072))</f>
        <v>4071</v>
      </c>
      <c r="B4072" s="9" t="s">
        <v>53</v>
      </c>
      <c r="C4072" s="10" t="s">
        <v>49</v>
      </c>
      <c r="D4072" s="11">
        <v>50.372297068332315</v>
      </c>
      <c r="E4072" s="12">
        <f t="shared" si="63"/>
        <v>45510</v>
      </c>
    </row>
    <row r="4073" spans="1:5" x14ac:dyDescent="0.25">
      <c r="A4073" s="2">
        <f>IF(B4073="","",SUBTOTAL(3,$B$2:B4073))</f>
        <v>4072</v>
      </c>
      <c r="B4073" s="9" t="s">
        <v>48</v>
      </c>
      <c r="C4073" s="10" t="s">
        <v>52</v>
      </c>
      <c r="D4073" s="11">
        <v>123.22858903265558</v>
      </c>
      <c r="E4073" s="12">
        <f t="shared" si="63"/>
        <v>45511</v>
      </c>
    </row>
    <row r="4074" spans="1:5" x14ac:dyDescent="0.25">
      <c r="A4074" s="2">
        <f>IF(B4074="","",SUBTOTAL(3,$B$2:B4074))</f>
        <v>4073</v>
      </c>
      <c r="B4074" s="9" t="s">
        <v>50</v>
      </c>
      <c r="C4074" s="10" t="s">
        <v>49</v>
      </c>
      <c r="D4074" s="11">
        <v>17</v>
      </c>
      <c r="E4074" s="12">
        <f t="shared" si="63"/>
        <v>45512</v>
      </c>
    </row>
    <row r="4075" spans="1:5" x14ac:dyDescent="0.25">
      <c r="A4075" s="2">
        <f>IF(B4075="","",SUBTOTAL(3,$B$2:B4075))</f>
        <v>4074</v>
      </c>
      <c r="B4075" s="9" t="s">
        <v>50</v>
      </c>
      <c r="C4075" s="10" t="s">
        <v>49</v>
      </c>
      <c r="D4075" s="11">
        <v>26.455026455026456</v>
      </c>
      <c r="E4075" s="12">
        <f t="shared" si="63"/>
        <v>45513</v>
      </c>
    </row>
    <row r="4076" spans="1:5" x14ac:dyDescent="0.25">
      <c r="A4076" s="2">
        <f>IF(B4076="","",SUBTOTAL(3,$B$2:B4076))</f>
        <v>4075</v>
      </c>
      <c r="B4076" s="9" t="s">
        <v>50</v>
      </c>
      <c r="C4076" s="10" t="s">
        <v>52</v>
      </c>
      <c r="D4076" s="11">
        <v>66.137566137566139</v>
      </c>
      <c r="E4076" s="12">
        <f t="shared" si="63"/>
        <v>45514</v>
      </c>
    </row>
    <row r="4077" spans="1:5" x14ac:dyDescent="0.25">
      <c r="A4077" s="2">
        <f>IF(B4077="","",SUBTOTAL(3,$B$2:B4077))</f>
        <v>4076</v>
      </c>
      <c r="B4077" s="9" t="s">
        <v>50</v>
      </c>
      <c r="C4077" s="10" t="s">
        <v>52</v>
      </c>
      <c r="D4077" s="11">
        <v>66.137566137566139</v>
      </c>
      <c r="E4077" s="12">
        <f t="shared" si="63"/>
        <v>45515</v>
      </c>
    </row>
    <row r="4078" spans="1:5" x14ac:dyDescent="0.25">
      <c r="A4078" s="2">
        <f>IF(B4078="","",SUBTOTAL(3,$B$2:B4078))</f>
        <v>4077</v>
      </c>
      <c r="B4078" s="9" t="s">
        <v>50</v>
      </c>
      <c r="C4078" s="10" t="s">
        <v>52</v>
      </c>
      <c r="D4078" s="11">
        <v>66.137566137566139</v>
      </c>
      <c r="E4078" s="12">
        <f t="shared" si="63"/>
        <v>45516</v>
      </c>
    </row>
    <row r="4079" spans="1:5" x14ac:dyDescent="0.25">
      <c r="A4079" s="2">
        <f>IF(B4079="","",SUBTOTAL(3,$B$2:B4079))</f>
        <v>4078</v>
      </c>
      <c r="B4079" s="9" t="s">
        <v>51</v>
      </c>
      <c r="C4079" s="10" t="s">
        <v>49</v>
      </c>
      <c r="D4079" s="11">
        <v>211.79709837975219</v>
      </c>
      <c r="E4079" s="12">
        <f t="shared" si="63"/>
        <v>45517</v>
      </c>
    </row>
    <row r="4080" spans="1:5" x14ac:dyDescent="0.25">
      <c r="A4080" s="2">
        <f>IF(B4080="","",SUBTOTAL(3,$B$2:B4080))</f>
        <v>4079</v>
      </c>
      <c r="B4080" s="9" t="s">
        <v>55</v>
      </c>
      <c r="C4080" s="10" t="s">
        <v>52</v>
      </c>
      <c r="D4080" s="11">
        <v>146.65145836728044</v>
      </c>
      <c r="E4080" s="12">
        <f t="shared" si="63"/>
        <v>45518</v>
      </c>
    </row>
    <row r="4081" spans="1:5" x14ac:dyDescent="0.25">
      <c r="A4081" s="2">
        <f>IF(B4081="","",SUBTOTAL(3,$B$2:B4081))</f>
        <v>4080</v>
      </c>
      <c r="B4081" s="9" t="s">
        <v>51</v>
      </c>
      <c r="C4081" s="10" t="s">
        <v>52</v>
      </c>
      <c r="D4081" s="11">
        <v>162.0614212786646</v>
      </c>
      <c r="E4081" s="12">
        <f t="shared" si="63"/>
        <v>45519</v>
      </c>
    </row>
    <row r="4082" spans="1:5" x14ac:dyDescent="0.25">
      <c r="A4082" s="2">
        <f>IF(B4082="","",SUBTOTAL(3,$B$2:B4082))</f>
        <v>4081</v>
      </c>
      <c r="B4082" s="9" t="s">
        <v>51</v>
      </c>
      <c r="C4082" s="10" t="s">
        <v>52</v>
      </c>
      <c r="D4082" s="11">
        <v>162.0614212786646</v>
      </c>
      <c r="E4082" s="12">
        <f t="shared" si="63"/>
        <v>45520</v>
      </c>
    </row>
    <row r="4083" spans="1:5" x14ac:dyDescent="0.25">
      <c r="A4083" s="2">
        <f>IF(B4083="","",SUBTOTAL(3,$B$2:B4083))</f>
        <v>4082</v>
      </c>
      <c r="B4083" s="9" t="s">
        <v>50</v>
      </c>
      <c r="C4083" s="10" t="s">
        <v>54</v>
      </c>
      <c r="D4083" s="11">
        <v>132.27513227513228</v>
      </c>
      <c r="E4083" s="12">
        <f t="shared" si="63"/>
        <v>45521</v>
      </c>
    </row>
    <row r="4084" spans="1:5" x14ac:dyDescent="0.25">
      <c r="A4084" s="2">
        <f>IF(B4084="","",SUBTOTAL(3,$B$2:B4084))</f>
        <v>4083</v>
      </c>
      <c r="B4084" s="9" t="s">
        <v>53</v>
      </c>
      <c r="C4084" s="10" t="s">
        <v>54</v>
      </c>
      <c r="D4084" s="11">
        <v>384.66117761271948</v>
      </c>
      <c r="E4084" s="12">
        <f t="shared" si="63"/>
        <v>45522</v>
      </c>
    </row>
    <row r="4085" spans="1:5" x14ac:dyDescent="0.25">
      <c r="A4085" s="2">
        <f>IF(B4085="","",SUBTOTAL(3,$B$2:B4085))</f>
        <v>4084</v>
      </c>
      <c r="B4085" s="9" t="s">
        <v>53</v>
      </c>
      <c r="C4085" s="10" t="s">
        <v>54</v>
      </c>
      <c r="D4085" s="11">
        <v>366.3439786787805</v>
      </c>
      <c r="E4085" s="12">
        <f t="shared" si="63"/>
        <v>45523</v>
      </c>
    </row>
    <row r="4086" spans="1:5" x14ac:dyDescent="0.25">
      <c r="A4086" s="2">
        <f>IF(B4086="","",SUBTOTAL(3,$B$2:B4086))</f>
        <v>4085</v>
      </c>
      <c r="B4086" s="9" t="s">
        <v>50</v>
      </c>
      <c r="C4086" s="10" t="s">
        <v>52</v>
      </c>
      <c r="D4086" s="11">
        <v>55.114638447971785</v>
      </c>
      <c r="E4086" s="12">
        <f t="shared" si="63"/>
        <v>45524</v>
      </c>
    </row>
    <row r="4087" spans="1:5" x14ac:dyDescent="0.25">
      <c r="A4087" s="2">
        <f>IF(B4087="","",SUBTOTAL(3,$B$2:B4087))</f>
        <v>4086</v>
      </c>
      <c r="B4087" s="9" t="s">
        <v>50</v>
      </c>
      <c r="C4087" s="10" t="s">
        <v>52</v>
      </c>
      <c r="D4087" s="11">
        <v>220.45855379188714</v>
      </c>
      <c r="E4087" s="12">
        <f t="shared" si="63"/>
        <v>45525</v>
      </c>
    </row>
    <row r="4088" spans="1:5" x14ac:dyDescent="0.25">
      <c r="A4088" s="2">
        <f>IF(B4088="","",SUBTOTAL(3,$B$2:B4088))</f>
        <v>4087</v>
      </c>
      <c r="B4088" s="9" t="s">
        <v>51</v>
      </c>
      <c r="C4088" s="10" t="s">
        <v>52</v>
      </c>
      <c r="D4088" s="11">
        <v>21.179709837975221</v>
      </c>
      <c r="E4088" s="12">
        <f t="shared" si="63"/>
        <v>45526</v>
      </c>
    </row>
    <row r="4089" spans="1:5" x14ac:dyDescent="0.25">
      <c r="A4089" s="2">
        <f>IF(B4089="","",SUBTOTAL(3,$B$2:B4089))</f>
        <v>4088</v>
      </c>
      <c r="B4089" s="9" t="s">
        <v>51</v>
      </c>
      <c r="C4089" s="10" t="s">
        <v>52</v>
      </c>
      <c r="D4089" s="11">
        <v>104.90945674044265</v>
      </c>
      <c r="E4089" s="12">
        <f t="shared" si="63"/>
        <v>45527</v>
      </c>
    </row>
    <row r="4090" spans="1:5" x14ac:dyDescent="0.25">
      <c r="A4090" s="2">
        <f>IF(B4090="","",SUBTOTAL(3,$B$2:B4090))</f>
        <v>4089</v>
      </c>
      <c r="B4090" s="9" t="s">
        <v>51</v>
      </c>
      <c r="C4090" s="10" t="s">
        <v>52</v>
      </c>
      <c r="D4090" s="11">
        <v>255.99915281160648</v>
      </c>
      <c r="E4090" s="12">
        <f t="shared" si="63"/>
        <v>45528</v>
      </c>
    </row>
    <row r="4091" spans="1:5" x14ac:dyDescent="0.25">
      <c r="A4091" s="2">
        <f>IF(B4091="","",SUBTOTAL(3,$B$2:B4091))</f>
        <v>4090</v>
      </c>
      <c r="B4091" s="9" t="s">
        <v>51</v>
      </c>
      <c r="C4091" s="10" t="s">
        <v>49</v>
      </c>
      <c r="D4091" s="11">
        <v>211.79709837975219</v>
      </c>
      <c r="E4091" s="12">
        <f t="shared" si="63"/>
        <v>45529</v>
      </c>
    </row>
    <row r="4092" spans="1:5" x14ac:dyDescent="0.25">
      <c r="A4092" s="2">
        <f>IF(B4092="","",SUBTOTAL(3,$B$2:B4092))</f>
        <v>4091</v>
      </c>
      <c r="B4092" s="9" t="s">
        <v>51</v>
      </c>
      <c r="C4092" s="10" t="s">
        <v>52</v>
      </c>
      <c r="D4092" s="11">
        <v>52.949274594938046</v>
      </c>
      <c r="E4092" s="12">
        <f t="shared" si="63"/>
        <v>45530</v>
      </c>
    </row>
    <row r="4093" spans="1:5" x14ac:dyDescent="0.25">
      <c r="A4093" s="2">
        <f>IF(B4093="","",SUBTOTAL(3,$B$2:B4093))</f>
        <v>4092</v>
      </c>
      <c r="B4093" s="9" t="s">
        <v>51</v>
      </c>
      <c r="C4093" s="10" t="s">
        <v>52</v>
      </c>
      <c r="D4093" s="11">
        <v>211.79709837975219</v>
      </c>
      <c r="E4093" s="12">
        <f t="shared" si="63"/>
        <v>45531</v>
      </c>
    </row>
    <row r="4094" spans="1:5" x14ac:dyDescent="0.25">
      <c r="A4094" s="2">
        <f>IF(B4094="","",SUBTOTAL(3,$B$2:B4094))</f>
        <v>4093</v>
      </c>
      <c r="B4094" s="9" t="s">
        <v>51</v>
      </c>
      <c r="C4094" s="10" t="s">
        <v>52</v>
      </c>
      <c r="D4094" s="11">
        <v>423.59419675950437</v>
      </c>
      <c r="E4094" s="12">
        <f t="shared" si="63"/>
        <v>45532</v>
      </c>
    </row>
    <row r="4095" spans="1:5" x14ac:dyDescent="0.25">
      <c r="A4095" s="2">
        <f>IF(B4095="","",SUBTOTAL(3,$B$2:B4095))</f>
        <v>4094</v>
      </c>
      <c r="B4095" s="9" t="s">
        <v>51</v>
      </c>
      <c r="C4095" s="10" t="s">
        <v>52</v>
      </c>
      <c r="D4095" s="11">
        <v>158.84782378481412</v>
      </c>
      <c r="E4095" s="12">
        <f t="shared" si="63"/>
        <v>45533</v>
      </c>
    </row>
    <row r="4096" spans="1:5" x14ac:dyDescent="0.25">
      <c r="A4096" s="2">
        <f>IF(B4096="","",SUBTOTAL(3,$B$2:B4096))</f>
        <v>4095</v>
      </c>
      <c r="B4096" s="9" t="s">
        <v>51</v>
      </c>
      <c r="C4096" s="10" t="s">
        <v>52</v>
      </c>
      <c r="D4096" s="11">
        <v>56.721497447532613</v>
      </c>
      <c r="E4096" s="12">
        <f t="shared" si="63"/>
        <v>45534</v>
      </c>
    </row>
    <row r="4097" spans="1:5" x14ac:dyDescent="0.25">
      <c r="A4097" s="2">
        <f>IF(B4097="","",SUBTOTAL(3,$B$2:B4097))</f>
        <v>4096</v>
      </c>
      <c r="B4097" s="9" t="s">
        <v>51</v>
      </c>
      <c r="C4097" s="10" t="s">
        <v>49</v>
      </c>
      <c r="D4097" s="11">
        <v>300</v>
      </c>
      <c r="E4097" s="12">
        <f t="shared" si="63"/>
        <v>45535</v>
      </c>
    </row>
    <row r="4098" spans="1:5" x14ac:dyDescent="0.25">
      <c r="A4098" s="2">
        <f>IF(B4098="","",SUBTOTAL(3,$B$2:B4098))</f>
        <v>4097</v>
      </c>
      <c r="B4098" s="9" t="s">
        <v>51</v>
      </c>
      <c r="C4098" s="10" t="s">
        <v>49</v>
      </c>
      <c r="D4098" s="11">
        <v>48.618426383599385</v>
      </c>
      <c r="E4098" s="12">
        <f t="shared" si="63"/>
        <v>45536</v>
      </c>
    </row>
    <row r="4099" spans="1:5" x14ac:dyDescent="0.25">
      <c r="A4099" s="2">
        <f>IF(B4099="","",SUBTOTAL(3,$B$2:B4099))</f>
        <v>4098</v>
      </c>
      <c r="B4099" s="9" t="s">
        <v>48</v>
      </c>
      <c r="C4099" s="10" t="s">
        <v>52</v>
      </c>
      <c r="D4099" s="11">
        <v>77.017868145409736</v>
      </c>
      <c r="E4099" s="12">
        <f t="shared" si="63"/>
        <v>45537</v>
      </c>
    </row>
    <row r="4100" spans="1:5" x14ac:dyDescent="0.25">
      <c r="A4100" s="2">
        <f>IF(B4100="","",SUBTOTAL(3,$B$2:B4100))</f>
        <v>4099</v>
      </c>
      <c r="B4100" s="9" t="s">
        <v>51</v>
      </c>
      <c r="C4100" s="10" t="s">
        <v>49</v>
      </c>
      <c r="D4100" s="11">
        <v>13.775220808686493</v>
      </c>
      <c r="E4100" s="12">
        <f t="shared" ref="E4100:E4163" si="64">E4099+1</f>
        <v>45538</v>
      </c>
    </row>
    <row r="4101" spans="1:5" x14ac:dyDescent="0.25">
      <c r="A4101" s="2">
        <f>IF(B4101="","",SUBTOTAL(3,$B$2:B4101))</f>
        <v>4100</v>
      </c>
      <c r="B4101" s="9" t="s">
        <v>51</v>
      </c>
      <c r="C4101" s="10" t="s">
        <v>49</v>
      </c>
      <c r="D4101" s="11">
        <v>34.843205574912893</v>
      </c>
      <c r="E4101" s="12">
        <f t="shared" si="64"/>
        <v>45539</v>
      </c>
    </row>
    <row r="4102" spans="1:5" x14ac:dyDescent="0.25">
      <c r="A4102" s="2">
        <f>IF(B4102="","",SUBTOTAL(3,$B$2:B4102))</f>
        <v>4101</v>
      </c>
      <c r="B4102" s="9" t="s">
        <v>51</v>
      </c>
      <c r="C4102" s="10" t="s">
        <v>49</v>
      </c>
      <c r="D4102" s="11">
        <v>52.669961915566006</v>
      </c>
      <c r="E4102" s="12">
        <f t="shared" si="64"/>
        <v>45540</v>
      </c>
    </row>
    <row r="4103" spans="1:5" x14ac:dyDescent="0.25">
      <c r="A4103" s="2">
        <f>IF(B4103="","",SUBTOTAL(3,$B$2:B4103))</f>
        <v>4102</v>
      </c>
      <c r="B4103" s="9" t="s">
        <v>51</v>
      </c>
      <c r="C4103" s="10" t="s">
        <v>49</v>
      </c>
      <c r="D4103" s="11">
        <v>7.2927639575399077</v>
      </c>
      <c r="E4103" s="12">
        <f t="shared" si="64"/>
        <v>45541</v>
      </c>
    </row>
    <row r="4104" spans="1:5" x14ac:dyDescent="0.25">
      <c r="A4104" s="2">
        <f>IF(B4104="","",SUBTOTAL(3,$B$2:B4104))</f>
        <v>4103</v>
      </c>
      <c r="B4104" s="9" t="s">
        <v>51</v>
      </c>
      <c r="C4104" s="10" t="s">
        <v>49</v>
      </c>
      <c r="D4104" s="11">
        <v>5.6721497447532618</v>
      </c>
      <c r="E4104" s="12">
        <f t="shared" si="64"/>
        <v>45542</v>
      </c>
    </row>
    <row r="4105" spans="1:5" x14ac:dyDescent="0.25">
      <c r="A4105" s="2">
        <f>IF(B4105="","",SUBTOTAL(3,$B$2:B4105))</f>
        <v>4104</v>
      </c>
      <c r="B4105" s="9" t="s">
        <v>50</v>
      </c>
      <c r="C4105" s="10" t="s">
        <v>49</v>
      </c>
      <c r="D4105" s="11">
        <v>48.082671957671955</v>
      </c>
      <c r="E4105" s="12">
        <f t="shared" si="64"/>
        <v>45543</v>
      </c>
    </row>
    <row r="4106" spans="1:5" x14ac:dyDescent="0.25">
      <c r="A4106" s="2">
        <f>IF(B4106="","",SUBTOTAL(3,$B$2:B4106))</f>
        <v>4105</v>
      </c>
      <c r="B4106" s="9" t="s">
        <v>53</v>
      </c>
      <c r="C4106" s="10" t="s">
        <v>49</v>
      </c>
      <c r="D4106" s="11">
        <v>45.792997334847563</v>
      </c>
      <c r="E4106" s="12">
        <f t="shared" si="64"/>
        <v>45544</v>
      </c>
    </row>
    <row r="4107" spans="1:5" x14ac:dyDescent="0.25">
      <c r="A4107" s="2">
        <f>IF(B4107="","",SUBTOTAL(3,$B$2:B4107))</f>
        <v>4106</v>
      </c>
      <c r="B4107" s="9" t="s">
        <v>55</v>
      </c>
      <c r="C4107" s="10" t="s">
        <v>49</v>
      </c>
      <c r="D4107" s="11">
        <v>40.121970791205264</v>
      </c>
      <c r="E4107" s="12">
        <f t="shared" si="64"/>
        <v>45545</v>
      </c>
    </row>
    <row r="4108" spans="1:5" x14ac:dyDescent="0.25">
      <c r="A4108" s="2">
        <f>IF(B4108="","",SUBTOTAL(3,$B$2:B4108))</f>
        <v>4107</v>
      </c>
      <c r="B4108" s="9" t="s">
        <v>55</v>
      </c>
      <c r="C4108" s="10" t="s">
        <v>49</v>
      </c>
      <c r="D4108" s="11">
        <v>40.121970791205264</v>
      </c>
      <c r="E4108" s="12">
        <f t="shared" si="64"/>
        <v>45546</v>
      </c>
    </row>
    <row r="4109" spans="1:5" x14ac:dyDescent="0.25">
      <c r="A4109" s="2">
        <f>IF(B4109="","",SUBTOTAL(3,$B$2:B4109))</f>
        <v>4108</v>
      </c>
      <c r="B4109" s="9" t="s">
        <v>51</v>
      </c>
      <c r="C4109" s="10" t="s">
        <v>52</v>
      </c>
      <c r="D4109" s="11">
        <v>105.89854918987609</v>
      </c>
      <c r="E4109" s="12">
        <f t="shared" si="64"/>
        <v>45547</v>
      </c>
    </row>
    <row r="4110" spans="1:5" x14ac:dyDescent="0.25">
      <c r="A4110" s="2">
        <f>IF(B4110="","",SUBTOTAL(3,$B$2:B4110))</f>
        <v>4109</v>
      </c>
      <c r="B4110" s="9" t="s">
        <v>51</v>
      </c>
      <c r="C4110" s="10" t="s">
        <v>52</v>
      </c>
      <c r="D4110" s="11">
        <v>132.37318648734512</v>
      </c>
      <c r="E4110" s="12">
        <f t="shared" si="64"/>
        <v>45548</v>
      </c>
    </row>
    <row r="4111" spans="1:5" x14ac:dyDescent="0.25">
      <c r="A4111" s="2">
        <f>IF(B4111="","",SUBTOTAL(3,$B$2:B4111))</f>
        <v>4110</v>
      </c>
      <c r="B4111" s="9" t="s">
        <v>48</v>
      </c>
      <c r="C4111" s="10" t="s">
        <v>54</v>
      </c>
      <c r="D4111" s="11">
        <v>92.421441774491683</v>
      </c>
      <c r="E4111" s="12">
        <f t="shared" si="64"/>
        <v>45549</v>
      </c>
    </row>
    <row r="4112" spans="1:5" x14ac:dyDescent="0.25">
      <c r="A4112" s="2">
        <f>IF(B4112="","",SUBTOTAL(3,$B$2:B4112))</f>
        <v>4111</v>
      </c>
      <c r="B4112" s="9" t="s">
        <v>48</v>
      </c>
      <c r="C4112" s="10" t="s">
        <v>54</v>
      </c>
      <c r="D4112" s="11">
        <v>92.421441774491683</v>
      </c>
      <c r="E4112" s="12">
        <f t="shared" si="64"/>
        <v>45550</v>
      </c>
    </row>
    <row r="4113" spans="1:5" x14ac:dyDescent="0.25">
      <c r="A4113" s="2">
        <f>IF(B4113="","",SUBTOTAL(3,$B$2:B4113))</f>
        <v>4112</v>
      </c>
      <c r="B4113" s="9" t="s">
        <v>48</v>
      </c>
      <c r="C4113" s="10" t="s">
        <v>52</v>
      </c>
      <c r="D4113" s="11">
        <v>50</v>
      </c>
      <c r="E4113" s="12">
        <f t="shared" si="64"/>
        <v>45551</v>
      </c>
    </row>
    <row r="4114" spans="1:5" x14ac:dyDescent="0.25">
      <c r="A4114" s="2">
        <f>IF(B4114="","",SUBTOTAL(3,$B$2:B4114))</f>
        <v>4113</v>
      </c>
      <c r="B4114" s="9" t="s">
        <v>55</v>
      </c>
      <c r="C4114" s="10" t="s">
        <v>52</v>
      </c>
      <c r="D4114" s="11">
        <v>160</v>
      </c>
      <c r="E4114" s="12">
        <f t="shared" si="64"/>
        <v>45552</v>
      </c>
    </row>
    <row r="4115" spans="1:5" x14ac:dyDescent="0.25">
      <c r="A4115" s="2">
        <f>IF(B4115="","",SUBTOTAL(3,$B$2:B4115))</f>
        <v>4114</v>
      </c>
      <c r="B4115" s="9" t="s">
        <v>53</v>
      </c>
      <c r="C4115" s="10" t="s">
        <v>49</v>
      </c>
      <c r="D4115" s="11">
        <v>59.530896535301828</v>
      </c>
      <c r="E4115" s="12">
        <f t="shared" si="64"/>
        <v>45553</v>
      </c>
    </row>
    <row r="4116" spans="1:5" x14ac:dyDescent="0.25">
      <c r="A4116" s="2">
        <f>IF(B4116="","",SUBTOTAL(3,$B$2:B4116))</f>
        <v>4115</v>
      </c>
      <c r="B4116" s="9" t="s">
        <v>53</v>
      </c>
      <c r="C4116" s="10" t="s">
        <v>49</v>
      </c>
      <c r="D4116" s="11">
        <v>164.85479040545121</v>
      </c>
      <c r="E4116" s="12">
        <f t="shared" si="64"/>
        <v>45554</v>
      </c>
    </row>
    <row r="4117" spans="1:5" x14ac:dyDescent="0.25">
      <c r="A4117" s="2">
        <f>IF(B4117="","",SUBTOTAL(3,$B$2:B4117))</f>
        <v>4116</v>
      </c>
      <c r="B4117" s="9" t="s">
        <v>53</v>
      </c>
      <c r="C4117" s="10" t="s">
        <v>54</v>
      </c>
      <c r="D4117" s="11">
        <v>73.2687957357561</v>
      </c>
      <c r="E4117" s="12">
        <f t="shared" si="64"/>
        <v>45555</v>
      </c>
    </row>
    <row r="4118" spans="1:5" x14ac:dyDescent="0.25">
      <c r="A4118" s="2">
        <f>IF(B4118="","",SUBTOTAL(3,$B$2:B4118))</f>
        <v>4117</v>
      </c>
      <c r="B4118" s="9" t="s">
        <v>48</v>
      </c>
      <c r="C4118" s="10" t="s">
        <v>49</v>
      </c>
      <c r="D4118" s="11">
        <v>46.210720887245841</v>
      </c>
      <c r="E4118" s="12">
        <f t="shared" si="64"/>
        <v>45556</v>
      </c>
    </row>
    <row r="4119" spans="1:5" x14ac:dyDescent="0.25">
      <c r="A4119" s="2">
        <f>IF(B4119="","",SUBTOTAL(3,$B$2:B4119))</f>
        <v>4118</v>
      </c>
      <c r="B4119" s="9" t="s">
        <v>55</v>
      </c>
      <c r="C4119" s="10" t="s">
        <v>49</v>
      </c>
      <c r="D4119" s="11">
        <v>154.10713465337437</v>
      </c>
      <c r="E4119" s="12">
        <f t="shared" si="64"/>
        <v>45557</v>
      </c>
    </row>
    <row r="4120" spans="1:5" x14ac:dyDescent="0.25">
      <c r="A4120" s="2">
        <f>IF(B4120="","",SUBTOTAL(3,$B$2:B4120))</f>
        <v>4119</v>
      </c>
      <c r="B4120" s="9" t="s">
        <v>53</v>
      </c>
      <c r="C4120" s="10" t="s">
        <v>49</v>
      </c>
      <c r="D4120" s="11">
        <v>183.17198933939025</v>
      </c>
      <c r="E4120" s="12">
        <f t="shared" si="64"/>
        <v>45558</v>
      </c>
    </row>
    <row r="4121" spans="1:5" x14ac:dyDescent="0.25">
      <c r="A4121" s="2">
        <f>IF(B4121="","",SUBTOTAL(3,$B$2:B4121))</f>
        <v>4120</v>
      </c>
      <c r="B4121" s="9" t="s">
        <v>48</v>
      </c>
      <c r="C4121" s="10" t="s">
        <v>49</v>
      </c>
      <c r="D4121" s="11">
        <v>56.993222427603207</v>
      </c>
      <c r="E4121" s="12">
        <f t="shared" si="64"/>
        <v>45559</v>
      </c>
    </row>
    <row r="4122" spans="1:5" x14ac:dyDescent="0.25">
      <c r="A4122" s="2">
        <f>IF(B4122="","",SUBTOTAL(3,$B$2:B4122))</f>
        <v>4121</v>
      </c>
      <c r="B4122" s="9" t="s">
        <v>48</v>
      </c>
      <c r="C4122" s="10" t="s">
        <v>49</v>
      </c>
      <c r="D4122" s="11">
        <v>427.48783117683303</v>
      </c>
      <c r="E4122" s="12">
        <f t="shared" si="64"/>
        <v>45560</v>
      </c>
    </row>
    <row r="4123" spans="1:5" x14ac:dyDescent="0.25">
      <c r="A4123" s="2">
        <f>IF(B4123="","",SUBTOTAL(3,$B$2:B4123))</f>
        <v>4122</v>
      </c>
      <c r="B4123" s="9" t="s">
        <v>48</v>
      </c>
      <c r="C4123" s="10" t="s">
        <v>49</v>
      </c>
      <c r="D4123" s="11">
        <v>154.03573629081947</v>
      </c>
      <c r="E4123" s="12">
        <f t="shared" si="64"/>
        <v>45561</v>
      </c>
    </row>
    <row r="4124" spans="1:5" x14ac:dyDescent="0.25">
      <c r="A4124" s="2">
        <f>IF(B4124="","",SUBTOTAL(3,$B$2:B4124))</f>
        <v>4123</v>
      </c>
      <c r="B4124" s="9" t="s">
        <v>48</v>
      </c>
      <c r="C4124" s="10" t="s">
        <v>49</v>
      </c>
      <c r="D4124" s="11">
        <v>693.16081330868769</v>
      </c>
      <c r="E4124" s="12">
        <f t="shared" si="64"/>
        <v>45562</v>
      </c>
    </row>
    <row r="4125" spans="1:5" x14ac:dyDescent="0.25">
      <c r="A4125" s="2">
        <f>IF(B4125="","",SUBTOTAL(3,$B$2:B4125))</f>
        <v>4124</v>
      </c>
      <c r="B4125" s="9" t="s">
        <v>55</v>
      </c>
      <c r="C4125" s="10" t="s">
        <v>49</v>
      </c>
      <c r="D4125" s="11">
        <v>48.50319290669362</v>
      </c>
      <c r="E4125" s="12">
        <f t="shared" si="64"/>
        <v>45563</v>
      </c>
    </row>
    <row r="4126" spans="1:5" x14ac:dyDescent="0.25">
      <c r="A4126" s="2">
        <f>IF(B4126="","",SUBTOTAL(3,$B$2:B4126))</f>
        <v>4125</v>
      </c>
      <c r="B4126" s="9" t="s">
        <v>55</v>
      </c>
      <c r="C4126" s="10" t="s">
        <v>52</v>
      </c>
      <c r="D4126" s="11">
        <v>65.178425941013529</v>
      </c>
      <c r="E4126" s="12">
        <f t="shared" si="64"/>
        <v>45564</v>
      </c>
    </row>
    <row r="4127" spans="1:5" x14ac:dyDescent="0.25">
      <c r="A4127" s="2">
        <f>IF(B4127="","",SUBTOTAL(3,$B$2:B4127))</f>
        <v>4126</v>
      </c>
      <c r="B4127" s="9" t="s">
        <v>48</v>
      </c>
      <c r="C4127" s="10" t="s">
        <v>49</v>
      </c>
      <c r="D4127" s="11">
        <v>103.41261633919338</v>
      </c>
      <c r="E4127" s="12">
        <f t="shared" si="64"/>
        <v>45565</v>
      </c>
    </row>
    <row r="4128" spans="1:5" x14ac:dyDescent="0.25">
      <c r="A4128" s="2">
        <f>IF(B4128="","",SUBTOTAL(3,$B$2:B4128))</f>
        <v>4127</v>
      </c>
      <c r="B4128" s="9" t="s">
        <v>50</v>
      </c>
      <c r="C4128" s="10" t="s">
        <v>49</v>
      </c>
      <c r="D4128" s="11">
        <v>266</v>
      </c>
      <c r="E4128" s="12">
        <f t="shared" si="64"/>
        <v>45566</v>
      </c>
    </row>
    <row r="4129" spans="1:5" x14ac:dyDescent="0.25">
      <c r="A4129" s="2">
        <f>IF(B4129="","",SUBTOTAL(3,$B$2:B4129))</f>
        <v>4128</v>
      </c>
      <c r="B4129" s="9" t="s">
        <v>55</v>
      </c>
      <c r="C4129" s="10" t="s">
        <v>49</v>
      </c>
      <c r="D4129" s="11">
        <v>37.850875178021781</v>
      </c>
      <c r="E4129" s="12">
        <f t="shared" si="64"/>
        <v>45567</v>
      </c>
    </row>
    <row r="4130" spans="1:5" x14ac:dyDescent="0.25">
      <c r="A4130" s="2">
        <f>IF(B4130="","",SUBTOTAL(3,$B$2:B4130))</f>
        <v>4129</v>
      </c>
      <c r="B4130" s="9" t="s">
        <v>51</v>
      </c>
      <c r="C4130" s="10" t="s">
        <v>52</v>
      </c>
      <c r="D4130" s="11">
        <v>13.59954622802042</v>
      </c>
      <c r="E4130" s="12">
        <f t="shared" si="64"/>
        <v>45568</v>
      </c>
    </row>
    <row r="4131" spans="1:5" x14ac:dyDescent="0.25">
      <c r="A4131" s="2">
        <f>IF(B4131="","",SUBTOTAL(3,$B$2:B4131))</f>
        <v>4130</v>
      </c>
      <c r="B4131" s="9" t="s">
        <v>48</v>
      </c>
      <c r="C4131" s="10" t="s">
        <v>52</v>
      </c>
      <c r="D4131" s="11">
        <v>154.03573629081947</v>
      </c>
      <c r="E4131" s="12">
        <f t="shared" si="64"/>
        <v>45569</v>
      </c>
    </row>
    <row r="4132" spans="1:5" x14ac:dyDescent="0.25">
      <c r="A4132" s="2">
        <f>IF(B4132="","",SUBTOTAL(3,$B$2:B4132))</f>
        <v>4131</v>
      </c>
      <c r="B4132" s="9" t="s">
        <v>48</v>
      </c>
      <c r="C4132" s="10" t="s">
        <v>52</v>
      </c>
      <c r="D4132" s="11">
        <v>154.03573629081947</v>
      </c>
      <c r="E4132" s="12">
        <f t="shared" si="64"/>
        <v>45570</v>
      </c>
    </row>
    <row r="4133" spans="1:5" x14ac:dyDescent="0.25">
      <c r="A4133" s="2">
        <f>IF(B4133="","",SUBTOTAL(3,$B$2:B4133))</f>
        <v>4132</v>
      </c>
      <c r="B4133" s="9" t="s">
        <v>48</v>
      </c>
      <c r="C4133" s="10" t="s">
        <v>49</v>
      </c>
      <c r="D4133" s="11">
        <v>7.4429355157837938</v>
      </c>
      <c r="E4133" s="12">
        <f t="shared" si="64"/>
        <v>45571</v>
      </c>
    </row>
    <row r="4134" spans="1:5" x14ac:dyDescent="0.25">
      <c r="A4134" s="2">
        <f>IF(B4134="","",SUBTOTAL(3,$B$2:B4134))</f>
        <v>4133</v>
      </c>
      <c r="B4134" s="9" t="s">
        <v>50</v>
      </c>
      <c r="C4134" s="10" t="s">
        <v>49</v>
      </c>
      <c r="D4134" s="11">
        <v>8.5978835978835981</v>
      </c>
      <c r="E4134" s="12">
        <f t="shared" si="64"/>
        <v>45572</v>
      </c>
    </row>
    <row r="4135" spans="1:5" x14ac:dyDescent="0.25">
      <c r="A4135" s="2">
        <f>IF(B4135="","",SUBTOTAL(3,$B$2:B4135))</f>
        <v>4134</v>
      </c>
      <c r="B4135" s="9" t="s">
        <v>48</v>
      </c>
      <c r="C4135" s="10" t="s">
        <v>54</v>
      </c>
      <c r="D4135" s="11">
        <v>27.576697690451567</v>
      </c>
      <c r="E4135" s="12">
        <f t="shared" si="64"/>
        <v>45573</v>
      </c>
    </row>
    <row r="4136" spans="1:5" x14ac:dyDescent="0.25">
      <c r="A4136" s="2">
        <f>IF(B4136="","",SUBTOTAL(3,$B$2:B4136))</f>
        <v>4135</v>
      </c>
      <c r="B4136" s="9" t="s">
        <v>48</v>
      </c>
      <c r="C4136" s="10" t="s">
        <v>49</v>
      </c>
      <c r="D4136" s="11">
        <v>68.941744226128904</v>
      </c>
      <c r="E4136" s="12">
        <f t="shared" si="64"/>
        <v>45574</v>
      </c>
    </row>
    <row r="4137" spans="1:5" x14ac:dyDescent="0.25">
      <c r="A4137" s="2">
        <f>IF(B4137="","",SUBTOTAL(3,$B$2:B4137))</f>
        <v>4136</v>
      </c>
      <c r="B4137" s="9" t="s">
        <v>53</v>
      </c>
      <c r="C4137" s="10" t="s">
        <v>54</v>
      </c>
      <c r="D4137" s="11">
        <v>45.792997334847563</v>
      </c>
      <c r="E4137" s="12">
        <f t="shared" si="64"/>
        <v>45575</v>
      </c>
    </row>
    <row r="4138" spans="1:5" x14ac:dyDescent="0.25">
      <c r="A4138" s="2">
        <f>IF(B4138="","",SUBTOTAL(3,$B$2:B4138))</f>
        <v>4137</v>
      </c>
      <c r="B4138" s="9" t="s">
        <v>48</v>
      </c>
      <c r="C4138" s="10" t="s">
        <v>49</v>
      </c>
      <c r="D4138" s="11">
        <v>48.259220958290243</v>
      </c>
      <c r="E4138" s="12">
        <f t="shared" si="64"/>
        <v>45576</v>
      </c>
    </row>
    <row r="4139" spans="1:5" x14ac:dyDescent="0.25">
      <c r="A4139" s="2">
        <f>IF(B4139="","",SUBTOTAL(3,$B$2:B4139))</f>
        <v>4138</v>
      </c>
      <c r="B4139" s="9" t="s">
        <v>48</v>
      </c>
      <c r="C4139" s="10" t="s">
        <v>52</v>
      </c>
      <c r="D4139" s="11">
        <v>68.941744226128904</v>
      </c>
      <c r="E4139" s="12">
        <f t="shared" si="64"/>
        <v>45577</v>
      </c>
    </row>
    <row r="4140" spans="1:5" x14ac:dyDescent="0.25">
      <c r="A4140" s="2">
        <f>IF(B4140="","",SUBTOTAL(3,$B$2:B4140))</f>
        <v>4139</v>
      </c>
      <c r="B4140" s="9" t="s">
        <v>50</v>
      </c>
      <c r="C4140" s="10" t="s">
        <v>52</v>
      </c>
      <c r="D4140" s="11">
        <v>22.045855379188712</v>
      </c>
      <c r="E4140" s="12">
        <f t="shared" si="64"/>
        <v>45578</v>
      </c>
    </row>
    <row r="4141" spans="1:5" x14ac:dyDescent="0.25">
      <c r="A4141" s="2">
        <f>IF(B4141="","",SUBTOTAL(3,$B$2:B4141))</f>
        <v>4140</v>
      </c>
      <c r="B4141" s="9" t="s">
        <v>50</v>
      </c>
      <c r="C4141" s="10" t="s">
        <v>49</v>
      </c>
      <c r="D4141" s="11">
        <v>1410.9347442680776</v>
      </c>
      <c r="E4141" s="12">
        <f t="shared" si="64"/>
        <v>45579</v>
      </c>
    </row>
    <row r="4142" spans="1:5" x14ac:dyDescent="0.25">
      <c r="A4142" s="2">
        <f>IF(B4142="","",SUBTOTAL(3,$B$2:B4142))</f>
        <v>4141</v>
      </c>
      <c r="B4142" s="9" t="s">
        <v>50</v>
      </c>
      <c r="C4142" s="10" t="s">
        <v>52</v>
      </c>
      <c r="D4142" s="11">
        <v>661.37566137566137</v>
      </c>
      <c r="E4142" s="12">
        <f t="shared" si="64"/>
        <v>45580</v>
      </c>
    </row>
    <row r="4143" spans="1:5" x14ac:dyDescent="0.25">
      <c r="A4143" s="2">
        <f>IF(B4143="","",SUBTOTAL(3,$B$2:B4143))</f>
        <v>4142</v>
      </c>
      <c r="B4143" s="9" t="s">
        <v>55</v>
      </c>
      <c r="C4143" s="10" t="s">
        <v>54</v>
      </c>
      <c r="D4143" s="11">
        <v>30</v>
      </c>
      <c r="E4143" s="12">
        <f t="shared" si="64"/>
        <v>45581</v>
      </c>
    </row>
    <row r="4144" spans="1:5" x14ac:dyDescent="0.25">
      <c r="A4144" s="2">
        <f>IF(B4144="","",SUBTOTAL(3,$B$2:B4144))</f>
        <v>4143</v>
      </c>
      <c r="B4144" s="9" t="s">
        <v>50</v>
      </c>
      <c r="C4144" s="10" t="s">
        <v>52</v>
      </c>
      <c r="D4144" s="11">
        <v>66.137566137566139</v>
      </c>
      <c r="E4144" s="12">
        <f t="shared" si="64"/>
        <v>45582</v>
      </c>
    </row>
    <row r="4145" spans="1:5" x14ac:dyDescent="0.25">
      <c r="A4145" s="2">
        <f>IF(B4145="","",SUBTOTAL(3,$B$2:B4145))</f>
        <v>4144</v>
      </c>
      <c r="B4145" s="9" t="s">
        <v>50</v>
      </c>
      <c r="C4145" s="10" t="s">
        <v>52</v>
      </c>
      <c r="D4145" s="11">
        <v>66.137566137566139</v>
      </c>
      <c r="E4145" s="12">
        <f t="shared" si="64"/>
        <v>45583</v>
      </c>
    </row>
    <row r="4146" spans="1:5" x14ac:dyDescent="0.25">
      <c r="A4146" s="2">
        <f>IF(B4146="","",SUBTOTAL(3,$B$2:B4146))</f>
        <v>4145</v>
      </c>
      <c r="B4146" s="9" t="s">
        <v>50</v>
      </c>
      <c r="C4146" s="10" t="s">
        <v>49</v>
      </c>
      <c r="D4146" s="11">
        <v>110.22927689594357</v>
      </c>
      <c r="E4146" s="12">
        <f t="shared" si="64"/>
        <v>45584</v>
      </c>
    </row>
    <row r="4147" spans="1:5" x14ac:dyDescent="0.25">
      <c r="A4147" s="2">
        <f>IF(B4147="","",SUBTOTAL(3,$B$2:B4147))</f>
        <v>4146</v>
      </c>
      <c r="B4147" s="9" t="s">
        <v>50</v>
      </c>
      <c r="C4147" s="10" t="s">
        <v>52</v>
      </c>
      <c r="D4147" s="11">
        <v>66.137566137566139</v>
      </c>
      <c r="E4147" s="12">
        <f t="shared" si="64"/>
        <v>45585</v>
      </c>
    </row>
    <row r="4148" spans="1:5" x14ac:dyDescent="0.25">
      <c r="A4148" s="2">
        <f>IF(B4148="","",SUBTOTAL(3,$B$2:B4148))</f>
        <v>4147</v>
      </c>
      <c r="B4148" s="9" t="s">
        <v>50</v>
      </c>
      <c r="C4148" s="10" t="s">
        <v>52</v>
      </c>
      <c r="D4148" s="11">
        <v>66.137566137566139</v>
      </c>
      <c r="E4148" s="12">
        <f t="shared" si="64"/>
        <v>45586</v>
      </c>
    </row>
    <row r="4149" spans="1:5" x14ac:dyDescent="0.25">
      <c r="A4149" s="2">
        <f>IF(B4149="","",SUBTOTAL(3,$B$2:B4149))</f>
        <v>4148</v>
      </c>
      <c r="B4149" s="9" t="s">
        <v>50</v>
      </c>
      <c r="C4149" s="10" t="s">
        <v>52</v>
      </c>
      <c r="D4149" s="11">
        <v>66.137566137566139</v>
      </c>
      <c r="E4149" s="12">
        <f t="shared" si="64"/>
        <v>45587</v>
      </c>
    </row>
    <row r="4150" spans="1:5" x14ac:dyDescent="0.25">
      <c r="A4150" s="2">
        <f>IF(B4150="","",SUBTOTAL(3,$B$2:B4150))</f>
        <v>4149</v>
      </c>
      <c r="B4150" s="9" t="s">
        <v>50</v>
      </c>
      <c r="C4150" s="10" t="s">
        <v>52</v>
      </c>
      <c r="D4150" s="11">
        <v>66.137566137566139</v>
      </c>
      <c r="E4150" s="12">
        <f t="shared" si="64"/>
        <v>45588</v>
      </c>
    </row>
    <row r="4151" spans="1:5" x14ac:dyDescent="0.25">
      <c r="A4151" s="2">
        <f>IF(B4151="","",SUBTOTAL(3,$B$2:B4151))</f>
        <v>4150</v>
      </c>
      <c r="B4151" s="9" t="s">
        <v>50</v>
      </c>
      <c r="C4151" s="10" t="s">
        <v>52</v>
      </c>
      <c r="D4151" s="11">
        <v>66.137566137566139</v>
      </c>
      <c r="E4151" s="12">
        <f t="shared" si="64"/>
        <v>45589</v>
      </c>
    </row>
    <row r="4152" spans="1:5" x14ac:dyDescent="0.25">
      <c r="A4152" s="2">
        <f>IF(B4152="","",SUBTOTAL(3,$B$2:B4152))</f>
        <v>4151</v>
      </c>
      <c r="B4152" s="9" t="s">
        <v>48</v>
      </c>
      <c r="C4152" s="10" t="s">
        <v>54</v>
      </c>
      <c r="D4152" s="11">
        <v>269.99229821318545</v>
      </c>
      <c r="E4152" s="12">
        <f t="shared" si="64"/>
        <v>45590</v>
      </c>
    </row>
    <row r="4153" spans="1:5" x14ac:dyDescent="0.25">
      <c r="A4153" s="2">
        <f>IF(B4153="","",SUBTOTAL(3,$B$2:B4153))</f>
        <v>4152</v>
      </c>
      <c r="B4153" s="9" t="s">
        <v>48</v>
      </c>
      <c r="C4153" s="10" t="s">
        <v>52</v>
      </c>
      <c r="D4153" s="11">
        <v>100</v>
      </c>
      <c r="E4153" s="12">
        <f t="shared" si="64"/>
        <v>45591</v>
      </c>
    </row>
    <row r="4154" spans="1:5" x14ac:dyDescent="0.25">
      <c r="A4154" s="2">
        <f>IF(B4154="","",SUBTOTAL(3,$B$2:B4154))</f>
        <v>4153</v>
      </c>
      <c r="B4154" s="9" t="s">
        <v>50</v>
      </c>
      <c r="C4154" s="10" t="s">
        <v>49</v>
      </c>
      <c r="D4154" s="11">
        <v>36.0810405643739</v>
      </c>
      <c r="E4154" s="12">
        <f t="shared" si="64"/>
        <v>45592</v>
      </c>
    </row>
    <row r="4155" spans="1:5" x14ac:dyDescent="0.25">
      <c r="A4155" s="2">
        <f>IF(B4155="","",SUBTOTAL(3,$B$2:B4155))</f>
        <v>4154</v>
      </c>
      <c r="B4155" s="9" t="s">
        <v>48</v>
      </c>
      <c r="C4155" s="10" t="s">
        <v>52</v>
      </c>
      <c r="D4155" s="11">
        <v>80</v>
      </c>
      <c r="E4155" s="12">
        <f t="shared" si="64"/>
        <v>45593</v>
      </c>
    </row>
    <row r="4156" spans="1:5" x14ac:dyDescent="0.25">
      <c r="A4156" s="2">
        <f>IF(B4156="","",SUBTOTAL(3,$B$2:B4156))</f>
        <v>4155</v>
      </c>
      <c r="B4156" s="9" t="s">
        <v>55</v>
      </c>
      <c r="C4156" s="10" t="s">
        <v>57</v>
      </c>
      <c r="D4156" s="11">
        <v>100</v>
      </c>
      <c r="E4156" s="12">
        <f t="shared" si="64"/>
        <v>45594</v>
      </c>
    </row>
    <row r="4157" spans="1:5" x14ac:dyDescent="0.25">
      <c r="A4157" s="2">
        <f>IF(B4157="","",SUBTOTAL(3,$B$2:B4157))</f>
        <v>4156</v>
      </c>
      <c r="B4157" s="9" t="s">
        <v>50</v>
      </c>
      <c r="C4157" s="10" t="s">
        <v>49</v>
      </c>
      <c r="D4157" s="11">
        <v>110.22927689594357</v>
      </c>
      <c r="E4157" s="12">
        <f t="shared" si="64"/>
        <v>45595</v>
      </c>
    </row>
    <row r="4158" spans="1:5" x14ac:dyDescent="0.25">
      <c r="A4158" s="2">
        <f>IF(B4158="","",SUBTOTAL(3,$B$2:B4158))</f>
        <v>4157</v>
      </c>
      <c r="B4158" s="9" t="s">
        <v>50</v>
      </c>
      <c r="C4158" s="10" t="s">
        <v>52</v>
      </c>
      <c r="D4158" s="11">
        <v>220.45855379188714</v>
      </c>
      <c r="E4158" s="12">
        <f t="shared" si="64"/>
        <v>45596</v>
      </c>
    </row>
    <row r="4159" spans="1:5" x14ac:dyDescent="0.25">
      <c r="A4159" s="2">
        <f>IF(B4159="","",SUBTOTAL(3,$B$2:B4159))</f>
        <v>4158</v>
      </c>
      <c r="B4159" s="9" t="s">
        <v>48</v>
      </c>
      <c r="C4159" s="10" t="s">
        <v>49</v>
      </c>
      <c r="D4159" s="11">
        <v>12.848020762401553</v>
      </c>
      <c r="E4159" s="12">
        <f t="shared" si="64"/>
        <v>45597</v>
      </c>
    </row>
    <row r="4160" spans="1:5" x14ac:dyDescent="0.25">
      <c r="A4160" s="2">
        <f>IF(B4160="","",SUBTOTAL(3,$B$2:B4160))</f>
        <v>4159</v>
      </c>
      <c r="B4160" s="9" t="s">
        <v>50</v>
      </c>
      <c r="C4160" s="10" t="s">
        <v>49</v>
      </c>
      <c r="D4160" s="11">
        <v>77.160493827160494</v>
      </c>
      <c r="E4160" s="12">
        <f t="shared" si="64"/>
        <v>45598</v>
      </c>
    </row>
    <row r="4161" spans="1:5" x14ac:dyDescent="0.25">
      <c r="A4161" s="2">
        <f>IF(B4161="","",SUBTOTAL(3,$B$2:B4161))</f>
        <v>4160</v>
      </c>
      <c r="B4161" s="9" t="s">
        <v>55</v>
      </c>
      <c r="C4161" s="10" t="s">
        <v>52</v>
      </c>
      <c r="D4161" s="11">
        <v>6.8939221117810012</v>
      </c>
      <c r="E4161" s="12">
        <f t="shared" si="64"/>
        <v>45599</v>
      </c>
    </row>
    <row r="4162" spans="1:5" x14ac:dyDescent="0.25">
      <c r="A4162" s="2">
        <f>IF(B4162="","",SUBTOTAL(3,$B$2:B4162))</f>
        <v>4161</v>
      </c>
      <c r="B4162" s="9" t="s">
        <v>55</v>
      </c>
      <c r="C4162" s="10" t="s">
        <v>52</v>
      </c>
      <c r="D4162" s="11">
        <v>379.14290369887567</v>
      </c>
      <c r="E4162" s="12">
        <f t="shared" si="64"/>
        <v>45600</v>
      </c>
    </row>
    <row r="4163" spans="1:5" x14ac:dyDescent="0.25">
      <c r="A4163" s="2">
        <f>IF(B4163="","",SUBTOTAL(3,$B$2:B4163))</f>
        <v>4162</v>
      </c>
      <c r="B4163" s="9" t="s">
        <v>55</v>
      </c>
      <c r="C4163" s="10" t="s">
        <v>52</v>
      </c>
      <c r="D4163" s="11">
        <v>6.8939221117810012</v>
      </c>
      <c r="E4163" s="12">
        <f t="shared" si="64"/>
        <v>45601</v>
      </c>
    </row>
    <row r="4164" spans="1:5" x14ac:dyDescent="0.25">
      <c r="A4164" s="2">
        <f>IF(B4164="","",SUBTOTAL(3,$B$2:B4164))</f>
        <v>4163</v>
      </c>
      <c r="B4164" s="9" t="s">
        <v>48</v>
      </c>
      <c r="C4164" s="10" t="s">
        <v>49</v>
      </c>
      <c r="D4164" s="11">
        <v>17.993795243019648</v>
      </c>
      <c r="E4164" s="12">
        <f t="shared" ref="E4164:E4227" si="65">E4163+1</f>
        <v>45602</v>
      </c>
    </row>
    <row r="4165" spans="1:5" x14ac:dyDescent="0.25">
      <c r="A4165" s="2">
        <f>IF(B4165="","",SUBTOTAL(3,$B$2:B4165))</f>
        <v>4164</v>
      </c>
      <c r="B4165" s="9" t="s">
        <v>48</v>
      </c>
      <c r="C4165" s="10" t="s">
        <v>49</v>
      </c>
      <c r="D4165" s="11">
        <v>34.470872113064452</v>
      </c>
      <c r="E4165" s="12">
        <f t="shared" si="65"/>
        <v>45603</v>
      </c>
    </row>
    <row r="4166" spans="1:5" x14ac:dyDescent="0.25">
      <c r="A4166" s="2">
        <f>IF(B4166="","",SUBTOTAL(3,$B$2:B4166))</f>
        <v>4165</v>
      </c>
      <c r="B4166" s="9" t="s">
        <v>48</v>
      </c>
      <c r="C4166" s="10" t="s">
        <v>56</v>
      </c>
      <c r="D4166" s="11">
        <v>689.41744226128924</v>
      </c>
      <c r="E4166" s="12">
        <f t="shared" si="65"/>
        <v>45604</v>
      </c>
    </row>
    <row r="4167" spans="1:5" x14ac:dyDescent="0.25">
      <c r="A4167" s="2">
        <f>IF(B4167="","",SUBTOTAL(3,$B$2:B4167))</f>
        <v>4166</v>
      </c>
      <c r="B4167" s="9" t="s">
        <v>48</v>
      </c>
      <c r="C4167" s="10" t="s">
        <v>49</v>
      </c>
      <c r="D4167" s="11">
        <v>5.2395725611857982</v>
      </c>
      <c r="E4167" s="12">
        <f t="shared" si="65"/>
        <v>45605</v>
      </c>
    </row>
    <row r="4168" spans="1:5" x14ac:dyDescent="0.25">
      <c r="A4168" s="2">
        <f>IF(B4168="","",SUBTOTAL(3,$B$2:B4168))</f>
        <v>4167</v>
      </c>
      <c r="B4168" s="9" t="s">
        <v>51</v>
      </c>
      <c r="C4168" s="10" t="s">
        <v>49</v>
      </c>
      <c r="D4168" s="11">
        <v>7.4128984432913265</v>
      </c>
      <c r="E4168" s="12">
        <f t="shared" si="65"/>
        <v>45606</v>
      </c>
    </row>
    <row r="4169" spans="1:5" x14ac:dyDescent="0.25">
      <c r="A4169" s="2">
        <f>IF(B4169="","",SUBTOTAL(3,$B$2:B4169))</f>
        <v>4168</v>
      </c>
      <c r="B4169" s="9" t="s">
        <v>50</v>
      </c>
      <c r="C4169" s="10" t="s">
        <v>49</v>
      </c>
      <c r="D4169" s="11">
        <v>11.022927689594356</v>
      </c>
      <c r="E4169" s="12">
        <f t="shared" si="65"/>
        <v>45607</v>
      </c>
    </row>
    <row r="4170" spans="1:5" x14ac:dyDescent="0.25">
      <c r="A4170" s="2">
        <f>IF(B4170="","",SUBTOTAL(3,$B$2:B4170))</f>
        <v>4169</v>
      </c>
      <c r="B4170" s="9" t="s">
        <v>50</v>
      </c>
      <c r="C4170" s="10" t="s">
        <v>49</v>
      </c>
      <c r="D4170" s="11">
        <v>35.273368606701936</v>
      </c>
      <c r="E4170" s="12">
        <f t="shared" si="65"/>
        <v>45608</v>
      </c>
    </row>
    <row r="4171" spans="1:5" x14ac:dyDescent="0.25">
      <c r="A4171" s="2">
        <f>IF(B4171="","",SUBTOTAL(3,$B$2:B4171))</f>
        <v>4170</v>
      </c>
      <c r="B4171" s="9" t="s">
        <v>48</v>
      </c>
      <c r="C4171" s="10" t="s">
        <v>52</v>
      </c>
      <c r="D4171" s="11">
        <v>15.403573629081947</v>
      </c>
      <c r="E4171" s="12">
        <f t="shared" si="65"/>
        <v>45609</v>
      </c>
    </row>
    <row r="4172" spans="1:5" x14ac:dyDescent="0.25">
      <c r="A4172" s="2">
        <f>IF(B4172="","",SUBTOTAL(3,$B$2:B4172))</f>
        <v>4171</v>
      </c>
      <c r="B4172" s="9" t="s">
        <v>53</v>
      </c>
      <c r="C4172" s="10" t="s">
        <v>54</v>
      </c>
      <c r="D4172" s="11">
        <v>9.1585994669695125</v>
      </c>
      <c r="E4172" s="12">
        <f t="shared" si="65"/>
        <v>45610</v>
      </c>
    </row>
    <row r="4173" spans="1:5" x14ac:dyDescent="0.25">
      <c r="A4173" s="2">
        <f>IF(B4173="","",SUBTOTAL(3,$B$2:B4173))</f>
        <v>4172</v>
      </c>
      <c r="B4173" s="9" t="s">
        <v>53</v>
      </c>
      <c r="C4173" s="10" t="s">
        <v>54</v>
      </c>
      <c r="D4173" s="11">
        <v>45.792997334847563</v>
      </c>
      <c r="E4173" s="12">
        <f t="shared" si="65"/>
        <v>45611</v>
      </c>
    </row>
    <row r="4174" spans="1:5" x14ac:dyDescent="0.25">
      <c r="A4174" s="2">
        <f>IF(B4174="","",SUBTOTAL(3,$B$2:B4174))</f>
        <v>4173</v>
      </c>
      <c r="B4174" s="9" t="s">
        <v>53</v>
      </c>
      <c r="C4174" s="10" t="s">
        <v>49</v>
      </c>
      <c r="D4174" s="11">
        <v>45.792997334847563</v>
      </c>
      <c r="E4174" s="12">
        <f t="shared" si="65"/>
        <v>45612</v>
      </c>
    </row>
    <row r="4175" spans="1:5" x14ac:dyDescent="0.25">
      <c r="A4175" s="2">
        <f>IF(B4175="","",SUBTOTAL(3,$B$2:B4175))</f>
        <v>4174</v>
      </c>
      <c r="B4175" s="9" t="s">
        <v>53</v>
      </c>
      <c r="C4175" s="10" t="s">
        <v>54</v>
      </c>
      <c r="D4175" s="11">
        <v>109.90319360363415</v>
      </c>
      <c r="E4175" s="12">
        <f t="shared" si="65"/>
        <v>45613</v>
      </c>
    </row>
    <row r="4176" spans="1:5" x14ac:dyDescent="0.25">
      <c r="A4176" s="2">
        <f>IF(B4176="","",SUBTOTAL(3,$B$2:B4176))</f>
        <v>4175</v>
      </c>
      <c r="B4176" s="9" t="s">
        <v>48</v>
      </c>
      <c r="C4176" s="10" t="s">
        <v>52</v>
      </c>
      <c r="D4176" s="11">
        <v>80</v>
      </c>
      <c r="E4176" s="12">
        <f t="shared" si="65"/>
        <v>45614</v>
      </c>
    </row>
    <row r="4177" spans="1:5" x14ac:dyDescent="0.25">
      <c r="A4177" s="2">
        <f>IF(B4177="","",SUBTOTAL(3,$B$2:B4177))</f>
        <v>4176</v>
      </c>
      <c r="B4177" s="9" t="s">
        <v>53</v>
      </c>
      <c r="C4177" s="10" t="s">
        <v>49</v>
      </c>
      <c r="D4177" s="11">
        <v>91.585994669695125</v>
      </c>
      <c r="E4177" s="12">
        <f t="shared" si="65"/>
        <v>45615</v>
      </c>
    </row>
    <row r="4178" spans="1:5" x14ac:dyDescent="0.25">
      <c r="A4178" s="2">
        <f>IF(B4178="","",SUBTOTAL(3,$B$2:B4178))</f>
        <v>4177</v>
      </c>
      <c r="B4178" s="9" t="s">
        <v>53</v>
      </c>
      <c r="C4178" s="10" t="s">
        <v>49</v>
      </c>
      <c r="D4178" s="11">
        <v>183.17198933939025</v>
      </c>
      <c r="E4178" s="12">
        <f t="shared" si="65"/>
        <v>45616</v>
      </c>
    </row>
    <row r="4179" spans="1:5" x14ac:dyDescent="0.25">
      <c r="A4179" s="2">
        <f>IF(B4179="","",SUBTOTAL(3,$B$2:B4179))</f>
        <v>4178</v>
      </c>
      <c r="B4179" s="9" t="s">
        <v>53</v>
      </c>
      <c r="C4179" s="10" t="s">
        <v>49</v>
      </c>
      <c r="D4179" s="11">
        <v>45.792997334847563</v>
      </c>
      <c r="E4179" s="12">
        <f t="shared" si="65"/>
        <v>45617</v>
      </c>
    </row>
    <row r="4180" spans="1:5" x14ac:dyDescent="0.25">
      <c r="A4180" s="2">
        <f>IF(B4180="","",SUBTOTAL(3,$B$2:B4180))</f>
        <v>4179</v>
      </c>
      <c r="B4180" s="9" t="s">
        <v>51</v>
      </c>
      <c r="C4180" s="10" t="s">
        <v>49</v>
      </c>
      <c r="D4180" s="11">
        <v>79.026792332945035</v>
      </c>
      <c r="E4180" s="12">
        <f t="shared" si="65"/>
        <v>45618</v>
      </c>
    </row>
    <row r="4181" spans="1:5" x14ac:dyDescent="0.25">
      <c r="A4181" s="2">
        <f>IF(B4181="","",SUBTOTAL(3,$B$2:B4181))</f>
        <v>4180</v>
      </c>
      <c r="B4181" s="9" t="s">
        <v>51</v>
      </c>
      <c r="C4181" s="10" t="s">
        <v>49</v>
      </c>
      <c r="D4181" s="11">
        <v>52.949274594938046</v>
      </c>
      <c r="E4181" s="12">
        <f t="shared" si="65"/>
        <v>45619</v>
      </c>
    </row>
    <row r="4182" spans="1:5" x14ac:dyDescent="0.25">
      <c r="A4182" s="2">
        <f>IF(B4182="","",SUBTOTAL(3,$B$2:B4182))</f>
        <v>4181</v>
      </c>
      <c r="B4182" s="9" t="s">
        <v>51</v>
      </c>
      <c r="C4182" s="10" t="s">
        <v>49</v>
      </c>
      <c r="D4182" s="11">
        <v>7.4128984432913265</v>
      </c>
      <c r="E4182" s="12">
        <f t="shared" si="65"/>
        <v>45620</v>
      </c>
    </row>
    <row r="4183" spans="1:5" x14ac:dyDescent="0.25">
      <c r="A4183" s="2">
        <f>IF(B4183="","",SUBTOTAL(3,$B$2:B4183))</f>
        <v>4182</v>
      </c>
      <c r="B4183" s="9" t="s">
        <v>48</v>
      </c>
      <c r="C4183" s="10" t="s">
        <v>54</v>
      </c>
      <c r="D4183" s="11">
        <v>64</v>
      </c>
      <c r="E4183" s="12">
        <f t="shared" si="65"/>
        <v>45621</v>
      </c>
    </row>
    <row r="4184" spans="1:5" x14ac:dyDescent="0.25">
      <c r="A4184" s="2">
        <f>IF(B4184="","",SUBTOTAL(3,$B$2:B4184))</f>
        <v>4183</v>
      </c>
      <c r="B4184" s="9" t="s">
        <v>50</v>
      </c>
      <c r="C4184" s="10" t="s">
        <v>52</v>
      </c>
      <c r="D4184" s="11">
        <v>66.137566137566139</v>
      </c>
      <c r="E4184" s="12">
        <f t="shared" si="65"/>
        <v>45622</v>
      </c>
    </row>
    <row r="4185" spans="1:5" x14ac:dyDescent="0.25">
      <c r="A4185" s="2">
        <f>IF(B4185="","",SUBTOTAL(3,$B$2:B4185))</f>
        <v>4184</v>
      </c>
      <c r="B4185" s="9" t="s">
        <v>50</v>
      </c>
      <c r="C4185" s="10" t="s">
        <v>52</v>
      </c>
      <c r="D4185" s="11">
        <v>66.137566137566139</v>
      </c>
      <c r="E4185" s="12">
        <f t="shared" si="65"/>
        <v>45623</v>
      </c>
    </row>
    <row r="4186" spans="1:5" x14ac:dyDescent="0.25">
      <c r="A4186" s="2">
        <f>IF(B4186="","",SUBTOTAL(3,$B$2:B4186))</f>
        <v>4185</v>
      </c>
      <c r="B4186" s="9" t="s">
        <v>50</v>
      </c>
      <c r="C4186" s="10" t="s">
        <v>52</v>
      </c>
      <c r="D4186" s="11">
        <v>66.137566137566139</v>
      </c>
      <c r="E4186" s="12">
        <f t="shared" si="65"/>
        <v>45624</v>
      </c>
    </row>
    <row r="4187" spans="1:5" x14ac:dyDescent="0.25">
      <c r="A4187" s="2">
        <f>IF(B4187="","",SUBTOTAL(3,$B$2:B4187))</f>
        <v>4186</v>
      </c>
      <c r="B4187" s="9" t="s">
        <v>50</v>
      </c>
      <c r="C4187" s="10" t="s">
        <v>49</v>
      </c>
      <c r="D4187" s="11">
        <v>110.22927689594357</v>
      </c>
      <c r="E4187" s="12">
        <f t="shared" si="65"/>
        <v>45625</v>
      </c>
    </row>
    <row r="4188" spans="1:5" x14ac:dyDescent="0.25">
      <c r="A4188" s="2">
        <f>IF(B4188="","",SUBTOTAL(3,$B$2:B4188))</f>
        <v>4187</v>
      </c>
      <c r="B4188" s="9" t="s">
        <v>50</v>
      </c>
      <c r="C4188" s="10" t="s">
        <v>52</v>
      </c>
      <c r="D4188" s="11">
        <v>66.137566137566139</v>
      </c>
      <c r="E4188" s="12">
        <f t="shared" si="65"/>
        <v>45626</v>
      </c>
    </row>
    <row r="4189" spans="1:5" x14ac:dyDescent="0.25">
      <c r="A4189" s="2">
        <f>IF(B4189="","",SUBTOTAL(3,$B$2:B4189))</f>
        <v>4188</v>
      </c>
      <c r="B4189" s="9" t="s">
        <v>48</v>
      </c>
      <c r="C4189" s="10" t="s">
        <v>49</v>
      </c>
      <c r="D4189" s="11">
        <v>385.44062287204662</v>
      </c>
      <c r="E4189" s="12">
        <f t="shared" si="65"/>
        <v>45627</v>
      </c>
    </row>
    <row r="4190" spans="1:5" x14ac:dyDescent="0.25">
      <c r="A4190" s="2">
        <f>IF(B4190="","",SUBTOTAL(3,$B$2:B4190))</f>
        <v>4189</v>
      </c>
      <c r="B4190" s="9" t="s">
        <v>50</v>
      </c>
      <c r="C4190" s="10" t="s">
        <v>52</v>
      </c>
      <c r="D4190" s="11">
        <v>55.114638447971785</v>
      </c>
      <c r="E4190" s="12">
        <f t="shared" si="65"/>
        <v>45628</v>
      </c>
    </row>
    <row r="4191" spans="1:5" x14ac:dyDescent="0.25">
      <c r="A4191" s="2">
        <f>IF(B4191="","",SUBTOTAL(3,$B$2:B4191))</f>
        <v>4190</v>
      </c>
      <c r="B4191" s="9" t="s">
        <v>51</v>
      </c>
      <c r="C4191" s="10" t="s">
        <v>52</v>
      </c>
      <c r="D4191" s="11">
        <v>40.515355319666149</v>
      </c>
      <c r="E4191" s="12">
        <f t="shared" si="65"/>
        <v>45629</v>
      </c>
    </row>
    <row r="4192" spans="1:5" x14ac:dyDescent="0.25">
      <c r="A4192" s="2">
        <f>IF(B4192="","",SUBTOTAL(3,$B$2:B4192))</f>
        <v>4191</v>
      </c>
      <c r="B4192" s="9" t="s">
        <v>50</v>
      </c>
      <c r="C4192" s="10" t="s">
        <v>52</v>
      </c>
      <c r="D4192" s="11">
        <v>88.183421516754848</v>
      </c>
      <c r="E4192" s="12">
        <f t="shared" si="65"/>
        <v>45630</v>
      </c>
    </row>
    <row r="4193" spans="1:5" x14ac:dyDescent="0.25">
      <c r="A4193" s="2">
        <f>IF(B4193="","",SUBTOTAL(3,$B$2:B4193))</f>
        <v>4192</v>
      </c>
      <c r="B4193" s="9" t="s">
        <v>50</v>
      </c>
      <c r="C4193" s="10" t="s">
        <v>54</v>
      </c>
      <c r="D4193" s="11">
        <v>55.114638447971785</v>
      </c>
      <c r="E4193" s="12">
        <f t="shared" si="65"/>
        <v>45631</v>
      </c>
    </row>
    <row r="4194" spans="1:5" x14ac:dyDescent="0.25">
      <c r="A4194" s="2">
        <f>IF(B4194="","",SUBTOTAL(3,$B$2:B4194))</f>
        <v>4193</v>
      </c>
      <c r="B4194" s="9" t="s">
        <v>48</v>
      </c>
      <c r="C4194" s="10" t="s">
        <v>52</v>
      </c>
      <c r="D4194" s="11">
        <v>167.02426991122019</v>
      </c>
      <c r="E4194" s="12">
        <f t="shared" si="65"/>
        <v>45632</v>
      </c>
    </row>
    <row r="4195" spans="1:5" x14ac:dyDescent="0.25">
      <c r="A4195" s="2">
        <f>IF(B4195="","",SUBTOTAL(3,$B$2:B4195))</f>
        <v>4194</v>
      </c>
      <c r="B4195" s="9" t="s">
        <v>55</v>
      </c>
      <c r="C4195" s="10" t="s">
        <v>49</v>
      </c>
      <c r="D4195" s="11">
        <v>164.52022611659876</v>
      </c>
      <c r="E4195" s="12">
        <f t="shared" si="65"/>
        <v>45633</v>
      </c>
    </row>
    <row r="4196" spans="1:5" x14ac:dyDescent="0.25">
      <c r="A4196" s="2">
        <f>IF(B4196="","",SUBTOTAL(3,$B$2:B4196))</f>
        <v>4195</v>
      </c>
      <c r="B4196" s="9" t="s">
        <v>48</v>
      </c>
      <c r="C4196" s="10" t="s">
        <v>49</v>
      </c>
      <c r="D4196" s="11">
        <v>69.241581334395434</v>
      </c>
      <c r="E4196" s="12">
        <f t="shared" si="65"/>
        <v>45634</v>
      </c>
    </row>
    <row r="4197" spans="1:5" x14ac:dyDescent="0.25">
      <c r="A4197" s="2">
        <f>IF(B4197="","",SUBTOTAL(3,$B$2:B4197))</f>
        <v>4196</v>
      </c>
      <c r="B4197" s="9" t="s">
        <v>50</v>
      </c>
      <c r="C4197" s="10" t="s">
        <v>52</v>
      </c>
      <c r="D4197" s="11">
        <v>77.160493827160494</v>
      </c>
      <c r="E4197" s="12">
        <f t="shared" si="65"/>
        <v>45635</v>
      </c>
    </row>
    <row r="4198" spans="1:5" x14ac:dyDescent="0.25">
      <c r="A4198" s="2">
        <f>IF(B4198="","",SUBTOTAL(3,$B$2:B4198))</f>
        <v>4197</v>
      </c>
      <c r="B4198" s="9" t="s">
        <v>50</v>
      </c>
      <c r="C4198" s="10" t="s">
        <v>49</v>
      </c>
      <c r="D4198" s="11">
        <v>44.091710758377424</v>
      </c>
      <c r="E4198" s="12">
        <f t="shared" si="65"/>
        <v>45636</v>
      </c>
    </row>
    <row r="4199" spans="1:5" x14ac:dyDescent="0.25">
      <c r="A4199" s="2">
        <f>IF(B4199="","",SUBTOTAL(3,$B$2:B4199))</f>
        <v>4198</v>
      </c>
      <c r="B4199" s="9" t="s">
        <v>48</v>
      </c>
      <c r="C4199" s="10" t="s">
        <v>49</v>
      </c>
      <c r="D4199" s="11">
        <v>41.365046535677351</v>
      </c>
      <c r="E4199" s="12">
        <f t="shared" si="65"/>
        <v>45637</v>
      </c>
    </row>
    <row r="4200" spans="1:5" x14ac:dyDescent="0.25">
      <c r="A4200" s="2">
        <f>IF(B4200="","",SUBTOTAL(3,$B$2:B4200))</f>
        <v>4199</v>
      </c>
      <c r="B4200" s="9" t="s">
        <v>48</v>
      </c>
      <c r="C4200" s="10" t="s">
        <v>52</v>
      </c>
      <c r="D4200" s="11">
        <v>344.70872113064462</v>
      </c>
      <c r="E4200" s="12">
        <f t="shared" si="65"/>
        <v>45638</v>
      </c>
    </row>
    <row r="4201" spans="1:5" x14ac:dyDescent="0.25">
      <c r="A4201" s="2">
        <f>IF(B4201="","",SUBTOTAL(3,$B$2:B4201))</f>
        <v>4200</v>
      </c>
      <c r="B4201" s="9" t="s">
        <v>50</v>
      </c>
      <c r="C4201" s="10" t="s">
        <v>49</v>
      </c>
      <c r="D4201" s="11">
        <v>165.34391534391534</v>
      </c>
      <c r="E4201" s="12">
        <f t="shared" si="65"/>
        <v>45639</v>
      </c>
    </row>
    <row r="4202" spans="1:5" x14ac:dyDescent="0.25">
      <c r="A4202" s="2">
        <f>IF(B4202="","",SUBTOTAL(3,$B$2:B4202))</f>
        <v>4201</v>
      </c>
      <c r="B4202" s="9" t="s">
        <v>48</v>
      </c>
      <c r="C4202" s="10" t="s">
        <v>49</v>
      </c>
      <c r="D4202" s="11">
        <v>61.614294516327789</v>
      </c>
      <c r="E4202" s="12">
        <f t="shared" si="65"/>
        <v>45640</v>
      </c>
    </row>
    <row r="4203" spans="1:5" x14ac:dyDescent="0.25">
      <c r="A4203" s="2">
        <f>IF(B4203="","",SUBTOTAL(3,$B$2:B4203))</f>
        <v>4202</v>
      </c>
      <c r="B4203" s="9" t="s">
        <v>48</v>
      </c>
      <c r="C4203" s="10" t="s">
        <v>52</v>
      </c>
      <c r="D4203" s="11">
        <v>308.07147258163894</v>
      </c>
      <c r="E4203" s="12">
        <f t="shared" si="65"/>
        <v>45641</v>
      </c>
    </row>
    <row r="4204" spans="1:5" x14ac:dyDescent="0.25">
      <c r="A4204" s="2">
        <f>IF(B4204="","",SUBTOTAL(3,$B$2:B4204))</f>
        <v>4203</v>
      </c>
      <c r="B4204" s="9" t="s">
        <v>48</v>
      </c>
      <c r="C4204" s="10" t="s">
        <v>54</v>
      </c>
      <c r="D4204" s="11">
        <v>154.03573629081947</v>
      </c>
      <c r="E4204" s="12">
        <f t="shared" si="65"/>
        <v>45642</v>
      </c>
    </row>
    <row r="4205" spans="1:5" x14ac:dyDescent="0.25">
      <c r="A4205" s="2">
        <f>IF(B4205="","",SUBTOTAL(3,$B$2:B4205))</f>
        <v>4204</v>
      </c>
      <c r="B4205" s="9" t="s">
        <v>48</v>
      </c>
      <c r="C4205" s="10" t="s">
        <v>52</v>
      </c>
      <c r="D4205" s="11">
        <v>194.64751455038353</v>
      </c>
      <c r="E4205" s="12">
        <f t="shared" si="65"/>
        <v>45643</v>
      </c>
    </row>
    <row r="4206" spans="1:5" x14ac:dyDescent="0.25">
      <c r="A4206" s="2">
        <f>IF(B4206="","",SUBTOTAL(3,$B$2:B4206))</f>
        <v>4205</v>
      </c>
      <c r="B4206" s="9" t="s">
        <v>48</v>
      </c>
      <c r="C4206" s="10" t="s">
        <v>52</v>
      </c>
      <c r="D4206" s="11">
        <v>123.22858903265558</v>
      </c>
      <c r="E4206" s="12">
        <f t="shared" si="65"/>
        <v>45644</v>
      </c>
    </row>
    <row r="4207" spans="1:5" x14ac:dyDescent="0.25">
      <c r="A4207" s="2">
        <f>IF(B4207="","",SUBTOTAL(3,$B$2:B4207))</f>
        <v>4206</v>
      </c>
      <c r="B4207" s="9" t="s">
        <v>55</v>
      </c>
      <c r="C4207" s="10" t="s">
        <v>52</v>
      </c>
      <c r="D4207" s="11">
        <v>18.957145184943784</v>
      </c>
      <c r="E4207" s="12">
        <f t="shared" si="65"/>
        <v>45645</v>
      </c>
    </row>
    <row r="4208" spans="1:5" x14ac:dyDescent="0.25">
      <c r="A4208" s="2">
        <f>IF(B4208="","",SUBTOTAL(3,$B$2:B4208))</f>
        <v>4207</v>
      </c>
      <c r="B4208" s="9" t="s">
        <v>50</v>
      </c>
      <c r="C4208" s="10" t="s">
        <v>49</v>
      </c>
      <c r="D4208" s="11">
        <v>391.73686067019401</v>
      </c>
      <c r="E4208" s="12">
        <f t="shared" si="65"/>
        <v>45646</v>
      </c>
    </row>
    <row r="4209" spans="1:5" x14ac:dyDescent="0.25">
      <c r="A4209" s="2">
        <f>IF(B4209="","",SUBTOTAL(3,$B$2:B4209))</f>
        <v>4208</v>
      </c>
      <c r="B4209" s="9" t="s">
        <v>50</v>
      </c>
      <c r="C4209" s="10" t="s">
        <v>52</v>
      </c>
      <c r="D4209" s="11">
        <v>33.06878306878307</v>
      </c>
      <c r="E4209" s="12">
        <f t="shared" si="65"/>
        <v>45647</v>
      </c>
    </row>
    <row r="4210" spans="1:5" x14ac:dyDescent="0.25">
      <c r="A4210" s="2">
        <f>IF(B4210="","",SUBTOTAL(3,$B$2:B4210))</f>
        <v>4209</v>
      </c>
      <c r="B4210" s="9" t="s">
        <v>48</v>
      </c>
      <c r="C4210" s="10" t="s">
        <v>52</v>
      </c>
      <c r="D4210" s="11">
        <v>435.61906962415281</v>
      </c>
      <c r="E4210" s="12">
        <f t="shared" si="65"/>
        <v>45648</v>
      </c>
    </row>
    <row r="4211" spans="1:5" x14ac:dyDescent="0.25">
      <c r="A4211" s="2">
        <f>IF(B4211="","",SUBTOTAL(3,$B$2:B4211))</f>
        <v>4210</v>
      </c>
      <c r="B4211" s="9" t="s">
        <v>50</v>
      </c>
      <c r="C4211" s="10" t="s">
        <v>49</v>
      </c>
      <c r="D4211" s="11">
        <v>220.45855379188714</v>
      </c>
      <c r="E4211" s="12">
        <f t="shared" si="65"/>
        <v>45649</v>
      </c>
    </row>
    <row r="4212" spans="1:5" x14ac:dyDescent="0.25">
      <c r="A4212" s="2">
        <f>IF(B4212="","",SUBTOTAL(3,$B$2:B4212))</f>
        <v>4211</v>
      </c>
      <c r="B4212" s="9" t="s">
        <v>50</v>
      </c>
      <c r="C4212" s="10" t="s">
        <v>49</v>
      </c>
      <c r="D4212" s="11">
        <v>1.8077601410934742E-5</v>
      </c>
      <c r="E4212" s="12">
        <f t="shared" si="65"/>
        <v>45650</v>
      </c>
    </row>
    <row r="4213" spans="1:5" x14ac:dyDescent="0.25">
      <c r="A4213" s="2">
        <f>IF(B4213="","",SUBTOTAL(3,$B$2:B4213))</f>
        <v>4212</v>
      </c>
      <c r="B4213" s="9" t="s">
        <v>55</v>
      </c>
      <c r="C4213" s="10" t="s">
        <v>49</v>
      </c>
      <c r="D4213" s="11">
        <v>107.93678474831697</v>
      </c>
      <c r="E4213" s="12">
        <f t="shared" si="65"/>
        <v>45651</v>
      </c>
    </row>
    <row r="4214" spans="1:5" x14ac:dyDescent="0.25">
      <c r="A4214" s="2">
        <f>IF(B4214="","",SUBTOTAL(3,$B$2:B4214))</f>
        <v>4213</v>
      </c>
      <c r="B4214" s="9" t="s">
        <v>51</v>
      </c>
      <c r="C4214" s="10" t="s">
        <v>49</v>
      </c>
      <c r="D4214" s="11">
        <v>105.89854918987609</v>
      </c>
      <c r="E4214" s="12">
        <f t="shared" si="65"/>
        <v>45652</v>
      </c>
    </row>
    <row r="4215" spans="1:5" x14ac:dyDescent="0.25">
      <c r="A4215" s="2">
        <f>IF(B4215="","",SUBTOTAL(3,$B$2:B4215))</f>
        <v>4214</v>
      </c>
      <c r="B4215" s="9" t="s">
        <v>50</v>
      </c>
      <c r="C4215" s="10" t="s">
        <v>54</v>
      </c>
      <c r="D4215" s="11">
        <v>176.3668430335097</v>
      </c>
      <c r="E4215" s="12">
        <f t="shared" si="65"/>
        <v>45653</v>
      </c>
    </row>
    <row r="4216" spans="1:5" x14ac:dyDescent="0.25">
      <c r="A4216" s="2">
        <f>IF(B4216="","",SUBTOTAL(3,$B$2:B4216))</f>
        <v>4215</v>
      </c>
      <c r="B4216" s="9" t="s">
        <v>50</v>
      </c>
      <c r="C4216" s="10" t="s">
        <v>54</v>
      </c>
      <c r="D4216" s="11">
        <v>220.45855379188714</v>
      </c>
      <c r="E4216" s="12">
        <f t="shared" si="65"/>
        <v>45654</v>
      </c>
    </row>
    <row r="4217" spans="1:5" x14ac:dyDescent="0.25">
      <c r="A4217" s="2">
        <f>IF(B4217="","",SUBTOTAL(3,$B$2:B4217))</f>
        <v>4216</v>
      </c>
      <c r="B4217" s="9" t="s">
        <v>50</v>
      </c>
      <c r="C4217" s="10" t="s">
        <v>54</v>
      </c>
      <c r="D4217" s="11">
        <v>154.32098765432099</v>
      </c>
      <c r="E4217" s="12">
        <f t="shared" si="65"/>
        <v>45655</v>
      </c>
    </row>
    <row r="4218" spans="1:5" x14ac:dyDescent="0.25">
      <c r="A4218" s="2">
        <f>IF(B4218="","",SUBTOTAL(3,$B$2:B4218))</f>
        <v>4217</v>
      </c>
      <c r="B4218" s="9" t="s">
        <v>50</v>
      </c>
      <c r="C4218" s="10" t="s">
        <v>54</v>
      </c>
      <c r="D4218" s="11">
        <v>154.32098765432099</v>
      </c>
      <c r="E4218" s="12">
        <f t="shared" si="65"/>
        <v>45656</v>
      </c>
    </row>
    <row r="4219" spans="1:5" x14ac:dyDescent="0.25">
      <c r="A4219" s="2">
        <f>IF(B4219="","",SUBTOTAL(3,$B$2:B4219))</f>
        <v>4218</v>
      </c>
      <c r="B4219" s="9" t="s">
        <v>50</v>
      </c>
      <c r="C4219" s="10" t="s">
        <v>54</v>
      </c>
      <c r="D4219" s="11">
        <v>154.32098765432099</v>
      </c>
      <c r="E4219" s="12">
        <f t="shared" si="65"/>
        <v>45657</v>
      </c>
    </row>
    <row r="4220" spans="1:5" x14ac:dyDescent="0.25">
      <c r="A4220" s="2">
        <f>IF(B4220="","",SUBTOTAL(3,$B$2:B4220))</f>
        <v>4219</v>
      </c>
      <c r="B4220" s="9" t="s">
        <v>50</v>
      </c>
      <c r="C4220" s="10" t="s">
        <v>49</v>
      </c>
      <c r="D4220" s="11">
        <v>46.957671957671955</v>
      </c>
      <c r="E4220" s="12">
        <f t="shared" si="65"/>
        <v>45658</v>
      </c>
    </row>
    <row r="4221" spans="1:5" x14ac:dyDescent="0.25">
      <c r="A4221" s="2">
        <f>IF(B4221="","",SUBTOTAL(3,$B$2:B4221))</f>
        <v>4220</v>
      </c>
      <c r="B4221" s="9" t="s">
        <v>50</v>
      </c>
      <c r="C4221" s="10" t="s">
        <v>52</v>
      </c>
      <c r="D4221" s="11">
        <v>0.88183421516754856</v>
      </c>
      <c r="E4221" s="12">
        <f t="shared" si="65"/>
        <v>45659</v>
      </c>
    </row>
    <row r="4222" spans="1:5" x14ac:dyDescent="0.25">
      <c r="A4222" s="2">
        <f>IF(B4222="","",SUBTOTAL(3,$B$2:B4222))</f>
        <v>4221</v>
      </c>
      <c r="B4222" s="9" t="s">
        <v>50</v>
      </c>
      <c r="C4222" s="10" t="s">
        <v>49</v>
      </c>
      <c r="D4222" s="11">
        <v>100</v>
      </c>
      <c r="E4222" s="12">
        <f t="shared" si="65"/>
        <v>45660</v>
      </c>
    </row>
    <row r="4223" spans="1:5" x14ac:dyDescent="0.25">
      <c r="A4223" s="2">
        <f>IF(B4223="","",SUBTOTAL(3,$B$2:B4223))</f>
        <v>4222</v>
      </c>
      <c r="B4223" s="9" t="s">
        <v>55</v>
      </c>
      <c r="C4223" s="10" t="s">
        <v>56</v>
      </c>
      <c r="D4223" s="11">
        <v>30</v>
      </c>
      <c r="E4223" s="12">
        <f t="shared" si="65"/>
        <v>45661</v>
      </c>
    </row>
    <row r="4224" spans="1:5" x14ac:dyDescent="0.25">
      <c r="A4224" s="2">
        <f>IF(B4224="","",SUBTOTAL(3,$B$2:B4224))</f>
        <v>4223</v>
      </c>
      <c r="B4224" s="9" t="s">
        <v>50</v>
      </c>
      <c r="C4224" s="10" t="s">
        <v>54</v>
      </c>
      <c r="D4224" s="11">
        <v>176.3668430335097</v>
      </c>
      <c r="E4224" s="12">
        <f t="shared" si="65"/>
        <v>45662</v>
      </c>
    </row>
    <row r="4225" spans="1:5" x14ac:dyDescent="0.25">
      <c r="A4225" s="2">
        <f>IF(B4225="","",SUBTOTAL(3,$B$2:B4225))</f>
        <v>4224</v>
      </c>
      <c r="B4225" s="9" t="s">
        <v>50</v>
      </c>
      <c r="C4225" s="10" t="s">
        <v>54</v>
      </c>
      <c r="D4225" s="11">
        <v>70.546737213403873</v>
      </c>
      <c r="E4225" s="12">
        <f t="shared" si="65"/>
        <v>45663</v>
      </c>
    </row>
    <row r="4226" spans="1:5" x14ac:dyDescent="0.25">
      <c r="A4226" s="2">
        <f>IF(B4226="","",SUBTOTAL(3,$B$2:B4226))</f>
        <v>4225</v>
      </c>
      <c r="B4226" s="9" t="s">
        <v>50</v>
      </c>
      <c r="C4226" s="10" t="s">
        <v>54</v>
      </c>
      <c r="D4226" s="11">
        <v>220.45855379188714</v>
      </c>
      <c r="E4226" s="12">
        <f t="shared" si="65"/>
        <v>45664</v>
      </c>
    </row>
    <row r="4227" spans="1:5" x14ac:dyDescent="0.25">
      <c r="A4227" s="2">
        <f>IF(B4227="","",SUBTOTAL(3,$B$2:B4227))</f>
        <v>4226</v>
      </c>
      <c r="B4227" s="9" t="s">
        <v>50</v>
      </c>
      <c r="C4227" s="10" t="s">
        <v>54</v>
      </c>
      <c r="D4227" s="11">
        <v>132.27513227513228</v>
      </c>
      <c r="E4227" s="12">
        <f t="shared" si="65"/>
        <v>45665</v>
      </c>
    </row>
    <row r="4228" spans="1:5" x14ac:dyDescent="0.25">
      <c r="A4228" s="2">
        <f>IF(B4228="","",SUBTOTAL(3,$B$2:B4228))</f>
        <v>4227</v>
      </c>
      <c r="B4228" s="9" t="s">
        <v>48</v>
      </c>
      <c r="C4228" s="10" t="s">
        <v>49</v>
      </c>
      <c r="D4228" s="11">
        <v>38.54406228720466</v>
      </c>
      <c r="E4228" s="12">
        <f t="shared" ref="E4228:E4291" si="66">E4227+1</f>
        <v>45666</v>
      </c>
    </row>
    <row r="4229" spans="1:5" x14ac:dyDescent="0.25">
      <c r="A4229" s="2">
        <f>IF(B4229="","",SUBTOTAL(3,$B$2:B4229))</f>
        <v>4228</v>
      </c>
      <c r="B4229" s="9" t="s">
        <v>50</v>
      </c>
      <c r="C4229" s="10" t="s">
        <v>49</v>
      </c>
      <c r="D4229" s="11">
        <v>200.61728395061726</v>
      </c>
      <c r="E4229" s="12">
        <f t="shared" si="66"/>
        <v>45667</v>
      </c>
    </row>
    <row r="4230" spans="1:5" x14ac:dyDescent="0.25">
      <c r="A4230" s="2">
        <f>IF(B4230="","",SUBTOTAL(3,$B$2:B4230))</f>
        <v>4229</v>
      </c>
      <c r="B4230" s="9" t="s">
        <v>50</v>
      </c>
      <c r="C4230" s="10" t="s">
        <v>54</v>
      </c>
      <c r="D4230" s="11">
        <v>66.137566137566139</v>
      </c>
      <c r="E4230" s="12">
        <f t="shared" si="66"/>
        <v>45668</v>
      </c>
    </row>
    <row r="4231" spans="1:5" x14ac:dyDescent="0.25">
      <c r="A4231" s="2">
        <f>IF(B4231="","",SUBTOTAL(3,$B$2:B4231))</f>
        <v>4230</v>
      </c>
      <c r="B4231" s="9" t="s">
        <v>48</v>
      </c>
      <c r="C4231" s="10" t="s">
        <v>49</v>
      </c>
      <c r="D4231" s="11">
        <v>104.74430067775724</v>
      </c>
      <c r="E4231" s="12">
        <f t="shared" si="66"/>
        <v>45669</v>
      </c>
    </row>
    <row r="4232" spans="1:5" x14ac:dyDescent="0.25">
      <c r="A4232" s="2">
        <f>IF(B4232="","",SUBTOTAL(3,$B$2:B4232))</f>
        <v>4231</v>
      </c>
      <c r="B4232" s="9" t="s">
        <v>48</v>
      </c>
      <c r="C4232" s="10" t="s">
        <v>49</v>
      </c>
      <c r="D4232" s="11">
        <v>61.614294516327789</v>
      </c>
      <c r="E4232" s="12">
        <f t="shared" si="66"/>
        <v>45670</v>
      </c>
    </row>
    <row r="4233" spans="1:5" x14ac:dyDescent="0.25">
      <c r="A4233" s="2">
        <f>IF(B4233="","",SUBTOTAL(3,$B$2:B4233))</f>
        <v>4232</v>
      </c>
      <c r="B4233" s="9" t="s">
        <v>48</v>
      </c>
      <c r="C4233" s="10" t="s">
        <v>49</v>
      </c>
      <c r="D4233" s="11">
        <v>10.341261633919338</v>
      </c>
      <c r="E4233" s="12">
        <f t="shared" si="66"/>
        <v>45671</v>
      </c>
    </row>
    <row r="4234" spans="1:5" x14ac:dyDescent="0.25">
      <c r="A4234" s="2">
        <f>IF(B4234="","",SUBTOTAL(3,$B$2:B4234))</f>
        <v>4233</v>
      </c>
      <c r="B4234" s="9" t="s">
        <v>48</v>
      </c>
      <c r="C4234" s="10" t="s">
        <v>49</v>
      </c>
      <c r="D4234" s="11">
        <v>308.07147258163894</v>
      </c>
      <c r="E4234" s="12">
        <f t="shared" si="66"/>
        <v>45672</v>
      </c>
    </row>
    <row r="4235" spans="1:5" x14ac:dyDescent="0.25">
      <c r="A4235" s="2">
        <f>IF(B4235="","",SUBTOTAL(3,$B$2:B4235))</f>
        <v>4234</v>
      </c>
      <c r="B4235" s="9" t="s">
        <v>48</v>
      </c>
      <c r="C4235" s="10" t="s">
        <v>49</v>
      </c>
      <c r="D4235" s="11">
        <v>107.70596346087555</v>
      </c>
      <c r="E4235" s="12">
        <f t="shared" si="66"/>
        <v>45673</v>
      </c>
    </row>
    <row r="4236" spans="1:5" x14ac:dyDescent="0.25">
      <c r="A4236" s="2">
        <f>IF(B4236="","",SUBTOTAL(3,$B$2:B4236))</f>
        <v>4235</v>
      </c>
      <c r="B4236" s="9" t="s">
        <v>48</v>
      </c>
      <c r="C4236" s="10" t="s">
        <v>49</v>
      </c>
      <c r="D4236" s="11">
        <v>385.08934072704869</v>
      </c>
      <c r="E4236" s="12">
        <f t="shared" si="66"/>
        <v>45674</v>
      </c>
    </row>
    <row r="4237" spans="1:5" x14ac:dyDescent="0.25">
      <c r="A4237" s="2">
        <f>IF(B4237="","",SUBTOTAL(3,$B$2:B4237))</f>
        <v>4236</v>
      </c>
      <c r="B4237" s="9" t="s">
        <v>48</v>
      </c>
      <c r="C4237" s="10" t="s">
        <v>54</v>
      </c>
      <c r="D4237" s="11">
        <v>462.10720887245844</v>
      </c>
      <c r="E4237" s="12">
        <f t="shared" si="66"/>
        <v>45675</v>
      </c>
    </row>
    <row r="4238" spans="1:5" x14ac:dyDescent="0.25">
      <c r="A4238" s="2">
        <f>IF(B4238="","",SUBTOTAL(3,$B$2:B4238))</f>
        <v>4237</v>
      </c>
      <c r="B4238" s="9" t="s">
        <v>48</v>
      </c>
      <c r="C4238" s="10" t="s">
        <v>49</v>
      </c>
      <c r="D4238" s="11">
        <v>79.283005860048263</v>
      </c>
      <c r="E4238" s="12">
        <f t="shared" si="66"/>
        <v>45676</v>
      </c>
    </row>
    <row r="4239" spans="1:5" x14ac:dyDescent="0.25">
      <c r="A4239" s="2">
        <f>IF(B4239="","",SUBTOTAL(3,$B$2:B4239))</f>
        <v>4238</v>
      </c>
      <c r="B4239" s="9" t="s">
        <v>51</v>
      </c>
      <c r="C4239" s="10" t="s">
        <v>52</v>
      </c>
      <c r="D4239" s="11">
        <v>40.515355319666149</v>
      </c>
      <c r="E4239" s="12">
        <f t="shared" si="66"/>
        <v>45677</v>
      </c>
    </row>
    <row r="4240" spans="1:5" x14ac:dyDescent="0.25">
      <c r="A4240" s="2">
        <f>IF(B4240="","",SUBTOTAL(3,$B$2:B4240))</f>
        <v>4239</v>
      </c>
      <c r="B4240" s="9" t="s">
        <v>53</v>
      </c>
      <c r="C4240" s="10" t="s">
        <v>49</v>
      </c>
      <c r="D4240" s="11">
        <v>54.951596801817075</v>
      </c>
      <c r="E4240" s="12">
        <f t="shared" si="66"/>
        <v>45678</v>
      </c>
    </row>
    <row r="4241" spans="1:5" x14ac:dyDescent="0.25">
      <c r="A4241" s="2">
        <f>IF(B4241="","",SUBTOTAL(3,$B$2:B4241))</f>
        <v>4240</v>
      </c>
      <c r="B4241" s="9" t="s">
        <v>53</v>
      </c>
      <c r="C4241" s="10" t="s">
        <v>49</v>
      </c>
      <c r="D4241" s="11">
        <v>183.17198933939025</v>
      </c>
      <c r="E4241" s="12">
        <f t="shared" si="66"/>
        <v>45679</v>
      </c>
    </row>
    <row r="4242" spans="1:5" x14ac:dyDescent="0.25">
      <c r="A4242" s="2">
        <f>IF(B4242="","",SUBTOTAL(3,$B$2:B4242))</f>
        <v>4241</v>
      </c>
      <c r="B4242" s="9" t="s">
        <v>53</v>
      </c>
      <c r="C4242" s="10" t="s">
        <v>49</v>
      </c>
      <c r="D4242" s="11">
        <v>164.85479040545121</v>
      </c>
      <c r="E4242" s="12">
        <f t="shared" si="66"/>
        <v>45680</v>
      </c>
    </row>
    <row r="4243" spans="1:5" x14ac:dyDescent="0.25">
      <c r="A4243" s="2">
        <f>IF(B4243="","",SUBTOTAL(3,$B$2:B4243))</f>
        <v>4242</v>
      </c>
      <c r="B4243" s="9" t="s">
        <v>48</v>
      </c>
      <c r="C4243" s="10" t="s">
        <v>49</v>
      </c>
      <c r="D4243" s="11">
        <v>53.912507701786815</v>
      </c>
      <c r="E4243" s="12">
        <f t="shared" si="66"/>
        <v>45681</v>
      </c>
    </row>
    <row r="4244" spans="1:5" x14ac:dyDescent="0.25">
      <c r="A4244" s="2">
        <f>IF(B4244="","",SUBTOTAL(3,$B$2:B4244))</f>
        <v>4243</v>
      </c>
      <c r="B4244" s="9" t="s">
        <v>48</v>
      </c>
      <c r="C4244" s="10" t="s">
        <v>49</v>
      </c>
      <c r="D4244" s="11">
        <v>231.05360443622922</v>
      </c>
      <c r="E4244" s="12">
        <f t="shared" si="66"/>
        <v>45682</v>
      </c>
    </row>
    <row r="4245" spans="1:5" x14ac:dyDescent="0.25">
      <c r="A4245" s="2">
        <f>IF(B4245="","",SUBTOTAL(3,$B$2:B4245))</f>
        <v>4244</v>
      </c>
      <c r="B4245" s="9" t="s">
        <v>48</v>
      </c>
      <c r="C4245" s="10" t="s">
        <v>54</v>
      </c>
      <c r="D4245" s="11">
        <v>77.017868145409736</v>
      </c>
      <c r="E4245" s="12">
        <f t="shared" si="66"/>
        <v>45683</v>
      </c>
    </row>
    <row r="4246" spans="1:5" x14ac:dyDescent="0.25">
      <c r="A4246" s="2">
        <f>IF(B4246="","",SUBTOTAL(3,$B$2:B4246))</f>
        <v>4245</v>
      </c>
      <c r="B4246" s="9" t="s">
        <v>50</v>
      </c>
      <c r="C4246" s="10" t="s">
        <v>52</v>
      </c>
      <c r="D4246" s="11">
        <v>440.91710758377428</v>
      </c>
      <c r="E4246" s="12">
        <f t="shared" si="66"/>
        <v>45684</v>
      </c>
    </row>
    <row r="4247" spans="1:5" x14ac:dyDescent="0.25">
      <c r="A4247" s="2">
        <f>IF(B4247="","",SUBTOTAL(3,$B$2:B4247))</f>
        <v>4246</v>
      </c>
      <c r="B4247" s="9" t="s">
        <v>51</v>
      </c>
      <c r="C4247" s="10" t="s">
        <v>49</v>
      </c>
      <c r="D4247" s="11">
        <v>52.949274594938046</v>
      </c>
      <c r="E4247" s="12">
        <f t="shared" si="66"/>
        <v>45685</v>
      </c>
    </row>
    <row r="4248" spans="1:5" x14ac:dyDescent="0.25">
      <c r="A4248" s="2">
        <f>IF(B4248="","",SUBTOTAL(3,$B$2:B4248))</f>
        <v>4247</v>
      </c>
      <c r="B4248" s="9" t="s">
        <v>55</v>
      </c>
      <c r="C4248" s="10" t="s">
        <v>52</v>
      </c>
      <c r="D4248" s="11">
        <v>100</v>
      </c>
      <c r="E4248" s="12">
        <f t="shared" si="66"/>
        <v>45686</v>
      </c>
    </row>
    <row r="4249" spans="1:5" x14ac:dyDescent="0.25">
      <c r="A4249" s="2">
        <f>IF(B4249="","",SUBTOTAL(3,$B$2:B4249))</f>
        <v>4248</v>
      </c>
      <c r="B4249" s="9" t="s">
        <v>55</v>
      </c>
      <c r="C4249" s="10" t="s">
        <v>52</v>
      </c>
      <c r="D4249" s="11">
        <v>50</v>
      </c>
      <c r="E4249" s="12">
        <f t="shared" si="66"/>
        <v>45687</v>
      </c>
    </row>
    <row r="4250" spans="1:5" x14ac:dyDescent="0.25">
      <c r="A4250" s="2">
        <f>IF(B4250="","",SUBTOTAL(3,$B$2:B4250))</f>
        <v>4249</v>
      </c>
      <c r="B4250" s="9" t="s">
        <v>48</v>
      </c>
      <c r="C4250" s="10" t="s">
        <v>52</v>
      </c>
      <c r="D4250" s="11">
        <v>154.03573629081947</v>
      </c>
      <c r="E4250" s="12">
        <f t="shared" si="66"/>
        <v>45688</v>
      </c>
    </row>
    <row r="4251" spans="1:5" x14ac:dyDescent="0.25">
      <c r="A4251" s="2">
        <f>IF(B4251="","",SUBTOTAL(3,$B$2:B4251))</f>
        <v>4250</v>
      </c>
      <c r="B4251" s="9" t="s">
        <v>48</v>
      </c>
      <c r="C4251" s="10" t="s">
        <v>52</v>
      </c>
      <c r="D4251" s="11">
        <v>231.05360443622922</v>
      </c>
      <c r="E4251" s="12">
        <f t="shared" si="66"/>
        <v>45689</v>
      </c>
    </row>
    <row r="4252" spans="1:5" x14ac:dyDescent="0.25">
      <c r="A4252" s="2">
        <f>IF(B4252="","",SUBTOTAL(3,$B$2:B4252))</f>
        <v>4251</v>
      </c>
      <c r="B4252" s="9" t="s">
        <v>48</v>
      </c>
      <c r="C4252" s="10" t="s">
        <v>52</v>
      </c>
      <c r="D4252" s="11">
        <v>154.03573629081947</v>
      </c>
      <c r="E4252" s="12">
        <f t="shared" si="66"/>
        <v>45690</v>
      </c>
    </row>
    <row r="4253" spans="1:5" x14ac:dyDescent="0.25">
      <c r="A4253" s="2">
        <f>IF(B4253="","",SUBTOTAL(3,$B$2:B4253))</f>
        <v>4252</v>
      </c>
      <c r="B4253" s="9" t="s">
        <v>48</v>
      </c>
      <c r="C4253" s="10" t="s">
        <v>54</v>
      </c>
      <c r="D4253" s="11">
        <v>77.017868145409736</v>
      </c>
      <c r="E4253" s="12">
        <f t="shared" si="66"/>
        <v>45691</v>
      </c>
    </row>
    <row r="4254" spans="1:5" x14ac:dyDescent="0.25">
      <c r="A4254" s="2">
        <f>IF(B4254="","",SUBTOTAL(3,$B$2:B4254))</f>
        <v>4253</v>
      </c>
      <c r="B4254" s="9" t="s">
        <v>50</v>
      </c>
      <c r="C4254" s="10" t="s">
        <v>49</v>
      </c>
      <c r="D4254" s="11">
        <v>110.22927689594357</v>
      </c>
      <c r="E4254" s="12">
        <f t="shared" si="66"/>
        <v>45692</v>
      </c>
    </row>
    <row r="4255" spans="1:5" x14ac:dyDescent="0.25">
      <c r="A4255" s="2">
        <f>IF(B4255="","",SUBTOTAL(3,$B$2:B4255))</f>
        <v>4254</v>
      </c>
      <c r="B4255" s="9" t="s">
        <v>50</v>
      </c>
      <c r="C4255" s="10" t="s">
        <v>49</v>
      </c>
      <c r="D4255" s="11">
        <v>37.47795414462081</v>
      </c>
      <c r="E4255" s="12">
        <f t="shared" si="66"/>
        <v>45693</v>
      </c>
    </row>
    <row r="4256" spans="1:5" x14ac:dyDescent="0.25">
      <c r="A4256" s="2">
        <f>IF(B4256="","",SUBTOTAL(3,$B$2:B4256))</f>
        <v>4255</v>
      </c>
      <c r="B4256" s="9" t="s">
        <v>48</v>
      </c>
      <c r="C4256" s="10" t="s">
        <v>52</v>
      </c>
      <c r="D4256" s="11">
        <v>1.5403573629081948</v>
      </c>
      <c r="E4256" s="12">
        <f t="shared" si="66"/>
        <v>45694</v>
      </c>
    </row>
    <row r="4257" spans="1:5" x14ac:dyDescent="0.25">
      <c r="A4257" s="2">
        <f>IF(B4257="","",SUBTOTAL(3,$B$2:B4257))</f>
        <v>4256</v>
      </c>
      <c r="B4257" s="9" t="s">
        <v>48</v>
      </c>
      <c r="C4257" s="10" t="s">
        <v>49</v>
      </c>
      <c r="D4257" s="11">
        <v>46.210720887245841</v>
      </c>
      <c r="E4257" s="12">
        <f t="shared" si="66"/>
        <v>45695</v>
      </c>
    </row>
    <row r="4258" spans="1:5" x14ac:dyDescent="0.25">
      <c r="A4258" s="2">
        <f>IF(B4258="","",SUBTOTAL(3,$B$2:B4258))</f>
        <v>4257</v>
      </c>
      <c r="B4258" s="9" t="s">
        <v>48</v>
      </c>
      <c r="C4258" s="10" t="s">
        <v>54</v>
      </c>
      <c r="D4258" s="11">
        <v>7.7017868145409736</v>
      </c>
      <c r="E4258" s="12">
        <f t="shared" si="66"/>
        <v>45696</v>
      </c>
    </row>
    <row r="4259" spans="1:5" x14ac:dyDescent="0.25">
      <c r="A4259" s="2">
        <f>IF(B4259="","",SUBTOTAL(3,$B$2:B4259))</f>
        <v>4258</v>
      </c>
      <c r="B4259" s="9" t="s">
        <v>48</v>
      </c>
      <c r="C4259" s="10" t="s">
        <v>54</v>
      </c>
      <c r="D4259" s="11">
        <v>77.017868145409736</v>
      </c>
      <c r="E4259" s="12">
        <f t="shared" si="66"/>
        <v>45697</v>
      </c>
    </row>
    <row r="4260" spans="1:5" x14ac:dyDescent="0.25">
      <c r="A4260" s="2">
        <f>IF(B4260="","",SUBTOTAL(3,$B$2:B4260))</f>
        <v>4259</v>
      </c>
      <c r="B4260" s="9" t="s">
        <v>48</v>
      </c>
      <c r="C4260" s="10" t="s">
        <v>49</v>
      </c>
      <c r="D4260" s="11">
        <v>32.85032747328507</v>
      </c>
      <c r="E4260" s="12">
        <f t="shared" si="66"/>
        <v>45698</v>
      </c>
    </row>
    <row r="4261" spans="1:5" x14ac:dyDescent="0.25">
      <c r="A4261" s="2">
        <f>IF(B4261="","",SUBTOTAL(3,$B$2:B4261))</f>
        <v>4260</v>
      </c>
      <c r="B4261" s="9" t="s">
        <v>50</v>
      </c>
      <c r="C4261" s="10" t="s">
        <v>49</v>
      </c>
      <c r="D4261" s="11">
        <v>72.134038800705468</v>
      </c>
      <c r="E4261" s="12">
        <f t="shared" si="66"/>
        <v>45699</v>
      </c>
    </row>
    <row r="4262" spans="1:5" x14ac:dyDescent="0.25">
      <c r="A4262" s="2">
        <f>IF(B4262="","",SUBTOTAL(3,$B$2:B4262))</f>
        <v>4261</v>
      </c>
      <c r="B4262" s="9" t="s">
        <v>51</v>
      </c>
      <c r="C4262" s="10" t="s">
        <v>54</v>
      </c>
      <c r="D4262" s="11">
        <v>158.84782378481412</v>
      </c>
      <c r="E4262" s="12">
        <f t="shared" si="66"/>
        <v>45700</v>
      </c>
    </row>
    <row r="4263" spans="1:5" x14ac:dyDescent="0.25">
      <c r="A4263" s="2">
        <f>IF(B4263="","",SUBTOTAL(3,$B$2:B4263))</f>
        <v>4262</v>
      </c>
      <c r="B4263" s="9" t="s">
        <v>50</v>
      </c>
      <c r="C4263" s="10" t="s">
        <v>52</v>
      </c>
      <c r="D4263" s="11">
        <v>1102.2927689594355</v>
      </c>
      <c r="E4263" s="12">
        <f t="shared" si="66"/>
        <v>45701</v>
      </c>
    </row>
    <row r="4264" spans="1:5" x14ac:dyDescent="0.25">
      <c r="A4264" s="2">
        <f>IF(B4264="","",SUBTOTAL(3,$B$2:B4264))</f>
        <v>4263</v>
      </c>
      <c r="B4264" s="9" t="s">
        <v>50</v>
      </c>
      <c r="C4264" s="10" t="s">
        <v>52</v>
      </c>
      <c r="D4264" s="11">
        <v>1102.2927689594355</v>
      </c>
      <c r="E4264" s="12">
        <f t="shared" si="66"/>
        <v>45702</v>
      </c>
    </row>
    <row r="4265" spans="1:5" x14ac:dyDescent="0.25">
      <c r="A4265" s="2">
        <f>IF(B4265="","",SUBTOTAL(3,$B$2:B4265))</f>
        <v>4264</v>
      </c>
      <c r="B4265" s="9" t="s">
        <v>50</v>
      </c>
      <c r="C4265" s="10" t="s">
        <v>52</v>
      </c>
      <c r="D4265" s="11">
        <v>154.32098765432099</v>
      </c>
      <c r="E4265" s="12">
        <f t="shared" si="66"/>
        <v>45703</v>
      </c>
    </row>
    <row r="4266" spans="1:5" x14ac:dyDescent="0.25">
      <c r="A4266" s="2">
        <f>IF(B4266="","",SUBTOTAL(3,$B$2:B4266))</f>
        <v>4265</v>
      </c>
      <c r="B4266" s="9" t="s">
        <v>50</v>
      </c>
      <c r="C4266" s="10" t="s">
        <v>52</v>
      </c>
      <c r="D4266" s="11">
        <v>88.183421516754848</v>
      </c>
      <c r="E4266" s="12">
        <f t="shared" si="66"/>
        <v>45704</v>
      </c>
    </row>
    <row r="4267" spans="1:5" x14ac:dyDescent="0.25">
      <c r="A4267" s="2">
        <f>IF(B4267="","",SUBTOTAL(3,$B$2:B4267))</f>
        <v>4266</v>
      </c>
      <c r="B4267" s="9" t="s">
        <v>50</v>
      </c>
      <c r="C4267" s="10" t="s">
        <v>52</v>
      </c>
      <c r="D4267" s="11">
        <v>110.22927689594357</v>
      </c>
      <c r="E4267" s="12">
        <f t="shared" si="66"/>
        <v>45705</v>
      </c>
    </row>
    <row r="4268" spans="1:5" x14ac:dyDescent="0.25">
      <c r="A4268" s="2">
        <f>IF(B4268="","",SUBTOTAL(3,$B$2:B4268))</f>
        <v>4267</v>
      </c>
      <c r="B4268" s="9" t="s">
        <v>48</v>
      </c>
      <c r="C4268" s="10" t="s">
        <v>57</v>
      </c>
      <c r="D4268" s="11">
        <v>115.52680221811461</v>
      </c>
      <c r="E4268" s="12">
        <f t="shared" si="66"/>
        <v>45706</v>
      </c>
    </row>
    <row r="4269" spans="1:5" x14ac:dyDescent="0.25">
      <c r="A4269" s="2">
        <f>IF(B4269="","",SUBTOTAL(3,$B$2:B4269))</f>
        <v>4268</v>
      </c>
      <c r="B4269" s="9" t="s">
        <v>48</v>
      </c>
      <c r="C4269" s="10" t="s">
        <v>54</v>
      </c>
      <c r="D4269" s="11">
        <v>115.52680221811461</v>
      </c>
      <c r="E4269" s="12">
        <f t="shared" si="66"/>
        <v>45707</v>
      </c>
    </row>
    <row r="4270" spans="1:5" x14ac:dyDescent="0.25">
      <c r="A4270" s="2">
        <f>IF(B4270="","",SUBTOTAL(3,$B$2:B4270))</f>
        <v>4269</v>
      </c>
      <c r="B4270" s="9" t="s">
        <v>51</v>
      </c>
      <c r="C4270" s="10" t="s">
        <v>49</v>
      </c>
      <c r="D4270" s="11">
        <v>264.74637297469025</v>
      </c>
      <c r="E4270" s="12">
        <f t="shared" si="66"/>
        <v>45708</v>
      </c>
    </row>
    <row r="4271" spans="1:5" x14ac:dyDescent="0.25">
      <c r="A4271" s="2">
        <f>IF(B4271="","",SUBTOTAL(3,$B$2:B4271))</f>
        <v>4270</v>
      </c>
      <c r="B4271" s="9" t="s">
        <v>51</v>
      </c>
      <c r="C4271" s="10" t="s">
        <v>54</v>
      </c>
      <c r="D4271" s="11">
        <v>52.949274594938046</v>
      </c>
      <c r="E4271" s="12">
        <f t="shared" si="66"/>
        <v>45709</v>
      </c>
    </row>
    <row r="4272" spans="1:5" x14ac:dyDescent="0.25">
      <c r="A4272" s="2">
        <f>IF(B4272="","",SUBTOTAL(3,$B$2:B4272))</f>
        <v>4271</v>
      </c>
      <c r="B4272" s="9" t="s">
        <v>51</v>
      </c>
      <c r="C4272" s="10" t="s">
        <v>52</v>
      </c>
      <c r="D4272" s="11">
        <v>264.74637297469025</v>
      </c>
      <c r="E4272" s="12">
        <f t="shared" si="66"/>
        <v>45710</v>
      </c>
    </row>
    <row r="4273" spans="1:5" x14ac:dyDescent="0.25">
      <c r="A4273" s="2">
        <f>IF(B4273="","",SUBTOTAL(3,$B$2:B4273))</f>
        <v>4272</v>
      </c>
      <c r="B4273" s="9" t="s">
        <v>50</v>
      </c>
      <c r="C4273" s="10" t="s">
        <v>49</v>
      </c>
      <c r="D4273" s="11">
        <v>44.091710758377424</v>
      </c>
      <c r="E4273" s="12">
        <f t="shared" si="66"/>
        <v>45711</v>
      </c>
    </row>
    <row r="4274" spans="1:5" x14ac:dyDescent="0.25">
      <c r="A4274" s="2">
        <f>IF(B4274="","",SUBTOTAL(3,$B$2:B4274))</f>
        <v>4273</v>
      </c>
      <c r="B4274" s="9" t="s">
        <v>50</v>
      </c>
      <c r="C4274" s="10" t="s">
        <v>54</v>
      </c>
      <c r="D4274" s="11">
        <v>88.183421516754848</v>
      </c>
      <c r="E4274" s="12">
        <f t="shared" si="66"/>
        <v>45712</v>
      </c>
    </row>
    <row r="4275" spans="1:5" x14ac:dyDescent="0.25">
      <c r="A4275" s="2">
        <f>IF(B4275="","",SUBTOTAL(3,$B$2:B4275))</f>
        <v>4274</v>
      </c>
      <c r="B4275" s="9" t="s">
        <v>50</v>
      </c>
      <c r="C4275" s="10" t="s">
        <v>49</v>
      </c>
      <c r="D4275" s="11">
        <v>141.09347442680775</v>
      </c>
      <c r="E4275" s="12">
        <f t="shared" si="66"/>
        <v>45713</v>
      </c>
    </row>
    <row r="4276" spans="1:5" x14ac:dyDescent="0.25">
      <c r="A4276" s="2">
        <f>IF(B4276="","",SUBTOTAL(3,$B$2:B4276))</f>
        <v>4275</v>
      </c>
      <c r="B4276" s="9" t="s">
        <v>48</v>
      </c>
      <c r="C4276" s="10" t="s">
        <v>49</v>
      </c>
      <c r="D4276" s="11">
        <v>6.9316081330868764</v>
      </c>
      <c r="E4276" s="12">
        <f t="shared" si="66"/>
        <v>45714</v>
      </c>
    </row>
    <row r="4277" spans="1:5" x14ac:dyDescent="0.25">
      <c r="A4277" s="2">
        <f>IF(B4277="","",SUBTOTAL(3,$B$2:B4277))</f>
        <v>4276</v>
      </c>
      <c r="B4277" s="9" t="s">
        <v>48</v>
      </c>
      <c r="C4277" s="10" t="s">
        <v>52</v>
      </c>
      <c r="D4277" s="11">
        <v>123.22858903265558</v>
      </c>
      <c r="E4277" s="12">
        <f t="shared" si="66"/>
        <v>45715</v>
      </c>
    </row>
    <row r="4278" spans="1:5" x14ac:dyDescent="0.25">
      <c r="A4278" s="2">
        <f>IF(B4278="","",SUBTOTAL(3,$B$2:B4278))</f>
        <v>4277</v>
      </c>
      <c r="B4278" s="9" t="s">
        <v>48</v>
      </c>
      <c r="C4278" s="10" t="s">
        <v>49</v>
      </c>
      <c r="D4278" s="11">
        <v>539.12507701786819</v>
      </c>
      <c r="E4278" s="12">
        <f t="shared" si="66"/>
        <v>45716</v>
      </c>
    </row>
    <row r="4279" spans="1:5" x14ac:dyDescent="0.25">
      <c r="A4279" s="2">
        <f>IF(B4279="","",SUBTOTAL(3,$B$2:B4279))</f>
        <v>4278</v>
      </c>
      <c r="B4279" s="9" t="s">
        <v>48</v>
      </c>
      <c r="C4279" s="10" t="s">
        <v>49</v>
      </c>
      <c r="D4279" s="11">
        <v>110.30679076180627</v>
      </c>
      <c r="E4279" s="12">
        <f t="shared" si="66"/>
        <v>45717</v>
      </c>
    </row>
    <row r="4280" spans="1:5" x14ac:dyDescent="0.25">
      <c r="A4280" s="2">
        <f>IF(B4280="","",SUBTOTAL(3,$B$2:B4280))</f>
        <v>4279</v>
      </c>
      <c r="B4280" s="9" t="s">
        <v>50</v>
      </c>
      <c r="C4280" s="10" t="s">
        <v>49</v>
      </c>
      <c r="D4280" s="11">
        <v>3.306878306878307</v>
      </c>
      <c r="E4280" s="12">
        <f t="shared" si="66"/>
        <v>45718</v>
      </c>
    </row>
    <row r="4281" spans="1:5" x14ac:dyDescent="0.25">
      <c r="A4281" s="2">
        <f>IF(B4281="","",SUBTOTAL(3,$B$2:B4281))</f>
        <v>4280</v>
      </c>
      <c r="B4281" s="9" t="s">
        <v>50</v>
      </c>
      <c r="C4281" s="10" t="s">
        <v>49</v>
      </c>
      <c r="D4281" s="11">
        <v>180.77601410934744</v>
      </c>
      <c r="E4281" s="12">
        <f t="shared" si="66"/>
        <v>45719</v>
      </c>
    </row>
    <row r="4282" spans="1:5" x14ac:dyDescent="0.25">
      <c r="A4282" s="2">
        <f>IF(B4282="","",SUBTOTAL(3,$B$2:B4282))</f>
        <v>4281</v>
      </c>
      <c r="B4282" s="9" t="s">
        <v>55</v>
      </c>
      <c r="C4282" s="10" t="s">
        <v>49</v>
      </c>
      <c r="D4282" s="11">
        <v>40.121970791205264</v>
      </c>
      <c r="E4282" s="12">
        <f t="shared" si="66"/>
        <v>45720</v>
      </c>
    </row>
    <row r="4283" spans="1:5" x14ac:dyDescent="0.25">
      <c r="A4283" s="2">
        <f>IF(B4283="","",SUBTOTAL(3,$B$2:B4283))</f>
        <v>4282</v>
      </c>
      <c r="B4283" s="9" t="s">
        <v>55</v>
      </c>
      <c r="C4283" s="10" t="s">
        <v>49</v>
      </c>
      <c r="D4283" s="11">
        <v>40.121970791205264</v>
      </c>
      <c r="E4283" s="12">
        <f t="shared" si="66"/>
        <v>45721</v>
      </c>
    </row>
    <row r="4284" spans="1:5" x14ac:dyDescent="0.25">
      <c r="A4284" s="2">
        <f>IF(B4284="","",SUBTOTAL(3,$B$2:B4284))</f>
        <v>4283</v>
      </c>
      <c r="B4284" s="9" t="s">
        <v>50</v>
      </c>
      <c r="C4284" s="10" t="s">
        <v>49</v>
      </c>
      <c r="D4284" s="11">
        <v>220.45855379188714</v>
      </c>
      <c r="E4284" s="12">
        <f t="shared" si="66"/>
        <v>45722</v>
      </c>
    </row>
    <row r="4285" spans="1:5" x14ac:dyDescent="0.25">
      <c r="A4285" s="2">
        <f>IF(B4285="","",SUBTOTAL(3,$B$2:B4285))</f>
        <v>4284</v>
      </c>
      <c r="B4285" s="9" t="s">
        <v>50</v>
      </c>
      <c r="C4285" s="10" t="s">
        <v>49</v>
      </c>
      <c r="D4285" s="11">
        <v>60</v>
      </c>
      <c r="E4285" s="12">
        <f t="shared" si="66"/>
        <v>45723</v>
      </c>
    </row>
    <row r="4286" spans="1:5" x14ac:dyDescent="0.25">
      <c r="A4286" s="2">
        <f>IF(B4286="","",SUBTOTAL(3,$B$2:B4286))</f>
        <v>4285</v>
      </c>
      <c r="B4286" s="9" t="s">
        <v>48</v>
      </c>
      <c r="C4286" s="10" t="s">
        <v>49</v>
      </c>
      <c r="D4286" s="11">
        <v>16.943930991990143</v>
      </c>
      <c r="E4286" s="12">
        <f t="shared" si="66"/>
        <v>45724</v>
      </c>
    </row>
    <row r="4287" spans="1:5" x14ac:dyDescent="0.25">
      <c r="A4287" s="2">
        <f>IF(B4287="","",SUBTOTAL(3,$B$2:B4287))</f>
        <v>4286</v>
      </c>
      <c r="B4287" s="9" t="s">
        <v>48</v>
      </c>
      <c r="C4287" s="10" t="s">
        <v>49</v>
      </c>
      <c r="D4287" s="11">
        <v>77.017868145409736</v>
      </c>
      <c r="E4287" s="12">
        <f t="shared" si="66"/>
        <v>45725</v>
      </c>
    </row>
    <row r="4288" spans="1:5" x14ac:dyDescent="0.25">
      <c r="A4288" s="2">
        <f>IF(B4288="","",SUBTOTAL(3,$B$2:B4288))</f>
        <v>4287</v>
      </c>
      <c r="B4288" s="9" t="s">
        <v>55</v>
      </c>
      <c r="C4288" s="10" t="s">
        <v>49</v>
      </c>
      <c r="D4288" s="11">
        <v>644</v>
      </c>
      <c r="E4288" s="12">
        <f t="shared" si="66"/>
        <v>45726</v>
      </c>
    </row>
    <row r="4289" spans="1:5" x14ac:dyDescent="0.25">
      <c r="A4289" s="2">
        <f>IF(B4289="","",SUBTOTAL(3,$B$2:B4289))</f>
        <v>4288</v>
      </c>
      <c r="B4289" s="9" t="s">
        <v>55</v>
      </c>
      <c r="C4289" s="10" t="s">
        <v>56</v>
      </c>
      <c r="D4289" s="11">
        <v>400</v>
      </c>
      <c r="E4289" s="12">
        <f t="shared" si="66"/>
        <v>45727</v>
      </c>
    </row>
    <row r="4290" spans="1:5" x14ac:dyDescent="0.25">
      <c r="A4290" s="2">
        <f>IF(B4290="","",SUBTOTAL(3,$B$2:B4290))</f>
        <v>4289</v>
      </c>
      <c r="B4290" s="9" t="s">
        <v>50</v>
      </c>
      <c r="C4290" s="10" t="s">
        <v>49</v>
      </c>
      <c r="D4290" s="11">
        <v>141.09347442680775</v>
      </c>
      <c r="E4290" s="12">
        <f t="shared" si="66"/>
        <v>45728</v>
      </c>
    </row>
    <row r="4291" spans="1:5" x14ac:dyDescent="0.25">
      <c r="A4291" s="2">
        <f>IF(B4291="","",SUBTOTAL(3,$B$2:B4291))</f>
        <v>4290</v>
      </c>
      <c r="B4291" s="9" t="s">
        <v>50</v>
      </c>
      <c r="C4291" s="10" t="s">
        <v>52</v>
      </c>
      <c r="D4291" s="11">
        <v>55.114638447971785</v>
      </c>
      <c r="E4291" s="12">
        <f t="shared" si="66"/>
        <v>45729</v>
      </c>
    </row>
    <row r="4292" spans="1:5" x14ac:dyDescent="0.25">
      <c r="A4292" s="2">
        <f>IF(B4292="","",SUBTOTAL(3,$B$2:B4292))</f>
        <v>4291</v>
      </c>
      <c r="B4292" s="9" t="s">
        <v>50</v>
      </c>
      <c r="C4292" s="10" t="s">
        <v>52</v>
      </c>
      <c r="D4292" s="11">
        <v>66.137566137566139</v>
      </c>
      <c r="E4292" s="12">
        <f t="shared" ref="E4292:E4355" si="67">E4291+1</f>
        <v>45730</v>
      </c>
    </row>
    <row r="4293" spans="1:5" x14ac:dyDescent="0.25">
      <c r="A4293" s="2">
        <f>IF(B4293="","",SUBTOTAL(3,$B$2:B4293))</f>
        <v>4292</v>
      </c>
      <c r="B4293" s="9" t="s">
        <v>50</v>
      </c>
      <c r="C4293" s="10" t="s">
        <v>49</v>
      </c>
      <c r="D4293" s="11">
        <v>176.07548500881833</v>
      </c>
      <c r="E4293" s="12">
        <f t="shared" si="67"/>
        <v>45731</v>
      </c>
    </row>
    <row r="4294" spans="1:5" x14ac:dyDescent="0.25">
      <c r="A4294" s="2">
        <f>IF(B4294="","",SUBTOTAL(3,$B$2:B4294))</f>
        <v>4293</v>
      </c>
      <c r="B4294" s="9" t="s">
        <v>48</v>
      </c>
      <c r="C4294" s="10" t="s">
        <v>49</v>
      </c>
      <c r="D4294" s="11">
        <v>74.518520421928997</v>
      </c>
      <c r="E4294" s="12">
        <f t="shared" si="67"/>
        <v>45732</v>
      </c>
    </row>
    <row r="4295" spans="1:5" x14ac:dyDescent="0.25">
      <c r="A4295" s="2">
        <f>IF(B4295="","",SUBTOTAL(3,$B$2:B4295))</f>
        <v>4294</v>
      </c>
      <c r="B4295" s="9" t="s">
        <v>55</v>
      </c>
      <c r="C4295" s="10" t="s">
        <v>49</v>
      </c>
      <c r="D4295" s="11">
        <v>45.5</v>
      </c>
      <c r="E4295" s="12">
        <f t="shared" si="67"/>
        <v>45733</v>
      </c>
    </row>
    <row r="4296" spans="1:5" x14ac:dyDescent="0.25">
      <c r="A4296" s="2">
        <f>IF(B4296="","",SUBTOTAL(3,$B$2:B4296))</f>
        <v>4295</v>
      </c>
      <c r="B4296" s="9" t="s">
        <v>55</v>
      </c>
      <c r="C4296" s="10" t="s">
        <v>49</v>
      </c>
      <c r="D4296" s="11">
        <v>1.7549999999999999</v>
      </c>
      <c r="E4296" s="12">
        <f t="shared" si="67"/>
        <v>45734</v>
      </c>
    </row>
    <row r="4297" spans="1:5" x14ac:dyDescent="0.25">
      <c r="A4297" s="2">
        <f>IF(B4297="","",SUBTOTAL(3,$B$2:B4297))</f>
        <v>4296</v>
      </c>
      <c r="B4297" s="9" t="s">
        <v>55</v>
      </c>
      <c r="C4297" s="10" t="s">
        <v>49</v>
      </c>
      <c r="D4297" s="11">
        <v>61.75</v>
      </c>
      <c r="E4297" s="12">
        <f t="shared" si="67"/>
        <v>45735</v>
      </c>
    </row>
    <row r="4298" spans="1:5" x14ac:dyDescent="0.25">
      <c r="A4298" s="2">
        <f>IF(B4298="","",SUBTOTAL(3,$B$2:B4298))</f>
        <v>4297</v>
      </c>
      <c r="B4298" s="9" t="s">
        <v>55</v>
      </c>
      <c r="C4298" s="10" t="s">
        <v>49</v>
      </c>
      <c r="D4298" s="11">
        <v>2.2749999999999999</v>
      </c>
      <c r="E4298" s="12">
        <f t="shared" si="67"/>
        <v>45736</v>
      </c>
    </row>
    <row r="4299" spans="1:5" x14ac:dyDescent="0.25">
      <c r="A4299" s="2">
        <f>IF(B4299="","",SUBTOTAL(3,$B$2:B4299))</f>
        <v>4298</v>
      </c>
      <c r="B4299" s="9" t="s">
        <v>50</v>
      </c>
      <c r="C4299" s="10" t="s">
        <v>49</v>
      </c>
      <c r="D4299" s="11">
        <v>95.664902998236329</v>
      </c>
      <c r="E4299" s="12">
        <f t="shared" si="67"/>
        <v>45737</v>
      </c>
    </row>
    <row r="4300" spans="1:5" x14ac:dyDescent="0.25">
      <c r="A4300" s="2">
        <f>IF(B4300="","",SUBTOTAL(3,$B$2:B4300))</f>
        <v>4299</v>
      </c>
      <c r="B4300" s="9" t="s">
        <v>50</v>
      </c>
      <c r="C4300" s="10" t="s">
        <v>52</v>
      </c>
      <c r="D4300" s="11">
        <v>66.137566137566139</v>
      </c>
      <c r="E4300" s="12">
        <f t="shared" si="67"/>
        <v>45738</v>
      </c>
    </row>
    <row r="4301" spans="1:5" x14ac:dyDescent="0.25">
      <c r="A4301" s="2">
        <f>IF(B4301="","",SUBTOTAL(3,$B$2:B4301))</f>
        <v>4300</v>
      </c>
      <c r="B4301" s="9" t="s">
        <v>50</v>
      </c>
      <c r="C4301" s="10" t="s">
        <v>52</v>
      </c>
      <c r="D4301" s="11">
        <v>66.137566137566139</v>
      </c>
      <c r="E4301" s="12">
        <f t="shared" si="67"/>
        <v>45739</v>
      </c>
    </row>
    <row r="4302" spans="1:5" x14ac:dyDescent="0.25">
      <c r="A4302" s="2">
        <f>IF(B4302="","",SUBTOTAL(3,$B$2:B4302))</f>
        <v>4301</v>
      </c>
      <c r="B4302" s="9" t="s">
        <v>50</v>
      </c>
      <c r="C4302" s="10" t="s">
        <v>52</v>
      </c>
      <c r="D4302" s="11">
        <v>66.137566137566139</v>
      </c>
      <c r="E4302" s="12">
        <f t="shared" si="67"/>
        <v>45740</v>
      </c>
    </row>
    <row r="4303" spans="1:5" x14ac:dyDescent="0.25">
      <c r="A4303" s="2">
        <f>IF(B4303="","",SUBTOTAL(3,$B$2:B4303))</f>
        <v>4302</v>
      </c>
      <c r="B4303" s="9" t="s">
        <v>50</v>
      </c>
      <c r="C4303" s="10" t="s">
        <v>52</v>
      </c>
      <c r="D4303" s="11">
        <v>66.137566137566139</v>
      </c>
      <c r="E4303" s="12">
        <f t="shared" si="67"/>
        <v>45741</v>
      </c>
    </row>
    <row r="4304" spans="1:5" x14ac:dyDescent="0.25">
      <c r="A4304" s="2">
        <f>IF(B4304="","",SUBTOTAL(3,$B$2:B4304))</f>
        <v>4303</v>
      </c>
      <c r="B4304" s="9" t="s">
        <v>50</v>
      </c>
      <c r="C4304" s="10" t="s">
        <v>52</v>
      </c>
      <c r="D4304" s="11">
        <v>66.137566137566139</v>
      </c>
      <c r="E4304" s="12">
        <f t="shared" si="67"/>
        <v>45742</v>
      </c>
    </row>
    <row r="4305" spans="1:5" x14ac:dyDescent="0.25">
      <c r="A4305" s="2">
        <f>IF(B4305="","",SUBTOTAL(3,$B$2:B4305))</f>
        <v>4304</v>
      </c>
      <c r="B4305" s="9" t="s">
        <v>50</v>
      </c>
      <c r="C4305" s="10" t="s">
        <v>52</v>
      </c>
      <c r="D4305" s="11">
        <v>66.137566137566139</v>
      </c>
      <c r="E4305" s="12">
        <f t="shared" si="67"/>
        <v>45743</v>
      </c>
    </row>
    <row r="4306" spans="1:5" x14ac:dyDescent="0.25">
      <c r="A4306" s="2">
        <f>IF(B4306="","",SUBTOTAL(3,$B$2:B4306))</f>
        <v>4305</v>
      </c>
      <c r="B4306" s="9" t="s">
        <v>50</v>
      </c>
      <c r="C4306" s="10" t="s">
        <v>52</v>
      </c>
      <c r="D4306" s="11">
        <v>55.114638447971785</v>
      </c>
      <c r="E4306" s="12">
        <f t="shared" si="67"/>
        <v>45744</v>
      </c>
    </row>
    <row r="4307" spans="1:5" x14ac:dyDescent="0.25">
      <c r="A4307" s="2">
        <f>IF(B4307="","",SUBTOTAL(3,$B$2:B4307))</f>
        <v>4306</v>
      </c>
      <c r="B4307" s="9" t="s">
        <v>50</v>
      </c>
      <c r="C4307" s="10" t="s">
        <v>52</v>
      </c>
      <c r="D4307" s="11">
        <v>55.114638447971785</v>
      </c>
      <c r="E4307" s="12">
        <f t="shared" si="67"/>
        <v>45745</v>
      </c>
    </row>
    <row r="4308" spans="1:5" x14ac:dyDescent="0.25">
      <c r="A4308" s="2">
        <f>IF(B4308="","",SUBTOTAL(3,$B$2:B4308))</f>
        <v>4307</v>
      </c>
      <c r="B4308" s="9" t="s">
        <v>50</v>
      </c>
      <c r="C4308" s="10" t="s">
        <v>52</v>
      </c>
      <c r="D4308" s="11">
        <v>66.137566137566139</v>
      </c>
      <c r="E4308" s="12">
        <f t="shared" si="67"/>
        <v>45746</v>
      </c>
    </row>
    <row r="4309" spans="1:5" x14ac:dyDescent="0.25">
      <c r="A4309" s="2">
        <f>IF(B4309="","",SUBTOTAL(3,$B$2:B4309))</f>
        <v>4308</v>
      </c>
      <c r="B4309" s="9" t="s">
        <v>50</v>
      </c>
      <c r="C4309" s="10" t="s">
        <v>49</v>
      </c>
      <c r="D4309" s="11">
        <v>149.97473544973545</v>
      </c>
      <c r="E4309" s="12">
        <f t="shared" si="67"/>
        <v>45747</v>
      </c>
    </row>
    <row r="4310" spans="1:5" x14ac:dyDescent="0.25">
      <c r="A4310" s="2">
        <f>IF(B4310="","",SUBTOTAL(3,$B$2:B4310))</f>
        <v>4309</v>
      </c>
      <c r="B4310" s="9" t="s">
        <v>51</v>
      </c>
      <c r="C4310" s="10" t="s">
        <v>49</v>
      </c>
      <c r="D4310" s="11">
        <v>52.949274594938046</v>
      </c>
      <c r="E4310" s="12">
        <f t="shared" si="67"/>
        <v>45748</v>
      </c>
    </row>
    <row r="4311" spans="1:5" x14ac:dyDescent="0.25">
      <c r="A4311" s="2">
        <f>IF(B4311="","",SUBTOTAL(3,$B$2:B4311))</f>
        <v>4310</v>
      </c>
      <c r="B4311" s="9" t="s">
        <v>55</v>
      </c>
      <c r="C4311" s="10" t="s">
        <v>52</v>
      </c>
      <c r="D4311" s="11">
        <v>22.970551752653101</v>
      </c>
      <c r="E4311" s="12">
        <f t="shared" si="67"/>
        <v>45749</v>
      </c>
    </row>
    <row r="4312" spans="1:5" x14ac:dyDescent="0.25">
      <c r="A4312" s="2">
        <f>IF(B4312="","",SUBTOTAL(3,$B$2:B4312))</f>
        <v>4311</v>
      </c>
      <c r="B4312" s="9" t="s">
        <v>50</v>
      </c>
      <c r="C4312" s="10" t="s">
        <v>49</v>
      </c>
      <c r="D4312" s="11">
        <v>330.68783068783068</v>
      </c>
      <c r="E4312" s="12">
        <f t="shared" si="67"/>
        <v>45750</v>
      </c>
    </row>
    <row r="4313" spans="1:5" x14ac:dyDescent="0.25">
      <c r="A4313" s="2">
        <f>IF(B4313="","",SUBTOTAL(3,$B$2:B4313))</f>
        <v>4312</v>
      </c>
      <c r="B4313" s="9" t="s">
        <v>48</v>
      </c>
      <c r="C4313" s="10" t="s">
        <v>52</v>
      </c>
      <c r="D4313" s="11">
        <v>80</v>
      </c>
      <c r="E4313" s="12">
        <f t="shared" si="67"/>
        <v>45751</v>
      </c>
    </row>
    <row r="4314" spans="1:5" x14ac:dyDescent="0.25">
      <c r="A4314" s="2">
        <f>IF(B4314="","",SUBTOTAL(3,$B$2:B4314))</f>
        <v>4313</v>
      </c>
      <c r="B4314" s="9" t="s">
        <v>48</v>
      </c>
      <c r="C4314" s="10" t="s">
        <v>52</v>
      </c>
      <c r="D4314" s="11">
        <v>80</v>
      </c>
      <c r="E4314" s="12">
        <f t="shared" si="67"/>
        <v>45752</v>
      </c>
    </row>
    <row r="4315" spans="1:5" x14ac:dyDescent="0.25">
      <c r="A4315" s="2">
        <f>IF(B4315="","",SUBTOTAL(3,$B$2:B4315))</f>
        <v>4314</v>
      </c>
      <c r="B4315" s="9" t="s">
        <v>48</v>
      </c>
      <c r="C4315" s="10" t="s">
        <v>52</v>
      </c>
      <c r="D4315" s="11">
        <v>50</v>
      </c>
      <c r="E4315" s="12">
        <f t="shared" si="67"/>
        <v>45753</v>
      </c>
    </row>
    <row r="4316" spans="1:5" x14ac:dyDescent="0.25">
      <c r="A4316" s="2">
        <f>IF(B4316="","",SUBTOTAL(3,$B$2:B4316))</f>
        <v>4315</v>
      </c>
      <c r="B4316" s="9" t="s">
        <v>48</v>
      </c>
      <c r="C4316" s="10" t="s">
        <v>52</v>
      </c>
      <c r="D4316" s="11">
        <v>50</v>
      </c>
      <c r="E4316" s="12">
        <f t="shared" si="67"/>
        <v>45754</v>
      </c>
    </row>
    <row r="4317" spans="1:5" x14ac:dyDescent="0.25">
      <c r="A4317" s="2">
        <f>IF(B4317="","",SUBTOTAL(3,$B$2:B4317))</f>
        <v>4316</v>
      </c>
      <c r="B4317" s="9" t="s">
        <v>48</v>
      </c>
      <c r="C4317" s="10" t="s">
        <v>52</v>
      </c>
      <c r="D4317" s="11">
        <v>50</v>
      </c>
      <c r="E4317" s="12">
        <f t="shared" si="67"/>
        <v>45755</v>
      </c>
    </row>
    <row r="4318" spans="1:5" x14ac:dyDescent="0.25">
      <c r="A4318" s="2">
        <f>IF(B4318="","",SUBTOTAL(3,$B$2:B4318))</f>
        <v>4317</v>
      </c>
      <c r="B4318" s="9" t="s">
        <v>48</v>
      </c>
      <c r="C4318" s="10" t="s">
        <v>52</v>
      </c>
      <c r="D4318" s="11">
        <v>50</v>
      </c>
      <c r="E4318" s="12">
        <f t="shared" si="67"/>
        <v>45756</v>
      </c>
    </row>
    <row r="4319" spans="1:5" x14ac:dyDescent="0.25">
      <c r="A4319" s="2">
        <f>IF(B4319="","",SUBTOTAL(3,$B$2:B4319))</f>
        <v>4318</v>
      </c>
      <c r="B4319" s="9" t="s">
        <v>48</v>
      </c>
      <c r="C4319" s="10" t="s">
        <v>52</v>
      </c>
      <c r="D4319" s="11">
        <v>50</v>
      </c>
      <c r="E4319" s="12">
        <f t="shared" si="67"/>
        <v>45757</v>
      </c>
    </row>
    <row r="4320" spans="1:5" x14ac:dyDescent="0.25">
      <c r="A4320" s="2">
        <f>IF(B4320="","",SUBTOTAL(3,$B$2:B4320))</f>
        <v>4319</v>
      </c>
      <c r="B4320" s="9" t="s">
        <v>50</v>
      </c>
      <c r="C4320" s="10" t="s">
        <v>52</v>
      </c>
      <c r="D4320" s="11">
        <v>55.114638447971785</v>
      </c>
      <c r="E4320" s="12">
        <f t="shared" si="67"/>
        <v>45758</v>
      </c>
    </row>
    <row r="4321" spans="1:5" x14ac:dyDescent="0.25">
      <c r="A4321" s="2">
        <f>IF(B4321="","",SUBTOTAL(3,$B$2:B4321))</f>
        <v>4320</v>
      </c>
      <c r="B4321" s="9" t="s">
        <v>50</v>
      </c>
      <c r="C4321" s="10" t="s">
        <v>52</v>
      </c>
      <c r="D4321" s="11">
        <v>55.114638447971785</v>
      </c>
      <c r="E4321" s="12">
        <f t="shared" si="67"/>
        <v>45759</v>
      </c>
    </row>
    <row r="4322" spans="1:5" x14ac:dyDescent="0.25">
      <c r="A4322" s="2">
        <f>IF(B4322="","",SUBTOTAL(3,$B$2:B4322))</f>
        <v>4321</v>
      </c>
      <c r="B4322" s="9" t="s">
        <v>50</v>
      </c>
      <c r="C4322" s="10" t="s">
        <v>52</v>
      </c>
      <c r="D4322" s="11">
        <v>66.137566137566139</v>
      </c>
      <c r="E4322" s="12">
        <f t="shared" si="67"/>
        <v>45760</v>
      </c>
    </row>
    <row r="4323" spans="1:5" x14ac:dyDescent="0.25">
      <c r="A4323" s="2">
        <f>IF(B4323="","",SUBTOTAL(3,$B$2:B4323))</f>
        <v>4322</v>
      </c>
      <c r="B4323" s="9" t="s">
        <v>50</v>
      </c>
      <c r="C4323" s="10" t="s">
        <v>52</v>
      </c>
      <c r="D4323" s="11">
        <v>66.137566137566139</v>
      </c>
      <c r="E4323" s="12">
        <f t="shared" si="67"/>
        <v>45761</v>
      </c>
    </row>
    <row r="4324" spans="1:5" x14ac:dyDescent="0.25">
      <c r="A4324" s="2">
        <f>IF(B4324="","",SUBTOTAL(3,$B$2:B4324))</f>
        <v>4323</v>
      </c>
      <c r="B4324" s="9" t="s">
        <v>50</v>
      </c>
      <c r="C4324" s="10" t="s">
        <v>52</v>
      </c>
      <c r="D4324" s="11">
        <v>66.137566137566139</v>
      </c>
      <c r="E4324" s="12">
        <f t="shared" si="67"/>
        <v>45762</v>
      </c>
    </row>
    <row r="4325" spans="1:5" x14ac:dyDescent="0.25">
      <c r="A4325" s="2">
        <f>IF(B4325="","",SUBTOTAL(3,$B$2:B4325))</f>
        <v>4324</v>
      </c>
      <c r="B4325" s="9" t="s">
        <v>50</v>
      </c>
      <c r="C4325" s="10" t="s">
        <v>49</v>
      </c>
      <c r="D4325" s="11">
        <v>110.22927689594357</v>
      </c>
      <c r="E4325" s="12">
        <f t="shared" si="67"/>
        <v>45763</v>
      </c>
    </row>
    <row r="4326" spans="1:5" x14ac:dyDescent="0.25">
      <c r="A4326" s="2">
        <f>IF(B4326="","",SUBTOTAL(3,$B$2:B4326))</f>
        <v>4325</v>
      </c>
      <c r="B4326" s="9" t="s">
        <v>55</v>
      </c>
      <c r="C4326" s="10" t="s">
        <v>54</v>
      </c>
      <c r="D4326" s="11">
        <v>48.883819455760147</v>
      </c>
      <c r="E4326" s="12">
        <f t="shared" si="67"/>
        <v>45764</v>
      </c>
    </row>
    <row r="4327" spans="1:5" x14ac:dyDescent="0.25">
      <c r="A4327" s="2">
        <f>IF(B4327="","",SUBTOTAL(3,$B$2:B4327))</f>
        <v>4326</v>
      </c>
      <c r="B4327" s="9" t="s">
        <v>50</v>
      </c>
      <c r="C4327" s="10" t="s">
        <v>52</v>
      </c>
      <c r="D4327" s="11">
        <v>66.137566137566139</v>
      </c>
      <c r="E4327" s="12">
        <f t="shared" si="67"/>
        <v>45765</v>
      </c>
    </row>
    <row r="4328" spans="1:5" x14ac:dyDescent="0.25">
      <c r="A4328" s="2">
        <f>IF(B4328="","",SUBTOTAL(3,$B$2:B4328))</f>
        <v>4327</v>
      </c>
      <c r="B4328" s="9" t="s">
        <v>50</v>
      </c>
      <c r="C4328" s="10" t="s">
        <v>52</v>
      </c>
      <c r="D4328" s="11">
        <v>66.137566137566139</v>
      </c>
      <c r="E4328" s="12">
        <f t="shared" si="67"/>
        <v>45766</v>
      </c>
    </row>
    <row r="4329" spans="1:5" x14ac:dyDescent="0.25">
      <c r="A4329" s="2">
        <f>IF(B4329="","",SUBTOTAL(3,$B$2:B4329))</f>
        <v>4328</v>
      </c>
      <c r="B4329" s="9" t="s">
        <v>50</v>
      </c>
      <c r="C4329" s="10" t="s">
        <v>52</v>
      </c>
      <c r="D4329" s="11">
        <v>66.137566137566139</v>
      </c>
      <c r="E4329" s="12">
        <f t="shared" si="67"/>
        <v>45767</v>
      </c>
    </row>
    <row r="4330" spans="1:5" x14ac:dyDescent="0.25">
      <c r="A4330" s="2">
        <f>IF(B4330="","",SUBTOTAL(3,$B$2:B4330))</f>
        <v>4329</v>
      </c>
      <c r="B4330" s="9" t="s">
        <v>50</v>
      </c>
      <c r="C4330" s="10" t="s">
        <v>52</v>
      </c>
      <c r="D4330" s="11">
        <v>110.22927689594357</v>
      </c>
      <c r="E4330" s="12">
        <f t="shared" si="67"/>
        <v>45768</v>
      </c>
    </row>
    <row r="4331" spans="1:5" x14ac:dyDescent="0.25">
      <c r="A4331" s="2">
        <f>IF(B4331="","",SUBTOTAL(3,$B$2:B4331))</f>
        <v>4330</v>
      </c>
      <c r="B4331" s="9" t="s">
        <v>50</v>
      </c>
      <c r="C4331" s="10" t="s">
        <v>52</v>
      </c>
      <c r="D4331" s="11">
        <v>66.137566137566139</v>
      </c>
      <c r="E4331" s="12">
        <f t="shared" si="67"/>
        <v>45769</v>
      </c>
    </row>
    <row r="4332" spans="1:5" x14ac:dyDescent="0.25">
      <c r="A4332" s="2">
        <f>IF(B4332="","",SUBTOTAL(3,$B$2:B4332))</f>
        <v>4331</v>
      </c>
      <c r="B4332" s="9" t="s">
        <v>50</v>
      </c>
      <c r="C4332" s="10" t="s">
        <v>49</v>
      </c>
      <c r="D4332" s="11">
        <v>1102.2927689594355</v>
      </c>
      <c r="E4332" s="12">
        <f t="shared" si="67"/>
        <v>45770</v>
      </c>
    </row>
    <row r="4333" spans="1:5" x14ac:dyDescent="0.25">
      <c r="A4333" s="2">
        <f>IF(B4333="","",SUBTOTAL(3,$B$2:B4333))</f>
        <v>4332</v>
      </c>
      <c r="B4333" s="9" t="s">
        <v>50</v>
      </c>
      <c r="C4333" s="10" t="s">
        <v>52</v>
      </c>
      <c r="D4333" s="11">
        <v>55.114638447971785</v>
      </c>
      <c r="E4333" s="12">
        <f t="shared" si="67"/>
        <v>45771</v>
      </c>
    </row>
    <row r="4334" spans="1:5" x14ac:dyDescent="0.25">
      <c r="A4334" s="2">
        <f>IF(B4334="","",SUBTOTAL(3,$B$2:B4334))</f>
        <v>4333</v>
      </c>
      <c r="B4334" s="9" t="s">
        <v>55</v>
      </c>
      <c r="C4334" s="10" t="s">
        <v>52</v>
      </c>
      <c r="D4334" s="11">
        <v>22.970551752653101</v>
      </c>
      <c r="E4334" s="12">
        <f t="shared" si="67"/>
        <v>45772</v>
      </c>
    </row>
    <row r="4335" spans="1:5" x14ac:dyDescent="0.25">
      <c r="A4335" s="2">
        <f>IF(B4335="","",SUBTOTAL(3,$B$2:B4335))</f>
        <v>4334</v>
      </c>
      <c r="B4335" s="9" t="s">
        <v>55</v>
      </c>
      <c r="C4335" s="10" t="s">
        <v>52</v>
      </c>
      <c r="D4335" s="11">
        <v>2.2970551752653101</v>
      </c>
      <c r="E4335" s="12">
        <f t="shared" si="67"/>
        <v>45773</v>
      </c>
    </row>
    <row r="4336" spans="1:5" x14ac:dyDescent="0.25">
      <c r="A4336" s="2">
        <f>IF(B4336="","",SUBTOTAL(3,$B$2:B4336))</f>
        <v>4335</v>
      </c>
      <c r="B4336" s="9" t="s">
        <v>55</v>
      </c>
      <c r="C4336" s="10" t="s">
        <v>52</v>
      </c>
      <c r="D4336" s="11">
        <v>2.2970551752653101</v>
      </c>
      <c r="E4336" s="12">
        <f t="shared" si="67"/>
        <v>45774</v>
      </c>
    </row>
    <row r="4337" spans="1:5" x14ac:dyDescent="0.25">
      <c r="A4337" s="2">
        <f>IF(B4337="","",SUBTOTAL(3,$B$2:B4337))</f>
        <v>4336</v>
      </c>
      <c r="B4337" s="9" t="s">
        <v>55</v>
      </c>
      <c r="C4337" s="10" t="s">
        <v>52</v>
      </c>
      <c r="D4337" s="11">
        <v>22.970551752653101</v>
      </c>
      <c r="E4337" s="12">
        <f t="shared" si="67"/>
        <v>45775</v>
      </c>
    </row>
    <row r="4338" spans="1:5" x14ac:dyDescent="0.25">
      <c r="A4338" s="2">
        <f>IF(B4338="","",SUBTOTAL(3,$B$2:B4338))</f>
        <v>4337</v>
      </c>
      <c r="B4338" s="9" t="s">
        <v>50</v>
      </c>
      <c r="C4338" s="10" t="s">
        <v>54</v>
      </c>
      <c r="D4338" s="11">
        <v>66.137566137566139</v>
      </c>
      <c r="E4338" s="12">
        <f t="shared" si="67"/>
        <v>45776</v>
      </c>
    </row>
    <row r="4339" spans="1:5" x14ac:dyDescent="0.25">
      <c r="A4339" s="2">
        <f>IF(B4339="","",SUBTOTAL(3,$B$2:B4339))</f>
        <v>4338</v>
      </c>
      <c r="B4339" s="9" t="s">
        <v>50</v>
      </c>
      <c r="C4339" s="10" t="s">
        <v>49</v>
      </c>
      <c r="D4339" s="11">
        <v>43.786129629629407</v>
      </c>
      <c r="E4339" s="12">
        <f t="shared" si="67"/>
        <v>45777</v>
      </c>
    </row>
    <row r="4340" spans="1:5" x14ac:dyDescent="0.25">
      <c r="A4340" s="2">
        <f>IF(B4340="","",SUBTOTAL(3,$B$2:B4340))</f>
        <v>4339</v>
      </c>
      <c r="B4340" s="9" t="s">
        <v>48</v>
      </c>
      <c r="C4340" s="10" t="s">
        <v>49</v>
      </c>
      <c r="D4340" s="11">
        <v>100.12322858903266</v>
      </c>
      <c r="E4340" s="12">
        <f t="shared" si="67"/>
        <v>45778</v>
      </c>
    </row>
    <row r="4341" spans="1:5" x14ac:dyDescent="0.25">
      <c r="A4341" s="2">
        <f>IF(B4341="","",SUBTOTAL(3,$B$2:B4341))</f>
        <v>4340</v>
      </c>
      <c r="B4341" s="9" t="s">
        <v>51</v>
      </c>
      <c r="C4341" s="10" t="s">
        <v>52</v>
      </c>
      <c r="D4341" s="11">
        <v>105.89854918987609</v>
      </c>
      <c r="E4341" s="12">
        <f t="shared" si="67"/>
        <v>45779</v>
      </c>
    </row>
    <row r="4342" spans="1:5" x14ac:dyDescent="0.25">
      <c r="A4342" s="2">
        <f>IF(B4342="","",SUBTOTAL(3,$B$2:B4342))</f>
        <v>4341</v>
      </c>
      <c r="B4342" s="9" t="s">
        <v>48</v>
      </c>
      <c r="C4342" s="10" t="s">
        <v>49</v>
      </c>
      <c r="D4342" s="11">
        <v>28.712261244608747</v>
      </c>
      <c r="E4342" s="12">
        <f t="shared" si="67"/>
        <v>45780</v>
      </c>
    </row>
    <row r="4343" spans="1:5" x14ac:dyDescent="0.25">
      <c r="A4343" s="2">
        <f>IF(B4343="","",SUBTOTAL(3,$B$2:B4343))</f>
        <v>4342</v>
      </c>
      <c r="B4343" s="9" t="s">
        <v>48</v>
      </c>
      <c r="C4343" s="10" t="s">
        <v>49</v>
      </c>
      <c r="D4343" s="11">
        <v>107.82501540357363</v>
      </c>
      <c r="E4343" s="12">
        <f t="shared" si="67"/>
        <v>45781</v>
      </c>
    </row>
    <row r="4344" spans="1:5" x14ac:dyDescent="0.25">
      <c r="A4344" s="2">
        <f>IF(B4344="","",SUBTOTAL(3,$B$2:B4344))</f>
        <v>4343</v>
      </c>
      <c r="B4344" s="9" t="s">
        <v>50</v>
      </c>
      <c r="C4344" s="10" t="s">
        <v>52</v>
      </c>
      <c r="D4344" s="11">
        <v>66.137566137566139</v>
      </c>
      <c r="E4344" s="12">
        <f t="shared" si="67"/>
        <v>45782</v>
      </c>
    </row>
    <row r="4345" spans="1:5" x14ac:dyDescent="0.25">
      <c r="A4345" s="2">
        <f>IF(B4345="","",SUBTOTAL(3,$B$2:B4345))</f>
        <v>4344</v>
      </c>
      <c r="B4345" s="9" t="s">
        <v>50</v>
      </c>
      <c r="C4345" s="10" t="s">
        <v>52</v>
      </c>
      <c r="D4345" s="11">
        <v>66.137566137566139</v>
      </c>
      <c r="E4345" s="12">
        <f t="shared" si="67"/>
        <v>45783</v>
      </c>
    </row>
    <row r="4346" spans="1:5" x14ac:dyDescent="0.25">
      <c r="A4346" s="2">
        <f>IF(B4346="","",SUBTOTAL(3,$B$2:B4346))</f>
        <v>4345</v>
      </c>
      <c r="B4346" s="9" t="s">
        <v>50</v>
      </c>
      <c r="C4346" s="10" t="s">
        <v>49</v>
      </c>
      <c r="D4346" s="11">
        <v>22.045855379188712</v>
      </c>
      <c r="E4346" s="12">
        <f t="shared" si="67"/>
        <v>45784</v>
      </c>
    </row>
    <row r="4347" spans="1:5" x14ac:dyDescent="0.25">
      <c r="A4347" s="2">
        <f>IF(B4347="","",SUBTOTAL(3,$B$2:B4347))</f>
        <v>4346</v>
      </c>
      <c r="B4347" s="9" t="s">
        <v>50</v>
      </c>
      <c r="C4347" s="10" t="s">
        <v>52</v>
      </c>
      <c r="D4347" s="11">
        <v>66.137566137566139</v>
      </c>
      <c r="E4347" s="12">
        <f t="shared" si="67"/>
        <v>45785</v>
      </c>
    </row>
    <row r="4348" spans="1:5" x14ac:dyDescent="0.25">
      <c r="A4348" s="2">
        <f>IF(B4348="","",SUBTOTAL(3,$B$2:B4348))</f>
        <v>4347</v>
      </c>
      <c r="B4348" s="9" t="s">
        <v>50</v>
      </c>
      <c r="C4348" s="10" t="s">
        <v>49</v>
      </c>
      <c r="D4348" s="11">
        <v>162.54876543209878</v>
      </c>
      <c r="E4348" s="12">
        <f t="shared" si="67"/>
        <v>45786</v>
      </c>
    </row>
    <row r="4349" spans="1:5" x14ac:dyDescent="0.25">
      <c r="A4349" s="2">
        <f>IF(B4349="","",SUBTOTAL(3,$B$2:B4349))</f>
        <v>4348</v>
      </c>
      <c r="B4349" s="9" t="s">
        <v>55</v>
      </c>
      <c r="C4349" s="10" t="s">
        <v>52</v>
      </c>
      <c r="D4349" s="11">
        <v>22.970551752653101</v>
      </c>
      <c r="E4349" s="12">
        <f t="shared" si="67"/>
        <v>45787</v>
      </c>
    </row>
    <row r="4350" spans="1:5" x14ac:dyDescent="0.25">
      <c r="A4350" s="2">
        <f>IF(B4350="","",SUBTOTAL(3,$B$2:B4350))</f>
        <v>4349</v>
      </c>
      <c r="B4350" s="9" t="s">
        <v>55</v>
      </c>
      <c r="C4350" s="10" t="s">
        <v>52</v>
      </c>
      <c r="D4350" s="11">
        <v>22.970551752653101</v>
      </c>
      <c r="E4350" s="12">
        <f t="shared" si="67"/>
        <v>45788</v>
      </c>
    </row>
    <row r="4351" spans="1:5" x14ac:dyDescent="0.25">
      <c r="A4351" s="2">
        <f>IF(B4351="","",SUBTOTAL(3,$B$2:B4351))</f>
        <v>4350</v>
      </c>
      <c r="B4351" s="9" t="s">
        <v>55</v>
      </c>
      <c r="C4351" s="10" t="s">
        <v>52</v>
      </c>
      <c r="D4351" s="11">
        <v>22.970551752653101</v>
      </c>
      <c r="E4351" s="12">
        <f t="shared" si="67"/>
        <v>45789</v>
      </c>
    </row>
    <row r="4352" spans="1:5" x14ac:dyDescent="0.25">
      <c r="A4352" s="2">
        <f>IF(B4352="","",SUBTOTAL(3,$B$2:B4352))</f>
        <v>4351</v>
      </c>
      <c r="B4352" s="9" t="s">
        <v>50</v>
      </c>
      <c r="C4352" s="10" t="s">
        <v>57</v>
      </c>
      <c r="D4352" s="11">
        <v>1102.2927689594355</v>
      </c>
      <c r="E4352" s="12">
        <f t="shared" si="67"/>
        <v>45790</v>
      </c>
    </row>
    <row r="4353" spans="1:5" x14ac:dyDescent="0.25">
      <c r="A4353" s="2">
        <f>IF(B4353="","",SUBTOTAL(3,$B$2:B4353))</f>
        <v>4352</v>
      </c>
      <c r="B4353" s="9" t="s">
        <v>50</v>
      </c>
      <c r="C4353" s="10" t="s">
        <v>57</v>
      </c>
      <c r="D4353" s="11">
        <v>661.37566137566137</v>
      </c>
      <c r="E4353" s="12">
        <f t="shared" si="67"/>
        <v>45791</v>
      </c>
    </row>
    <row r="4354" spans="1:5" x14ac:dyDescent="0.25">
      <c r="A4354" s="2">
        <f>IF(B4354="","",SUBTOTAL(3,$B$2:B4354))</f>
        <v>4353</v>
      </c>
      <c r="B4354" s="9" t="s">
        <v>48</v>
      </c>
      <c r="C4354" s="10" t="s">
        <v>49</v>
      </c>
      <c r="D4354" s="11">
        <v>46.231053604436234</v>
      </c>
      <c r="E4354" s="12">
        <f t="shared" si="67"/>
        <v>45792</v>
      </c>
    </row>
    <row r="4355" spans="1:5" x14ac:dyDescent="0.25">
      <c r="A4355" s="2">
        <f>IF(B4355="","",SUBTOTAL(3,$B$2:B4355))</f>
        <v>4354</v>
      </c>
      <c r="B4355" s="9" t="s">
        <v>48</v>
      </c>
      <c r="C4355" s="10" t="s">
        <v>49</v>
      </c>
      <c r="D4355" s="11">
        <v>4.621072088724584</v>
      </c>
      <c r="E4355" s="12">
        <f t="shared" si="67"/>
        <v>45793</v>
      </c>
    </row>
    <row r="4356" spans="1:5" x14ac:dyDescent="0.25">
      <c r="A4356" s="2">
        <f>IF(B4356="","",SUBTOTAL(3,$B$2:B4356))</f>
        <v>4355</v>
      </c>
      <c r="B4356" s="9" t="s">
        <v>51</v>
      </c>
      <c r="C4356" s="10" t="s">
        <v>49</v>
      </c>
      <c r="D4356" s="11">
        <v>106.95753468177485</v>
      </c>
      <c r="E4356" s="12">
        <f t="shared" ref="E4356:E4419" si="68">E4355+1</f>
        <v>45794</v>
      </c>
    </row>
    <row r="4357" spans="1:5" x14ac:dyDescent="0.25">
      <c r="A4357" s="2">
        <f>IF(B4357="","",SUBTOTAL(3,$B$2:B4357))</f>
        <v>4356</v>
      </c>
      <c r="B4357" s="9" t="s">
        <v>48</v>
      </c>
      <c r="C4357" s="10" t="s">
        <v>49</v>
      </c>
      <c r="D4357" s="11">
        <v>385.08934072704869</v>
      </c>
      <c r="E4357" s="12">
        <f t="shared" si="68"/>
        <v>45795</v>
      </c>
    </row>
    <row r="4358" spans="1:5" x14ac:dyDescent="0.25">
      <c r="A4358" s="2">
        <f>IF(B4358="","",SUBTOTAL(3,$B$2:B4358))</f>
        <v>4357</v>
      </c>
      <c r="B4358" s="9" t="s">
        <v>48</v>
      </c>
      <c r="C4358" s="10" t="s">
        <v>49</v>
      </c>
      <c r="D4358" s="11">
        <v>30.807147258163894</v>
      </c>
      <c r="E4358" s="12">
        <f t="shared" si="68"/>
        <v>45796</v>
      </c>
    </row>
    <row r="4359" spans="1:5" x14ac:dyDescent="0.25">
      <c r="A4359" s="2">
        <f>IF(B4359="","",SUBTOTAL(3,$B$2:B4359))</f>
        <v>4358</v>
      </c>
      <c r="B4359" s="9" t="s">
        <v>48</v>
      </c>
      <c r="C4359" s="10" t="s">
        <v>49</v>
      </c>
      <c r="D4359" s="11">
        <v>46.210720887245841</v>
      </c>
      <c r="E4359" s="12">
        <f t="shared" si="68"/>
        <v>45797</v>
      </c>
    </row>
    <row r="4360" spans="1:5" x14ac:dyDescent="0.25">
      <c r="A4360" s="2">
        <f>IF(B4360="","",SUBTOTAL(3,$B$2:B4360))</f>
        <v>4359</v>
      </c>
      <c r="B4360" s="9" t="s">
        <v>48</v>
      </c>
      <c r="C4360" s="10" t="s">
        <v>49</v>
      </c>
      <c r="D4360" s="11">
        <v>53.912507701786815</v>
      </c>
      <c r="E4360" s="12">
        <f t="shared" si="68"/>
        <v>45798</v>
      </c>
    </row>
    <row r="4361" spans="1:5" x14ac:dyDescent="0.25">
      <c r="A4361" s="2">
        <f>IF(B4361="","",SUBTOTAL(3,$B$2:B4361))</f>
        <v>4360</v>
      </c>
      <c r="B4361" s="9" t="s">
        <v>50</v>
      </c>
      <c r="C4361" s="10" t="s">
        <v>54</v>
      </c>
      <c r="D4361" s="11">
        <v>2.204585537918871</v>
      </c>
      <c r="E4361" s="12">
        <f t="shared" si="68"/>
        <v>45799</v>
      </c>
    </row>
    <row r="4362" spans="1:5" x14ac:dyDescent="0.25">
      <c r="A4362" s="2">
        <f>IF(B4362="","",SUBTOTAL(3,$B$2:B4362))</f>
        <v>4361</v>
      </c>
      <c r="B4362" s="9" t="s">
        <v>53</v>
      </c>
      <c r="C4362" s="10" t="s">
        <v>54</v>
      </c>
      <c r="D4362" s="11">
        <v>250.56462765713869</v>
      </c>
      <c r="E4362" s="12">
        <f t="shared" si="68"/>
        <v>45800</v>
      </c>
    </row>
    <row r="4363" spans="1:5" x14ac:dyDescent="0.25">
      <c r="A4363" s="2">
        <f>IF(B4363="","",SUBTOTAL(3,$B$2:B4363))</f>
        <v>4362</v>
      </c>
      <c r="B4363" s="9" t="s">
        <v>50</v>
      </c>
      <c r="C4363" s="10" t="s">
        <v>49</v>
      </c>
      <c r="D4363" s="11">
        <v>374.77954144620816</v>
      </c>
      <c r="E4363" s="12">
        <f t="shared" si="68"/>
        <v>45801</v>
      </c>
    </row>
    <row r="4364" spans="1:5" x14ac:dyDescent="0.25">
      <c r="A4364" s="2">
        <f>IF(B4364="","",SUBTOTAL(3,$B$2:B4364))</f>
        <v>4363</v>
      </c>
      <c r="B4364" s="9" t="s">
        <v>50</v>
      </c>
      <c r="C4364" s="10" t="s">
        <v>52</v>
      </c>
      <c r="D4364" s="11">
        <v>110.22927689594357</v>
      </c>
      <c r="E4364" s="12">
        <f t="shared" si="68"/>
        <v>45802</v>
      </c>
    </row>
    <row r="4365" spans="1:5" x14ac:dyDescent="0.25">
      <c r="A4365" s="2">
        <f>IF(B4365="","",SUBTOTAL(3,$B$2:B4365))</f>
        <v>4364</v>
      </c>
      <c r="B4365" s="9" t="s">
        <v>50</v>
      </c>
      <c r="C4365" s="10" t="s">
        <v>52</v>
      </c>
      <c r="D4365" s="11">
        <v>66.137566137566139</v>
      </c>
      <c r="E4365" s="12">
        <f t="shared" si="68"/>
        <v>45803</v>
      </c>
    </row>
    <row r="4366" spans="1:5" x14ac:dyDescent="0.25">
      <c r="A4366" s="2">
        <f>IF(B4366="","",SUBTOTAL(3,$B$2:B4366))</f>
        <v>4365</v>
      </c>
      <c r="B4366" s="9" t="s">
        <v>50</v>
      </c>
      <c r="C4366" s="10" t="s">
        <v>52</v>
      </c>
      <c r="D4366" s="11">
        <v>66.137566137566139</v>
      </c>
      <c r="E4366" s="12">
        <f t="shared" si="68"/>
        <v>45804</v>
      </c>
    </row>
    <row r="4367" spans="1:5" x14ac:dyDescent="0.25">
      <c r="A4367" s="2">
        <f>IF(B4367="","",SUBTOTAL(3,$B$2:B4367))</f>
        <v>4366</v>
      </c>
      <c r="B4367" s="9" t="s">
        <v>50</v>
      </c>
      <c r="C4367" s="10" t="s">
        <v>52</v>
      </c>
      <c r="D4367" s="11">
        <v>66.137566137566139</v>
      </c>
      <c r="E4367" s="12">
        <f t="shared" si="68"/>
        <v>45805</v>
      </c>
    </row>
    <row r="4368" spans="1:5" x14ac:dyDescent="0.25">
      <c r="A4368" s="2">
        <f>IF(B4368="","",SUBTOTAL(3,$B$2:B4368))</f>
        <v>4367</v>
      </c>
      <c r="B4368" s="9" t="s">
        <v>50</v>
      </c>
      <c r="C4368" s="10" t="s">
        <v>49</v>
      </c>
      <c r="D4368" s="11">
        <v>44.091710758377424</v>
      </c>
      <c r="E4368" s="12">
        <f t="shared" si="68"/>
        <v>45806</v>
      </c>
    </row>
    <row r="4369" spans="1:5" x14ac:dyDescent="0.25">
      <c r="A4369" s="2">
        <f>IF(B4369="","",SUBTOTAL(3,$B$2:B4369))</f>
        <v>4368</v>
      </c>
      <c r="B4369" s="9" t="s">
        <v>48</v>
      </c>
      <c r="C4369" s="10" t="s">
        <v>54</v>
      </c>
      <c r="D4369" s="11">
        <v>15.417624914881863</v>
      </c>
      <c r="E4369" s="12">
        <f t="shared" si="68"/>
        <v>45807</v>
      </c>
    </row>
    <row r="4370" spans="1:5" x14ac:dyDescent="0.25">
      <c r="A4370" s="2">
        <f>IF(B4370="","",SUBTOTAL(3,$B$2:B4370))</f>
        <v>4369</v>
      </c>
      <c r="B4370" s="9" t="s">
        <v>51</v>
      </c>
      <c r="C4370" s="10" t="s">
        <v>52</v>
      </c>
      <c r="D4370" s="11">
        <v>84.718839351900883</v>
      </c>
      <c r="E4370" s="12">
        <f t="shared" si="68"/>
        <v>45808</v>
      </c>
    </row>
    <row r="4371" spans="1:5" x14ac:dyDescent="0.25">
      <c r="A4371" s="2">
        <f>IF(B4371="","",SUBTOTAL(3,$B$2:B4371))</f>
        <v>4370</v>
      </c>
      <c r="B4371" s="9" t="s">
        <v>51</v>
      </c>
      <c r="C4371" s="10" t="s">
        <v>52</v>
      </c>
      <c r="D4371" s="11">
        <v>97.236852767198769</v>
      </c>
      <c r="E4371" s="12">
        <f t="shared" si="68"/>
        <v>45809</v>
      </c>
    </row>
    <row r="4372" spans="1:5" x14ac:dyDescent="0.25">
      <c r="A4372" s="2">
        <f>IF(B4372="","",SUBTOTAL(3,$B$2:B4372))</f>
        <v>4371</v>
      </c>
      <c r="B4372" s="9" t="s">
        <v>51</v>
      </c>
      <c r="C4372" s="10" t="s">
        <v>52</v>
      </c>
      <c r="D4372" s="11">
        <v>529.49274594938049</v>
      </c>
      <c r="E4372" s="12">
        <f t="shared" si="68"/>
        <v>45810</v>
      </c>
    </row>
    <row r="4373" spans="1:5" x14ac:dyDescent="0.25">
      <c r="A4373" s="2">
        <f>IF(B4373="","",SUBTOTAL(3,$B$2:B4373))</f>
        <v>4372</v>
      </c>
      <c r="B4373" s="9" t="s">
        <v>50</v>
      </c>
      <c r="C4373" s="10" t="s">
        <v>57</v>
      </c>
      <c r="D4373" s="11">
        <v>330.68783068783068</v>
      </c>
      <c r="E4373" s="12">
        <f t="shared" si="68"/>
        <v>45811</v>
      </c>
    </row>
    <row r="4374" spans="1:5" x14ac:dyDescent="0.25">
      <c r="A4374" s="2">
        <f>IF(B4374="","",SUBTOTAL(3,$B$2:B4374))</f>
        <v>4373</v>
      </c>
      <c r="B4374" s="9" t="s">
        <v>51</v>
      </c>
      <c r="C4374" s="10" t="s">
        <v>52</v>
      </c>
      <c r="D4374" s="11">
        <v>100</v>
      </c>
      <c r="E4374" s="12">
        <f t="shared" si="68"/>
        <v>45812</v>
      </c>
    </row>
    <row r="4375" spans="1:5" x14ac:dyDescent="0.25">
      <c r="A4375" s="2">
        <f>IF(B4375="","",SUBTOTAL(3,$B$2:B4375))</f>
        <v>4374</v>
      </c>
      <c r="B4375" s="9" t="s">
        <v>51</v>
      </c>
      <c r="C4375" s="10" t="s">
        <v>49</v>
      </c>
      <c r="D4375" s="11">
        <v>423.59419675950437</v>
      </c>
      <c r="E4375" s="12">
        <f t="shared" si="68"/>
        <v>45813</v>
      </c>
    </row>
    <row r="4376" spans="1:5" x14ac:dyDescent="0.25">
      <c r="A4376" s="2">
        <f>IF(B4376="","",SUBTOTAL(3,$B$2:B4376))</f>
        <v>4375</v>
      </c>
      <c r="B4376" s="9" t="s">
        <v>53</v>
      </c>
      <c r="C4376" s="10" t="s">
        <v>54</v>
      </c>
      <c r="D4376" s="11">
        <v>274.75798400908536</v>
      </c>
      <c r="E4376" s="12">
        <f t="shared" si="68"/>
        <v>45814</v>
      </c>
    </row>
    <row r="4377" spans="1:5" x14ac:dyDescent="0.25">
      <c r="A4377" s="2">
        <f>IF(B4377="","",SUBTOTAL(3,$B$2:B4377))</f>
        <v>4376</v>
      </c>
      <c r="B4377" s="9" t="s">
        <v>50</v>
      </c>
      <c r="C4377" s="10" t="s">
        <v>49</v>
      </c>
      <c r="D4377" s="11">
        <v>194.00352733686069</v>
      </c>
      <c r="E4377" s="12">
        <f t="shared" si="68"/>
        <v>45815</v>
      </c>
    </row>
    <row r="4378" spans="1:5" x14ac:dyDescent="0.25">
      <c r="A4378" s="2">
        <f>IF(B4378="","",SUBTOTAL(3,$B$2:B4378))</f>
        <v>4377</v>
      </c>
      <c r="B4378" s="9" t="s">
        <v>48</v>
      </c>
      <c r="C4378" s="10" t="s">
        <v>49</v>
      </c>
      <c r="D4378" s="11">
        <v>38.54406228720466</v>
      </c>
      <c r="E4378" s="12">
        <f t="shared" si="68"/>
        <v>45816</v>
      </c>
    </row>
    <row r="4379" spans="1:5" x14ac:dyDescent="0.25">
      <c r="A4379" s="2">
        <f>IF(B4379="","",SUBTOTAL(3,$B$2:B4379))</f>
        <v>4378</v>
      </c>
      <c r="B4379" s="9" t="s">
        <v>50</v>
      </c>
      <c r="C4379" s="10" t="s">
        <v>49</v>
      </c>
      <c r="D4379" s="11">
        <v>60</v>
      </c>
      <c r="E4379" s="12">
        <f t="shared" si="68"/>
        <v>45817</v>
      </c>
    </row>
    <row r="4380" spans="1:5" x14ac:dyDescent="0.25">
      <c r="A4380" s="2">
        <f>IF(B4380="","",SUBTOTAL(3,$B$2:B4380))</f>
        <v>4379</v>
      </c>
      <c r="B4380" s="9" t="s">
        <v>55</v>
      </c>
      <c r="C4380" s="10" t="s">
        <v>49</v>
      </c>
      <c r="D4380" s="11">
        <v>790.09746178195144</v>
      </c>
      <c r="E4380" s="12">
        <f t="shared" si="68"/>
        <v>45818</v>
      </c>
    </row>
    <row r="4381" spans="1:5" x14ac:dyDescent="0.25">
      <c r="A4381" s="2">
        <f>IF(B4381="","",SUBTOTAL(3,$B$2:B4381))</f>
        <v>4380</v>
      </c>
      <c r="B4381" s="9" t="s">
        <v>50</v>
      </c>
      <c r="C4381" s="10" t="s">
        <v>52</v>
      </c>
      <c r="D4381" s="11">
        <v>30.8641975308642</v>
      </c>
      <c r="E4381" s="12">
        <f t="shared" si="68"/>
        <v>45819</v>
      </c>
    </row>
    <row r="4382" spans="1:5" x14ac:dyDescent="0.25">
      <c r="A4382" s="2">
        <f>IF(B4382="","",SUBTOTAL(3,$B$2:B4382))</f>
        <v>4381</v>
      </c>
      <c r="B4382" s="9" t="s">
        <v>50</v>
      </c>
      <c r="C4382" s="10" t="s">
        <v>49</v>
      </c>
      <c r="D4382" s="11">
        <v>30</v>
      </c>
      <c r="E4382" s="12">
        <f t="shared" si="68"/>
        <v>45820</v>
      </c>
    </row>
    <row r="4383" spans="1:5" x14ac:dyDescent="0.25">
      <c r="A4383" s="2">
        <f>IF(B4383="","",SUBTOTAL(3,$B$2:B4383))</f>
        <v>4382</v>
      </c>
      <c r="B4383" s="9" t="s">
        <v>55</v>
      </c>
      <c r="C4383" s="10" t="s">
        <v>49</v>
      </c>
      <c r="D4383" s="11">
        <v>22.970551752653101</v>
      </c>
      <c r="E4383" s="12">
        <f t="shared" si="68"/>
        <v>45821</v>
      </c>
    </row>
    <row r="4384" spans="1:5" x14ac:dyDescent="0.25">
      <c r="A4384" s="2">
        <f>IF(B4384="","",SUBTOTAL(3,$B$2:B4384))</f>
        <v>4383</v>
      </c>
      <c r="B4384" s="9" t="s">
        <v>50</v>
      </c>
      <c r="C4384" s="10" t="s">
        <v>49</v>
      </c>
      <c r="D4384" s="11">
        <v>156.5184523809524</v>
      </c>
      <c r="E4384" s="12">
        <f t="shared" si="68"/>
        <v>45822</v>
      </c>
    </row>
    <row r="4385" spans="1:5" x14ac:dyDescent="0.25">
      <c r="A4385" s="2">
        <f>IF(B4385="","",SUBTOTAL(3,$B$2:B4385))</f>
        <v>4384</v>
      </c>
      <c r="B4385" s="9" t="s">
        <v>55</v>
      </c>
      <c r="C4385" s="10" t="s">
        <v>49</v>
      </c>
      <c r="D4385" s="11">
        <v>126</v>
      </c>
      <c r="E4385" s="12">
        <f t="shared" si="68"/>
        <v>45823</v>
      </c>
    </row>
    <row r="4386" spans="1:5" x14ac:dyDescent="0.25">
      <c r="A4386" s="2">
        <f>IF(B4386="","",SUBTOTAL(3,$B$2:B4386))</f>
        <v>4385</v>
      </c>
      <c r="B4386" s="9" t="s">
        <v>48</v>
      </c>
      <c r="C4386" s="10" t="s">
        <v>49</v>
      </c>
      <c r="D4386" s="11">
        <v>68.941744226128904</v>
      </c>
      <c r="E4386" s="12">
        <f t="shared" si="68"/>
        <v>45824</v>
      </c>
    </row>
    <row r="4387" spans="1:5" x14ac:dyDescent="0.25">
      <c r="A4387" s="2">
        <f>IF(B4387="","",SUBTOTAL(3,$B$2:B4387))</f>
        <v>4386</v>
      </c>
      <c r="B4387" s="9" t="s">
        <v>50</v>
      </c>
      <c r="C4387" s="10" t="s">
        <v>49</v>
      </c>
      <c r="D4387" s="11">
        <v>330.68783068783068</v>
      </c>
      <c r="E4387" s="12">
        <f t="shared" si="68"/>
        <v>45825</v>
      </c>
    </row>
    <row r="4388" spans="1:5" x14ac:dyDescent="0.25">
      <c r="A4388" s="2">
        <f>IF(B4388="","",SUBTOTAL(3,$B$2:B4388))</f>
        <v>4387</v>
      </c>
      <c r="B4388" s="9" t="s">
        <v>50</v>
      </c>
      <c r="C4388" s="10" t="s">
        <v>52</v>
      </c>
      <c r="D4388" s="11">
        <v>110.22927689594357</v>
      </c>
      <c r="E4388" s="12">
        <f t="shared" si="68"/>
        <v>45826</v>
      </c>
    </row>
    <row r="4389" spans="1:5" x14ac:dyDescent="0.25">
      <c r="A4389" s="2">
        <f>IF(B4389="","",SUBTOTAL(3,$B$2:B4389))</f>
        <v>4388</v>
      </c>
      <c r="B4389" s="9" t="s">
        <v>50</v>
      </c>
      <c r="C4389" s="10" t="s">
        <v>49</v>
      </c>
      <c r="D4389" s="11">
        <v>110.22927689594357</v>
      </c>
      <c r="E4389" s="12">
        <f t="shared" si="68"/>
        <v>45827</v>
      </c>
    </row>
    <row r="4390" spans="1:5" x14ac:dyDescent="0.25">
      <c r="A4390" s="2">
        <f>IF(B4390="","",SUBTOTAL(3,$B$2:B4390))</f>
        <v>4389</v>
      </c>
      <c r="B4390" s="9" t="s">
        <v>48</v>
      </c>
      <c r="C4390" s="10" t="s">
        <v>52</v>
      </c>
      <c r="D4390" s="11">
        <v>154.03573629081947</v>
      </c>
      <c r="E4390" s="12">
        <f t="shared" si="68"/>
        <v>45828</v>
      </c>
    </row>
    <row r="4391" spans="1:5" x14ac:dyDescent="0.25">
      <c r="A4391" s="2">
        <f>IF(B4391="","",SUBTOTAL(3,$B$2:B4391))</f>
        <v>4390</v>
      </c>
      <c r="B4391" s="9" t="s">
        <v>55</v>
      </c>
      <c r="C4391" s="10" t="s">
        <v>49</v>
      </c>
      <c r="D4391" s="11">
        <v>300</v>
      </c>
      <c r="E4391" s="12">
        <f t="shared" si="68"/>
        <v>45829</v>
      </c>
    </row>
    <row r="4392" spans="1:5" x14ac:dyDescent="0.25">
      <c r="A4392" s="2">
        <f>IF(B4392="","",SUBTOTAL(3,$B$2:B4392))</f>
        <v>4391</v>
      </c>
      <c r="B4392" s="9" t="s">
        <v>50</v>
      </c>
      <c r="C4392" s="10" t="s">
        <v>49</v>
      </c>
      <c r="D4392" s="11">
        <v>194.00352733686069</v>
      </c>
      <c r="E4392" s="12">
        <f t="shared" si="68"/>
        <v>45830</v>
      </c>
    </row>
    <row r="4393" spans="1:5" x14ac:dyDescent="0.25">
      <c r="A4393" s="2">
        <f>IF(B4393="","",SUBTOTAL(3,$B$2:B4393))</f>
        <v>4392</v>
      </c>
      <c r="B4393" s="9" t="s">
        <v>50</v>
      </c>
      <c r="C4393" s="10" t="s">
        <v>49</v>
      </c>
      <c r="D4393" s="11">
        <v>5.9523809523809526</v>
      </c>
      <c r="E4393" s="12">
        <f t="shared" si="68"/>
        <v>45831</v>
      </c>
    </row>
    <row r="4394" spans="1:5" x14ac:dyDescent="0.25">
      <c r="A4394" s="2">
        <f>IF(B4394="","",SUBTOTAL(3,$B$2:B4394))</f>
        <v>4393</v>
      </c>
      <c r="B4394" s="9" t="s">
        <v>55</v>
      </c>
      <c r="C4394" s="10" t="s">
        <v>52</v>
      </c>
      <c r="D4394" s="11">
        <v>440</v>
      </c>
      <c r="E4394" s="12">
        <f t="shared" si="68"/>
        <v>45832</v>
      </c>
    </row>
    <row r="4395" spans="1:5" x14ac:dyDescent="0.25">
      <c r="A4395" s="2">
        <f>IF(B4395="","",SUBTOTAL(3,$B$2:B4395))</f>
        <v>4394</v>
      </c>
      <c r="B4395" s="9" t="s">
        <v>50</v>
      </c>
      <c r="C4395" s="10" t="s">
        <v>49</v>
      </c>
      <c r="D4395" s="11">
        <v>33.06878306878307</v>
      </c>
      <c r="E4395" s="12">
        <f t="shared" si="68"/>
        <v>45833</v>
      </c>
    </row>
    <row r="4396" spans="1:5" x14ac:dyDescent="0.25">
      <c r="A4396" s="2">
        <f>IF(B4396="","",SUBTOTAL(3,$B$2:B4396))</f>
        <v>4395</v>
      </c>
      <c r="B4396" s="9" t="s">
        <v>48</v>
      </c>
      <c r="C4396" s="10" t="s">
        <v>54</v>
      </c>
      <c r="D4396" s="11">
        <v>308.07147258163894</v>
      </c>
      <c r="E4396" s="12">
        <f t="shared" si="68"/>
        <v>45834</v>
      </c>
    </row>
    <row r="4397" spans="1:5" x14ac:dyDescent="0.25">
      <c r="A4397" s="2">
        <f>IF(B4397="","",SUBTOTAL(3,$B$2:B4397))</f>
        <v>4396</v>
      </c>
      <c r="B4397" s="9" t="s">
        <v>48</v>
      </c>
      <c r="C4397" s="10" t="s">
        <v>54</v>
      </c>
      <c r="D4397" s="11">
        <v>61.614294516327789</v>
      </c>
      <c r="E4397" s="12">
        <f t="shared" si="68"/>
        <v>45835</v>
      </c>
    </row>
    <row r="4398" spans="1:5" x14ac:dyDescent="0.25">
      <c r="A4398" s="2">
        <f>IF(B4398="","",SUBTOTAL(3,$B$2:B4398))</f>
        <v>4397</v>
      </c>
      <c r="B4398" s="9" t="s">
        <v>50</v>
      </c>
      <c r="C4398" s="10" t="s">
        <v>54</v>
      </c>
      <c r="D4398" s="11">
        <v>88.183421516754848</v>
      </c>
      <c r="E4398" s="12">
        <f t="shared" si="68"/>
        <v>45836</v>
      </c>
    </row>
    <row r="4399" spans="1:5" x14ac:dyDescent="0.25">
      <c r="A4399" s="2">
        <f>IF(B4399="","",SUBTOTAL(3,$B$2:B4399))</f>
        <v>4398</v>
      </c>
      <c r="B4399" s="9" t="s">
        <v>50</v>
      </c>
      <c r="C4399" s="10" t="s">
        <v>54</v>
      </c>
      <c r="D4399" s="11">
        <v>88.183421516754848</v>
      </c>
      <c r="E4399" s="12">
        <f t="shared" si="68"/>
        <v>45837</v>
      </c>
    </row>
    <row r="4400" spans="1:5" x14ac:dyDescent="0.25">
      <c r="A4400" s="2">
        <f>IF(B4400="","",SUBTOTAL(3,$B$2:B4400))</f>
        <v>4399</v>
      </c>
      <c r="B4400" s="9" t="s">
        <v>51</v>
      </c>
      <c r="C4400" s="10" t="s">
        <v>52</v>
      </c>
      <c r="D4400" s="11">
        <v>8.1030710639332302</v>
      </c>
      <c r="E4400" s="12">
        <f t="shared" si="68"/>
        <v>45838</v>
      </c>
    </row>
    <row r="4401" spans="1:5" x14ac:dyDescent="0.25">
      <c r="A4401" s="2">
        <f>IF(B4401="","",SUBTOTAL(3,$B$2:B4401))</f>
        <v>4400</v>
      </c>
      <c r="B4401" s="9" t="s">
        <v>51</v>
      </c>
      <c r="C4401" s="10" t="s">
        <v>54</v>
      </c>
      <c r="D4401" s="11">
        <v>105.89854918987609</v>
      </c>
      <c r="E4401" s="12">
        <f t="shared" si="68"/>
        <v>45839</v>
      </c>
    </row>
    <row r="4402" spans="1:5" x14ac:dyDescent="0.25">
      <c r="A4402" s="2">
        <f>IF(B4402="","",SUBTOTAL(3,$B$2:B4402))</f>
        <v>4401</v>
      </c>
      <c r="B4402" s="9" t="s">
        <v>51</v>
      </c>
      <c r="C4402" s="10" t="s">
        <v>52</v>
      </c>
      <c r="D4402" s="11">
        <v>24.309213191799692</v>
      </c>
      <c r="E4402" s="12">
        <f t="shared" si="68"/>
        <v>45840</v>
      </c>
    </row>
    <row r="4403" spans="1:5" x14ac:dyDescent="0.25">
      <c r="A4403" s="2">
        <f>IF(B4403="","",SUBTOTAL(3,$B$2:B4403))</f>
        <v>4402</v>
      </c>
      <c r="B4403" s="9" t="s">
        <v>51</v>
      </c>
      <c r="C4403" s="10" t="s">
        <v>56</v>
      </c>
      <c r="D4403" s="11">
        <v>97.236852767198769</v>
      </c>
      <c r="E4403" s="12">
        <f t="shared" si="68"/>
        <v>45841</v>
      </c>
    </row>
    <row r="4404" spans="1:5" x14ac:dyDescent="0.25">
      <c r="A4404" s="2">
        <f>IF(B4404="","",SUBTOTAL(3,$B$2:B4404))</f>
        <v>4403</v>
      </c>
      <c r="B4404" s="9" t="s">
        <v>48</v>
      </c>
      <c r="C4404" s="10" t="s">
        <v>52</v>
      </c>
      <c r="D4404" s="11">
        <v>256.96041524803104</v>
      </c>
      <c r="E4404" s="12">
        <f t="shared" si="68"/>
        <v>45842</v>
      </c>
    </row>
    <row r="4405" spans="1:5" x14ac:dyDescent="0.25">
      <c r="A4405" s="2">
        <f>IF(B4405="","",SUBTOTAL(3,$B$2:B4405))</f>
        <v>4404</v>
      </c>
      <c r="B4405" s="9" t="s">
        <v>55</v>
      </c>
      <c r="C4405" s="10" t="s">
        <v>49</v>
      </c>
      <c r="D4405" s="11">
        <v>51.951194394655374</v>
      </c>
      <c r="E4405" s="12">
        <f t="shared" si="68"/>
        <v>45843</v>
      </c>
    </row>
    <row r="4406" spans="1:5" x14ac:dyDescent="0.25">
      <c r="A4406" s="2">
        <f>IF(B4406="","",SUBTOTAL(3,$B$2:B4406))</f>
        <v>4405</v>
      </c>
      <c r="B4406" s="9" t="s">
        <v>55</v>
      </c>
      <c r="C4406" s="10" t="s">
        <v>49</v>
      </c>
      <c r="D4406" s="11">
        <v>123.5</v>
      </c>
      <c r="E4406" s="12">
        <f t="shared" si="68"/>
        <v>45844</v>
      </c>
    </row>
    <row r="4407" spans="1:5" x14ac:dyDescent="0.25">
      <c r="A4407" s="2">
        <f>IF(B4407="","",SUBTOTAL(3,$B$2:B4407))</f>
        <v>4406</v>
      </c>
      <c r="B4407" s="9" t="s">
        <v>55</v>
      </c>
      <c r="C4407" s="10" t="s">
        <v>49</v>
      </c>
      <c r="D4407" s="11">
        <v>372.77499999999998</v>
      </c>
      <c r="E4407" s="12">
        <f t="shared" si="68"/>
        <v>45845</v>
      </c>
    </row>
    <row r="4408" spans="1:5" x14ac:dyDescent="0.25">
      <c r="A4408" s="2">
        <f>IF(B4408="","",SUBTOTAL(3,$B$2:B4408))</f>
        <v>4407</v>
      </c>
      <c r="B4408" s="9" t="s">
        <v>55</v>
      </c>
      <c r="C4408" s="10" t="s">
        <v>49</v>
      </c>
      <c r="D4408" s="11">
        <v>31.335117379519456</v>
      </c>
      <c r="E4408" s="12">
        <f t="shared" si="68"/>
        <v>45846</v>
      </c>
    </row>
    <row r="4409" spans="1:5" x14ac:dyDescent="0.25">
      <c r="A4409" s="2">
        <f>IF(B4409="","",SUBTOTAL(3,$B$2:B4409))</f>
        <v>4408</v>
      </c>
      <c r="B4409" s="9" t="s">
        <v>51</v>
      </c>
      <c r="C4409" s="10" t="s">
        <v>54</v>
      </c>
      <c r="D4409" s="11">
        <v>1588.4782378481414</v>
      </c>
      <c r="E4409" s="12">
        <f t="shared" si="68"/>
        <v>45847</v>
      </c>
    </row>
    <row r="4410" spans="1:5" x14ac:dyDescent="0.25">
      <c r="A4410" s="2">
        <f>IF(B4410="","",SUBTOTAL(3,$B$2:B4410))</f>
        <v>4409</v>
      </c>
      <c r="B4410" s="9" t="s">
        <v>50</v>
      </c>
      <c r="C4410" s="10" t="s">
        <v>52</v>
      </c>
      <c r="D4410" s="11">
        <v>33.06878306878307</v>
      </c>
      <c r="E4410" s="12">
        <f t="shared" si="68"/>
        <v>45848</v>
      </c>
    </row>
    <row r="4411" spans="1:5" x14ac:dyDescent="0.25">
      <c r="A4411" s="2">
        <f>IF(B4411="","",SUBTOTAL(3,$B$2:B4411))</f>
        <v>4410</v>
      </c>
      <c r="B4411" s="9" t="s">
        <v>55</v>
      </c>
      <c r="C4411" s="10" t="s">
        <v>52</v>
      </c>
      <c r="D4411" s="11">
        <v>80.243941582410528</v>
      </c>
      <c r="E4411" s="12">
        <f t="shared" si="68"/>
        <v>45849</v>
      </c>
    </row>
    <row r="4412" spans="1:5" x14ac:dyDescent="0.25">
      <c r="A4412" s="2">
        <f>IF(B4412="","",SUBTOTAL(3,$B$2:B4412))</f>
        <v>4411</v>
      </c>
      <c r="B4412" s="9" t="s">
        <v>48</v>
      </c>
      <c r="C4412" s="10" t="s">
        <v>54</v>
      </c>
      <c r="D4412" s="11">
        <v>55.153395380903135</v>
      </c>
      <c r="E4412" s="12">
        <f t="shared" si="68"/>
        <v>45850</v>
      </c>
    </row>
    <row r="4413" spans="1:5" x14ac:dyDescent="0.25">
      <c r="A4413" s="2">
        <f>IF(B4413="","",SUBTOTAL(3,$B$2:B4413))</f>
        <v>4412</v>
      </c>
      <c r="B4413" s="9" t="s">
        <v>55</v>
      </c>
      <c r="C4413" s="10" t="s">
        <v>52</v>
      </c>
      <c r="D4413" s="11">
        <v>120.3659123736158</v>
      </c>
      <c r="E4413" s="12">
        <f t="shared" si="68"/>
        <v>45851</v>
      </c>
    </row>
    <row r="4414" spans="1:5" x14ac:dyDescent="0.25">
      <c r="A4414" s="2">
        <f>IF(B4414="","",SUBTOTAL(3,$B$2:B4414))</f>
        <v>4413</v>
      </c>
      <c r="B4414" s="9" t="s">
        <v>50</v>
      </c>
      <c r="C4414" s="10" t="s">
        <v>49</v>
      </c>
      <c r="D4414" s="11">
        <v>1102.2927689594355</v>
      </c>
      <c r="E4414" s="12">
        <f t="shared" si="68"/>
        <v>45852</v>
      </c>
    </row>
    <row r="4415" spans="1:5" x14ac:dyDescent="0.25">
      <c r="A4415" s="2">
        <f>IF(B4415="","",SUBTOTAL(3,$B$2:B4415))</f>
        <v>4414</v>
      </c>
      <c r="B4415" s="9" t="s">
        <v>48</v>
      </c>
      <c r="C4415" s="10" t="s">
        <v>49</v>
      </c>
      <c r="D4415" s="11">
        <v>46.210720887245841</v>
      </c>
      <c r="E4415" s="12">
        <f t="shared" si="68"/>
        <v>45853</v>
      </c>
    </row>
    <row r="4416" spans="1:5" x14ac:dyDescent="0.25">
      <c r="A4416" s="2">
        <f>IF(B4416="","",SUBTOTAL(3,$B$2:B4416))</f>
        <v>4415</v>
      </c>
      <c r="B4416" s="9" t="s">
        <v>48</v>
      </c>
      <c r="C4416" s="10" t="s">
        <v>49</v>
      </c>
      <c r="D4416" s="11">
        <v>60.0739371534196</v>
      </c>
      <c r="E4416" s="12">
        <f t="shared" si="68"/>
        <v>45854</v>
      </c>
    </row>
    <row r="4417" spans="1:5" x14ac:dyDescent="0.25">
      <c r="A4417" s="2">
        <f>IF(B4417="","",SUBTOTAL(3,$B$2:B4417))</f>
        <v>4416</v>
      </c>
      <c r="B4417" s="9" t="s">
        <v>48</v>
      </c>
      <c r="C4417" s="10" t="s">
        <v>52</v>
      </c>
      <c r="D4417" s="11">
        <v>15.617221195317313</v>
      </c>
      <c r="E4417" s="12">
        <f t="shared" si="68"/>
        <v>45855</v>
      </c>
    </row>
    <row r="4418" spans="1:5" x14ac:dyDescent="0.25">
      <c r="A4418" s="2">
        <f>IF(B4418="","",SUBTOTAL(3,$B$2:B4418))</f>
        <v>4417</v>
      </c>
      <c r="B4418" s="9" t="s">
        <v>55</v>
      </c>
      <c r="C4418" s="10" t="s">
        <v>49</v>
      </c>
      <c r="D4418" s="11">
        <v>19.883091927321544</v>
      </c>
      <c r="E4418" s="12">
        <f t="shared" si="68"/>
        <v>45856</v>
      </c>
    </row>
    <row r="4419" spans="1:5" x14ac:dyDescent="0.25">
      <c r="A4419" s="2">
        <f>IF(B4419="","",SUBTOTAL(3,$B$2:B4419))</f>
        <v>4418</v>
      </c>
      <c r="B4419" s="9" t="s">
        <v>51</v>
      </c>
      <c r="C4419" s="10" t="s">
        <v>49</v>
      </c>
      <c r="D4419" s="11">
        <v>42.359419675950441</v>
      </c>
      <c r="E4419" s="12">
        <f t="shared" si="68"/>
        <v>45857</v>
      </c>
    </row>
    <row r="4420" spans="1:5" x14ac:dyDescent="0.25">
      <c r="A4420" s="2">
        <f>IF(B4420="","",SUBTOTAL(3,$B$2:B4420))</f>
        <v>4419</v>
      </c>
      <c r="B4420" s="9" t="s">
        <v>51</v>
      </c>
      <c r="C4420" s="10" t="s">
        <v>52</v>
      </c>
      <c r="D4420" s="11">
        <v>10.58985491898761</v>
      </c>
      <c r="E4420" s="12">
        <f t="shared" ref="E4420:E4483" si="69">E4419+1</f>
        <v>45858</v>
      </c>
    </row>
    <row r="4421" spans="1:5" x14ac:dyDescent="0.25">
      <c r="A4421" s="2">
        <f>IF(B4421="","",SUBTOTAL(3,$B$2:B4421))</f>
        <v>4420</v>
      </c>
      <c r="B4421" s="9" t="s">
        <v>51</v>
      </c>
      <c r="C4421" s="10" t="s">
        <v>49</v>
      </c>
      <c r="D4421" s="11">
        <v>63.539129513925651</v>
      </c>
      <c r="E4421" s="12">
        <f t="shared" si="69"/>
        <v>45859</v>
      </c>
    </row>
    <row r="4422" spans="1:5" x14ac:dyDescent="0.25">
      <c r="A4422" s="2">
        <f>IF(B4422="","",SUBTOTAL(3,$B$2:B4422))</f>
        <v>4421</v>
      </c>
      <c r="B4422" s="9" t="s">
        <v>51</v>
      </c>
      <c r="C4422" s="10" t="s">
        <v>49</v>
      </c>
      <c r="D4422" s="11">
        <v>529.49274594938049</v>
      </c>
      <c r="E4422" s="12">
        <f t="shared" si="69"/>
        <v>45860</v>
      </c>
    </row>
    <row r="4423" spans="1:5" x14ac:dyDescent="0.25">
      <c r="A4423" s="2">
        <f>IF(B4423="","",SUBTOTAL(3,$B$2:B4423))</f>
        <v>4422</v>
      </c>
      <c r="B4423" s="9" t="s">
        <v>50</v>
      </c>
      <c r="C4423" s="10" t="s">
        <v>49</v>
      </c>
      <c r="D4423" s="11">
        <v>110.22927689594357</v>
      </c>
      <c r="E4423" s="12">
        <f t="shared" si="69"/>
        <v>45861</v>
      </c>
    </row>
    <row r="4424" spans="1:5" x14ac:dyDescent="0.25">
      <c r="A4424" s="2">
        <f>IF(B4424="","",SUBTOTAL(3,$B$2:B4424))</f>
        <v>4423</v>
      </c>
      <c r="B4424" s="9" t="s">
        <v>50</v>
      </c>
      <c r="C4424" s="10" t="s">
        <v>52</v>
      </c>
      <c r="D4424" s="11">
        <v>11.022927689594356</v>
      </c>
      <c r="E4424" s="12">
        <f t="shared" si="69"/>
        <v>45862</v>
      </c>
    </row>
    <row r="4425" spans="1:5" x14ac:dyDescent="0.25">
      <c r="A4425" s="2">
        <f>IF(B4425="","",SUBTOTAL(3,$B$2:B4425))</f>
        <v>4424</v>
      </c>
      <c r="B4425" s="9" t="s">
        <v>48</v>
      </c>
      <c r="C4425" s="10" t="s">
        <v>49</v>
      </c>
      <c r="D4425" s="11">
        <v>77.017868145409736</v>
      </c>
      <c r="E4425" s="12">
        <f t="shared" si="69"/>
        <v>45863</v>
      </c>
    </row>
    <row r="4426" spans="1:5" x14ac:dyDescent="0.25">
      <c r="A4426" s="2">
        <f>IF(B4426="","",SUBTOTAL(3,$B$2:B4426))</f>
        <v>4425</v>
      </c>
      <c r="B4426" s="9" t="s">
        <v>48</v>
      </c>
      <c r="C4426" s="10" t="s">
        <v>49</v>
      </c>
      <c r="D4426" s="11">
        <v>385.08934072704869</v>
      </c>
      <c r="E4426" s="12">
        <f t="shared" si="69"/>
        <v>45864</v>
      </c>
    </row>
    <row r="4427" spans="1:5" x14ac:dyDescent="0.25">
      <c r="A4427" s="2">
        <f>IF(B4427="","",SUBTOTAL(3,$B$2:B4427))</f>
        <v>4426</v>
      </c>
      <c r="B4427" s="9" t="s">
        <v>48</v>
      </c>
      <c r="C4427" s="10" t="s">
        <v>49</v>
      </c>
      <c r="D4427" s="11">
        <v>462.10720887245844</v>
      </c>
      <c r="E4427" s="12">
        <f t="shared" si="69"/>
        <v>45865</v>
      </c>
    </row>
    <row r="4428" spans="1:5" x14ac:dyDescent="0.25">
      <c r="A4428" s="2">
        <f>IF(B4428="","",SUBTOTAL(3,$B$2:B4428))</f>
        <v>4427</v>
      </c>
      <c r="B4428" s="9" t="s">
        <v>50</v>
      </c>
      <c r="C4428" s="10" t="s">
        <v>49</v>
      </c>
      <c r="D4428" s="11">
        <v>110.22927689594357</v>
      </c>
      <c r="E4428" s="12">
        <f t="shared" si="69"/>
        <v>45866</v>
      </c>
    </row>
    <row r="4429" spans="1:5" x14ac:dyDescent="0.25">
      <c r="A4429" s="2">
        <f>IF(B4429="","",SUBTOTAL(3,$B$2:B4429))</f>
        <v>4428</v>
      </c>
      <c r="B4429" s="9" t="s">
        <v>48</v>
      </c>
      <c r="C4429" s="10" t="s">
        <v>49</v>
      </c>
      <c r="D4429" s="11">
        <v>29.922982131854592</v>
      </c>
      <c r="E4429" s="12">
        <f t="shared" si="69"/>
        <v>45867</v>
      </c>
    </row>
    <row r="4430" spans="1:5" x14ac:dyDescent="0.25">
      <c r="A4430" s="2">
        <f>IF(B4430="","",SUBTOTAL(3,$B$2:B4430))</f>
        <v>4429</v>
      </c>
      <c r="B4430" s="9" t="s">
        <v>50</v>
      </c>
      <c r="C4430" s="10" t="s">
        <v>54</v>
      </c>
      <c r="D4430" s="11">
        <v>440.91710758377428</v>
      </c>
      <c r="E4430" s="12">
        <f t="shared" si="69"/>
        <v>45868</v>
      </c>
    </row>
    <row r="4431" spans="1:5" x14ac:dyDescent="0.25">
      <c r="A4431" s="2">
        <f>IF(B4431="","",SUBTOTAL(3,$B$2:B4431))</f>
        <v>4430</v>
      </c>
      <c r="B4431" s="9" t="s">
        <v>50</v>
      </c>
      <c r="C4431" s="10" t="s">
        <v>54</v>
      </c>
      <c r="D4431" s="11">
        <v>88.183421516754848</v>
      </c>
      <c r="E4431" s="12">
        <f t="shared" si="69"/>
        <v>45869</v>
      </c>
    </row>
    <row r="4432" spans="1:5" x14ac:dyDescent="0.25">
      <c r="A4432" s="2">
        <f>IF(B4432="","",SUBTOTAL(3,$B$2:B4432))</f>
        <v>4431</v>
      </c>
      <c r="B4432" s="9" t="s">
        <v>55</v>
      </c>
      <c r="C4432" s="10" t="s">
        <v>49</v>
      </c>
      <c r="D4432" s="11">
        <v>97.767638911520294</v>
      </c>
      <c r="E4432" s="12">
        <f t="shared" si="69"/>
        <v>45870</v>
      </c>
    </row>
    <row r="4433" spans="1:5" x14ac:dyDescent="0.25">
      <c r="A4433" s="2">
        <f>IF(B4433="","",SUBTOTAL(3,$B$2:B4433))</f>
        <v>4432</v>
      </c>
      <c r="B4433" s="9" t="s">
        <v>55</v>
      </c>
      <c r="C4433" s="10" t="s">
        <v>54</v>
      </c>
      <c r="D4433" s="11">
        <v>32.589212970506765</v>
      </c>
      <c r="E4433" s="12">
        <f t="shared" si="69"/>
        <v>45871</v>
      </c>
    </row>
    <row r="4434" spans="1:5" x14ac:dyDescent="0.25">
      <c r="A4434" s="2">
        <f>IF(B4434="","",SUBTOTAL(3,$B$2:B4434))</f>
        <v>4433</v>
      </c>
      <c r="B4434" s="9" t="s">
        <v>50</v>
      </c>
      <c r="C4434" s="10" t="s">
        <v>49</v>
      </c>
      <c r="D4434" s="11">
        <v>55.114638447971785</v>
      </c>
      <c r="E4434" s="12">
        <f t="shared" si="69"/>
        <v>45872</v>
      </c>
    </row>
    <row r="4435" spans="1:5" x14ac:dyDescent="0.25">
      <c r="A4435" s="2">
        <f>IF(B4435="","",SUBTOTAL(3,$B$2:B4435))</f>
        <v>4434</v>
      </c>
      <c r="B4435" s="9" t="s">
        <v>50</v>
      </c>
      <c r="C4435" s="10" t="s">
        <v>54</v>
      </c>
      <c r="D4435" s="11">
        <v>41.887125220458557</v>
      </c>
      <c r="E4435" s="12">
        <f t="shared" si="69"/>
        <v>45873</v>
      </c>
    </row>
    <row r="4436" spans="1:5" x14ac:dyDescent="0.25">
      <c r="A4436" s="2">
        <f>IF(B4436="","",SUBTOTAL(3,$B$2:B4436))</f>
        <v>4435</v>
      </c>
      <c r="B4436" s="9" t="s">
        <v>50</v>
      </c>
      <c r="C4436" s="10" t="s">
        <v>52</v>
      </c>
      <c r="D4436" s="11">
        <v>88.183421516754848</v>
      </c>
      <c r="E4436" s="12">
        <f t="shared" si="69"/>
        <v>45874</v>
      </c>
    </row>
    <row r="4437" spans="1:5" x14ac:dyDescent="0.25">
      <c r="A4437" s="2">
        <f>IF(B4437="","",SUBTOTAL(3,$B$2:B4437))</f>
        <v>4436</v>
      </c>
      <c r="B4437" s="9" t="s">
        <v>50</v>
      </c>
      <c r="C4437" s="10" t="s">
        <v>52</v>
      </c>
      <c r="D4437" s="11">
        <v>110.22927689594357</v>
      </c>
      <c r="E4437" s="12">
        <f t="shared" si="69"/>
        <v>45875</v>
      </c>
    </row>
    <row r="4438" spans="1:5" x14ac:dyDescent="0.25">
      <c r="A4438" s="2">
        <f>IF(B4438="","",SUBTOTAL(3,$B$2:B4438))</f>
        <v>4437</v>
      </c>
      <c r="B4438" s="9" t="s">
        <v>50</v>
      </c>
      <c r="C4438" s="10" t="s">
        <v>49</v>
      </c>
      <c r="D4438" s="11">
        <v>5.9744268077601408</v>
      </c>
      <c r="E4438" s="12">
        <f t="shared" si="69"/>
        <v>45876</v>
      </c>
    </row>
    <row r="4439" spans="1:5" x14ac:dyDescent="0.25">
      <c r="A4439" s="2">
        <f>IF(B4439="","",SUBTOTAL(3,$B$2:B4439))</f>
        <v>4438</v>
      </c>
      <c r="B4439" s="9" t="s">
        <v>50</v>
      </c>
      <c r="C4439" s="10" t="s">
        <v>49</v>
      </c>
      <c r="D4439" s="11">
        <v>220.45855379188714</v>
      </c>
      <c r="E4439" s="12">
        <f t="shared" si="69"/>
        <v>45877</v>
      </c>
    </row>
    <row r="4440" spans="1:5" x14ac:dyDescent="0.25">
      <c r="A4440" s="2">
        <f>IF(B4440="","",SUBTOTAL(3,$B$2:B4440))</f>
        <v>4439</v>
      </c>
      <c r="B4440" s="9" t="s">
        <v>50</v>
      </c>
      <c r="C4440" s="10" t="s">
        <v>52</v>
      </c>
      <c r="D4440" s="11">
        <v>110.22927689594357</v>
      </c>
      <c r="E4440" s="12">
        <f t="shared" si="69"/>
        <v>45878</v>
      </c>
    </row>
    <row r="4441" spans="1:5" x14ac:dyDescent="0.25">
      <c r="A4441" s="2">
        <f>IF(B4441="","",SUBTOTAL(3,$B$2:B4441))</f>
        <v>4440</v>
      </c>
      <c r="B4441" s="9" t="s">
        <v>51</v>
      </c>
      <c r="C4441" s="10" t="s">
        <v>52</v>
      </c>
      <c r="D4441" s="11">
        <v>5.2949274594938052</v>
      </c>
      <c r="E4441" s="12">
        <f t="shared" si="69"/>
        <v>45879</v>
      </c>
    </row>
    <row r="4442" spans="1:5" x14ac:dyDescent="0.25">
      <c r="A4442" s="2">
        <f>IF(B4442="","",SUBTOTAL(3,$B$2:B4442))</f>
        <v>4441</v>
      </c>
      <c r="B4442" s="9" t="s">
        <v>55</v>
      </c>
      <c r="C4442" s="10" t="s">
        <v>49</v>
      </c>
      <c r="D4442" s="11">
        <v>18.92543758901089</v>
      </c>
      <c r="E4442" s="12">
        <f t="shared" si="69"/>
        <v>45880</v>
      </c>
    </row>
    <row r="4443" spans="1:5" x14ac:dyDescent="0.25">
      <c r="A4443" s="2">
        <f>IF(B4443="","",SUBTOTAL(3,$B$2:B4443))</f>
        <v>4442</v>
      </c>
      <c r="B4443" s="9" t="s">
        <v>50</v>
      </c>
      <c r="C4443" s="10" t="s">
        <v>54</v>
      </c>
      <c r="D4443" s="11">
        <v>198.4126984126984</v>
      </c>
      <c r="E4443" s="12">
        <f t="shared" si="69"/>
        <v>45881</v>
      </c>
    </row>
    <row r="4444" spans="1:5" x14ac:dyDescent="0.25">
      <c r="A4444" s="2">
        <f>IF(B4444="","",SUBTOTAL(3,$B$2:B4444))</f>
        <v>4443</v>
      </c>
      <c r="B4444" s="9" t="s">
        <v>55</v>
      </c>
      <c r="C4444" s="10" t="s">
        <v>49</v>
      </c>
      <c r="D4444" s="11">
        <v>1500</v>
      </c>
      <c r="E4444" s="12">
        <f t="shared" si="69"/>
        <v>45882</v>
      </c>
    </row>
    <row r="4445" spans="1:5" x14ac:dyDescent="0.25">
      <c r="A4445" s="2">
        <f>IF(B4445="","",SUBTOTAL(3,$B$2:B4445))</f>
        <v>4444</v>
      </c>
      <c r="B4445" s="9" t="s">
        <v>50</v>
      </c>
      <c r="C4445" s="10" t="s">
        <v>52</v>
      </c>
      <c r="D4445" s="11">
        <v>44.091710758377424</v>
      </c>
      <c r="E4445" s="12">
        <f t="shared" si="69"/>
        <v>45883</v>
      </c>
    </row>
    <row r="4446" spans="1:5" x14ac:dyDescent="0.25">
      <c r="A4446" s="2">
        <f>IF(B4446="","",SUBTOTAL(3,$B$2:B4446))</f>
        <v>4445</v>
      </c>
      <c r="B4446" s="9" t="s">
        <v>48</v>
      </c>
      <c r="C4446" s="10" t="s">
        <v>49</v>
      </c>
      <c r="D4446" s="11">
        <v>53.912507701786815</v>
      </c>
      <c r="E4446" s="12">
        <f t="shared" si="69"/>
        <v>45884</v>
      </c>
    </row>
    <row r="4447" spans="1:5" x14ac:dyDescent="0.25">
      <c r="A4447" s="2">
        <f>IF(B4447="","",SUBTOTAL(3,$B$2:B4447))</f>
        <v>4446</v>
      </c>
      <c r="B4447" s="9" t="s">
        <v>48</v>
      </c>
      <c r="C4447" s="10" t="s">
        <v>52</v>
      </c>
      <c r="D4447" s="11">
        <v>77.017868145409736</v>
      </c>
      <c r="E4447" s="12">
        <f t="shared" si="69"/>
        <v>45885</v>
      </c>
    </row>
    <row r="4448" spans="1:5" x14ac:dyDescent="0.25">
      <c r="A4448" s="2">
        <f>IF(B4448="","",SUBTOTAL(3,$B$2:B4448))</f>
        <v>4447</v>
      </c>
      <c r="B4448" s="9" t="s">
        <v>48</v>
      </c>
      <c r="C4448" s="10" t="s">
        <v>49</v>
      </c>
      <c r="D4448" s="11">
        <v>30.807147258163894</v>
      </c>
      <c r="E4448" s="12">
        <f t="shared" si="69"/>
        <v>45886</v>
      </c>
    </row>
    <row r="4449" spans="1:5" x14ac:dyDescent="0.25">
      <c r="A4449" s="2">
        <f>IF(B4449="","",SUBTOTAL(3,$B$2:B4449))</f>
        <v>4448</v>
      </c>
      <c r="B4449" s="9" t="s">
        <v>48</v>
      </c>
      <c r="C4449" s="10" t="s">
        <v>49</v>
      </c>
      <c r="D4449" s="11">
        <v>231.05360443622922</v>
      </c>
      <c r="E4449" s="12">
        <f t="shared" si="69"/>
        <v>45887</v>
      </c>
    </row>
    <row r="4450" spans="1:5" x14ac:dyDescent="0.25">
      <c r="A4450" s="2">
        <f>IF(B4450="","",SUBTOTAL(3,$B$2:B4450))</f>
        <v>4449</v>
      </c>
      <c r="B4450" s="9" t="s">
        <v>48</v>
      </c>
      <c r="C4450" s="10" t="s">
        <v>49</v>
      </c>
      <c r="D4450" s="11">
        <v>277.26432532347508</v>
      </c>
      <c r="E4450" s="12">
        <f t="shared" si="69"/>
        <v>45888</v>
      </c>
    </row>
    <row r="4451" spans="1:5" x14ac:dyDescent="0.25">
      <c r="A4451" s="2">
        <f>IF(B4451="","",SUBTOTAL(3,$B$2:B4451))</f>
        <v>4450</v>
      </c>
      <c r="B4451" s="9" t="s">
        <v>48</v>
      </c>
      <c r="C4451" s="10" t="s">
        <v>49</v>
      </c>
      <c r="D4451" s="11">
        <v>38.508934072704868</v>
      </c>
      <c r="E4451" s="12">
        <f t="shared" si="69"/>
        <v>45889</v>
      </c>
    </row>
    <row r="4452" spans="1:5" x14ac:dyDescent="0.25">
      <c r="A4452" s="2">
        <f>IF(B4452="","",SUBTOTAL(3,$B$2:B4452))</f>
        <v>4451</v>
      </c>
      <c r="B4452" s="9" t="s">
        <v>48</v>
      </c>
      <c r="C4452" s="10" t="s">
        <v>49</v>
      </c>
      <c r="D4452" s="11">
        <v>38.508934072704868</v>
      </c>
      <c r="E4452" s="12">
        <f t="shared" si="69"/>
        <v>45890</v>
      </c>
    </row>
    <row r="4453" spans="1:5" x14ac:dyDescent="0.25">
      <c r="A4453" s="2">
        <f>IF(B4453="","",SUBTOTAL(3,$B$2:B4453))</f>
        <v>4452</v>
      </c>
      <c r="B4453" s="9" t="s">
        <v>51</v>
      </c>
      <c r="C4453" s="10" t="s">
        <v>52</v>
      </c>
      <c r="D4453" s="11">
        <v>105.89854918987609</v>
      </c>
      <c r="E4453" s="12">
        <f t="shared" si="69"/>
        <v>45891</v>
      </c>
    </row>
    <row r="4454" spans="1:5" x14ac:dyDescent="0.25">
      <c r="A4454" s="2">
        <f>IF(B4454="","",SUBTOTAL(3,$B$2:B4454))</f>
        <v>4453</v>
      </c>
      <c r="B4454" s="9" t="s">
        <v>48</v>
      </c>
      <c r="C4454" s="10" t="s">
        <v>52</v>
      </c>
      <c r="D4454" s="11">
        <v>50</v>
      </c>
      <c r="E4454" s="12">
        <f t="shared" si="69"/>
        <v>45892</v>
      </c>
    </row>
    <row r="4455" spans="1:5" x14ac:dyDescent="0.25">
      <c r="A4455" s="2">
        <f>IF(B4455="","",SUBTOTAL(3,$B$2:B4455))</f>
        <v>4454</v>
      </c>
      <c r="B4455" s="9" t="s">
        <v>48</v>
      </c>
      <c r="C4455" s="10" t="s">
        <v>49</v>
      </c>
      <c r="D4455" s="11">
        <v>172.35436056532231</v>
      </c>
      <c r="E4455" s="12">
        <f t="shared" si="69"/>
        <v>45893</v>
      </c>
    </row>
    <row r="4456" spans="1:5" x14ac:dyDescent="0.25">
      <c r="A4456" s="2">
        <f>IF(B4456="","",SUBTOTAL(3,$B$2:B4456))</f>
        <v>4455</v>
      </c>
      <c r="B4456" s="9" t="s">
        <v>50</v>
      </c>
      <c r="C4456" s="10" t="s">
        <v>52</v>
      </c>
      <c r="D4456" s="11">
        <v>1102.2927689594355</v>
      </c>
      <c r="E4456" s="12">
        <f t="shared" si="69"/>
        <v>45894</v>
      </c>
    </row>
    <row r="4457" spans="1:5" x14ac:dyDescent="0.25">
      <c r="A4457" s="2">
        <f>IF(B4457="","",SUBTOTAL(3,$B$2:B4457))</f>
        <v>4456</v>
      </c>
      <c r="B4457" s="9" t="s">
        <v>50</v>
      </c>
      <c r="C4457" s="10" t="s">
        <v>49</v>
      </c>
      <c r="D4457" s="11">
        <v>79.365079365079367</v>
      </c>
      <c r="E4457" s="12">
        <f t="shared" si="69"/>
        <v>45895</v>
      </c>
    </row>
    <row r="4458" spans="1:5" x14ac:dyDescent="0.25">
      <c r="A4458" s="2">
        <f>IF(B4458="","",SUBTOTAL(3,$B$2:B4458))</f>
        <v>4457</v>
      </c>
      <c r="B4458" s="9" t="s">
        <v>50</v>
      </c>
      <c r="C4458" s="10" t="s">
        <v>49</v>
      </c>
      <c r="D4458" s="11">
        <v>440.91710758377428</v>
      </c>
      <c r="E4458" s="12">
        <f t="shared" si="69"/>
        <v>45896</v>
      </c>
    </row>
    <row r="4459" spans="1:5" x14ac:dyDescent="0.25">
      <c r="A4459" s="2">
        <f>IF(B4459="","",SUBTOTAL(3,$B$2:B4459))</f>
        <v>4458</v>
      </c>
      <c r="B4459" s="9" t="s">
        <v>51</v>
      </c>
      <c r="C4459" s="10" t="s">
        <v>49</v>
      </c>
      <c r="D4459" s="11">
        <v>211.79709837975219</v>
      </c>
      <c r="E4459" s="12">
        <f t="shared" si="69"/>
        <v>45897</v>
      </c>
    </row>
    <row r="4460" spans="1:5" x14ac:dyDescent="0.25">
      <c r="A4460" s="2">
        <f>IF(B4460="","",SUBTOTAL(3,$B$2:B4460))</f>
        <v>4459</v>
      </c>
      <c r="B4460" s="9" t="s">
        <v>51</v>
      </c>
      <c r="C4460" s="10" t="s">
        <v>52</v>
      </c>
      <c r="D4460" s="11">
        <v>423.59419675950437</v>
      </c>
      <c r="E4460" s="12">
        <f t="shared" si="69"/>
        <v>45898</v>
      </c>
    </row>
    <row r="4461" spans="1:5" x14ac:dyDescent="0.25">
      <c r="A4461" s="2">
        <f>IF(B4461="","",SUBTOTAL(3,$B$2:B4461))</f>
        <v>4460</v>
      </c>
      <c r="B4461" s="9" t="s">
        <v>51</v>
      </c>
      <c r="C4461" s="10" t="s">
        <v>54</v>
      </c>
      <c r="D4461" s="11">
        <v>202.57677659833075</v>
      </c>
      <c r="E4461" s="12">
        <f t="shared" si="69"/>
        <v>45899</v>
      </c>
    </row>
    <row r="4462" spans="1:5" x14ac:dyDescent="0.25">
      <c r="A4462" s="2">
        <f>IF(B4462="","",SUBTOTAL(3,$B$2:B4462))</f>
        <v>4461</v>
      </c>
      <c r="B4462" s="9" t="s">
        <v>50</v>
      </c>
      <c r="C4462" s="10" t="s">
        <v>49</v>
      </c>
      <c r="D4462" s="11">
        <v>44.091710758377424</v>
      </c>
      <c r="E4462" s="12">
        <f t="shared" si="69"/>
        <v>45900</v>
      </c>
    </row>
    <row r="4463" spans="1:5" x14ac:dyDescent="0.25">
      <c r="A4463" s="2">
        <f>IF(B4463="","",SUBTOTAL(3,$B$2:B4463))</f>
        <v>4462</v>
      </c>
      <c r="B4463" s="9" t="s">
        <v>50</v>
      </c>
      <c r="C4463" s="10" t="s">
        <v>52</v>
      </c>
      <c r="D4463" s="11">
        <v>44.091710758377424</v>
      </c>
      <c r="E4463" s="12">
        <f t="shared" si="69"/>
        <v>45901</v>
      </c>
    </row>
    <row r="4464" spans="1:5" x14ac:dyDescent="0.25">
      <c r="A4464" s="2">
        <f>IF(B4464="","",SUBTOTAL(3,$B$2:B4464))</f>
        <v>4463</v>
      </c>
      <c r="B4464" s="9" t="s">
        <v>50</v>
      </c>
      <c r="C4464" s="10" t="s">
        <v>49</v>
      </c>
      <c r="D4464" s="11">
        <v>489.67096560846562</v>
      </c>
      <c r="E4464" s="12">
        <f t="shared" si="69"/>
        <v>45902</v>
      </c>
    </row>
    <row r="4465" spans="1:5" x14ac:dyDescent="0.25">
      <c r="A4465" s="2">
        <f>IF(B4465="","",SUBTOTAL(3,$B$2:B4465))</f>
        <v>4464</v>
      </c>
      <c r="B4465" s="9" t="s">
        <v>50</v>
      </c>
      <c r="C4465" s="10" t="s">
        <v>49</v>
      </c>
      <c r="D4465" s="11">
        <v>3.7477954144620811</v>
      </c>
      <c r="E4465" s="12">
        <f t="shared" si="69"/>
        <v>45903</v>
      </c>
    </row>
    <row r="4466" spans="1:5" x14ac:dyDescent="0.25">
      <c r="A4466" s="2">
        <f>IF(B4466="","",SUBTOTAL(3,$B$2:B4466))</f>
        <v>4465</v>
      </c>
      <c r="B4466" s="9" t="s">
        <v>48</v>
      </c>
      <c r="C4466" s="10" t="s">
        <v>49</v>
      </c>
      <c r="D4466" s="11">
        <v>184.64430254519291</v>
      </c>
      <c r="E4466" s="12">
        <f t="shared" si="69"/>
        <v>45904</v>
      </c>
    </row>
    <row r="4467" spans="1:5" x14ac:dyDescent="0.25">
      <c r="A4467" s="2">
        <f>IF(B4467="","",SUBTOTAL(3,$B$2:B4467))</f>
        <v>4466</v>
      </c>
      <c r="B4467" s="9" t="s">
        <v>48</v>
      </c>
      <c r="C4467" s="10" t="s">
        <v>49</v>
      </c>
      <c r="D4467" s="11">
        <v>10.278416609921242</v>
      </c>
      <c r="E4467" s="12">
        <f t="shared" si="69"/>
        <v>45905</v>
      </c>
    </row>
    <row r="4468" spans="1:5" x14ac:dyDescent="0.25">
      <c r="A4468" s="2">
        <f>IF(B4468="","",SUBTOTAL(3,$B$2:B4468))</f>
        <v>4467</v>
      </c>
      <c r="B4468" s="9" t="s">
        <v>53</v>
      </c>
      <c r="C4468" s="10" t="s">
        <v>54</v>
      </c>
      <c r="D4468" s="11">
        <v>64.110196268786581</v>
      </c>
      <c r="E4468" s="12">
        <f t="shared" si="69"/>
        <v>45906</v>
      </c>
    </row>
    <row r="4469" spans="1:5" x14ac:dyDescent="0.25">
      <c r="A4469" s="2">
        <f>IF(B4469="","",SUBTOTAL(3,$B$2:B4469))</f>
        <v>4468</v>
      </c>
      <c r="B4469" s="9" t="s">
        <v>51</v>
      </c>
      <c r="C4469" s="10" t="s">
        <v>49</v>
      </c>
      <c r="D4469" s="11">
        <v>127.0782590278513</v>
      </c>
      <c r="E4469" s="12">
        <f t="shared" si="69"/>
        <v>45907</v>
      </c>
    </row>
    <row r="4470" spans="1:5" x14ac:dyDescent="0.25">
      <c r="A4470" s="2">
        <f>IF(B4470="","",SUBTOTAL(3,$B$2:B4470))</f>
        <v>4469</v>
      </c>
      <c r="B4470" s="9" t="s">
        <v>48</v>
      </c>
      <c r="C4470" s="10" t="s">
        <v>49</v>
      </c>
      <c r="D4470" s="11">
        <v>27.726432532347506</v>
      </c>
      <c r="E4470" s="12">
        <f t="shared" si="69"/>
        <v>45908</v>
      </c>
    </row>
    <row r="4471" spans="1:5" x14ac:dyDescent="0.25">
      <c r="A4471" s="2">
        <f>IF(B4471="","",SUBTOTAL(3,$B$2:B4471))</f>
        <v>4470</v>
      </c>
      <c r="B4471" s="9" t="s">
        <v>48</v>
      </c>
      <c r="C4471" s="10" t="s">
        <v>52</v>
      </c>
      <c r="D4471" s="11">
        <v>435.61906962415281</v>
      </c>
      <c r="E4471" s="12">
        <f t="shared" si="69"/>
        <v>45909</v>
      </c>
    </row>
    <row r="4472" spans="1:5" x14ac:dyDescent="0.25">
      <c r="A4472" s="2">
        <f>IF(B4472="","",SUBTOTAL(3,$B$2:B4472))</f>
        <v>4471</v>
      </c>
      <c r="B4472" s="9" t="s">
        <v>48</v>
      </c>
      <c r="C4472" s="10" t="s">
        <v>49</v>
      </c>
      <c r="D4472" s="11">
        <v>27.726432532347506</v>
      </c>
      <c r="E4472" s="12">
        <f t="shared" si="69"/>
        <v>45910</v>
      </c>
    </row>
    <row r="4473" spans="1:5" x14ac:dyDescent="0.25">
      <c r="A4473" s="2">
        <f>IF(B4473="","",SUBTOTAL(3,$B$2:B4473))</f>
        <v>4472</v>
      </c>
      <c r="B4473" s="9" t="s">
        <v>48</v>
      </c>
      <c r="C4473" s="10" t="s">
        <v>49</v>
      </c>
      <c r="D4473" s="11">
        <v>259.39617991374001</v>
      </c>
      <c r="E4473" s="12">
        <f t="shared" si="69"/>
        <v>45911</v>
      </c>
    </row>
    <row r="4474" spans="1:5" x14ac:dyDescent="0.25">
      <c r="A4474" s="2">
        <f>IF(B4474="","",SUBTOTAL(3,$B$2:B4474))</f>
        <v>4473</v>
      </c>
      <c r="B4474" s="9" t="s">
        <v>48</v>
      </c>
      <c r="C4474" s="10" t="s">
        <v>52</v>
      </c>
      <c r="D4474" s="11">
        <v>94.963031423290204</v>
      </c>
      <c r="E4474" s="12">
        <f t="shared" si="69"/>
        <v>45912</v>
      </c>
    </row>
    <row r="4475" spans="1:5" x14ac:dyDescent="0.25">
      <c r="A4475" s="2">
        <f>IF(B4475="","",SUBTOTAL(3,$B$2:B4475))</f>
        <v>4474</v>
      </c>
      <c r="B4475" s="9" t="s">
        <v>48</v>
      </c>
      <c r="C4475" s="10" t="s">
        <v>52</v>
      </c>
      <c r="D4475" s="11">
        <v>94.963031423290204</v>
      </c>
      <c r="E4475" s="12">
        <f t="shared" si="69"/>
        <v>45913</v>
      </c>
    </row>
    <row r="4476" spans="1:5" x14ac:dyDescent="0.25">
      <c r="A4476" s="2">
        <f>IF(B4476="","",SUBTOTAL(3,$B$2:B4476))</f>
        <v>4475</v>
      </c>
      <c r="B4476" s="9" t="s">
        <v>48</v>
      </c>
      <c r="C4476" s="10" t="s">
        <v>49</v>
      </c>
      <c r="D4476" s="11">
        <v>539.12507701786819</v>
      </c>
      <c r="E4476" s="12">
        <f t="shared" si="69"/>
        <v>45914</v>
      </c>
    </row>
    <row r="4477" spans="1:5" x14ac:dyDescent="0.25">
      <c r="A4477" s="2">
        <f>IF(B4477="","",SUBTOTAL(3,$B$2:B4477))</f>
        <v>4476</v>
      </c>
      <c r="B4477" s="9" t="s">
        <v>50</v>
      </c>
      <c r="C4477" s="10" t="s">
        <v>52</v>
      </c>
      <c r="D4477" s="11">
        <v>88.183421516754848</v>
      </c>
      <c r="E4477" s="12">
        <f t="shared" si="69"/>
        <v>45915</v>
      </c>
    </row>
    <row r="4478" spans="1:5" x14ac:dyDescent="0.25">
      <c r="A4478" s="2">
        <f>IF(B4478="","",SUBTOTAL(3,$B$2:B4478))</f>
        <v>4477</v>
      </c>
      <c r="B4478" s="9" t="s">
        <v>50</v>
      </c>
      <c r="C4478" s="10" t="s">
        <v>52</v>
      </c>
      <c r="D4478" s="11">
        <v>22.045855379188712</v>
      </c>
      <c r="E4478" s="12">
        <f t="shared" si="69"/>
        <v>45916</v>
      </c>
    </row>
    <row r="4479" spans="1:5" x14ac:dyDescent="0.25">
      <c r="A4479" s="2">
        <f>IF(B4479="","",SUBTOTAL(3,$B$2:B4479))</f>
        <v>4478</v>
      </c>
      <c r="B4479" s="9" t="s">
        <v>50</v>
      </c>
      <c r="C4479" s="10" t="s">
        <v>49</v>
      </c>
      <c r="D4479" s="11">
        <v>55.114638447971785</v>
      </c>
      <c r="E4479" s="12">
        <f t="shared" si="69"/>
        <v>45917</v>
      </c>
    </row>
    <row r="4480" spans="1:5" x14ac:dyDescent="0.25">
      <c r="A4480" s="2">
        <f>IF(B4480="","",SUBTOTAL(3,$B$2:B4480))</f>
        <v>4479</v>
      </c>
      <c r="B4480" s="9" t="s">
        <v>50</v>
      </c>
      <c r="C4480" s="10" t="s">
        <v>52</v>
      </c>
      <c r="D4480" s="11">
        <v>22.045855379188712</v>
      </c>
      <c r="E4480" s="12">
        <f t="shared" si="69"/>
        <v>45918</v>
      </c>
    </row>
    <row r="4481" spans="1:5" x14ac:dyDescent="0.25">
      <c r="A4481" s="2">
        <f>IF(B4481="","",SUBTOTAL(3,$B$2:B4481))</f>
        <v>4480</v>
      </c>
      <c r="B4481" s="9" t="s">
        <v>51</v>
      </c>
      <c r="C4481" s="10" t="s">
        <v>52</v>
      </c>
      <c r="D4481" s="11">
        <v>52.949274594938046</v>
      </c>
      <c r="E4481" s="12">
        <f t="shared" si="69"/>
        <v>45919</v>
      </c>
    </row>
    <row r="4482" spans="1:5" x14ac:dyDescent="0.25">
      <c r="A4482" s="2">
        <f>IF(B4482="","",SUBTOTAL(3,$B$2:B4482))</f>
        <v>4481</v>
      </c>
      <c r="B4482" s="9" t="s">
        <v>50</v>
      </c>
      <c r="C4482" s="10" t="s">
        <v>49</v>
      </c>
      <c r="D4482" s="11">
        <v>36.0810405643739</v>
      </c>
      <c r="E4482" s="12">
        <f t="shared" si="69"/>
        <v>45920</v>
      </c>
    </row>
    <row r="4483" spans="1:5" x14ac:dyDescent="0.25">
      <c r="A4483" s="2">
        <f>IF(B4483="","",SUBTOTAL(3,$B$2:B4483))</f>
        <v>4482</v>
      </c>
      <c r="B4483" s="9" t="s">
        <v>50</v>
      </c>
      <c r="C4483" s="10" t="s">
        <v>49</v>
      </c>
      <c r="D4483" s="11">
        <v>36.0810405643739</v>
      </c>
      <c r="E4483" s="12">
        <f t="shared" si="69"/>
        <v>45921</v>
      </c>
    </row>
    <row r="4484" spans="1:5" x14ac:dyDescent="0.25">
      <c r="A4484" s="2">
        <f>IF(B4484="","",SUBTOTAL(3,$B$2:B4484))</f>
        <v>4483</v>
      </c>
      <c r="B4484" s="9" t="s">
        <v>50</v>
      </c>
      <c r="C4484" s="10" t="s">
        <v>49</v>
      </c>
      <c r="D4484" s="11">
        <v>36.0810405643739</v>
      </c>
      <c r="E4484" s="12">
        <f t="shared" ref="E4484:E4547" si="70">E4483+1</f>
        <v>45922</v>
      </c>
    </row>
    <row r="4485" spans="1:5" x14ac:dyDescent="0.25">
      <c r="A4485" s="2">
        <f>IF(B4485="","",SUBTOTAL(3,$B$2:B4485))</f>
        <v>4484</v>
      </c>
      <c r="B4485" s="9" t="s">
        <v>50</v>
      </c>
      <c r="C4485" s="10" t="s">
        <v>49</v>
      </c>
      <c r="D4485" s="11">
        <v>36.0810405643739</v>
      </c>
      <c r="E4485" s="12">
        <f t="shared" si="70"/>
        <v>45923</v>
      </c>
    </row>
    <row r="4486" spans="1:5" x14ac:dyDescent="0.25">
      <c r="A4486" s="2">
        <f>IF(B4486="","",SUBTOTAL(3,$B$2:B4486))</f>
        <v>4485</v>
      </c>
      <c r="B4486" s="9" t="s">
        <v>50</v>
      </c>
      <c r="C4486" s="10" t="s">
        <v>49</v>
      </c>
      <c r="D4486" s="11">
        <v>180.40784832451499</v>
      </c>
      <c r="E4486" s="12">
        <f t="shared" si="70"/>
        <v>45924</v>
      </c>
    </row>
    <row r="4487" spans="1:5" x14ac:dyDescent="0.25">
      <c r="A4487" s="2">
        <f>IF(B4487="","",SUBTOTAL(3,$B$2:B4487))</f>
        <v>4486</v>
      </c>
      <c r="B4487" s="9" t="s">
        <v>50</v>
      </c>
      <c r="C4487" s="10" t="s">
        <v>49</v>
      </c>
      <c r="D4487" s="11">
        <v>24.483575837742503</v>
      </c>
      <c r="E4487" s="12">
        <f t="shared" si="70"/>
        <v>45925</v>
      </c>
    </row>
    <row r="4488" spans="1:5" x14ac:dyDescent="0.25">
      <c r="A4488" s="2">
        <f>IF(B4488="","",SUBTOTAL(3,$B$2:B4488))</f>
        <v>4487</v>
      </c>
      <c r="B4488" s="9" t="s">
        <v>48</v>
      </c>
      <c r="C4488" s="10" t="s">
        <v>52</v>
      </c>
      <c r="D4488" s="11">
        <v>110</v>
      </c>
      <c r="E4488" s="12">
        <f t="shared" si="70"/>
        <v>45926</v>
      </c>
    </row>
    <row r="4489" spans="1:5" x14ac:dyDescent="0.25">
      <c r="A4489" s="2">
        <f>IF(B4489="","",SUBTOTAL(3,$B$2:B4489))</f>
        <v>4488</v>
      </c>
      <c r="B4489" s="9" t="s">
        <v>50</v>
      </c>
      <c r="C4489" s="10" t="s">
        <v>52</v>
      </c>
      <c r="D4489" s="11">
        <v>22.045855379188712</v>
      </c>
      <c r="E4489" s="12">
        <f t="shared" si="70"/>
        <v>45927</v>
      </c>
    </row>
    <row r="4490" spans="1:5" x14ac:dyDescent="0.25">
      <c r="A4490" s="2">
        <f>IF(B4490="","",SUBTOTAL(3,$B$2:B4490))</f>
        <v>4489</v>
      </c>
      <c r="B4490" s="9" t="s">
        <v>50</v>
      </c>
      <c r="C4490" s="10" t="s">
        <v>52</v>
      </c>
      <c r="D4490" s="11">
        <v>22.045855379188712</v>
      </c>
      <c r="E4490" s="12">
        <f t="shared" si="70"/>
        <v>45928</v>
      </c>
    </row>
    <row r="4491" spans="1:5" x14ac:dyDescent="0.25">
      <c r="A4491" s="2">
        <f>IF(B4491="","",SUBTOTAL(3,$B$2:B4491))</f>
        <v>4490</v>
      </c>
      <c r="B4491" s="9" t="s">
        <v>48</v>
      </c>
      <c r="C4491" s="10" t="s">
        <v>49</v>
      </c>
      <c r="D4491" s="11">
        <v>9.2421441774491679</v>
      </c>
      <c r="E4491" s="12">
        <f t="shared" si="70"/>
        <v>45929</v>
      </c>
    </row>
    <row r="4492" spans="1:5" x14ac:dyDescent="0.25">
      <c r="A4492" s="2">
        <f>IF(B4492="","",SUBTOTAL(3,$B$2:B4492))</f>
        <v>4491</v>
      </c>
      <c r="B4492" s="9" t="s">
        <v>50</v>
      </c>
      <c r="C4492" s="10" t="s">
        <v>49</v>
      </c>
      <c r="D4492" s="11">
        <v>210</v>
      </c>
      <c r="E4492" s="12">
        <f t="shared" si="70"/>
        <v>45930</v>
      </c>
    </row>
    <row r="4493" spans="1:5" x14ac:dyDescent="0.25">
      <c r="A4493" s="2">
        <f>IF(B4493="","",SUBTOTAL(3,$B$2:B4493))</f>
        <v>4492</v>
      </c>
      <c r="B4493" s="9" t="s">
        <v>50</v>
      </c>
      <c r="C4493" s="10" t="s">
        <v>49</v>
      </c>
      <c r="D4493" s="11">
        <v>270.6078042328042</v>
      </c>
      <c r="E4493" s="12">
        <f t="shared" si="70"/>
        <v>45931</v>
      </c>
    </row>
    <row r="4494" spans="1:5" x14ac:dyDescent="0.25">
      <c r="A4494" s="2">
        <f>IF(B4494="","",SUBTOTAL(3,$B$2:B4494))</f>
        <v>4493</v>
      </c>
      <c r="B4494" s="9" t="s">
        <v>50</v>
      </c>
      <c r="C4494" s="10" t="s">
        <v>49</v>
      </c>
      <c r="D4494" s="11">
        <v>35.273368606701936</v>
      </c>
      <c r="E4494" s="12">
        <f t="shared" si="70"/>
        <v>45932</v>
      </c>
    </row>
    <row r="4495" spans="1:5" x14ac:dyDescent="0.25">
      <c r="A4495" s="2">
        <f>IF(B4495="","",SUBTOTAL(3,$B$2:B4495))</f>
        <v>4494</v>
      </c>
      <c r="B4495" s="9" t="s">
        <v>50</v>
      </c>
      <c r="C4495" s="10" t="s">
        <v>52</v>
      </c>
      <c r="D4495" s="11">
        <v>88.183421516754848</v>
      </c>
      <c r="E4495" s="12">
        <f t="shared" si="70"/>
        <v>45933</v>
      </c>
    </row>
    <row r="4496" spans="1:5" x14ac:dyDescent="0.25">
      <c r="A4496" s="2">
        <f>IF(B4496="","",SUBTOTAL(3,$B$2:B4496))</f>
        <v>4495</v>
      </c>
      <c r="B4496" s="9" t="s">
        <v>50</v>
      </c>
      <c r="C4496" s="10" t="s">
        <v>57</v>
      </c>
      <c r="D4496" s="11">
        <v>11.022927689594356</v>
      </c>
      <c r="E4496" s="12">
        <f t="shared" si="70"/>
        <v>45934</v>
      </c>
    </row>
    <row r="4497" spans="1:5" x14ac:dyDescent="0.25">
      <c r="A4497" s="2">
        <f>IF(B4497="","",SUBTOTAL(3,$B$2:B4497))</f>
        <v>4496</v>
      </c>
      <c r="B4497" s="9" t="s">
        <v>50</v>
      </c>
      <c r="C4497" s="10" t="s">
        <v>49</v>
      </c>
      <c r="D4497" s="11">
        <v>2.204585537918871</v>
      </c>
      <c r="E4497" s="12">
        <f t="shared" si="70"/>
        <v>45935</v>
      </c>
    </row>
    <row r="4498" spans="1:5" x14ac:dyDescent="0.25">
      <c r="A4498" s="2">
        <f>IF(B4498="","",SUBTOTAL(3,$B$2:B4498))</f>
        <v>4497</v>
      </c>
      <c r="B4498" s="9" t="s">
        <v>50</v>
      </c>
      <c r="C4498" s="10" t="s">
        <v>54</v>
      </c>
      <c r="D4498" s="11">
        <v>72.162037037037038</v>
      </c>
      <c r="E4498" s="12">
        <f t="shared" si="70"/>
        <v>45936</v>
      </c>
    </row>
    <row r="4499" spans="1:5" x14ac:dyDescent="0.25">
      <c r="A4499" s="2">
        <f>IF(B4499="","",SUBTOTAL(3,$B$2:B4499))</f>
        <v>4498</v>
      </c>
      <c r="B4499" s="9" t="s">
        <v>50</v>
      </c>
      <c r="C4499" s="10" t="s">
        <v>52</v>
      </c>
      <c r="D4499" s="11">
        <v>220.45855379188714</v>
      </c>
      <c r="E4499" s="12">
        <f t="shared" si="70"/>
        <v>45937</v>
      </c>
    </row>
    <row r="4500" spans="1:5" x14ac:dyDescent="0.25">
      <c r="A4500" s="2">
        <f>IF(B4500="","",SUBTOTAL(3,$B$2:B4500))</f>
        <v>4499</v>
      </c>
      <c r="B4500" s="9" t="s">
        <v>50</v>
      </c>
      <c r="C4500" s="10" t="s">
        <v>52</v>
      </c>
      <c r="D4500" s="11">
        <v>110.22927689594357</v>
      </c>
      <c r="E4500" s="12">
        <f t="shared" si="70"/>
        <v>45938</v>
      </c>
    </row>
    <row r="4501" spans="1:5" x14ac:dyDescent="0.25">
      <c r="A4501" s="2">
        <f>IF(B4501="","",SUBTOTAL(3,$B$2:B4501))</f>
        <v>4500</v>
      </c>
      <c r="B4501" s="9" t="s">
        <v>50</v>
      </c>
      <c r="C4501" s="10" t="s">
        <v>49</v>
      </c>
      <c r="D4501" s="11">
        <v>11.022927689594356</v>
      </c>
      <c r="E4501" s="12">
        <f t="shared" si="70"/>
        <v>45939</v>
      </c>
    </row>
    <row r="4502" spans="1:5" x14ac:dyDescent="0.25">
      <c r="A4502" s="2">
        <f>IF(B4502="","",SUBTOTAL(3,$B$2:B4502))</f>
        <v>4501</v>
      </c>
      <c r="B4502" s="9" t="s">
        <v>48</v>
      </c>
      <c r="C4502" s="10" t="s">
        <v>52</v>
      </c>
      <c r="D4502" s="11">
        <v>138.63216266173754</v>
      </c>
      <c r="E4502" s="12">
        <f t="shared" si="70"/>
        <v>45940</v>
      </c>
    </row>
    <row r="4503" spans="1:5" x14ac:dyDescent="0.25">
      <c r="A4503" s="2">
        <f>IF(B4503="","",SUBTOTAL(3,$B$2:B4503))</f>
        <v>4502</v>
      </c>
      <c r="B4503" s="9" t="s">
        <v>48</v>
      </c>
      <c r="C4503" s="10" t="s">
        <v>57</v>
      </c>
      <c r="D4503" s="11">
        <v>123.22858903265558</v>
      </c>
      <c r="E4503" s="12">
        <f t="shared" si="70"/>
        <v>45941</v>
      </c>
    </row>
    <row r="4504" spans="1:5" x14ac:dyDescent="0.25">
      <c r="A4504" s="2">
        <f>IF(B4504="","",SUBTOTAL(3,$B$2:B4504))</f>
        <v>4503</v>
      </c>
      <c r="B4504" s="9" t="s">
        <v>48</v>
      </c>
      <c r="C4504" s="10" t="s">
        <v>49</v>
      </c>
      <c r="D4504" s="11">
        <v>472.48783117683303</v>
      </c>
      <c r="E4504" s="12">
        <f t="shared" si="70"/>
        <v>45942</v>
      </c>
    </row>
    <row r="4505" spans="1:5" x14ac:dyDescent="0.25">
      <c r="A4505" s="2">
        <f>IF(B4505="","",SUBTOTAL(3,$B$2:B4505))</f>
        <v>4504</v>
      </c>
      <c r="B4505" s="9" t="s">
        <v>48</v>
      </c>
      <c r="C4505" s="10" t="s">
        <v>49</v>
      </c>
      <c r="D4505" s="11">
        <v>46.210720887245841</v>
      </c>
      <c r="E4505" s="12">
        <f t="shared" si="70"/>
        <v>45943</v>
      </c>
    </row>
    <row r="4506" spans="1:5" x14ac:dyDescent="0.25">
      <c r="A4506" s="2">
        <f>IF(B4506="","",SUBTOTAL(3,$B$2:B4506))</f>
        <v>4505</v>
      </c>
      <c r="B4506" s="9" t="s">
        <v>55</v>
      </c>
      <c r="C4506" s="10" t="s">
        <v>49</v>
      </c>
      <c r="D4506" s="11">
        <v>60</v>
      </c>
      <c r="E4506" s="12">
        <f t="shared" si="70"/>
        <v>45944</v>
      </c>
    </row>
    <row r="4507" spans="1:5" x14ac:dyDescent="0.25">
      <c r="A4507" s="2">
        <f>IF(B4507="","",SUBTOTAL(3,$B$2:B4507))</f>
        <v>4506</v>
      </c>
      <c r="B4507" s="9" t="s">
        <v>50</v>
      </c>
      <c r="C4507" s="10" t="s">
        <v>49</v>
      </c>
      <c r="D4507" s="11">
        <v>18.033509700176367</v>
      </c>
      <c r="E4507" s="12">
        <f t="shared" si="70"/>
        <v>45945</v>
      </c>
    </row>
    <row r="4508" spans="1:5" x14ac:dyDescent="0.25">
      <c r="A4508" s="2">
        <f>IF(B4508="","",SUBTOTAL(3,$B$2:B4508))</f>
        <v>4507</v>
      </c>
      <c r="B4508" s="9" t="s">
        <v>50</v>
      </c>
      <c r="C4508" s="10" t="s">
        <v>52</v>
      </c>
      <c r="D4508" s="11">
        <v>44.091710758377424</v>
      </c>
      <c r="E4508" s="12">
        <f t="shared" si="70"/>
        <v>45946</v>
      </c>
    </row>
    <row r="4509" spans="1:5" x14ac:dyDescent="0.25">
      <c r="A4509" s="2">
        <f>IF(B4509="","",SUBTOTAL(3,$B$2:B4509))</f>
        <v>4508</v>
      </c>
      <c r="B4509" s="9" t="s">
        <v>48</v>
      </c>
      <c r="C4509" s="10" t="s">
        <v>49</v>
      </c>
      <c r="D4509" s="11">
        <v>9.2421441774491679</v>
      </c>
      <c r="E4509" s="12">
        <f t="shared" si="70"/>
        <v>45947</v>
      </c>
    </row>
    <row r="4510" spans="1:5" x14ac:dyDescent="0.25">
      <c r="A4510" s="2">
        <f>IF(B4510="","",SUBTOTAL(3,$B$2:B4510))</f>
        <v>4509</v>
      </c>
      <c r="B4510" s="9" t="s">
        <v>51</v>
      </c>
      <c r="C4510" s="10" t="s">
        <v>54</v>
      </c>
      <c r="D4510" s="11">
        <v>211.79709837975219</v>
      </c>
      <c r="E4510" s="12">
        <f t="shared" si="70"/>
        <v>45948</v>
      </c>
    </row>
    <row r="4511" spans="1:5" x14ac:dyDescent="0.25">
      <c r="A4511" s="2">
        <f>IF(B4511="","",SUBTOTAL(3,$B$2:B4511))</f>
        <v>4510</v>
      </c>
      <c r="B4511" s="9" t="s">
        <v>48</v>
      </c>
      <c r="C4511" s="10" t="s">
        <v>54</v>
      </c>
      <c r="D4511" s="11">
        <v>34.470872113064452</v>
      </c>
      <c r="E4511" s="12">
        <f t="shared" si="70"/>
        <v>45949</v>
      </c>
    </row>
    <row r="4512" spans="1:5" x14ac:dyDescent="0.25">
      <c r="A4512" s="2">
        <f>IF(B4512="","",SUBTOTAL(3,$B$2:B4512))</f>
        <v>4511</v>
      </c>
      <c r="B4512" s="9" t="s">
        <v>55</v>
      </c>
      <c r="C4512" s="10" t="s">
        <v>49</v>
      </c>
      <c r="D4512" s="11">
        <v>110.89084412037616</v>
      </c>
      <c r="E4512" s="12">
        <f t="shared" si="70"/>
        <v>45950</v>
      </c>
    </row>
    <row r="4513" spans="1:5" x14ac:dyDescent="0.25">
      <c r="A4513" s="2">
        <f>IF(B4513="","",SUBTOTAL(3,$B$2:B4513))</f>
        <v>4512</v>
      </c>
      <c r="B4513" s="9" t="s">
        <v>51</v>
      </c>
      <c r="C4513" s="10" t="s">
        <v>52</v>
      </c>
      <c r="D4513" s="11">
        <v>18.998199724663774</v>
      </c>
      <c r="E4513" s="12">
        <f t="shared" si="70"/>
        <v>45951</v>
      </c>
    </row>
    <row r="4514" spans="1:5" x14ac:dyDescent="0.25">
      <c r="A4514" s="2">
        <f>IF(B4514="","",SUBTOTAL(3,$B$2:B4514))</f>
        <v>4513</v>
      </c>
      <c r="B4514" s="9" t="s">
        <v>48</v>
      </c>
      <c r="C4514" s="10" t="s">
        <v>49</v>
      </c>
      <c r="D4514" s="11">
        <v>123.22858903265558</v>
      </c>
      <c r="E4514" s="12">
        <f t="shared" si="70"/>
        <v>45952</v>
      </c>
    </row>
    <row r="4515" spans="1:5" x14ac:dyDescent="0.25">
      <c r="A4515" s="2">
        <f>IF(B4515="","",SUBTOTAL(3,$B$2:B4515))</f>
        <v>4514</v>
      </c>
      <c r="B4515" s="9" t="s">
        <v>48</v>
      </c>
      <c r="C4515" s="10" t="s">
        <v>49</v>
      </c>
      <c r="D4515" s="11">
        <v>77.017868145409736</v>
      </c>
      <c r="E4515" s="12">
        <f t="shared" si="70"/>
        <v>45953</v>
      </c>
    </row>
    <row r="4516" spans="1:5" x14ac:dyDescent="0.25">
      <c r="A4516" s="2">
        <f>IF(B4516="","",SUBTOTAL(3,$B$2:B4516))</f>
        <v>4515</v>
      </c>
      <c r="B4516" s="9" t="s">
        <v>48</v>
      </c>
      <c r="C4516" s="10" t="s">
        <v>49</v>
      </c>
      <c r="D4516" s="11">
        <v>77.017868145409736</v>
      </c>
      <c r="E4516" s="12">
        <f t="shared" si="70"/>
        <v>45954</v>
      </c>
    </row>
    <row r="4517" spans="1:5" x14ac:dyDescent="0.25">
      <c r="A4517" s="2">
        <f>IF(B4517="","",SUBTOTAL(3,$B$2:B4517))</f>
        <v>4516</v>
      </c>
      <c r="B4517" s="9" t="s">
        <v>48</v>
      </c>
      <c r="C4517" s="10" t="s">
        <v>49</v>
      </c>
      <c r="D4517" s="11">
        <v>38.508934072704868</v>
      </c>
      <c r="E4517" s="12">
        <f t="shared" si="70"/>
        <v>45955</v>
      </c>
    </row>
    <row r="4518" spans="1:5" x14ac:dyDescent="0.25">
      <c r="A4518" s="2">
        <f>IF(B4518="","",SUBTOTAL(3,$B$2:B4518))</f>
        <v>4517</v>
      </c>
      <c r="B4518" s="9" t="s">
        <v>48</v>
      </c>
      <c r="C4518" s="10" t="s">
        <v>49</v>
      </c>
      <c r="D4518" s="11">
        <v>30.807147258163894</v>
      </c>
      <c r="E4518" s="12">
        <f t="shared" si="70"/>
        <v>45956</v>
      </c>
    </row>
    <row r="4519" spans="1:5" x14ac:dyDescent="0.25">
      <c r="A4519" s="2">
        <f>IF(B4519="","",SUBTOTAL(3,$B$2:B4519))</f>
        <v>4518</v>
      </c>
      <c r="B4519" s="9" t="s">
        <v>48</v>
      </c>
      <c r="C4519" s="10" t="s">
        <v>49</v>
      </c>
      <c r="D4519" s="11">
        <v>197.10189589796619</v>
      </c>
      <c r="E4519" s="12">
        <f t="shared" si="70"/>
        <v>45957</v>
      </c>
    </row>
    <row r="4520" spans="1:5" x14ac:dyDescent="0.25">
      <c r="A4520" s="2">
        <f>IF(B4520="","",SUBTOTAL(3,$B$2:B4520))</f>
        <v>4519</v>
      </c>
      <c r="B4520" s="9" t="s">
        <v>50</v>
      </c>
      <c r="C4520" s="10" t="s">
        <v>49</v>
      </c>
      <c r="D4520" s="11">
        <v>146.90145502645501</v>
      </c>
      <c r="E4520" s="12">
        <f t="shared" si="70"/>
        <v>45958</v>
      </c>
    </row>
    <row r="4521" spans="1:5" x14ac:dyDescent="0.25">
      <c r="A4521" s="2">
        <f>IF(B4521="","",SUBTOTAL(3,$B$2:B4521))</f>
        <v>4520</v>
      </c>
      <c r="B4521" s="9" t="s">
        <v>50</v>
      </c>
      <c r="C4521" s="10" t="s">
        <v>52</v>
      </c>
      <c r="D4521" s="11">
        <v>44.091710758377424</v>
      </c>
      <c r="E4521" s="12">
        <f t="shared" si="70"/>
        <v>45959</v>
      </c>
    </row>
    <row r="4522" spans="1:5" x14ac:dyDescent="0.25">
      <c r="A4522" s="2">
        <f>IF(B4522="","",SUBTOTAL(3,$B$2:B4522))</f>
        <v>4521</v>
      </c>
      <c r="B4522" s="9" t="s">
        <v>50</v>
      </c>
      <c r="C4522" s="10" t="s">
        <v>49</v>
      </c>
      <c r="D4522" s="11">
        <v>35.273368606701936</v>
      </c>
      <c r="E4522" s="12">
        <f t="shared" si="70"/>
        <v>45960</v>
      </c>
    </row>
    <row r="4523" spans="1:5" x14ac:dyDescent="0.25">
      <c r="A4523" s="2">
        <f>IF(B4523="","",SUBTOTAL(3,$B$2:B4523))</f>
        <v>4522</v>
      </c>
      <c r="B4523" s="9" t="s">
        <v>51</v>
      </c>
      <c r="C4523" s="10" t="s">
        <v>52</v>
      </c>
      <c r="D4523" s="11">
        <v>405.15355319666151</v>
      </c>
      <c r="E4523" s="12">
        <f t="shared" si="70"/>
        <v>45961</v>
      </c>
    </row>
    <row r="4524" spans="1:5" x14ac:dyDescent="0.25">
      <c r="A4524" s="2">
        <f>IF(B4524="","",SUBTOTAL(3,$B$2:B4524))</f>
        <v>4523</v>
      </c>
      <c r="B4524" s="9" t="s">
        <v>55</v>
      </c>
      <c r="C4524" s="10" t="s">
        <v>52</v>
      </c>
      <c r="D4524" s="11">
        <v>32.589212970506765</v>
      </c>
      <c r="E4524" s="12">
        <f t="shared" si="70"/>
        <v>45962</v>
      </c>
    </row>
    <row r="4525" spans="1:5" x14ac:dyDescent="0.25">
      <c r="A4525" s="2">
        <f>IF(B4525="","",SUBTOTAL(3,$B$2:B4525))</f>
        <v>4524</v>
      </c>
      <c r="B4525" s="9" t="s">
        <v>50</v>
      </c>
      <c r="C4525" s="10" t="s">
        <v>49</v>
      </c>
      <c r="D4525" s="11">
        <v>1.7174162257495591</v>
      </c>
      <c r="E4525" s="12">
        <f t="shared" si="70"/>
        <v>45963</v>
      </c>
    </row>
    <row r="4526" spans="1:5" x14ac:dyDescent="0.25">
      <c r="A4526" s="2">
        <f>IF(B4526="","",SUBTOTAL(3,$B$2:B4526))</f>
        <v>4525</v>
      </c>
      <c r="B4526" s="9" t="s">
        <v>50</v>
      </c>
      <c r="C4526" s="10" t="s">
        <v>52</v>
      </c>
      <c r="D4526" s="11">
        <v>110.22927689594357</v>
      </c>
      <c r="E4526" s="12">
        <f t="shared" si="70"/>
        <v>45964</v>
      </c>
    </row>
    <row r="4527" spans="1:5" x14ac:dyDescent="0.25">
      <c r="A4527" s="2">
        <f>IF(B4527="","",SUBTOTAL(3,$B$2:B4527))</f>
        <v>4526</v>
      </c>
      <c r="B4527" s="9" t="s">
        <v>50</v>
      </c>
      <c r="C4527" s="10" t="s">
        <v>49</v>
      </c>
      <c r="D4527" s="11">
        <v>60</v>
      </c>
      <c r="E4527" s="12">
        <f t="shared" si="70"/>
        <v>45965</v>
      </c>
    </row>
    <row r="4528" spans="1:5" x14ac:dyDescent="0.25">
      <c r="A4528" s="2">
        <f>IF(B4528="","",SUBTOTAL(3,$B$2:B4528))</f>
        <v>4527</v>
      </c>
      <c r="B4528" s="9" t="s">
        <v>50</v>
      </c>
      <c r="C4528" s="10" t="s">
        <v>49</v>
      </c>
      <c r="D4528" s="11">
        <v>39.173721340388006</v>
      </c>
      <c r="E4528" s="12">
        <f t="shared" si="70"/>
        <v>45966</v>
      </c>
    </row>
    <row r="4529" spans="1:5" x14ac:dyDescent="0.25">
      <c r="A4529" s="2">
        <f>IF(B4529="","",SUBTOTAL(3,$B$2:B4529))</f>
        <v>4528</v>
      </c>
      <c r="B4529" s="9" t="s">
        <v>55</v>
      </c>
      <c r="C4529" s="10" t="s">
        <v>52</v>
      </c>
      <c r="D4529" s="11">
        <v>264.55026455026456</v>
      </c>
      <c r="E4529" s="12">
        <f t="shared" si="70"/>
        <v>45967</v>
      </c>
    </row>
    <row r="4530" spans="1:5" x14ac:dyDescent="0.25">
      <c r="A4530" s="2">
        <f>IF(B4530="","",SUBTOTAL(3,$B$2:B4530))</f>
        <v>4529</v>
      </c>
      <c r="B4530" s="9" t="s">
        <v>55</v>
      </c>
      <c r="C4530" s="10" t="s">
        <v>52</v>
      </c>
      <c r="D4530" s="11">
        <v>110.22927689594357</v>
      </c>
      <c r="E4530" s="12">
        <f t="shared" si="70"/>
        <v>45968</v>
      </c>
    </row>
    <row r="4531" spans="1:5" x14ac:dyDescent="0.25">
      <c r="A4531" s="2">
        <f>IF(B4531="","",SUBTOTAL(3,$B$2:B4531))</f>
        <v>4530</v>
      </c>
      <c r="B4531" s="9" t="s">
        <v>55</v>
      </c>
      <c r="C4531" s="10" t="s">
        <v>52</v>
      </c>
      <c r="D4531" s="11">
        <v>132.27513227513228</v>
      </c>
      <c r="E4531" s="12">
        <f t="shared" si="70"/>
        <v>45969</v>
      </c>
    </row>
    <row r="4532" spans="1:5" x14ac:dyDescent="0.25">
      <c r="A4532" s="2">
        <f>IF(B4532="","",SUBTOTAL(3,$B$2:B4532))</f>
        <v>4531</v>
      </c>
      <c r="B4532" s="9" t="s">
        <v>50</v>
      </c>
      <c r="C4532" s="10" t="s">
        <v>49</v>
      </c>
      <c r="D4532" s="11">
        <v>88.183421516754848</v>
      </c>
      <c r="E4532" s="12">
        <f t="shared" si="70"/>
        <v>45970</v>
      </c>
    </row>
    <row r="4533" spans="1:5" x14ac:dyDescent="0.25">
      <c r="A4533" s="2">
        <f>IF(B4533="","",SUBTOTAL(3,$B$2:B4533))</f>
        <v>4532</v>
      </c>
      <c r="B4533" s="9" t="s">
        <v>50</v>
      </c>
      <c r="C4533" s="10" t="s">
        <v>49</v>
      </c>
      <c r="D4533" s="11">
        <v>440.91710758377428</v>
      </c>
      <c r="E4533" s="12">
        <f t="shared" si="70"/>
        <v>45971</v>
      </c>
    </row>
    <row r="4534" spans="1:5" x14ac:dyDescent="0.25">
      <c r="A4534" s="2">
        <f>IF(B4534="","",SUBTOTAL(3,$B$2:B4534))</f>
        <v>4533</v>
      </c>
      <c r="B4534" s="9" t="s">
        <v>50</v>
      </c>
      <c r="C4534" s="10" t="s">
        <v>49</v>
      </c>
      <c r="D4534" s="11">
        <v>39.173677248677244</v>
      </c>
      <c r="E4534" s="12">
        <f t="shared" si="70"/>
        <v>45972</v>
      </c>
    </row>
    <row r="4535" spans="1:5" x14ac:dyDescent="0.25">
      <c r="A4535" s="2">
        <f>IF(B4535="","",SUBTOTAL(3,$B$2:B4535))</f>
        <v>4534</v>
      </c>
      <c r="B4535" s="9" t="s">
        <v>50</v>
      </c>
      <c r="C4535" s="10" t="s">
        <v>49</v>
      </c>
      <c r="D4535" s="11">
        <v>120</v>
      </c>
      <c r="E4535" s="12">
        <f t="shared" si="70"/>
        <v>45973</v>
      </c>
    </row>
    <row r="4536" spans="1:5" x14ac:dyDescent="0.25">
      <c r="A4536" s="2">
        <f>IF(B4536="","",SUBTOTAL(3,$B$2:B4536))</f>
        <v>4535</v>
      </c>
      <c r="B4536" s="9" t="s">
        <v>53</v>
      </c>
      <c r="C4536" s="10" t="s">
        <v>49</v>
      </c>
      <c r="D4536" s="11">
        <v>183.17198933939025</v>
      </c>
      <c r="E4536" s="12">
        <f t="shared" si="70"/>
        <v>45974</v>
      </c>
    </row>
    <row r="4537" spans="1:5" x14ac:dyDescent="0.25">
      <c r="A4537" s="2">
        <f>IF(B4537="","",SUBTOTAL(3,$B$2:B4537))</f>
        <v>4536</v>
      </c>
      <c r="B4537" s="9" t="s">
        <v>48</v>
      </c>
      <c r="C4537" s="10" t="s">
        <v>52</v>
      </c>
      <c r="D4537" s="11">
        <v>462.10720887245844</v>
      </c>
      <c r="E4537" s="12">
        <f t="shared" si="70"/>
        <v>45975</v>
      </c>
    </row>
    <row r="4538" spans="1:5" x14ac:dyDescent="0.25">
      <c r="A4538" s="2">
        <f>IF(B4538="","",SUBTOTAL(3,$B$2:B4538))</f>
        <v>4537</v>
      </c>
      <c r="B4538" s="9" t="s">
        <v>48</v>
      </c>
      <c r="C4538" s="10" t="s">
        <v>54</v>
      </c>
      <c r="D4538" s="11">
        <v>86.177180282661155</v>
      </c>
      <c r="E4538" s="12">
        <f t="shared" si="70"/>
        <v>45976</v>
      </c>
    </row>
    <row r="4539" spans="1:5" x14ac:dyDescent="0.25">
      <c r="A4539" s="2">
        <f>IF(B4539="","",SUBTOTAL(3,$B$2:B4539))</f>
        <v>4538</v>
      </c>
      <c r="B4539" s="9" t="s">
        <v>48</v>
      </c>
      <c r="C4539" s="10" t="s">
        <v>49</v>
      </c>
      <c r="D4539" s="11">
        <v>46.210720887245841</v>
      </c>
      <c r="E4539" s="12">
        <f t="shared" si="70"/>
        <v>45977</v>
      </c>
    </row>
    <row r="4540" spans="1:5" x14ac:dyDescent="0.25">
      <c r="A4540" s="2">
        <f>IF(B4540="","",SUBTOTAL(3,$B$2:B4540))</f>
        <v>4539</v>
      </c>
      <c r="B4540" s="9" t="s">
        <v>50</v>
      </c>
      <c r="C4540" s="10" t="s">
        <v>52</v>
      </c>
      <c r="D4540" s="11">
        <v>66.137566137566139</v>
      </c>
      <c r="E4540" s="12">
        <f t="shared" si="70"/>
        <v>45978</v>
      </c>
    </row>
    <row r="4541" spans="1:5" x14ac:dyDescent="0.25">
      <c r="A4541" s="2">
        <f>IF(B4541="","",SUBTOTAL(3,$B$2:B4541))</f>
        <v>4540</v>
      </c>
      <c r="B4541" s="9" t="s">
        <v>48</v>
      </c>
      <c r="C4541" s="10" t="s">
        <v>52</v>
      </c>
      <c r="D4541" s="11">
        <v>154.03573629081947</v>
      </c>
      <c r="E4541" s="12">
        <f t="shared" si="70"/>
        <v>45979</v>
      </c>
    </row>
    <row r="4542" spans="1:5" x14ac:dyDescent="0.25">
      <c r="A4542" s="2">
        <f>IF(B4542="","",SUBTOTAL(3,$B$2:B4542))</f>
        <v>4541</v>
      </c>
      <c r="B4542" s="9" t="s">
        <v>48</v>
      </c>
      <c r="C4542" s="10" t="s">
        <v>52</v>
      </c>
      <c r="D4542" s="11">
        <v>107.82501540357363</v>
      </c>
      <c r="E4542" s="12">
        <f t="shared" si="70"/>
        <v>45980</v>
      </c>
    </row>
    <row r="4543" spans="1:5" x14ac:dyDescent="0.25">
      <c r="A4543" s="2">
        <f>IF(B4543="","",SUBTOTAL(3,$B$2:B4543))</f>
        <v>4542</v>
      </c>
      <c r="B4543" s="9" t="s">
        <v>50</v>
      </c>
      <c r="C4543" s="10" t="s">
        <v>49</v>
      </c>
      <c r="D4543" s="11">
        <v>22.045855379188712</v>
      </c>
      <c r="E4543" s="12">
        <f t="shared" si="70"/>
        <v>45981</v>
      </c>
    </row>
    <row r="4544" spans="1:5" x14ac:dyDescent="0.25">
      <c r="A4544" s="2">
        <f>IF(B4544="","",SUBTOTAL(3,$B$2:B4544))</f>
        <v>4543</v>
      </c>
      <c r="B4544" s="9" t="s">
        <v>48</v>
      </c>
      <c r="C4544" s="10" t="s">
        <v>52</v>
      </c>
      <c r="D4544" s="11">
        <v>51.706308169596689</v>
      </c>
      <c r="E4544" s="12">
        <f t="shared" si="70"/>
        <v>45982</v>
      </c>
    </row>
    <row r="4545" spans="1:5" x14ac:dyDescent="0.25">
      <c r="A4545" s="2">
        <f>IF(B4545="","",SUBTOTAL(3,$B$2:B4545))</f>
        <v>4544</v>
      </c>
      <c r="B4545" s="9" t="s">
        <v>48</v>
      </c>
      <c r="C4545" s="10" t="s">
        <v>52</v>
      </c>
      <c r="D4545" s="11">
        <v>103.41261633919338</v>
      </c>
      <c r="E4545" s="12">
        <f t="shared" si="70"/>
        <v>45983</v>
      </c>
    </row>
    <row r="4546" spans="1:5" x14ac:dyDescent="0.25">
      <c r="A4546" s="2">
        <f>IF(B4546="","",SUBTOTAL(3,$B$2:B4546))</f>
        <v>4545</v>
      </c>
      <c r="B4546" s="9" t="s">
        <v>48</v>
      </c>
      <c r="C4546" s="10" t="s">
        <v>49</v>
      </c>
      <c r="D4546" s="11">
        <v>5.1706308169596689</v>
      </c>
      <c r="E4546" s="12">
        <f t="shared" si="70"/>
        <v>45984</v>
      </c>
    </row>
    <row r="4547" spans="1:5" x14ac:dyDescent="0.25">
      <c r="A4547" s="2">
        <f>IF(B4547="","",SUBTOTAL(3,$B$2:B4547))</f>
        <v>4546</v>
      </c>
      <c r="B4547" s="9" t="s">
        <v>48</v>
      </c>
      <c r="C4547" s="10" t="s">
        <v>49</v>
      </c>
      <c r="D4547" s="11">
        <v>67.218200620475685</v>
      </c>
      <c r="E4547" s="12">
        <f t="shared" si="70"/>
        <v>45985</v>
      </c>
    </row>
    <row r="4548" spans="1:5" x14ac:dyDescent="0.25">
      <c r="A4548" s="2">
        <f>IF(B4548="","",SUBTOTAL(3,$B$2:B4548))</f>
        <v>4547</v>
      </c>
      <c r="B4548" s="9" t="s">
        <v>48</v>
      </c>
      <c r="C4548" s="10" t="s">
        <v>49</v>
      </c>
      <c r="D4548" s="11">
        <v>5.1706308169596689</v>
      </c>
      <c r="E4548" s="12">
        <f t="shared" ref="E4548:E4611" si="71">E4547+1</f>
        <v>45986</v>
      </c>
    </row>
    <row r="4549" spans="1:5" x14ac:dyDescent="0.25">
      <c r="A4549" s="2">
        <f>IF(B4549="","",SUBTOTAL(3,$B$2:B4549))</f>
        <v>4548</v>
      </c>
      <c r="B4549" s="9" t="s">
        <v>48</v>
      </c>
      <c r="C4549" s="10" t="s">
        <v>49</v>
      </c>
      <c r="D4549" s="11">
        <v>3.1023784901758011</v>
      </c>
      <c r="E4549" s="12">
        <f t="shared" si="71"/>
        <v>45987</v>
      </c>
    </row>
    <row r="4550" spans="1:5" x14ac:dyDescent="0.25">
      <c r="A4550" s="2">
        <f>IF(B4550="","",SUBTOTAL(3,$B$2:B4550))</f>
        <v>4549</v>
      </c>
      <c r="B4550" s="9" t="s">
        <v>48</v>
      </c>
      <c r="C4550" s="10" t="s">
        <v>49</v>
      </c>
      <c r="D4550" s="11">
        <v>3.4470872113064459</v>
      </c>
      <c r="E4550" s="12">
        <f t="shared" si="71"/>
        <v>45988</v>
      </c>
    </row>
    <row r="4551" spans="1:5" x14ac:dyDescent="0.25">
      <c r="A4551" s="2">
        <f>IF(B4551="","",SUBTOTAL(3,$B$2:B4551))</f>
        <v>4550</v>
      </c>
      <c r="B4551" s="9" t="s">
        <v>48</v>
      </c>
      <c r="C4551" s="10" t="s">
        <v>49</v>
      </c>
      <c r="D4551" s="11">
        <v>254.15896487985214</v>
      </c>
      <c r="E4551" s="12">
        <f t="shared" si="71"/>
        <v>45989</v>
      </c>
    </row>
    <row r="4552" spans="1:5" x14ac:dyDescent="0.25">
      <c r="A4552" s="2">
        <f>IF(B4552="","",SUBTOTAL(3,$B$2:B4552))</f>
        <v>4551</v>
      </c>
      <c r="B4552" s="9" t="s">
        <v>48</v>
      </c>
      <c r="C4552" s="10" t="s">
        <v>52</v>
      </c>
      <c r="D4552" s="11">
        <v>154.03573629081947</v>
      </c>
      <c r="E4552" s="12">
        <f t="shared" si="71"/>
        <v>45990</v>
      </c>
    </row>
    <row r="4553" spans="1:5" x14ac:dyDescent="0.25">
      <c r="A4553" s="2">
        <f>IF(B4553="","",SUBTOTAL(3,$B$2:B4553))</f>
        <v>4552</v>
      </c>
      <c r="B4553" s="9" t="s">
        <v>48</v>
      </c>
      <c r="C4553" s="10" t="s">
        <v>52</v>
      </c>
      <c r="D4553" s="11">
        <v>123.22858903265558</v>
      </c>
      <c r="E4553" s="12">
        <f t="shared" si="71"/>
        <v>45991</v>
      </c>
    </row>
    <row r="4554" spans="1:5" x14ac:dyDescent="0.25">
      <c r="A4554" s="2">
        <f>IF(B4554="","",SUBTOTAL(3,$B$2:B4554))</f>
        <v>4553</v>
      </c>
      <c r="B4554" s="9" t="s">
        <v>48</v>
      </c>
      <c r="C4554" s="10" t="s">
        <v>52</v>
      </c>
      <c r="D4554" s="11">
        <v>107.82501540357363</v>
      </c>
      <c r="E4554" s="12">
        <f t="shared" si="71"/>
        <v>45992</v>
      </c>
    </row>
    <row r="4555" spans="1:5" x14ac:dyDescent="0.25">
      <c r="A4555" s="2">
        <f>IF(B4555="","",SUBTOTAL(3,$B$2:B4555))</f>
        <v>4554</v>
      </c>
      <c r="B4555" s="9" t="s">
        <v>48</v>
      </c>
      <c r="C4555" s="10" t="s">
        <v>54</v>
      </c>
      <c r="D4555" s="11">
        <v>53.912507701786815</v>
      </c>
      <c r="E4555" s="12">
        <f t="shared" si="71"/>
        <v>45993</v>
      </c>
    </row>
    <row r="4556" spans="1:5" x14ac:dyDescent="0.25">
      <c r="A4556" s="2">
        <f>IF(B4556="","",SUBTOTAL(3,$B$2:B4556))</f>
        <v>4555</v>
      </c>
      <c r="B4556" s="9" t="s">
        <v>48</v>
      </c>
      <c r="C4556" s="10" t="s">
        <v>54</v>
      </c>
      <c r="D4556" s="11">
        <v>53.912507701786815</v>
      </c>
      <c r="E4556" s="12">
        <f t="shared" si="71"/>
        <v>45994</v>
      </c>
    </row>
    <row r="4557" spans="1:5" x14ac:dyDescent="0.25">
      <c r="A4557" s="2">
        <f>IF(B4557="","",SUBTOTAL(3,$B$2:B4557))</f>
        <v>4556</v>
      </c>
      <c r="B4557" s="9" t="s">
        <v>50</v>
      </c>
      <c r="C4557" s="10" t="s">
        <v>52</v>
      </c>
      <c r="D4557" s="11">
        <v>88.183421516754848</v>
      </c>
      <c r="E4557" s="12">
        <f t="shared" si="71"/>
        <v>45995</v>
      </c>
    </row>
    <row r="4558" spans="1:5" x14ac:dyDescent="0.25">
      <c r="A4558" s="2">
        <f>IF(B4558="","",SUBTOTAL(3,$B$2:B4558))</f>
        <v>4557</v>
      </c>
      <c r="B4558" s="9" t="s">
        <v>48</v>
      </c>
      <c r="C4558" s="10" t="s">
        <v>49</v>
      </c>
      <c r="D4558" s="11">
        <v>230.80544242159496</v>
      </c>
      <c r="E4558" s="12">
        <f t="shared" si="71"/>
        <v>45996</v>
      </c>
    </row>
    <row r="4559" spans="1:5" x14ac:dyDescent="0.25">
      <c r="A4559" s="2">
        <f>IF(B4559="","",SUBTOTAL(3,$B$2:B4559))</f>
        <v>4558</v>
      </c>
      <c r="B4559" s="9" t="s">
        <v>50</v>
      </c>
      <c r="C4559" s="10" t="s">
        <v>49</v>
      </c>
      <c r="D4559" s="11">
        <v>110.22927689594357</v>
      </c>
      <c r="E4559" s="12">
        <f t="shared" si="71"/>
        <v>45997</v>
      </c>
    </row>
    <row r="4560" spans="1:5" x14ac:dyDescent="0.25">
      <c r="A4560" s="2">
        <f>IF(B4560="","",SUBTOTAL(3,$B$2:B4560))</f>
        <v>4559</v>
      </c>
      <c r="B4560" s="9" t="s">
        <v>55</v>
      </c>
      <c r="C4560" s="10" t="s">
        <v>49</v>
      </c>
      <c r="D4560" s="11">
        <v>1.5</v>
      </c>
      <c r="E4560" s="12">
        <f t="shared" si="71"/>
        <v>45998</v>
      </c>
    </row>
    <row r="4561" spans="1:5" x14ac:dyDescent="0.25">
      <c r="A4561" s="2">
        <f>IF(B4561="","",SUBTOTAL(3,$B$2:B4561))</f>
        <v>4560</v>
      </c>
      <c r="B4561" s="9" t="s">
        <v>50</v>
      </c>
      <c r="C4561" s="10" t="s">
        <v>49</v>
      </c>
      <c r="D4561" s="11">
        <v>99.206349206349202</v>
      </c>
      <c r="E4561" s="12">
        <f t="shared" si="71"/>
        <v>45999</v>
      </c>
    </row>
    <row r="4562" spans="1:5" x14ac:dyDescent="0.25">
      <c r="A4562" s="2">
        <f>IF(B4562="","",SUBTOTAL(3,$B$2:B4562))</f>
        <v>4561</v>
      </c>
      <c r="B4562" s="9" t="s">
        <v>48</v>
      </c>
      <c r="C4562" s="10" t="s">
        <v>49</v>
      </c>
      <c r="D4562" s="11">
        <v>154.03573629081947</v>
      </c>
      <c r="E4562" s="12">
        <f t="shared" si="71"/>
        <v>46000</v>
      </c>
    </row>
    <row r="4563" spans="1:5" x14ac:dyDescent="0.25">
      <c r="A4563" s="2">
        <f>IF(B4563="","",SUBTOTAL(3,$B$2:B4563))</f>
        <v>4562</v>
      </c>
      <c r="B4563" s="9" t="s">
        <v>48</v>
      </c>
      <c r="C4563" s="10" t="s">
        <v>49</v>
      </c>
      <c r="D4563" s="11">
        <v>23.567467652495381</v>
      </c>
      <c r="E4563" s="12">
        <f t="shared" si="71"/>
        <v>46001</v>
      </c>
    </row>
    <row r="4564" spans="1:5" x14ac:dyDescent="0.25">
      <c r="A4564" s="2">
        <f>IF(B4564="","",SUBTOTAL(3,$B$2:B4564))</f>
        <v>4563</v>
      </c>
      <c r="B4564" s="9" t="s">
        <v>50</v>
      </c>
      <c r="C4564" s="10" t="s">
        <v>52</v>
      </c>
      <c r="D4564" s="11">
        <v>0.44091710758377428</v>
      </c>
      <c r="E4564" s="12">
        <f t="shared" si="71"/>
        <v>46002</v>
      </c>
    </row>
    <row r="4565" spans="1:5" x14ac:dyDescent="0.25">
      <c r="A4565" s="2">
        <f>IF(B4565="","",SUBTOTAL(3,$B$2:B4565))</f>
        <v>4564</v>
      </c>
      <c r="B4565" s="9" t="s">
        <v>50</v>
      </c>
      <c r="C4565" s="10" t="s">
        <v>49</v>
      </c>
      <c r="D4565" s="11">
        <v>110.22927689594357</v>
      </c>
      <c r="E4565" s="12">
        <f t="shared" si="71"/>
        <v>46003</v>
      </c>
    </row>
    <row r="4566" spans="1:5" x14ac:dyDescent="0.25">
      <c r="A4566" s="2">
        <f>IF(B4566="","",SUBTOTAL(3,$B$2:B4566))</f>
        <v>4565</v>
      </c>
      <c r="B4566" s="9" t="s">
        <v>50</v>
      </c>
      <c r="C4566" s="10" t="s">
        <v>49</v>
      </c>
      <c r="D4566" s="11">
        <v>220.45855379188714</v>
      </c>
      <c r="E4566" s="12">
        <f t="shared" si="71"/>
        <v>46004</v>
      </c>
    </row>
    <row r="4567" spans="1:5" x14ac:dyDescent="0.25">
      <c r="A4567" s="2">
        <f>IF(B4567="","",SUBTOTAL(3,$B$2:B4567))</f>
        <v>4566</v>
      </c>
      <c r="B4567" s="9" t="s">
        <v>50</v>
      </c>
      <c r="C4567" s="10" t="s">
        <v>49</v>
      </c>
      <c r="D4567" s="11">
        <v>110.22927689594357</v>
      </c>
      <c r="E4567" s="12">
        <f t="shared" si="71"/>
        <v>46005</v>
      </c>
    </row>
    <row r="4568" spans="1:5" x14ac:dyDescent="0.25">
      <c r="A4568" s="2">
        <f>IF(B4568="","",SUBTOTAL(3,$B$2:B4568))</f>
        <v>4567</v>
      </c>
      <c r="B4568" s="9" t="s">
        <v>55</v>
      </c>
      <c r="C4568" s="10" t="s">
        <v>52</v>
      </c>
      <c r="D4568" s="11">
        <v>65.178425941013529</v>
      </c>
      <c r="E4568" s="12">
        <f t="shared" si="71"/>
        <v>46006</v>
      </c>
    </row>
    <row r="4569" spans="1:5" x14ac:dyDescent="0.25">
      <c r="A4569" s="2">
        <f>IF(B4569="","",SUBTOTAL(3,$B$2:B4569))</f>
        <v>4568</v>
      </c>
      <c r="B4569" s="9" t="s">
        <v>50</v>
      </c>
      <c r="C4569" s="10" t="s">
        <v>56</v>
      </c>
      <c r="D4569" s="11">
        <v>145.50264550264549</v>
      </c>
      <c r="E4569" s="12">
        <f t="shared" si="71"/>
        <v>46007</v>
      </c>
    </row>
    <row r="4570" spans="1:5" x14ac:dyDescent="0.25">
      <c r="A4570" s="2">
        <f>IF(B4570="","",SUBTOTAL(3,$B$2:B4570))</f>
        <v>4569</v>
      </c>
      <c r="B4570" s="9" t="s">
        <v>48</v>
      </c>
      <c r="C4570" s="10" t="s">
        <v>49</v>
      </c>
      <c r="D4570" s="11">
        <v>6.8941744226128918</v>
      </c>
      <c r="E4570" s="12">
        <f t="shared" si="71"/>
        <v>46008</v>
      </c>
    </row>
    <row r="4571" spans="1:5" x14ac:dyDescent="0.25">
      <c r="A4571" s="2">
        <f>IF(B4571="","",SUBTOTAL(3,$B$2:B4571))</f>
        <v>4570</v>
      </c>
      <c r="B4571" s="9" t="s">
        <v>50</v>
      </c>
      <c r="C4571" s="10" t="s">
        <v>49</v>
      </c>
      <c r="D4571" s="11">
        <v>119.04761904761905</v>
      </c>
      <c r="E4571" s="12">
        <f t="shared" si="71"/>
        <v>46009</v>
      </c>
    </row>
    <row r="4572" spans="1:5" x14ac:dyDescent="0.25">
      <c r="A4572" s="2">
        <f>IF(B4572="","",SUBTOTAL(3,$B$2:B4572))</f>
        <v>4571</v>
      </c>
      <c r="B4572" s="9" t="s">
        <v>55</v>
      </c>
      <c r="C4572" s="10" t="s">
        <v>56</v>
      </c>
      <c r="D4572" s="11">
        <v>100</v>
      </c>
      <c r="E4572" s="12">
        <f t="shared" si="71"/>
        <v>46010</v>
      </c>
    </row>
    <row r="4573" spans="1:5" x14ac:dyDescent="0.25">
      <c r="A4573" s="2">
        <f>IF(B4573="","",SUBTOTAL(3,$B$2:B4573))</f>
        <v>4572</v>
      </c>
      <c r="B4573" s="9" t="s">
        <v>48</v>
      </c>
      <c r="C4573" s="10" t="s">
        <v>52</v>
      </c>
      <c r="D4573" s="11">
        <v>316.54343807763405</v>
      </c>
      <c r="E4573" s="12">
        <f t="shared" si="71"/>
        <v>46011</v>
      </c>
    </row>
    <row r="4574" spans="1:5" x14ac:dyDescent="0.25">
      <c r="A4574" s="2">
        <f>IF(B4574="","",SUBTOTAL(3,$B$2:B4574))</f>
        <v>4573</v>
      </c>
      <c r="B4574" s="9" t="s">
        <v>55</v>
      </c>
      <c r="C4574" s="10" t="s">
        <v>49</v>
      </c>
      <c r="D4574" s="11">
        <v>112.34151821537475</v>
      </c>
      <c r="E4574" s="12">
        <f t="shared" si="71"/>
        <v>46012</v>
      </c>
    </row>
    <row r="4575" spans="1:5" x14ac:dyDescent="0.25">
      <c r="A4575" s="2">
        <f>IF(B4575="","",SUBTOTAL(3,$B$2:B4575))</f>
        <v>4574</v>
      </c>
      <c r="B4575" s="9" t="s">
        <v>48</v>
      </c>
      <c r="C4575" s="10" t="s">
        <v>49</v>
      </c>
      <c r="D4575" s="11">
        <v>206.82523267838675</v>
      </c>
      <c r="E4575" s="12">
        <f t="shared" si="71"/>
        <v>46013</v>
      </c>
    </row>
    <row r="4576" spans="1:5" x14ac:dyDescent="0.25">
      <c r="A4576" s="2">
        <f>IF(B4576="","",SUBTOTAL(3,$B$2:B4576))</f>
        <v>4575</v>
      </c>
      <c r="B4576" s="9" t="s">
        <v>53</v>
      </c>
      <c r="C4576" s="10" t="s">
        <v>49</v>
      </c>
      <c r="D4576" s="11">
        <v>45.792997334847563</v>
      </c>
      <c r="E4576" s="12">
        <f t="shared" si="71"/>
        <v>46014</v>
      </c>
    </row>
    <row r="4577" spans="1:5" x14ac:dyDescent="0.25">
      <c r="A4577" s="2">
        <f>IF(B4577="","",SUBTOTAL(3,$B$2:B4577))</f>
        <v>4576</v>
      </c>
      <c r="B4577" s="9" t="s">
        <v>48</v>
      </c>
      <c r="C4577" s="10" t="s">
        <v>49</v>
      </c>
      <c r="D4577" s="11">
        <v>3.8886321626617373</v>
      </c>
      <c r="E4577" s="12">
        <f t="shared" si="71"/>
        <v>46015</v>
      </c>
    </row>
    <row r="4578" spans="1:5" x14ac:dyDescent="0.25">
      <c r="A4578" s="2">
        <f>IF(B4578="","",SUBTOTAL(3,$B$2:B4578))</f>
        <v>4577</v>
      </c>
      <c r="B4578" s="9" t="s">
        <v>50</v>
      </c>
      <c r="C4578" s="10" t="s">
        <v>49</v>
      </c>
      <c r="D4578" s="11">
        <v>132.27513227513228</v>
      </c>
      <c r="E4578" s="12">
        <f t="shared" si="71"/>
        <v>46016</v>
      </c>
    </row>
    <row r="4579" spans="1:5" x14ac:dyDescent="0.25">
      <c r="A4579" s="2">
        <f>IF(B4579="","",SUBTOTAL(3,$B$2:B4579))</f>
        <v>4578</v>
      </c>
      <c r="B4579" s="9" t="s">
        <v>48</v>
      </c>
      <c r="C4579" s="10" t="s">
        <v>52</v>
      </c>
      <c r="D4579" s="11">
        <v>316.54343807763405</v>
      </c>
      <c r="E4579" s="12">
        <f t="shared" si="71"/>
        <v>46017</v>
      </c>
    </row>
    <row r="4580" spans="1:5" x14ac:dyDescent="0.25">
      <c r="A4580" s="2">
        <f>IF(B4580="","",SUBTOTAL(3,$B$2:B4580))</f>
        <v>4579</v>
      </c>
      <c r="B4580" s="9" t="s">
        <v>48</v>
      </c>
      <c r="C4580" s="10" t="s">
        <v>52</v>
      </c>
      <c r="D4580" s="11">
        <v>738.60135551447934</v>
      </c>
      <c r="E4580" s="12">
        <f t="shared" si="71"/>
        <v>46018</v>
      </c>
    </row>
    <row r="4581" spans="1:5" x14ac:dyDescent="0.25">
      <c r="A4581" s="2">
        <f>IF(B4581="","",SUBTOTAL(3,$B$2:B4581))</f>
        <v>4580</v>
      </c>
      <c r="B4581" s="9" t="s">
        <v>48</v>
      </c>
      <c r="C4581" s="10" t="s">
        <v>49</v>
      </c>
      <c r="D4581" s="11">
        <v>12.848020762401553</v>
      </c>
      <c r="E4581" s="12">
        <f t="shared" si="71"/>
        <v>46019</v>
      </c>
    </row>
    <row r="4582" spans="1:5" x14ac:dyDescent="0.25">
      <c r="A4582" s="2">
        <f>IF(B4582="","",SUBTOTAL(3,$B$2:B4582))</f>
        <v>4581</v>
      </c>
      <c r="B4582" s="9" t="s">
        <v>55</v>
      </c>
      <c r="C4582" s="10" t="s">
        <v>49</v>
      </c>
      <c r="D4582" s="11">
        <v>15.944239856607464</v>
      </c>
      <c r="E4582" s="12">
        <f t="shared" si="71"/>
        <v>46020</v>
      </c>
    </row>
    <row r="4583" spans="1:5" x14ac:dyDescent="0.25">
      <c r="A4583" s="2">
        <f>IF(B4583="","",SUBTOTAL(3,$B$2:B4583))</f>
        <v>4582</v>
      </c>
      <c r="B4583" s="9" t="s">
        <v>48</v>
      </c>
      <c r="C4583" s="10" t="s">
        <v>49</v>
      </c>
      <c r="D4583" s="11">
        <v>86.177180282661155</v>
      </c>
      <c r="E4583" s="12">
        <f t="shared" si="71"/>
        <v>46021</v>
      </c>
    </row>
    <row r="4584" spans="1:5" x14ac:dyDescent="0.25">
      <c r="A4584" s="2">
        <f>IF(B4584="","",SUBTOTAL(3,$B$2:B4584))</f>
        <v>4583</v>
      </c>
      <c r="B4584" s="9" t="s">
        <v>50</v>
      </c>
      <c r="C4584" s="10" t="s">
        <v>49</v>
      </c>
      <c r="D4584" s="11">
        <v>5.7728395061728399</v>
      </c>
      <c r="E4584" s="12">
        <f t="shared" si="71"/>
        <v>46022</v>
      </c>
    </row>
    <row r="4585" spans="1:5" x14ac:dyDescent="0.25">
      <c r="A4585" s="2">
        <f>IF(B4585="","",SUBTOTAL(3,$B$2:B4585))</f>
        <v>4584</v>
      </c>
      <c r="B4585" s="9" t="s">
        <v>55</v>
      </c>
      <c r="C4585" s="10" t="s">
        <v>49</v>
      </c>
      <c r="D4585" s="11">
        <v>102.63157894736842</v>
      </c>
      <c r="E4585" s="12">
        <f t="shared" si="71"/>
        <v>46023</v>
      </c>
    </row>
    <row r="4586" spans="1:5" x14ac:dyDescent="0.25">
      <c r="A4586" s="2">
        <f>IF(B4586="","",SUBTOTAL(3,$B$2:B4586))</f>
        <v>4585</v>
      </c>
      <c r="B4586" s="9" t="s">
        <v>50</v>
      </c>
      <c r="C4586" s="10" t="s">
        <v>52</v>
      </c>
      <c r="D4586" s="11">
        <v>48.500881834215171</v>
      </c>
      <c r="E4586" s="12">
        <f t="shared" si="71"/>
        <v>46024</v>
      </c>
    </row>
    <row r="4587" spans="1:5" x14ac:dyDescent="0.25">
      <c r="A4587" s="2">
        <f>IF(B4587="","",SUBTOTAL(3,$B$2:B4587))</f>
        <v>4586</v>
      </c>
      <c r="B4587" s="9" t="s">
        <v>50</v>
      </c>
      <c r="C4587" s="10" t="s">
        <v>52</v>
      </c>
      <c r="D4587" s="11">
        <v>48.500881834215171</v>
      </c>
      <c r="E4587" s="12">
        <f t="shared" si="71"/>
        <v>46025</v>
      </c>
    </row>
    <row r="4588" spans="1:5" x14ac:dyDescent="0.25">
      <c r="A4588" s="2">
        <f>IF(B4588="","",SUBTOTAL(3,$B$2:B4588))</f>
        <v>4587</v>
      </c>
      <c r="B4588" s="9" t="s">
        <v>50</v>
      </c>
      <c r="C4588" s="10" t="s">
        <v>52</v>
      </c>
      <c r="D4588" s="11">
        <v>55.114638447971785</v>
      </c>
      <c r="E4588" s="12">
        <f t="shared" si="71"/>
        <v>46026</v>
      </c>
    </row>
    <row r="4589" spans="1:5" x14ac:dyDescent="0.25">
      <c r="A4589" s="2">
        <f>IF(B4589="","",SUBTOTAL(3,$B$2:B4589))</f>
        <v>4588</v>
      </c>
      <c r="B4589" s="9" t="s">
        <v>50</v>
      </c>
      <c r="C4589" s="10" t="s">
        <v>52</v>
      </c>
      <c r="D4589" s="11">
        <v>48.500881834215171</v>
      </c>
      <c r="E4589" s="12">
        <f t="shared" si="71"/>
        <v>46027</v>
      </c>
    </row>
    <row r="4590" spans="1:5" x14ac:dyDescent="0.25">
      <c r="A4590" s="2">
        <f>IF(B4590="","",SUBTOTAL(3,$B$2:B4590))</f>
        <v>4589</v>
      </c>
      <c r="B4590" s="9" t="s">
        <v>50</v>
      </c>
      <c r="C4590" s="10" t="s">
        <v>52</v>
      </c>
      <c r="D4590" s="11">
        <v>66.137566137566139</v>
      </c>
      <c r="E4590" s="12">
        <f t="shared" si="71"/>
        <v>46028</v>
      </c>
    </row>
    <row r="4591" spans="1:5" x14ac:dyDescent="0.25">
      <c r="A4591" s="2">
        <f>IF(B4591="","",SUBTOTAL(3,$B$2:B4591))</f>
        <v>4590</v>
      </c>
      <c r="B4591" s="9" t="s">
        <v>50</v>
      </c>
      <c r="C4591" s="10" t="s">
        <v>49</v>
      </c>
      <c r="D4591" s="11">
        <v>66.137566137566139</v>
      </c>
      <c r="E4591" s="12">
        <f t="shared" si="71"/>
        <v>46029</v>
      </c>
    </row>
    <row r="4592" spans="1:5" x14ac:dyDescent="0.25">
      <c r="A4592" s="2">
        <f>IF(B4592="","",SUBTOTAL(3,$B$2:B4592))</f>
        <v>4591</v>
      </c>
      <c r="B4592" s="9" t="s">
        <v>55</v>
      </c>
      <c r="C4592" s="10" t="s">
        <v>49</v>
      </c>
      <c r="D4592" s="11">
        <v>5.3261593612514258</v>
      </c>
      <c r="E4592" s="12">
        <f t="shared" si="71"/>
        <v>46030</v>
      </c>
    </row>
    <row r="4593" spans="1:5" x14ac:dyDescent="0.25">
      <c r="A4593" s="2">
        <f>IF(B4593="","",SUBTOTAL(3,$B$2:B4593))</f>
        <v>4592</v>
      </c>
      <c r="B4593" s="9" t="s">
        <v>55</v>
      </c>
      <c r="C4593" s="10" t="s">
        <v>49</v>
      </c>
      <c r="D4593" s="11">
        <v>129.82499592634838</v>
      </c>
      <c r="E4593" s="12">
        <f t="shared" si="71"/>
        <v>46031</v>
      </c>
    </row>
    <row r="4594" spans="1:5" x14ac:dyDescent="0.25">
      <c r="A4594" s="2">
        <f>IF(B4594="","",SUBTOTAL(3,$B$2:B4594))</f>
        <v>4593</v>
      </c>
      <c r="B4594" s="9" t="s">
        <v>55</v>
      </c>
      <c r="C4594" s="10" t="s">
        <v>57</v>
      </c>
      <c r="D4594" s="11">
        <v>49.356067834979626</v>
      </c>
      <c r="E4594" s="12">
        <f t="shared" si="71"/>
        <v>46032</v>
      </c>
    </row>
    <row r="4595" spans="1:5" x14ac:dyDescent="0.25">
      <c r="A4595" s="2">
        <f>IF(B4595="","",SUBTOTAL(3,$B$2:B4595))</f>
        <v>4594</v>
      </c>
      <c r="B4595" s="9" t="s">
        <v>55</v>
      </c>
      <c r="C4595" s="10" t="s">
        <v>57</v>
      </c>
      <c r="D4595" s="11">
        <v>26.323236178655804</v>
      </c>
      <c r="E4595" s="12">
        <f t="shared" si="71"/>
        <v>46033</v>
      </c>
    </row>
    <row r="4596" spans="1:5" x14ac:dyDescent="0.25">
      <c r="A4596" s="2">
        <f>IF(B4596="","",SUBTOTAL(3,$B$2:B4596))</f>
        <v>4595</v>
      </c>
      <c r="B4596" s="9" t="s">
        <v>55</v>
      </c>
      <c r="C4596" s="10" t="s">
        <v>57</v>
      </c>
      <c r="D4596" s="11">
        <v>32.904045223319756</v>
      </c>
      <c r="E4596" s="12">
        <f t="shared" si="71"/>
        <v>46034</v>
      </c>
    </row>
    <row r="4597" spans="1:5" x14ac:dyDescent="0.25">
      <c r="A4597" s="2">
        <f>IF(B4597="","",SUBTOTAL(3,$B$2:B4597))</f>
        <v>4596</v>
      </c>
      <c r="B4597" s="9" t="s">
        <v>55</v>
      </c>
      <c r="C4597" s="10" t="s">
        <v>49</v>
      </c>
      <c r="D4597" s="11">
        <v>42.609274890011406</v>
      </c>
      <c r="E4597" s="12">
        <f t="shared" si="71"/>
        <v>46035</v>
      </c>
    </row>
    <row r="4598" spans="1:5" x14ac:dyDescent="0.25">
      <c r="A4598" s="2">
        <f>IF(B4598="","",SUBTOTAL(3,$B$2:B4598))</f>
        <v>4597</v>
      </c>
      <c r="B4598" s="9" t="s">
        <v>55</v>
      </c>
      <c r="C4598" s="10" t="s">
        <v>54</v>
      </c>
      <c r="D4598" s="11">
        <v>8.8453641844549455</v>
      </c>
      <c r="E4598" s="12">
        <f t="shared" si="71"/>
        <v>46036</v>
      </c>
    </row>
    <row r="4599" spans="1:5" x14ac:dyDescent="0.25">
      <c r="A4599" s="2">
        <f>IF(B4599="","",SUBTOTAL(3,$B$2:B4599))</f>
        <v>4598</v>
      </c>
      <c r="B4599" s="9" t="s">
        <v>50</v>
      </c>
      <c r="C4599" s="10" t="s">
        <v>52</v>
      </c>
      <c r="D4599" s="11">
        <v>55.114638447971785</v>
      </c>
      <c r="E4599" s="12">
        <f t="shared" si="71"/>
        <v>46037</v>
      </c>
    </row>
    <row r="4600" spans="1:5" x14ac:dyDescent="0.25">
      <c r="A4600" s="2">
        <f>IF(B4600="","",SUBTOTAL(3,$B$2:B4600))</f>
        <v>4599</v>
      </c>
      <c r="B4600" s="9" t="s">
        <v>48</v>
      </c>
      <c r="C4600" s="10" t="s">
        <v>54</v>
      </c>
      <c r="D4600" s="11">
        <v>30.807147258163894</v>
      </c>
      <c r="E4600" s="12">
        <f t="shared" si="71"/>
        <v>46038</v>
      </c>
    </row>
    <row r="4601" spans="1:5" x14ac:dyDescent="0.25">
      <c r="A4601" s="2">
        <f>IF(B4601="","",SUBTOTAL(3,$B$2:B4601))</f>
        <v>4600</v>
      </c>
      <c r="B4601" s="9" t="s">
        <v>48</v>
      </c>
      <c r="C4601" s="10" t="s">
        <v>49</v>
      </c>
      <c r="D4601" s="11">
        <v>154.03573629081947</v>
      </c>
      <c r="E4601" s="12">
        <f t="shared" si="71"/>
        <v>46039</v>
      </c>
    </row>
    <row r="4602" spans="1:5" x14ac:dyDescent="0.25">
      <c r="A4602" s="2">
        <f>IF(B4602="","",SUBTOTAL(3,$B$2:B4602))</f>
        <v>4601</v>
      </c>
      <c r="B4602" s="9" t="s">
        <v>53</v>
      </c>
      <c r="C4602" s="10" t="s">
        <v>49</v>
      </c>
      <c r="D4602" s="11">
        <v>58.615036588604873</v>
      </c>
      <c r="E4602" s="12">
        <f t="shared" si="71"/>
        <v>46040</v>
      </c>
    </row>
    <row r="4603" spans="1:5" x14ac:dyDescent="0.25">
      <c r="A4603" s="2">
        <f>IF(B4603="","",SUBTOTAL(3,$B$2:B4603))</f>
        <v>4602</v>
      </c>
      <c r="B4603" s="9" t="s">
        <v>53</v>
      </c>
      <c r="C4603" s="10" t="s">
        <v>54</v>
      </c>
      <c r="D4603" s="11">
        <v>21.980638720726827</v>
      </c>
      <c r="E4603" s="12">
        <f t="shared" si="71"/>
        <v>46041</v>
      </c>
    </row>
    <row r="4604" spans="1:5" x14ac:dyDescent="0.25">
      <c r="A4604" s="2">
        <f>IF(B4604="","",SUBTOTAL(3,$B$2:B4604))</f>
        <v>4603</v>
      </c>
      <c r="B4604" s="9" t="s">
        <v>55</v>
      </c>
      <c r="C4604" s="10" t="s">
        <v>52</v>
      </c>
      <c r="D4604" s="11">
        <v>5.8660583346912167</v>
      </c>
      <c r="E4604" s="12">
        <f t="shared" si="71"/>
        <v>46042</v>
      </c>
    </row>
    <row r="4605" spans="1:5" x14ac:dyDescent="0.25">
      <c r="A4605" s="2">
        <f>IF(B4605="","",SUBTOTAL(3,$B$2:B4605))</f>
        <v>4604</v>
      </c>
      <c r="B4605" s="9" t="s">
        <v>55</v>
      </c>
      <c r="C4605" s="10" t="s">
        <v>49</v>
      </c>
      <c r="D4605" s="11">
        <v>150</v>
      </c>
      <c r="E4605" s="12">
        <f t="shared" si="71"/>
        <v>46043</v>
      </c>
    </row>
    <row r="4606" spans="1:5" x14ac:dyDescent="0.25">
      <c r="A4606" s="2">
        <f>IF(B4606="","",SUBTOTAL(3,$B$2:B4606))</f>
        <v>4605</v>
      </c>
      <c r="B4606" s="9" t="s">
        <v>55</v>
      </c>
      <c r="C4606" s="10" t="s">
        <v>52</v>
      </c>
      <c r="D4606" s="11">
        <v>131.61618089327902</v>
      </c>
      <c r="E4606" s="12">
        <f t="shared" si="71"/>
        <v>46044</v>
      </c>
    </row>
    <row r="4607" spans="1:5" x14ac:dyDescent="0.25">
      <c r="A4607" s="2">
        <f>IF(B4607="","",SUBTOTAL(3,$B$2:B4607))</f>
        <v>4606</v>
      </c>
      <c r="B4607" s="9" t="s">
        <v>55</v>
      </c>
      <c r="C4607" s="10" t="s">
        <v>52</v>
      </c>
      <c r="D4607" s="11">
        <v>32.904045223319756</v>
      </c>
      <c r="E4607" s="12">
        <f t="shared" si="71"/>
        <v>46045</v>
      </c>
    </row>
    <row r="4608" spans="1:5" x14ac:dyDescent="0.25">
      <c r="A4608" s="2">
        <f>IF(B4608="","",SUBTOTAL(3,$B$2:B4608))</f>
        <v>4607</v>
      </c>
      <c r="B4608" s="9" t="s">
        <v>55</v>
      </c>
      <c r="C4608" s="10" t="s">
        <v>52</v>
      </c>
      <c r="D4608" s="11">
        <v>49.356067834979626</v>
      </c>
      <c r="E4608" s="12">
        <f t="shared" si="71"/>
        <v>46046</v>
      </c>
    </row>
    <row r="4609" spans="1:5" x14ac:dyDescent="0.25">
      <c r="A4609" s="2">
        <f>IF(B4609="","",SUBTOTAL(3,$B$2:B4609))</f>
        <v>4608</v>
      </c>
      <c r="B4609" s="9" t="s">
        <v>50</v>
      </c>
      <c r="C4609" s="10" t="s">
        <v>49</v>
      </c>
      <c r="D4609" s="11">
        <v>88.183421516754848</v>
      </c>
      <c r="E4609" s="12">
        <f t="shared" si="71"/>
        <v>46047</v>
      </c>
    </row>
    <row r="4610" spans="1:5" x14ac:dyDescent="0.25">
      <c r="A4610" s="2">
        <f>IF(B4610="","",SUBTOTAL(3,$B$2:B4610))</f>
        <v>4609</v>
      </c>
      <c r="B4610" s="9" t="s">
        <v>48</v>
      </c>
      <c r="C4610" s="10" t="s">
        <v>49</v>
      </c>
      <c r="D4610" s="11">
        <v>12.848020762401553</v>
      </c>
      <c r="E4610" s="12">
        <f t="shared" si="71"/>
        <v>46048</v>
      </c>
    </row>
    <row r="4611" spans="1:5" x14ac:dyDescent="0.25">
      <c r="A4611" s="2">
        <f>IF(B4611="","",SUBTOTAL(3,$B$2:B4611))</f>
        <v>4610</v>
      </c>
      <c r="B4611" s="9" t="s">
        <v>48</v>
      </c>
      <c r="C4611" s="10" t="s">
        <v>54</v>
      </c>
      <c r="D4611" s="11">
        <v>102.78416609921243</v>
      </c>
      <c r="E4611" s="12">
        <f t="shared" si="71"/>
        <v>46049</v>
      </c>
    </row>
    <row r="4612" spans="1:5" x14ac:dyDescent="0.25">
      <c r="A4612" s="2">
        <f>IF(B4612="","",SUBTOTAL(3,$B$2:B4612))</f>
        <v>4611</v>
      </c>
      <c r="B4612" s="9" t="s">
        <v>50</v>
      </c>
      <c r="C4612" s="10" t="s">
        <v>49</v>
      </c>
      <c r="D4612" s="11">
        <v>171.21545083774251</v>
      </c>
      <c r="E4612" s="12">
        <f t="shared" ref="E4612:E4675" si="72">E4611+1</f>
        <v>46050</v>
      </c>
    </row>
    <row r="4613" spans="1:5" x14ac:dyDescent="0.25">
      <c r="A4613" s="2">
        <f>IF(B4613="","",SUBTOTAL(3,$B$2:B4613))</f>
        <v>4612</v>
      </c>
      <c r="B4613" s="9" t="s">
        <v>50</v>
      </c>
      <c r="C4613" s="10" t="s">
        <v>57</v>
      </c>
      <c r="D4613" s="11">
        <v>55.114638447971785</v>
      </c>
      <c r="E4613" s="12">
        <f t="shared" si="72"/>
        <v>46051</v>
      </c>
    </row>
    <row r="4614" spans="1:5" x14ac:dyDescent="0.25">
      <c r="A4614" s="2">
        <f>IF(B4614="","",SUBTOTAL(3,$B$2:B4614))</f>
        <v>4613</v>
      </c>
      <c r="B4614" s="9" t="s">
        <v>50</v>
      </c>
      <c r="C4614" s="10" t="s">
        <v>57</v>
      </c>
      <c r="D4614" s="11">
        <v>6.6137566137566139</v>
      </c>
      <c r="E4614" s="12">
        <f t="shared" si="72"/>
        <v>46052</v>
      </c>
    </row>
    <row r="4615" spans="1:5" x14ac:dyDescent="0.25">
      <c r="A4615" s="2">
        <f>IF(B4615="","",SUBTOTAL(3,$B$2:B4615))</f>
        <v>4614</v>
      </c>
      <c r="B4615" s="9" t="s">
        <v>50</v>
      </c>
      <c r="C4615" s="10" t="s">
        <v>57</v>
      </c>
      <c r="D4615" s="11">
        <v>6.6137566137566139</v>
      </c>
      <c r="E4615" s="12">
        <f t="shared" si="72"/>
        <v>46053</v>
      </c>
    </row>
    <row r="4616" spans="1:5" x14ac:dyDescent="0.25">
      <c r="A4616" s="2">
        <f>IF(B4616="","",SUBTOTAL(3,$B$2:B4616))</f>
        <v>4615</v>
      </c>
      <c r="B4616" s="9" t="s">
        <v>53</v>
      </c>
      <c r="C4616" s="10" t="s">
        <v>49</v>
      </c>
      <c r="D4616" s="11">
        <v>45.792997334847563</v>
      </c>
      <c r="E4616" s="12">
        <f t="shared" si="72"/>
        <v>46054</v>
      </c>
    </row>
    <row r="4617" spans="1:5" x14ac:dyDescent="0.25">
      <c r="A4617" s="2">
        <f>IF(B4617="","",SUBTOTAL(3,$B$2:B4617))</f>
        <v>4616</v>
      </c>
      <c r="B4617" s="9" t="s">
        <v>53</v>
      </c>
      <c r="C4617" s="10" t="s">
        <v>54</v>
      </c>
      <c r="D4617" s="11">
        <v>5.9530896535301823</v>
      </c>
      <c r="E4617" s="12">
        <f t="shared" si="72"/>
        <v>46055</v>
      </c>
    </row>
    <row r="4618" spans="1:5" x14ac:dyDescent="0.25">
      <c r="A4618" s="2">
        <f>IF(B4618="","",SUBTOTAL(3,$B$2:B4618))</f>
        <v>4617</v>
      </c>
      <c r="B4618" s="9" t="s">
        <v>53</v>
      </c>
      <c r="C4618" s="10" t="s">
        <v>54</v>
      </c>
      <c r="D4618" s="11">
        <v>111.83863463599147</v>
      </c>
      <c r="E4618" s="12">
        <f t="shared" si="72"/>
        <v>46056</v>
      </c>
    </row>
    <row r="4619" spans="1:5" x14ac:dyDescent="0.25">
      <c r="A4619" s="2">
        <f>IF(B4619="","",SUBTOTAL(3,$B$2:B4619))</f>
        <v>4618</v>
      </c>
      <c r="B4619" s="9" t="s">
        <v>53</v>
      </c>
      <c r="C4619" s="10" t="s">
        <v>54</v>
      </c>
      <c r="D4619" s="11">
        <v>60.135730444100496</v>
      </c>
      <c r="E4619" s="12">
        <f t="shared" si="72"/>
        <v>46057</v>
      </c>
    </row>
    <row r="4620" spans="1:5" x14ac:dyDescent="0.25">
      <c r="A4620" s="2">
        <f>IF(B4620="","",SUBTOTAL(3,$B$2:B4620))</f>
        <v>4619</v>
      </c>
      <c r="B4620" s="9" t="s">
        <v>53</v>
      </c>
      <c r="C4620" s="10" t="s">
        <v>54</v>
      </c>
      <c r="D4620" s="11">
        <v>29.307518294302437</v>
      </c>
      <c r="E4620" s="12">
        <f t="shared" si="72"/>
        <v>46058</v>
      </c>
    </row>
    <row r="4621" spans="1:5" x14ac:dyDescent="0.25">
      <c r="A4621" s="2">
        <f>IF(B4621="","",SUBTOTAL(3,$B$2:B4621))</f>
        <v>4620</v>
      </c>
      <c r="B4621" s="9" t="s">
        <v>50</v>
      </c>
      <c r="C4621" s="10" t="s">
        <v>49</v>
      </c>
      <c r="D4621" s="11">
        <v>330.68783068783068</v>
      </c>
      <c r="E4621" s="12">
        <f t="shared" si="72"/>
        <v>46059</v>
      </c>
    </row>
    <row r="4622" spans="1:5" x14ac:dyDescent="0.25">
      <c r="A4622" s="2">
        <f>IF(B4622="","",SUBTOTAL(3,$B$2:B4622))</f>
        <v>4621</v>
      </c>
      <c r="B4622" s="9" t="s">
        <v>48</v>
      </c>
      <c r="C4622" s="10" t="s">
        <v>52</v>
      </c>
      <c r="D4622" s="11">
        <v>200.24645717806533</v>
      </c>
      <c r="E4622" s="12">
        <f t="shared" si="72"/>
        <v>46060</v>
      </c>
    </row>
    <row r="4623" spans="1:5" x14ac:dyDescent="0.25">
      <c r="A4623" s="2">
        <f>IF(B4623="","",SUBTOTAL(3,$B$2:B4623))</f>
        <v>4622</v>
      </c>
      <c r="B4623" s="9" t="s">
        <v>55</v>
      </c>
      <c r="C4623" s="10" t="s">
        <v>49</v>
      </c>
      <c r="D4623" s="11">
        <v>50</v>
      </c>
      <c r="E4623" s="12">
        <f t="shared" si="72"/>
        <v>46061</v>
      </c>
    </row>
    <row r="4624" spans="1:5" x14ac:dyDescent="0.25">
      <c r="A4624" s="2">
        <f>IF(B4624="","",SUBTOTAL(3,$B$2:B4624))</f>
        <v>4623</v>
      </c>
      <c r="B4624" s="9" t="s">
        <v>50</v>
      </c>
      <c r="C4624" s="10" t="s">
        <v>57</v>
      </c>
      <c r="D4624" s="11">
        <v>154.32098765432099</v>
      </c>
      <c r="E4624" s="12">
        <f t="shared" si="72"/>
        <v>46062</v>
      </c>
    </row>
    <row r="4625" spans="1:5" x14ac:dyDescent="0.25">
      <c r="A4625" s="2">
        <f>IF(B4625="","",SUBTOTAL(3,$B$2:B4625))</f>
        <v>4624</v>
      </c>
      <c r="B4625" s="9" t="s">
        <v>48</v>
      </c>
      <c r="C4625" s="10" t="s">
        <v>49</v>
      </c>
      <c r="D4625" s="11">
        <v>51.392083049606214</v>
      </c>
      <c r="E4625" s="12">
        <f t="shared" si="72"/>
        <v>46063</v>
      </c>
    </row>
    <row r="4626" spans="1:5" x14ac:dyDescent="0.25">
      <c r="A4626" s="2">
        <f>IF(B4626="","",SUBTOTAL(3,$B$2:B4626))</f>
        <v>4625</v>
      </c>
      <c r="B4626" s="9" t="s">
        <v>50</v>
      </c>
      <c r="C4626" s="10" t="s">
        <v>54</v>
      </c>
      <c r="D4626" s="11">
        <v>55.114638447971785</v>
      </c>
      <c r="E4626" s="12">
        <f t="shared" si="72"/>
        <v>46064</v>
      </c>
    </row>
    <row r="4627" spans="1:5" x14ac:dyDescent="0.25">
      <c r="A4627" s="2">
        <f>IF(B4627="","",SUBTOTAL(3,$B$2:B4627))</f>
        <v>4626</v>
      </c>
      <c r="B4627" s="9" t="s">
        <v>51</v>
      </c>
      <c r="C4627" s="10" t="s">
        <v>52</v>
      </c>
      <c r="D4627" s="11">
        <v>95.308694270888495</v>
      </c>
      <c r="E4627" s="12">
        <f t="shared" si="72"/>
        <v>46065</v>
      </c>
    </row>
    <row r="4628" spans="1:5" x14ac:dyDescent="0.25">
      <c r="A4628" s="2">
        <f>IF(B4628="","",SUBTOTAL(3,$B$2:B4628))</f>
        <v>4627</v>
      </c>
      <c r="B4628" s="9" t="s">
        <v>55</v>
      </c>
      <c r="C4628" s="10" t="s">
        <v>49</v>
      </c>
      <c r="D4628" s="11">
        <v>130</v>
      </c>
      <c r="E4628" s="12">
        <f t="shared" si="72"/>
        <v>46066</v>
      </c>
    </row>
    <row r="4629" spans="1:5" x14ac:dyDescent="0.25">
      <c r="A4629" s="2">
        <f>IF(B4629="","",SUBTOTAL(3,$B$2:B4629))</f>
        <v>4628</v>
      </c>
      <c r="B4629" s="9" t="s">
        <v>55</v>
      </c>
      <c r="C4629" s="10" t="s">
        <v>52</v>
      </c>
      <c r="D4629" s="11">
        <v>22.975000000000001</v>
      </c>
      <c r="E4629" s="12">
        <f t="shared" si="72"/>
        <v>46067</v>
      </c>
    </row>
    <row r="4630" spans="1:5" x14ac:dyDescent="0.25">
      <c r="A4630" s="2">
        <f>IF(B4630="","",SUBTOTAL(3,$B$2:B4630))</f>
        <v>4629</v>
      </c>
      <c r="B4630" s="9" t="s">
        <v>50</v>
      </c>
      <c r="C4630" s="10" t="s">
        <v>54</v>
      </c>
      <c r="D4630" s="11">
        <v>176.3668430335097</v>
      </c>
      <c r="E4630" s="12">
        <f t="shared" si="72"/>
        <v>46068</v>
      </c>
    </row>
    <row r="4631" spans="1:5" x14ac:dyDescent="0.25">
      <c r="A4631" s="2">
        <f>IF(B4631="","",SUBTOTAL(3,$B$2:B4631))</f>
        <v>4630</v>
      </c>
      <c r="B4631" s="9" t="s">
        <v>55</v>
      </c>
      <c r="C4631" s="10" t="s">
        <v>49</v>
      </c>
      <c r="D4631" s="11">
        <v>150</v>
      </c>
      <c r="E4631" s="12">
        <f t="shared" si="72"/>
        <v>46069</v>
      </c>
    </row>
    <row r="4632" spans="1:5" x14ac:dyDescent="0.25">
      <c r="A4632" s="2">
        <f>IF(B4632="","",SUBTOTAL(3,$B$2:B4632))</f>
        <v>4631</v>
      </c>
      <c r="B4632" s="9" t="s">
        <v>48</v>
      </c>
      <c r="C4632" s="10" t="s">
        <v>49</v>
      </c>
      <c r="D4632" s="11">
        <v>107.82501540357363</v>
      </c>
      <c r="E4632" s="12">
        <f t="shared" si="72"/>
        <v>46070</v>
      </c>
    </row>
    <row r="4633" spans="1:5" x14ac:dyDescent="0.25">
      <c r="A4633" s="2">
        <f>IF(B4633="","",SUBTOTAL(3,$B$2:B4633))</f>
        <v>4632</v>
      </c>
      <c r="B4633" s="9" t="s">
        <v>48</v>
      </c>
      <c r="C4633" s="10" t="s">
        <v>54</v>
      </c>
      <c r="D4633" s="11">
        <v>61.614294516327789</v>
      </c>
      <c r="E4633" s="12">
        <f t="shared" si="72"/>
        <v>46071</v>
      </c>
    </row>
    <row r="4634" spans="1:5" x14ac:dyDescent="0.25">
      <c r="A4634" s="2">
        <f>IF(B4634="","",SUBTOTAL(3,$B$2:B4634))</f>
        <v>4633</v>
      </c>
      <c r="B4634" s="9" t="s">
        <v>53</v>
      </c>
      <c r="C4634" s="10" t="s">
        <v>49</v>
      </c>
      <c r="D4634" s="11">
        <v>137.37899200454268</v>
      </c>
      <c r="E4634" s="12">
        <f t="shared" si="72"/>
        <v>46072</v>
      </c>
    </row>
    <row r="4635" spans="1:5" x14ac:dyDescent="0.25">
      <c r="A4635" s="2">
        <f>IF(B4635="","",SUBTOTAL(3,$B$2:B4635))</f>
        <v>4634</v>
      </c>
      <c r="B4635" s="9" t="s">
        <v>53</v>
      </c>
      <c r="C4635" s="10" t="s">
        <v>54</v>
      </c>
      <c r="D4635" s="11">
        <v>22.896498667423781</v>
      </c>
      <c r="E4635" s="12">
        <f t="shared" si="72"/>
        <v>46073</v>
      </c>
    </row>
    <row r="4636" spans="1:5" x14ac:dyDescent="0.25">
      <c r="A4636" s="2">
        <f>IF(B4636="","",SUBTOTAL(3,$B$2:B4636))</f>
        <v>4635</v>
      </c>
      <c r="B4636" s="9" t="s">
        <v>53</v>
      </c>
      <c r="C4636" s="10" t="s">
        <v>49</v>
      </c>
      <c r="D4636" s="11">
        <v>54.951596801817075</v>
      </c>
      <c r="E4636" s="12">
        <f t="shared" si="72"/>
        <v>46074</v>
      </c>
    </row>
    <row r="4637" spans="1:5" x14ac:dyDescent="0.25">
      <c r="A4637" s="2">
        <f>IF(B4637="","",SUBTOTAL(3,$B$2:B4637))</f>
        <v>4636</v>
      </c>
      <c r="B4637" s="9" t="s">
        <v>51</v>
      </c>
      <c r="C4637" s="10" t="s">
        <v>56</v>
      </c>
      <c r="D4637" s="11">
        <v>21.179709837975221</v>
      </c>
      <c r="E4637" s="12">
        <f t="shared" si="72"/>
        <v>46075</v>
      </c>
    </row>
    <row r="4638" spans="1:5" x14ac:dyDescent="0.25">
      <c r="A4638" s="2">
        <f>IF(B4638="","",SUBTOTAL(3,$B$2:B4638))</f>
        <v>4637</v>
      </c>
      <c r="B4638" s="9" t="s">
        <v>55</v>
      </c>
      <c r="C4638" s="10" t="s">
        <v>49</v>
      </c>
      <c r="D4638" s="11">
        <v>112.34151821537475</v>
      </c>
      <c r="E4638" s="12">
        <f t="shared" si="72"/>
        <v>46076</v>
      </c>
    </row>
    <row r="4639" spans="1:5" x14ac:dyDescent="0.25">
      <c r="A4639" s="2">
        <f>IF(B4639="","",SUBTOTAL(3,$B$2:B4639))</f>
        <v>4638</v>
      </c>
      <c r="B4639" s="9" t="s">
        <v>50</v>
      </c>
      <c r="C4639" s="10" t="s">
        <v>49</v>
      </c>
      <c r="D4639" s="11">
        <v>110.22927689594357</v>
      </c>
      <c r="E4639" s="12">
        <f t="shared" si="72"/>
        <v>46077</v>
      </c>
    </row>
    <row r="4640" spans="1:5" x14ac:dyDescent="0.25">
      <c r="A4640" s="2">
        <f>IF(B4640="","",SUBTOTAL(3,$B$2:B4640))</f>
        <v>4639</v>
      </c>
      <c r="B4640" s="9" t="s">
        <v>48</v>
      </c>
      <c r="C4640" s="10" t="s">
        <v>49</v>
      </c>
      <c r="D4640" s="11">
        <v>61.614294516327789</v>
      </c>
      <c r="E4640" s="12">
        <f t="shared" si="72"/>
        <v>46078</v>
      </c>
    </row>
    <row r="4641" spans="1:5" x14ac:dyDescent="0.25">
      <c r="A4641" s="2">
        <f>IF(B4641="","",SUBTOTAL(3,$B$2:B4641))</f>
        <v>4640</v>
      </c>
      <c r="B4641" s="9" t="s">
        <v>48</v>
      </c>
      <c r="C4641" s="10" t="s">
        <v>49</v>
      </c>
      <c r="D4641" s="11">
        <v>107.82501540357363</v>
      </c>
      <c r="E4641" s="12">
        <f t="shared" si="72"/>
        <v>46079</v>
      </c>
    </row>
    <row r="4642" spans="1:5" x14ac:dyDescent="0.25">
      <c r="A4642" s="2">
        <f>IF(B4642="","",SUBTOTAL(3,$B$2:B4642))</f>
        <v>4641</v>
      </c>
      <c r="B4642" s="9" t="s">
        <v>53</v>
      </c>
      <c r="C4642" s="10" t="s">
        <v>49</v>
      </c>
      <c r="D4642" s="11">
        <v>91.585994669695125</v>
      </c>
      <c r="E4642" s="12">
        <f t="shared" si="72"/>
        <v>46080</v>
      </c>
    </row>
    <row r="4643" spans="1:5" x14ac:dyDescent="0.25">
      <c r="A4643" s="2">
        <f>IF(B4643="","",SUBTOTAL(3,$B$2:B4643))</f>
        <v>4642</v>
      </c>
      <c r="B4643" s="9" t="s">
        <v>55</v>
      </c>
      <c r="C4643" s="10" t="s">
        <v>49</v>
      </c>
      <c r="D4643" s="11">
        <v>19.099560045624902</v>
      </c>
      <c r="E4643" s="12">
        <f t="shared" si="72"/>
        <v>46081</v>
      </c>
    </row>
    <row r="4644" spans="1:5" x14ac:dyDescent="0.25">
      <c r="A4644" s="2">
        <f>IF(B4644="","",SUBTOTAL(3,$B$2:B4644))</f>
        <v>4643</v>
      </c>
      <c r="B4644" s="9" t="s">
        <v>50</v>
      </c>
      <c r="C4644" s="10" t="s">
        <v>49</v>
      </c>
      <c r="D4644" s="11">
        <v>11.022927689594356</v>
      </c>
      <c r="E4644" s="12">
        <f t="shared" si="72"/>
        <v>46082</v>
      </c>
    </row>
    <row r="4645" spans="1:5" x14ac:dyDescent="0.25">
      <c r="A4645" s="2">
        <f>IF(B4645="","",SUBTOTAL(3,$B$2:B4645))</f>
        <v>4644</v>
      </c>
      <c r="B4645" s="9" t="s">
        <v>50</v>
      </c>
      <c r="C4645" s="10" t="s">
        <v>52</v>
      </c>
      <c r="D4645" s="11">
        <v>33.06878306878307</v>
      </c>
      <c r="E4645" s="12">
        <f t="shared" si="72"/>
        <v>46083</v>
      </c>
    </row>
    <row r="4646" spans="1:5" x14ac:dyDescent="0.25">
      <c r="A4646" s="2">
        <f>IF(B4646="","",SUBTOTAL(3,$B$2:B4646))</f>
        <v>4645</v>
      </c>
      <c r="B4646" s="9" t="s">
        <v>51</v>
      </c>
      <c r="C4646" s="10" t="s">
        <v>49</v>
      </c>
      <c r="D4646" s="11">
        <v>36.463819787699542</v>
      </c>
      <c r="E4646" s="12">
        <f t="shared" si="72"/>
        <v>46084</v>
      </c>
    </row>
    <row r="4647" spans="1:5" x14ac:dyDescent="0.25">
      <c r="A4647" s="2">
        <f>IF(B4647="","",SUBTOTAL(3,$B$2:B4647))</f>
        <v>4646</v>
      </c>
      <c r="B4647" s="9" t="s">
        <v>51</v>
      </c>
      <c r="C4647" s="10" t="s">
        <v>49</v>
      </c>
      <c r="D4647" s="11">
        <v>34.032898468519569</v>
      </c>
      <c r="E4647" s="12">
        <f t="shared" si="72"/>
        <v>46085</v>
      </c>
    </row>
    <row r="4648" spans="1:5" x14ac:dyDescent="0.25">
      <c r="A4648" s="2">
        <f>IF(B4648="","",SUBTOTAL(3,$B$2:B4648))</f>
        <v>4647</v>
      </c>
      <c r="B4648" s="9" t="s">
        <v>48</v>
      </c>
      <c r="C4648" s="10" t="s">
        <v>52</v>
      </c>
      <c r="D4648" s="11">
        <v>154.03573629081947</v>
      </c>
      <c r="E4648" s="12">
        <f t="shared" si="72"/>
        <v>46086</v>
      </c>
    </row>
    <row r="4649" spans="1:5" x14ac:dyDescent="0.25">
      <c r="A4649" s="2">
        <f>IF(B4649="","",SUBTOTAL(3,$B$2:B4649))</f>
        <v>4648</v>
      </c>
      <c r="B4649" s="9" t="s">
        <v>55</v>
      </c>
      <c r="C4649" s="10" t="s">
        <v>52</v>
      </c>
      <c r="D4649" s="11">
        <v>55.114638447971785</v>
      </c>
      <c r="E4649" s="12">
        <f t="shared" si="72"/>
        <v>46087</v>
      </c>
    </row>
    <row r="4650" spans="1:5" x14ac:dyDescent="0.25">
      <c r="A4650" s="2">
        <f>IF(B4650="","",SUBTOTAL(3,$B$2:B4650))</f>
        <v>4649</v>
      </c>
      <c r="B4650" s="9" t="s">
        <v>50</v>
      </c>
      <c r="C4650" s="10" t="s">
        <v>52</v>
      </c>
      <c r="D4650" s="11">
        <v>44.091710758377424</v>
      </c>
      <c r="E4650" s="12">
        <f t="shared" si="72"/>
        <v>46088</v>
      </c>
    </row>
    <row r="4651" spans="1:5" x14ac:dyDescent="0.25">
      <c r="A4651" s="2">
        <f>IF(B4651="","",SUBTOTAL(3,$B$2:B4651))</f>
        <v>4650</v>
      </c>
      <c r="B4651" s="9" t="s">
        <v>50</v>
      </c>
      <c r="C4651" s="10" t="s">
        <v>52</v>
      </c>
      <c r="D4651" s="11">
        <v>30.8641975308642</v>
      </c>
      <c r="E4651" s="12">
        <f t="shared" si="72"/>
        <v>46089</v>
      </c>
    </row>
    <row r="4652" spans="1:5" x14ac:dyDescent="0.25">
      <c r="A4652" s="2">
        <f>IF(B4652="","",SUBTOTAL(3,$B$2:B4652))</f>
        <v>4651</v>
      </c>
      <c r="B4652" s="9" t="s">
        <v>50</v>
      </c>
      <c r="C4652" s="10" t="s">
        <v>52</v>
      </c>
      <c r="D4652" s="11">
        <v>30.8641975308642</v>
      </c>
      <c r="E4652" s="12">
        <f t="shared" si="72"/>
        <v>46090</v>
      </c>
    </row>
    <row r="4653" spans="1:5" x14ac:dyDescent="0.25">
      <c r="A4653" s="2">
        <f>IF(B4653="","",SUBTOTAL(3,$B$2:B4653))</f>
        <v>4652</v>
      </c>
      <c r="B4653" s="9" t="s">
        <v>50</v>
      </c>
      <c r="C4653" s="10" t="s">
        <v>49</v>
      </c>
      <c r="D4653" s="11">
        <v>56.28641975308642</v>
      </c>
      <c r="E4653" s="12">
        <f t="shared" si="72"/>
        <v>46091</v>
      </c>
    </row>
    <row r="4654" spans="1:5" x14ac:dyDescent="0.25">
      <c r="A4654" s="2">
        <f>IF(B4654="","",SUBTOTAL(3,$B$2:B4654))</f>
        <v>4653</v>
      </c>
      <c r="B4654" s="9" t="s">
        <v>48</v>
      </c>
      <c r="C4654" s="10" t="s">
        <v>49</v>
      </c>
      <c r="D4654" s="11">
        <v>25.696041524803107</v>
      </c>
      <c r="E4654" s="12">
        <f t="shared" si="72"/>
        <v>46092</v>
      </c>
    </row>
    <row r="4655" spans="1:5" x14ac:dyDescent="0.25">
      <c r="A4655" s="2">
        <f>IF(B4655="","",SUBTOTAL(3,$B$2:B4655))</f>
        <v>4654</v>
      </c>
      <c r="B4655" s="9" t="s">
        <v>50</v>
      </c>
      <c r="C4655" s="10" t="s">
        <v>52</v>
      </c>
      <c r="D4655" s="11">
        <v>8.9285714285714288</v>
      </c>
      <c r="E4655" s="12">
        <f t="shared" si="72"/>
        <v>46093</v>
      </c>
    </row>
    <row r="4656" spans="1:5" x14ac:dyDescent="0.25">
      <c r="A4656" s="2">
        <f>IF(B4656="","",SUBTOTAL(3,$B$2:B4656))</f>
        <v>4655</v>
      </c>
      <c r="B4656" s="9" t="s">
        <v>50</v>
      </c>
      <c r="C4656" s="10" t="s">
        <v>52</v>
      </c>
      <c r="D4656" s="11">
        <v>8.9285714285714288</v>
      </c>
      <c r="E4656" s="12">
        <f t="shared" si="72"/>
        <v>46094</v>
      </c>
    </row>
    <row r="4657" spans="1:5" x14ac:dyDescent="0.25">
      <c r="A4657" s="2">
        <f>IF(B4657="","",SUBTOTAL(3,$B$2:B4657))</f>
        <v>4656</v>
      </c>
      <c r="B4657" s="9" t="s">
        <v>48</v>
      </c>
      <c r="C4657" s="10" t="s">
        <v>52</v>
      </c>
      <c r="D4657" s="11">
        <v>385.44062287204662</v>
      </c>
      <c r="E4657" s="12">
        <f t="shared" si="72"/>
        <v>46095</v>
      </c>
    </row>
    <row r="4658" spans="1:5" x14ac:dyDescent="0.25">
      <c r="A4658" s="2">
        <f>IF(B4658="","",SUBTOTAL(3,$B$2:B4658))</f>
        <v>4657</v>
      </c>
      <c r="B4658" s="9" t="s">
        <v>48</v>
      </c>
      <c r="C4658" s="10" t="s">
        <v>49</v>
      </c>
      <c r="D4658" s="11">
        <v>143.39882799034817</v>
      </c>
      <c r="E4658" s="12">
        <f t="shared" si="72"/>
        <v>46096</v>
      </c>
    </row>
    <row r="4659" spans="1:5" x14ac:dyDescent="0.25">
      <c r="A4659" s="2">
        <f>IF(B4659="","",SUBTOTAL(3,$B$2:B4659))</f>
        <v>4658</v>
      </c>
      <c r="B4659" s="9" t="s">
        <v>51</v>
      </c>
      <c r="C4659" s="10" t="s">
        <v>52</v>
      </c>
      <c r="D4659" s="11">
        <v>105.89854918987609</v>
      </c>
      <c r="E4659" s="12">
        <f t="shared" si="72"/>
        <v>46097</v>
      </c>
    </row>
    <row r="4660" spans="1:5" x14ac:dyDescent="0.25">
      <c r="A4660" s="2">
        <f>IF(B4660="","",SUBTOTAL(3,$B$2:B4660))</f>
        <v>4659</v>
      </c>
      <c r="B4660" s="9" t="s">
        <v>55</v>
      </c>
      <c r="C4660" s="10" t="s">
        <v>49</v>
      </c>
      <c r="D4660" s="11">
        <v>9.3293791754929138</v>
      </c>
      <c r="E4660" s="12">
        <f t="shared" si="72"/>
        <v>46098</v>
      </c>
    </row>
    <row r="4661" spans="1:5" x14ac:dyDescent="0.25">
      <c r="A4661" s="2">
        <f>IF(B4661="","",SUBTOTAL(3,$B$2:B4661))</f>
        <v>4660</v>
      </c>
      <c r="B4661" s="9" t="s">
        <v>50</v>
      </c>
      <c r="C4661" s="10" t="s">
        <v>49</v>
      </c>
      <c r="D4661" s="11">
        <v>53.154078483245151</v>
      </c>
      <c r="E4661" s="12">
        <f t="shared" si="72"/>
        <v>46099</v>
      </c>
    </row>
    <row r="4662" spans="1:5" x14ac:dyDescent="0.25">
      <c r="A4662" s="2">
        <f>IF(B4662="","",SUBTOTAL(3,$B$2:B4662))</f>
        <v>4661</v>
      </c>
      <c r="B4662" s="9" t="s">
        <v>50</v>
      </c>
      <c r="C4662" s="10" t="s">
        <v>49</v>
      </c>
      <c r="D4662" s="11">
        <v>97.934215167548501</v>
      </c>
      <c r="E4662" s="12">
        <f t="shared" si="72"/>
        <v>46100</v>
      </c>
    </row>
    <row r="4663" spans="1:5" x14ac:dyDescent="0.25">
      <c r="A4663" s="2">
        <f>IF(B4663="","",SUBTOTAL(3,$B$2:B4663))</f>
        <v>4662</v>
      </c>
      <c r="B4663" s="9" t="s">
        <v>55</v>
      </c>
      <c r="C4663" s="10" t="s">
        <v>49</v>
      </c>
      <c r="D4663" s="11">
        <v>100.16963752469334</v>
      </c>
      <c r="E4663" s="12">
        <f t="shared" si="72"/>
        <v>46101</v>
      </c>
    </row>
    <row r="4664" spans="1:5" x14ac:dyDescent="0.25">
      <c r="A4664" s="2">
        <f>IF(B4664="","",SUBTOTAL(3,$B$2:B4664))</f>
        <v>4663</v>
      </c>
      <c r="B4664" s="9" t="s">
        <v>55</v>
      </c>
      <c r="C4664" s="10" t="s">
        <v>52</v>
      </c>
      <c r="D4664" s="11">
        <v>11.5</v>
      </c>
      <c r="E4664" s="12">
        <f t="shared" si="72"/>
        <v>46102</v>
      </c>
    </row>
    <row r="4665" spans="1:5" x14ac:dyDescent="0.25">
      <c r="A4665" s="2">
        <f>IF(B4665="","",SUBTOTAL(3,$B$2:B4665))</f>
        <v>4664</v>
      </c>
      <c r="B4665" s="9" t="s">
        <v>50</v>
      </c>
      <c r="C4665" s="10" t="s">
        <v>49</v>
      </c>
      <c r="D4665" s="11">
        <v>13.227513227513228</v>
      </c>
      <c r="E4665" s="12">
        <f t="shared" si="72"/>
        <v>46103</v>
      </c>
    </row>
    <row r="4666" spans="1:5" x14ac:dyDescent="0.25">
      <c r="A4666" s="2">
        <f>IF(B4666="","",SUBTOTAL(3,$B$2:B4666))</f>
        <v>4665</v>
      </c>
      <c r="B4666" s="9" t="s">
        <v>50</v>
      </c>
      <c r="C4666" s="10" t="s">
        <v>52</v>
      </c>
      <c r="D4666" s="11">
        <v>55.114638447971785</v>
      </c>
      <c r="E4666" s="12">
        <f t="shared" si="72"/>
        <v>46104</v>
      </c>
    </row>
    <row r="4667" spans="1:5" x14ac:dyDescent="0.25">
      <c r="A4667" s="2">
        <f>IF(B4667="","",SUBTOTAL(3,$B$2:B4667))</f>
        <v>4666</v>
      </c>
      <c r="B4667" s="9" t="s">
        <v>48</v>
      </c>
      <c r="C4667" s="10" t="s">
        <v>49</v>
      </c>
      <c r="D4667" s="11">
        <v>21.258335153469609</v>
      </c>
      <c r="E4667" s="12">
        <f t="shared" si="72"/>
        <v>46105</v>
      </c>
    </row>
    <row r="4668" spans="1:5" x14ac:dyDescent="0.25">
      <c r="A4668" s="2">
        <f>IF(B4668="","",SUBTOTAL(3,$B$2:B4668))</f>
        <v>4667</v>
      </c>
      <c r="B4668" s="9" t="s">
        <v>53</v>
      </c>
      <c r="C4668" s="10" t="s">
        <v>49</v>
      </c>
      <c r="D4668" s="11">
        <v>91.585994669695125</v>
      </c>
      <c r="E4668" s="12">
        <f t="shared" si="72"/>
        <v>46106</v>
      </c>
    </row>
    <row r="4669" spans="1:5" x14ac:dyDescent="0.25">
      <c r="A4669" s="2">
        <f>IF(B4669="","",SUBTOTAL(3,$B$2:B4669))</f>
        <v>4668</v>
      </c>
      <c r="B4669" s="9" t="s">
        <v>48</v>
      </c>
      <c r="C4669" s="10" t="s">
        <v>49</v>
      </c>
      <c r="D4669" s="11">
        <v>77.017868145409736</v>
      </c>
      <c r="E4669" s="12">
        <f t="shared" si="72"/>
        <v>46107</v>
      </c>
    </row>
    <row r="4670" spans="1:5" x14ac:dyDescent="0.25">
      <c r="A4670" s="2">
        <f>IF(B4670="","",SUBTOTAL(3,$B$2:B4670))</f>
        <v>4669</v>
      </c>
      <c r="B4670" s="9" t="s">
        <v>48</v>
      </c>
      <c r="C4670" s="10" t="s">
        <v>49</v>
      </c>
      <c r="D4670" s="11">
        <v>61.614294516327789</v>
      </c>
      <c r="E4670" s="12">
        <f t="shared" si="72"/>
        <v>46108</v>
      </c>
    </row>
    <row r="4671" spans="1:5" x14ac:dyDescent="0.25">
      <c r="A4671" s="2">
        <f>IF(B4671="","",SUBTOTAL(3,$B$2:B4671))</f>
        <v>4670</v>
      </c>
      <c r="B4671" s="9" t="s">
        <v>48</v>
      </c>
      <c r="C4671" s="10" t="s">
        <v>49</v>
      </c>
      <c r="D4671" s="11">
        <v>23.105360443622921</v>
      </c>
      <c r="E4671" s="12">
        <f t="shared" si="72"/>
        <v>46109</v>
      </c>
    </row>
    <row r="4672" spans="1:5" x14ac:dyDescent="0.25">
      <c r="A4672" s="2">
        <f>IF(B4672="","",SUBTOTAL(3,$B$2:B4672))</f>
        <v>4671</v>
      </c>
      <c r="B4672" s="9" t="s">
        <v>53</v>
      </c>
      <c r="C4672" s="10" t="s">
        <v>49</v>
      </c>
      <c r="D4672" s="11">
        <v>228.96498667423779</v>
      </c>
      <c r="E4672" s="12">
        <f t="shared" si="72"/>
        <v>46110</v>
      </c>
    </row>
    <row r="4673" spans="1:5" x14ac:dyDescent="0.25">
      <c r="A4673" s="2">
        <f>IF(B4673="","",SUBTOTAL(3,$B$2:B4673))</f>
        <v>4672</v>
      </c>
      <c r="B4673" s="9" t="s">
        <v>50</v>
      </c>
      <c r="C4673" s="10" t="s">
        <v>52</v>
      </c>
      <c r="D4673" s="11">
        <v>2.2045855379188711E-5</v>
      </c>
      <c r="E4673" s="12">
        <f t="shared" si="72"/>
        <v>46111</v>
      </c>
    </row>
    <row r="4674" spans="1:5" x14ac:dyDescent="0.25">
      <c r="A4674" s="2">
        <f>IF(B4674="","",SUBTOTAL(3,$B$2:B4674))</f>
        <v>4673</v>
      </c>
      <c r="B4674" s="9" t="s">
        <v>50</v>
      </c>
      <c r="C4674" s="10" t="s">
        <v>52</v>
      </c>
      <c r="D4674" s="11">
        <v>44.091710758377424</v>
      </c>
      <c r="E4674" s="12">
        <f t="shared" si="72"/>
        <v>46112</v>
      </c>
    </row>
    <row r="4675" spans="1:5" x14ac:dyDescent="0.25">
      <c r="A4675" s="2">
        <f>IF(B4675="","",SUBTOTAL(3,$B$2:B4675))</f>
        <v>4674</v>
      </c>
      <c r="B4675" s="9" t="s">
        <v>50</v>
      </c>
      <c r="C4675" s="10" t="s">
        <v>52</v>
      </c>
      <c r="D4675" s="11">
        <v>66.137566137566139</v>
      </c>
      <c r="E4675" s="12">
        <f t="shared" si="72"/>
        <v>46113</v>
      </c>
    </row>
    <row r="4676" spans="1:5" x14ac:dyDescent="0.25">
      <c r="A4676" s="2">
        <f>IF(B4676="","",SUBTOTAL(3,$B$2:B4676))</f>
        <v>4675</v>
      </c>
      <c r="B4676" s="9" t="s">
        <v>50</v>
      </c>
      <c r="C4676" s="10" t="s">
        <v>52</v>
      </c>
      <c r="D4676" s="11">
        <v>66.137566137566139</v>
      </c>
      <c r="E4676" s="12">
        <f t="shared" ref="E4676:E4739" si="73">E4675+1</f>
        <v>46114</v>
      </c>
    </row>
    <row r="4677" spans="1:5" x14ac:dyDescent="0.25">
      <c r="A4677" s="2">
        <f>IF(B4677="","",SUBTOTAL(3,$B$2:B4677))</f>
        <v>4676</v>
      </c>
      <c r="B4677" s="9" t="s">
        <v>50</v>
      </c>
      <c r="C4677" s="10" t="s">
        <v>49</v>
      </c>
      <c r="D4677" s="11">
        <v>44.091710758377424</v>
      </c>
      <c r="E4677" s="12">
        <f t="shared" si="73"/>
        <v>46115</v>
      </c>
    </row>
    <row r="4678" spans="1:5" x14ac:dyDescent="0.25">
      <c r="A4678" s="2">
        <f>IF(B4678="","",SUBTOTAL(3,$B$2:B4678))</f>
        <v>4677</v>
      </c>
      <c r="B4678" s="9" t="s">
        <v>50</v>
      </c>
      <c r="C4678" s="10" t="s">
        <v>49</v>
      </c>
      <c r="D4678" s="11">
        <v>26.455026455026456</v>
      </c>
      <c r="E4678" s="12">
        <f t="shared" si="73"/>
        <v>46116</v>
      </c>
    </row>
    <row r="4679" spans="1:5" x14ac:dyDescent="0.25">
      <c r="A4679" s="2">
        <f>IF(B4679="","",SUBTOTAL(3,$B$2:B4679))</f>
        <v>4678</v>
      </c>
      <c r="B4679" s="9" t="s">
        <v>50</v>
      </c>
      <c r="C4679" s="10" t="s">
        <v>49</v>
      </c>
      <c r="D4679" s="11">
        <v>1.3916997354497356</v>
      </c>
      <c r="E4679" s="12">
        <f t="shared" si="73"/>
        <v>46117</v>
      </c>
    </row>
    <row r="4680" spans="1:5" x14ac:dyDescent="0.25">
      <c r="A4680" s="2">
        <f>IF(B4680="","",SUBTOTAL(3,$B$2:B4680))</f>
        <v>4679</v>
      </c>
      <c r="B4680" s="9" t="s">
        <v>48</v>
      </c>
      <c r="C4680" s="10" t="s">
        <v>54</v>
      </c>
      <c r="D4680" s="11">
        <v>64.24010381200776</v>
      </c>
      <c r="E4680" s="12">
        <f t="shared" si="73"/>
        <v>46118</v>
      </c>
    </row>
    <row r="4681" spans="1:5" x14ac:dyDescent="0.25">
      <c r="A4681" s="2">
        <f>IF(B4681="","",SUBTOTAL(3,$B$2:B4681))</f>
        <v>4680</v>
      </c>
      <c r="B4681" s="9" t="s">
        <v>48</v>
      </c>
      <c r="C4681" s="10" t="s">
        <v>54</v>
      </c>
      <c r="D4681" s="11">
        <v>102.78416609921243</v>
      </c>
      <c r="E4681" s="12">
        <f t="shared" si="73"/>
        <v>46119</v>
      </c>
    </row>
    <row r="4682" spans="1:5" x14ac:dyDescent="0.25">
      <c r="A4682" s="2">
        <f>IF(B4682="","",SUBTOTAL(3,$B$2:B4682))</f>
        <v>4681</v>
      </c>
      <c r="B4682" s="9" t="s">
        <v>48</v>
      </c>
      <c r="C4682" s="10" t="s">
        <v>49</v>
      </c>
      <c r="D4682" s="11">
        <v>245.9398969588735</v>
      </c>
      <c r="E4682" s="12">
        <f t="shared" si="73"/>
        <v>46120</v>
      </c>
    </row>
    <row r="4683" spans="1:5" x14ac:dyDescent="0.25">
      <c r="A4683" s="2">
        <f>IF(B4683="","",SUBTOTAL(3,$B$2:B4683))</f>
        <v>4682</v>
      </c>
      <c r="B4683" s="9" t="s">
        <v>48</v>
      </c>
      <c r="C4683" s="10" t="s">
        <v>49</v>
      </c>
      <c r="D4683" s="11">
        <v>54.989528863078647</v>
      </c>
      <c r="E4683" s="12">
        <f t="shared" si="73"/>
        <v>46121</v>
      </c>
    </row>
    <row r="4684" spans="1:5" x14ac:dyDescent="0.25">
      <c r="A4684" s="2">
        <f>IF(B4684="","",SUBTOTAL(3,$B$2:B4684))</f>
        <v>4683</v>
      </c>
      <c r="B4684" s="9" t="s">
        <v>48</v>
      </c>
      <c r="C4684" s="10" t="s">
        <v>49</v>
      </c>
      <c r="D4684" s="11">
        <v>32.12005190600388</v>
      </c>
      <c r="E4684" s="12">
        <f t="shared" si="73"/>
        <v>46122</v>
      </c>
    </row>
    <row r="4685" spans="1:5" x14ac:dyDescent="0.25">
      <c r="A4685" s="2">
        <f>IF(B4685="","",SUBTOTAL(3,$B$2:B4685))</f>
        <v>4684</v>
      </c>
      <c r="B4685" s="9" t="s">
        <v>55</v>
      </c>
      <c r="C4685" s="10" t="s">
        <v>52</v>
      </c>
      <c r="D4685" s="11">
        <v>4</v>
      </c>
      <c r="E4685" s="12">
        <f t="shared" si="73"/>
        <v>46123</v>
      </c>
    </row>
    <row r="4686" spans="1:5" x14ac:dyDescent="0.25">
      <c r="A4686" s="2">
        <f>IF(B4686="","",SUBTOTAL(3,$B$2:B4686))</f>
        <v>4685</v>
      </c>
      <c r="B4686" s="9" t="s">
        <v>51</v>
      </c>
      <c r="C4686" s="10" t="s">
        <v>52</v>
      </c>
      <c r="D4686" s="11">
        <v>529.49274594938049</v>
      </c>
      <c r="E4686" s="12">
        <f t="shared" si="73"/>
        <v>46124</v>
      </c>
    </row>
    <row r="4687" spans="1:5" x14ac:dyDescent="0.25">
      <c r="A4687" s="2">
        <f>IF(B4687="","",SUBTOTAL(3,$B$2:B4687))</f>
        <v>4686</v>
      </c>
      <c r="B4687" s="9" t="s">
        <v>51</v>
      </c>
      <c r="C4687" s="10" t="s">
        <v>52</v>
      </c>
      <c r="D4687" s="11">
        <v>529.49274594938049</v>
      </c>
      <c r="E4687" s="12">
        <f t="shared" si="73"/>
        <v>46125</v>
      </c>
    </row>
    <row r="4688" spans="1:5" x14ac:dyDescent="0.25">
      <c r="A4688" s="2">
        <f>IF(B4688="","",SUBTOTAL(3,$B$2:B4688))</f>
        <v>4687</v>
      </c>
      <c r="B4688" s="9" t="s">
        <v>55</v>
      </c>
      <c r="C4688" s="10" t="s">
        <v>49</v>
      </c>
      <c r="D4688" s="11">
        <v>86.554740101026567</v>
      </c>
      <c r="E4688" s="12">
        <f t="shared" si="73"/>
        <v>46126</v>
      </c>
    </row>
    <row r="4689" spans="1:5" x14ac:dyDescent="0.25">
      <c r="A4689" s="2">
        <f>IF(B4689="","",SUBTOTAL(3,$B$2:B4689))</f>
        <v>4688</v>
      </c>
      <c r="B4689" s="9" t="s">
        <v>50</v>
      </c>
      <c r="C4689" s="10" t="s">
        <v>54</v>
      </c>
      <c r="D4689" s="11">
        <v>36.684303350970019</v>
      </c>
      <c r="E4689" s="12">
        <f t="shared" si="73"/>
        <v>46127</v>
      </c>
    </row>
    <row r="4690" spans="1:5" x14ac:dyDescent="0.25">
      <c r="A4690" s="2">
        <f>IF(B4690="","",SUBTOTAL(3,$B$2:B4690))</f>
        <v>4689</v>
      </c>
      <c r="B4690" s="9" t="s">
        <v>53</v>
      </c>
      <c r="C4690" s="10" t="s">
        <v>49</v>
      </c>
      <c r="D4690" s="11">
        <v>228.96498667423779</v>
      </c>
      <c r="E4690" s="12">
        <f t="shared" si="73"/>
        <v>46128</v>
      </c>
    </row>
    <row r="4691" spans="1:5" x14ac:dyDescent="0.25">
      <c r="A4691" s="2">
        <f>IF(B4691="","",SUBTOTAL(3,$B$2:B4691))</f>
        <v>4690</v>
      </c>
      <c r="B4691" s="9" t="s">
        <v>48</v>
      </c>
      <c r="C4691" s="10" t="s">
        <v>49</v>
      </c>
      <c r="D4691" s="11">
        <v>19.338159255429161</v>
      </c>
      <c r="E4691" s="12">
        <f t="shared" si="73"/>
        <v>46129</v>
      </c>
    </row>
    <row r="4692" spans="1:5" x14ac:dyDescent="0.25">
      <c r="A4692" s="2">
        <f>IF(B4692="","",SUBTOTAL(3,$B$2:B4692))</f>
        <v>4691</v>
      </c>
      <c r="B4692" s="9" t="s">
        <v>50</v>
      </c>
      <c r="C4692" s="10" t="s">
        <v>52</v>
      </c>
      <c r="D4692" s="11">
        <v>77.160493827160494</v>
      </c>
      <c r="E4692" s="12">
        <f t="shared" si="73"/>
        <v>46130</v>
      </c>
    </row>
    <row r="4693" spans="1:5" x14ac:dyDescent="0.25">
      <c r="A4693" s="2">
        <f>IF(B4693="","",SUBTOTAL(3,$B$2:B4693))</f>
        <v>4692</v>
      </c>
      <c r="B4693" s="9" t="s">
        <v>48</v>
      </c>
      <c r="C4693" s="10" t="s">
        <v>52</v>
      </c>
      <c r="D4693" s="11">
        <v>92.421441774491683</v>
      </c>
      <c r="E4693" s="12">
        <f t="shared" si="73"/>
        <v>46131</v>
      </c>
    </row>
    <row r="4694" spans="1:5" x14ac:dyDescent="0.25">
      <c r="A4694" s="2">
        <f>IF(B4694="","",SUBTOTAL(3,$B$2:B4694))</f>
        <v>4693</v>
      </c>
      <c r="B4694" s="9" t="s">
        <v>48</v>
      </c>
      <c r="C4694" s="10" t="s">
        <v>49</v>
      </c>
      <c r="D4694" s="11">
        <v>92.421441774491683</v>
      </c>
      <c r="E4694" s="12">
        <f t="shared" si="73"/>
        <v>46132</v>
      </c>
    </row>
    <row r="4695" spans="1:5" x14ac:dyDescent="0.25">
      <c r="A4695" s="2">
        <f>IF(B4695="","",SUBTOTAL(3,$B$2:B4695))</f>
        <v>4694</v>
      </c>
      <c r="B4695" s="9" t="s">
        <v>48</v>
      </c>
      <c r="C4695" s="10" t="s">
        <v>49</v>
      </c>
      <c r="D4695" s="11">
        <v>78.938297138917605</v>
      </c>
      <c r="E4695" s="12">
        <f t="shared" si="73"/>
        <v>46133</v>
      </c>
    </row>
    <row r="4696" spans="1:5" x14ac:dyDescent="0.25">
      <c r="A4696" s="2">
        <f>IF(B4696="","",SUBTOTAL(3,$B$2:B4696))</f>
        <v>4695</v>
      </c>
      <c r="B4696" s="9" t="s">
        <v>48</v>
      </c>
      <c r="C4696" s="10" t="s">
        <v>56</v>
      </c>
      <c r="D4696" s="11">
        <v>308.07147258163894</v>
      </c>
      <c r="E4696" s="12">
        <f t="shared" si="73"/>
        <v>46134</v>
      </c>
    </row>
    <row r="4697" spans="1:5" x14ac:dyDescent="0.25">
      <c r="A4697" s="2">
        <f>IF(B4697="","",SUBTOTAL(3,$B$2:B4697))</f>
        <v>4696</v>
      </c>
      <c r="B4697" s="9" t="s">
        <v>48</v>
      </c>
      <c r="C4697" s="10" t="s">
        <v>56</v>
      </c>
      <c r="D4697" s="11">
        <v>5.1706308169596689</v>
      </c>
      <c r="E4697" s="12">
        <f t="shared" si="73"/>
        <v>46135</v>
      </c>
    </row>
    <row r="4698" spans="1:5" x14ac:dyDescent="0.25">
      <c r="A4698" s="2">
        <f>IF(B4698="","",SUBTOTAL(3,$B$2:B4698))</f>
        <v>4697</v>
      </c>
      <c r="B4698" s="9" t="s">
        <v>48</v>
      </c>
      <c r="C4698" s="10" t="s">
        <v>56</v>
      </c>
      <c r="D4698" s="11">
        <v>17.235436056532226</v>
      </c>
      <c r="E4698" s="12">
        <f t="shared" si="73"/>
        <v>46136</v>
      </c>
    </row>
    <row r="4699" spans="1:5" x14ac:dyDescent="0.25">
      <c r="A4699" s="2">
        <f>IF(B4699="","",SUBTOTAL(3,$B$2:B4699))</f>
        <v>4698</v>
      </c>
      <c r="B4699" s="9" t="s">
        <v>48</v>
      </c>
      <c r="C4699" s="10" t="s">
        <v>56</v>
      </c>
      <c r="D4699" s="11">
        <v>17.235436056532226</v>
      </c>
      <c r="E4699" s="12">
        <f t="shared" si="73"/>
        <v>46137</v>
      </c>
    </row>
    <row r="4700" spans="1:5" x14ac:dyDescent="0.25">
      <c r="A4700" s="2">
        <f>IF(B4700="","",SUBTOTAL(3,$B$2:B4700))</f>
        <v>4699</v>
      </c>
      <c r="B4700" s="9" t="s">
        <v>51</v>
      </c>
      <c r="C4700" s="10" t="s">
        <v>52</v>
      </c>
      <c r="D4700" s="11">
        <v>529.49274594938049</v>
      </c>
      <c r="E4700" s="12">
        <f t="shared" si="73"/>
        <v>46138</v>
      </c>
    </row>
    <row r="4701" spans="1:5" x14ac:dyDescent="0.25">
      <c r="A4701" s="2">
        <f>IF(B4701="","",SUBTOTAL(3,$B$2:B4701))</f>
        <v>4700</v>
      </c>
      <c r="B4701" s="9" t="s">
        <v>55</v>
      </c>
      <c r="C4701" s="10" t="s">
        <v>49</v>
      </c>
      <c r="D4701" s="11">
        <v>23</v>
      </c>
      <c r="E4701" s="12">
        <f t="shared" si="73"/>
        <v>46139</v>
      </c>
    </row>
    <row r="4702" spans="1:5" x14ac:dyDescent="0.25">
      <c r="A4702" s="2">
        <f>IF(B4702="","",SUBTOTAL(3,$B$2:B4702))</f>
        <v>4701</v>
      </c>
      <c r="B4702" s="9" t="s">
        <v>48</v>
      </c>
      <c r="C4702" s="10" t="s">
        <v>49</v>
      </c>
      <c r="D4702" s="11">
        <v>46.210720887245841</v>
      </c>
      <c r="E4702" s="12">
        <f t="shared" si="73"/>
        <v>46140</v>
      </c>
    </row>
    <row r="4703" spans="1:5" x14ac:dyDescent="0.25">
      <c r="A4703" s="2">
        <f>IF(B4703="","",SUBTOTAL(3,$B$2:B4703))</f>
        <v>4702</v>
      </c>
      <c r="B4703" s="9" t="s">
        <v>48</v>
      </c>
      <c r="C4703" s="10" t="s">
        <v>49</v>
      </c>
      <c r="D4703" s="11">
        <v>12.848020762401553</v>
      </c>
      <c r="E4703" s="12">
        <f t="shared" si="73"/>
        <v>46141</v>
      </c>
    </row>
    <row r="4704" spans="1:5" x14ac:dyDescent="0.25">
      <c r="A4704" s="2">
        <f>IF(B4704="","",SUBTOTAL(3,$B$2:B4704))</f>
        <v>4703</v>
      </c>
      <c r="B4704" s="9" t="s">
        <v>50</v>
      </c>
      <c r="C4704" s="10" t="s">
        <v>57</v>
      </c>
      <c r="D4704" s="11">
        <v>35.273368606701936</v>
      </c>
      <c r="E4704" s="12">
        <f t="shared" si="73"/>
        <v>46142</v>
      </c>
    </row>
    <row r="4705" spans="1:5" x14ac:dyDescent="0.25">
      <c r="A4705" s="2">
        <f>IF(B4705="","",SUBTOTAL(3,$B$2:B4705))</f>
        <v>4704</v>
      </c>
      <c r="B4705" s="9" t="s">
        <v>50</v>
      </c>
      <c r="C4705" s="10" t="s">
        <v>54</v>
      </c>
      <c r="D4705" s="11">
        <v>308.64197530864197</v>
      </c>
      <c r="E4705" s="12">
        <f t="shared" si="73"/>
        <v>46143</v>
      </c>
    </row>
    <row r="4706" spans="1:5" x14ac:dyDescent="0.25">
      <c r="A4706" s="2">
        <f>IF(B4706="","",SUBTOTAL(3,$B$2:B4706))</f>
        <v>4705</v>
      </c>
      <c r="B4706" s="9" t="s">
        <v>48</v>
      </c>
      <c r="C4706" s="10" t="s">
        <v>54</v>
      </c>
      <c r="D4706" s="11">
        <v>77.017868145409736</v>
      </c>
      <c r="E4706" s="12">
        <f t="shared" si="73"/>
        <v>46144</v>
      </c>
    </row>
    <row r="4707" spans="1:5" x14ac:dyDescent="0.25">
      <c r="A4707" s="2">
        <f>IF(B4707="","",SUBTOTAL(3,$B$2:B4707))</f>
        <v>4706</v>
      </c>
      <c r="B4707" s="9" t="s">
        <v>48</v>
      </c>
      <c r="C4707" s="10" t="s">
        <v>49</v>
      </c>
      <c r="D4707" s="11">
        <v>30.807147258163894</v>
      </c>
      <c r="E4707" s="12">
        <f t="shared" si="73"/>
        <v>46145</v>
      </c>
    </row>
    <row r="4708" spans="1:5" x14ac:dyDescent="0.25">
      <c r="A4708" s="2">
        <f>IF(B4708="","",SUBTOTAL(3,$B$2:B4708))</f>
        <v>4707</v>
      </c>
      <c r="B4708" s="9" t="s">
        <v>53</v>
      </c>
      <c r="C4708" s="10" t="s">
        <v>49</v>
      </c>
      <c r="D4708" s="11">
        <v>91.585994669695125</v>
      </c>
      <c r="E4708" s="12">
        <f t="shared" si="73"/>
        <v>46146</v>
      </c>
    </row>
    <row r="4709" spans="1:5" x14ac:dyDescent="0.25">
      <c r="A4709" s="2">
        <f>IF(B4709="","",SUBTOTAL(3,$B$2:B4709))</f>
        <v>4708</v>
      </c>
      <c r="B4709" s="9" t="s">
        <v>53</v>
      </c>
      <c r="C4709" s="10" t="s">
        <v>49</v>
      </c>
      <c r="D4709" s="11">
        <v>45.792997334847563</v>
      </c>
      <c r="E4709" s="12">
        <f t="shared" si="73"/>
        <v>46147</v>
      </c>
    </row>
    <row r="4710" spans="1:5" x14ac:dyDescent="0.25">
      <c r="A4710" s="2">
        <f>IF(B4710="","",SUBTOTAL(3,$B$2:B4710))</f>
        <v>4709</v>
      </c>
      <c r="B4710" s="9" t="s">
        <v>50</v>
      </c>
      <c r="C4710" s="10" t="s">
        <v>54</v>
      </c>
      <c r="D4710" s="11">
        <v>46.296296296296298</v>
      </c>
      <c r="E4710" s="12">
        <f t="shared" si="73"/>
        <v>46148</v>
      </c>
    </row>
    <row r="4711" spans="1:5" x14ac:dyDescent="0.25">
      <c r="A4711" s="2">
        <f>IF(B4711="","",SUBTOTAL(3,$B$2:B4711))</f>
        <v>4710</v>
      </c>
      <c r="B4711" s="9" t="s">
        <v>50</v>
      </c>
      <c r="C4711" s="10" t="s">
        <v>49</v>
      </c>
      <c r="D4711" s="11">
        <v>44.091710758377424</v>
      </c>
      <c r="E4711" s="12">
        <f t="shared" si="73"/>
        <v>46149</v>
      </c>
    </row>
    <row r="4712" spans="1:5" x14ac:dyDescent="0.25">
      <c r="A4712" s="2">
        <f>IF(B4712="","",SUBTOTAL(3,$B$2:B4712))</f>
        <v>4711</v>
      </c>
      <c r="B4712" s="9" t="s">
        <v>48</v>
      </c>
      <c r="C4712" s="10" t="s">
        <v>49</v>
      </c>
      <c r="D4712" s="11">
        <v>12.848020762401553</v>
      </c>
      <c r="E4712" s="12">
        <f t="shared" si="73"/>
        <v>46150</v>
      </c>
    </row>
    <row r="4713" spans="1:5" x14ac:dyDescent="0.25">
      <c r="A4713" s="2">
        <f>IF(B4713="","",SUBTOTAL(3,$B$2:B4713))</f>
        <v>4712</v>
      </c>
      <c r="B4713" s="9" t="s">
        <v>48</v>
      </c>
      <c r="C4713" s="10" t="s">
        <v>56</v>
      </c>
      <c r="D4713" s="11">
        <v>1078.2501540357364</v>
      </c>
      <c r="E4713" s="12">
        <f t="shared" si="73"/>
        <v>46151</v>
      </c>
    </row>
    <row r="4714" spans="1:5" x14ac:dyDescent="0.25">
      <c r="A4714" s="2">
        <f>IF(B4714="","",SUBTOTAL(3,$B$2:B4714))</f>
        <v>4713</v>
      </c>
      <c r="B4714" s="9" t="s">
        <v>50</v>
      </c>
      <c r="C4714" s="10" t="s">
        <v>49</v>
      </c>
      <c r="D4714" s="11">
        <v>190</v>
      </c>
      <c r="E4714" s="12">
        <f t="shared" si="73"/>
        <v>46152</v>
      </c>
    </row>
    <row r="4715" spans="1:5" x14ac:dyDescent="0.25">
      <c r="A4715" s="2">
        <f>IF(B4715="","",SUBTOTAL(3,$B$2:B4715))</f>
        <v>4714</v>
      </c>
      <c r="B4715" s="9" t="s">
        <v>50</v>
      </c>
      <c r="C4715" s="10" t="s">
        <v>49</v>
      </c>
      <c r="D4715" s="11">
        <v>88.183421516754848</v>
      </c>
      <c r="E4715" s="12">
        <f t="shared" si="73"/>
        <v>46153</v>
      </c>
    </row>
    <row r="4716" spans="1:5" x14ac:dyDescent="0.25">
      <c r="A4716" s="2">
        <f>IF(B4716="","",SUBTOTAL(3,$B$2:B4716))</f>
        <v>4715</v>
      </c>
      <c r="B4716" s="9" t="s">
        <v>55</v>
      </c>
      <c r="C4716" s="10" t="s">
        <v>56</v>
      </c>
      <c r="D4716" s="11">
        <v>99.061145883485807</v>
      </c>
      <c r="E4716" s="12">
        <f t="shared" si="73"/>
        <v>46154</v>
      </c>
    </row>
    <row r="4717" spans="1:5" x14ac:dyDescent="0.25">
      <c r="A4717" s="2">
        <f>IF(B4717="","",SUBTOTAL(3,$B$2:B4717))</f>
        <v>4716</v>
      </c>
      <c r="B4717" s="9" t="s">
        <v>48</v>
      </c>
      <c r="C4717" s="10" t="s">
        <v>49</v>
      </c>
      <c r="D4717" s="11">
        <v>38.508934072704868</v>
      </c>
      <c r="E4717" s="12">
        <f t="shared" si="73"/>
        <v>46155</v>
      </c>
    </row>
    <row r="4718" spans="1:5" x14ac:dyDescent="0.25">
      <c r="A4718" s="2">
        <f>IF(B4718="","",SUBTOTAL(3,$B$2:B4718))</f>
        <v>4717</v>
      </c>
      <c r="B4718" s="9" t="s">
        <v>53</v>
      </c>
      <c r="C4718" s="10" t="s">
        <v>49</v>
      </c>
      <c r="D4718" s="11">
        <v>45.792997334847563</v>
      </c>
      <c r="E4718" s="12">
        <f t="shared" si="73"/>
        <v>46156</v>
      </c>
    </row>
    <row r="4719" spans="1:5" x14ac:dyDescent="0.25">
      <c r="A4719" s="2">
        <f>IF(B4719="","",SUBTOTAL(3,$B$2:B4719))</f>
        <v>4718</v>
      </c>
      <c r="B4719" s="9" t="s">
        <v>50</v>
      </c>
      <c r="C4719" s="10" t="s">
        <v>54</v>
      </c>
      <c r="D4719" s="11">
        <v>66.137566137566139</v>
      </c>
      <c r="E4719" s="12">
        <f t="shared" si="73"/>
        <v>46157</v>
      </c>
    </row>
    <row r="4720" spans="1:5" x14ac:dyDescent="0.25">
      <c r="A4720" s="2">
        <f>IF(B4720="","",SUBTOTAL(3,$B$2:B4720))</f>
        <v>4719</v>
      </c>
      <c r="B4720" s="9" t="s">
        <v>53</v>
      </c>
      <c r="C4720" s="10" t="s">
        <v>49</v>
      </c>
      <c r="D4720" s="11">
        <v>23</v>
      </c>
      <c r="E4720" s="12">
        <f t="shared" si="73"/>
        <v>46158</v>
      </c>
    </row>
    <row r="4721" spans="1:5" x14ac:dyDescent="0.25">
      <c r="A4721" s="2">
        <f>IF(B4721="","",SUBTOTAL(3,$B$2:B4721))</f>
        <v>4720</v>
      </c>
      <c r="B4721" s="9" t="s">
        <v>48</v>
      </c>
      <c r="C4721" s="10" t="s">
        <v>49</v>
      </c>
      <c r="D4721" s="11">
        <v>27.726432532347506</v>
      </c>
      <c r="E4721" s="12">
        <f t="shared" si="73"/>
        <v>46159</v>
      </c>
    </row>
    <row r="4722" spans="1:5" x14ac:dyDescent="0.25">
      <c r="A4722" s="2">
        <f>IF(B4722="","",SUBTOTAL(3,$B$2:B4722))</f>
        <v>4721</v>
      </c>
      <c r="B4722" s="9" t="s">
        <v>55</v>
      </c>
      <c r="C4722" s="10" t="s">
        <v>56</v>
      </c>
      <c r="D4722" s="11">
        <v>493.56067834979632</v>
      </c>
      <c r="E4722" s="12">
        <f t="shared" si="73"/>
        <v>46160</v>
      </c>
    </row>
    <row r="4723" spans="1:5" x14ac:dyDescent="0.25">
      <c r="A4723" s="2">
        <f>IF(B4723="","",SUBTOTAL(3,$B$2:B4723))</f>
        <v>4722</v>
      </c>
      <c r="B4723" s="9" t="s">
        <v>50</v>
      </c>
      <c r="C4723" s="10" t="s">
        <v>49</v>
      </c>
      <c r="D4723" s="11">
        <v>22.045855379188712</v>
      </c>
      <c r="E4723" s="12">
        <f t="shared" si="73"/>
        <v>46161</v>
      </c>
    </row>
    <row r="4724" spans="1:5" x14ac:dyDescent="0.25">
      <c r="A4724" s="2">
        <f>IF(B4724="","",SUBTOTAL(3,$B$2:B4724))</f>
        <v>4723</v>
      </c>
      <c r="B4724" s="9" t="s">
        <v>50</v>
      </c>
      <c r="C4724" s="10" t="s">
        <v>49</v>
      </c>
      <c r="D4724" s="11">
        <v>22.045855379188712</v>
      </c>
      <c r="E4724" s="12">
        <f t="shared" si="73"/>
        <v>46162</v>
      </c>
    </row>
    <row r="4725" spans="1:5" x14ac:dyDescent="0.25">
      <c r="A4725" s="2">
        <f>IF(B4725="","",SUBTOTAL(3,$B$2:B4725))</f>
        <v>4724</v>
      </c>
      <c r="B4725" s="9" t="s">
        <v>48</v>
      </c>
      <c r="C4725" s="10" t="s">
        <v>52</v>
      </c>
      <c r="D4725" s="11">
        <v>462.10720887245844</v>
      </c>
      <c r="E4725" s="12">
        <f t="shared" si="73"/>
        <v>46163</v>
      </c>
    </row>
    <row r="4726" spans="1:5" x14ac:dyDescent="0.25">
      <c r="A4726" s="2">
        <f>IF(B4726="","",SUBTOTAL(3,$B$2:B4726))</f>
        <v>4725</v>
      </c>
      <c r="B4726" s="9" t="s">
        <v>48</v>
      </c>
      <c r="C4726" s="10" t="s">
        <v>49</v>
      </c>
      <c r="D4726" s="11">
        <v>107.82501540357363</v>
      </c>
      <c r="E4726" s="12">
        <f t="shared" si="73"/>
        <v>46164</v>
      </c>
    </row>
    <row r="4727" spans="1:5" x14ac:dyDescent="0.25">
      <c r="A4727" s="2">
        <f>IF(B4727="","",SUBTOTAL(3,$B$2:B4727))</f>
        <v>4726</v>
      </c>
      <c r="B4727" s="9" t="s">
        <v>55</v>
      </c>
      <c r="C4727" s="10" t="s">
        <v>54</v>
      </c>
      <c r="D4727" s="11">
        <v>40</v>
      </c>
      <c r="E4727" s="12">
        <f t="shared" si="73"/>
        <v>46165</v>
      </c>
    </row>
    <row r="4728" spans="1:5" x14ac:dyDescent="0.25">
      <c r="A4728" s="2">
        <f>IF(B4728="","",SUBTOTAL(3,$B$2:B4728))</f>
        <v>4727</v>
      </c>
      <c r="B4728" s="9" t="s">
        <v>55</v>
      </c>
      <c r="C4728" s="10" t="s">
        <v>49</v>
      </c>
      <c r="D4728" s="11">
        <v>10</v>
      </c>
      <c r="E4728" s="12">
        <f t="shared" si="73"/>
        <v>46166</v>
      </c>
    </row>
    <row r="4729" spans="1:5" x14ac:dyDescent="0.25">
      <c r="A4729" s="2">
        <f>IF(B4729="","",SUBTOTAL(3,$B$2:B4729))</f>
        <v>4728</v>
      </c>
      <c r="B4729" s="9" t="s">
        <v>48</v>
      </c>
      <c r="C4729" s="10" t="s">
        <v>49</v>
      </c>
      <c r="D4729" s="11">
        <v>11.326172703095088</v>
      </c>
      <c r="E4729" s="12">
        <f t="shared" si="73"/>
        <v>46167</v>
      </c>
    </row>
    <row r="4730" spans="1:5" x14ac:dyDescent="0.25">
      <c r="A4730" s="2">
        <f>IF(B4730="","",SUBTOTAL(3,$B$2:B4730))</f>
        <v>4729</v>
      </c>
      <c r="B4730" s="9" t="s">
        <v>50</v>
      </c>
      <c r="C4730" s="10" t="s">
        <v>49</v>
      </c>
      <c r="D4730" s="11">
        <v>180.135582010582</v>
      </c>
      <c r="E4730" s="12">
        <f t="shared" si="73"/>
        <v>46168</v>
      </c>
    </row>
    <row r="4731" spans="1:5" x14ac:dyDescent="0.25">
      <c r="A4731" s="2">
        <f>IF(B4731="","",SUBTOTAL(3,$B$2:B4731))</f>
        <v>4730</v>
      </c>
      <c r="B4731" s="9" t="s">
        <v>50</v>
      </c>
      <c r="C4731" s="10" t="s">
        <v>52</v>
      </c>
      <c r="D4731" s="11">
        <v>23.148148148148149</v>
      </c>
      <c r="E4731" s="12">
        <f t="shared" si="73"/>
        <v>46169</v>
      </c>
    </row>
    <row r="4732" spans="1:5" x14ac:dyDescent="0.25">
      <c r="A4732" s="2">
        <f>IF(B4732="","",SUBTOTAL(3,$B$2:B4732))</f>
        <v>4731</v>
      </c>
      <c r="B4732" s="9" t="s">
        <v>50</v>
      </c>
      <c r="C4732" s="10" t="s">
        <v>52</v>
      </c>
      <c r="D4732" s="11">
        <v>30.8641975308642</v>
      </c>
      <c r="E4732" s="12">
        <f t="shared" si="73"/>
        <v>46170</v>
      </c>
    </row>
    <row r="4733" spans="1:5" x14ac:dyDescent="0.25">
      <c r="A4733" s="2">
        <f>IF(B4733="","",SUBTOTAL(3,$B$2:B4733))</f>
        <v>4732</v>
      </c>
      <c r="B4733" s="9" t="s">
        <v>51</v>
      </c>
      <c r="C4733" s="10" t="s">
        <v>49</v>
      </c>
      <c r="D4733" s="11">
        <v>15.884782378481413</v>
      </c>
      <c r="E4733" s="12">
        <f t="shared" si="73"/>
        <v>46171</v>
      </c>
    </row>
    <row r="4734" spans="1:5" x14ac:dyDescent="0.25">
      <c r="A4734" s="2">
        <f>IF(B4734="","",SUBTOTAL(3,$B$2:B4734))</f>
        <v>4733</v>
      </c>
      <c r="B4734" s="9" t="s">
        <v>51</v>
      </c>
      <c r="C4734" s="10" t="s">
        <v>49</v>
      </c>
      <c r="D4734" s="11">
        <v>12.154606595899846</v>
      </c>
      <c r="E4734" s="12">
        <f t="shared" si="73"/>
        <v>46172</v>
      </c>
    </row>
    <row r="4735" spans="1:5" x14ac:dyDescent="0.25">
      <c r="A4735" s="2">
        <f>IF(B4735="","",SUBTOTAL(3,$B$2:B4735))</f>
        <v>4734</v>
      </c>
      <c r="B4735" s="9" t="s">
        <v>48</v>
      </c>
      <c r="C4735" s="10" t="s">
        <v>54</v>
      </c>
      <c r="D4735" s="11">
        <v>124.09513960703205</v>
      </c>
      <c r="E4735" s="12">
        <f t="shared" si="73"/>
        <v>46173</v>
      </c>
    </row>
    <row r="4736" spans="1:5" x14ac:dyDescent="0.25">
      <c r="A4736" s="2">
        <f>IF(B4736="","",SUBTOTAL(3,$B$2:B4736))</f>
        <v>4735</v>
      </c>
      <c r="B4736" s="9" t="s">
        <v>48</v>
      </c>
      <c r="C4736" s="10" t="s">
        <v>49</v>
      </c>
      <c r="D4736" s="11">
        <v>46.210720887245841</v>
      </c>
      <c r="E4736" s="12">
        <f t="shared" si="73"/>
        <v>46174</v>
      </c>
    </row>
    <row r="4737" spans="1:5" x14ac:dyDescent="0.25">
      <c r="A4737" s="2">
        <f>IF(B4737="","",SUBTOTAL(3,$B$2:B4737))</f>
        <v>4736</v>
      </c>
      <c r="B4737" s="9" t="s">
        <v>48</v>
      </c>
      <c r="C4737" s="10" t="s">
        <v>49</v>
      </c>
      <c r="D4737" s="11">
        <v>46.210720887245841</v>
      </c>
      <c r="E4737" s="12">
        <f t="shared" si="73"/>
        <v>46175</v>
      </c>
    </row>
    <row r="4738" spans="1:5" x14ac:dyDescent="0.25">
      <c r="A4738" s="2">
        <f>IF(B4738="","",SUBTOTAL(3,$B$2:B4738))</f>
        <v>4737</v>
      </c>
      <c r="B4738" s="9" t="s">
        <v>51</v>
      </c>
      <c r="C4738" s="10" t="s">
        <v>52</v>
      </c>
      <c r="D4738" s="11">
        <v>81.030710639332298</v>
      </c>
      <c r="E4738" s="12">
        <f t="shared" si="73"/>
        <v>46176</v>
      </c>
    </row>
    <row r="4739" spans="1:5" x14ac:dyDescent="0.25">
      <c r="A4739" s="2">
        <f>IF(B4739="","",SUBTOTAL(3,$B$2:B4739))</f>
        <v>4738</v>
      </c>
      <c r="B4739" s="9" t="s">
        <v>48</v>
      </c>
      <c r="C4739" s="10" t="s">
        <v>49</v>
      </c>
      <c r="D4739" s="11">
        <v>12.581868321268528</v>
      </c>
      <c r="E4739" s="12">
        <f t="shared" si="73"/>
        <v>46177</v>
      </c>
    </row>
    <row r="4740" spans="1:5" x14ac:dyDescent="0.25">
      <c r="A4740" s="2">
        <f>IF(B4740="","",SUBTOTAL(3,$B$2:B4740))</f>
        <v>4739</v>
      </c>
      <c r="B4740" s="9" t="s">
        <v>48</v>
      </c>
      <c r="C4740" s="10" t="s">
        <v>49</v>
      </c>
      <c r="D4740" s="11">
        <v>64.460530851430534</v>
      </c>
      <c r="E4740" s="12">
        <f t="shared" ref="E4740:E4803" si="74">E4739+1</f>
        <v>46178</v>
      </c>
    </row>
    <row r="4741" spans="1:5" x14ac:dyDescent="0.25">
      <c r="A4741" s="2">
        <f>IF(B4741="","",SUBTOTAL(3,$B$2:B4741))</f>
        <v>4740</v>
      </c>
      <c r="B4741" s="9" t="s">
        <v>48</v>
      </c>
      <c r="C4741" s="10" t="s">
        <v>56</v>
      </c>
      <c r="D4741" s="11">
        <v>68.941744226128904</v>
      </c>
      <c r="E4741" s="12">
        <f t="shared" si="74"/>
        <v>46179</v>
      </c>
    </row>
    <row r="4742" spans="1:5" x14ac:dyDescent="0.25">
      <c r="A4742" s="2">
        <f>IF(B4742="","",SUBTOTAL(3,$B$2:B4742))</f>
        <v>4741</v>
      </c>
      <c r="B4742" s="9" t="s">
        <v>48</v>
      </c>
      <c r="C4742" s="10" t="s">
        <v>56</v>
      </c>
      <c r="D4742" s="11">
        <v>34.470872113064452</v>
      </c>
      <c r="E4742" s="12">
        <f t="shared" si="74"/>
        <v>46180</v>
      </c>
    </row>
    <row r="4743" spans="1:5" x14ac:dyDescent="0.25">
      <c r="A4743" s="2">
        <f>IF(B4743="","",SUBTOTAL(3,$B$2:B4743))</f>
        <v>4742</v>
      </c>
      <c r="B4743" s="9" t="s">
        <v>48</v>
      </c>
      <c r="C4743" s="10" t="s">
        <v>49</v>
      </c>
      <c r="D4743" s="11">
        <v>107.82501540357363</v>
      </c>
      <c r="E4743" s="12">
        <f t="shared" si="74"/>
        <v>46181</v>
      </c>
    </row>
    <row r="4744" spans="1:5" x14ac:dyDescent="0.25">
      <c r="A4744" s="2">
        <f>IF(B4744="","",SUBTOTAL(3,$B$2:B4744))</f>
        <v>4743</v>
      </c>
      <c r="B4744" s="9" t="s">
        <v>51</v>
      </c>
      <c r="C4744" s="10" t="s">
        <v>54</v>
      </c>
      <c r="D4744" s="11">
        <v>0</v>
      </c>
      <c r="E4744" s="12">
        <f t="shared" si="74"/>
        <v>46182</v>
      </c>
    </row>
    <row r="4745" spans="1:5" x14ac:dyDescent="0.25">
      <c r="A4745" s="2">
        <f>IF(B4745="","",SUBTOTAL(3,$B$2:B4745))</f>
        <v>4744</v>
      </c>
      <c r="B4745" s="9" t="s">
        <v>48</v>
      </c>
      <c r="C4745" s="10" t="s">
        <v>49</v>
      </c>
      <c r="D4745" s="11">
        <v>134.43640124095137</v>
      </c>
      <c r="E4745" s="12">
        <f t="shared" si="74"/>
        <v>46183</v>
      </c>
    </row>
    <row r="4746" spans="1:5" x14ac:dyDescent="0.25">
      <c r="A4746" s="2">
        <f>IF(B4746="","",SUBTOTAL(3,$B$2:B4746))</f>
        <v>4745</v>
      </c>
      <c r="B4746" s="9" t="s">
        <v>55</v>
      </c>
      <c r="C4746" s="10" t="s">
        <v>49</v>
      </c>
      <c r="D4746" s="11">
        <v>654.89066319048402</v>
      </c>
      <c r="E4746" s="12">
        <f t="shared" si="74"/>
        <v>46184</v>
      </c>
    </row>
    <row r="4747" spans="1:5" x14ac:dyDescent="0.25">
      <c r="A4747" s="2">
        <f>IF(B4747="","",SUBTOTAL(3,$B$2:B4747))</f>
        <v>4746</v>
      </c>
      <c r="B4747" s="9" t="s">
        <v>48</v>
      </c>
      <c r="C4747" s="10" t="s">
        <v>56</v>
      </c>
      <c r="D4747" s="11">
        <v>17.235436056532226</v>
      </c>
      <c r="E4747" s="12">
        <f t="shared" si="74"/>
        <v>46185</v>
      </c>
    </row>
    <row r="4748" spans="1:5" x14ac:dyDescent="0.25">
      <c r="A4748" s="2">
        <f>IF(B4748="","",SUBTOTAL(3,$B$2:B4748))</f>
        <v>4747</v>
      </c>
      <c r="B4748" s="9" t="s">
        <v>48</v>
      </c>
      <c r="C4748" s="10" t="s">
        <v>49</v>
      </c>
      <c r="D4748" s="11">
        <v>55.153395380903135</v>
      </c>
      <c r="E4748" s="12">
        <f t="shared" si="74"/>
        <v>46186</v>
      </c>
    </row>
    <row r="4749" spans="1:5" x14ac:dyDescent="0.25">
      <c r="A4749" s="2">
        <f>IF(B4749="","",SUBTOTAL(3,$B$2:B4749))</f>
        <v>4748</v>
      </c>
      <c r="B4749" s="9" t="s">
        <v>48</v>
      </c>
      <c r="C4749" s="10" t="s">
        <v>56</v>
      </c>
      <c r="D4749" s="11">
        <v>20.682523267838675</v>
      </c>
      <c r="E4749" s="12">
        <f t="shared" si="74"/>
        <v>46187</v>
      </c>
    </row>
    <row r="4750" spans="1:5" x14ac:dyDescent="0.25">
      <c r="A4750" s="2">
        <f>IF(B4750="","",SUBTOTAL(3,$B$2:B4750))</f>
        <v>4749</v>
      </c>
      <c r="B4750" s="9" t="s">
        <v>48</v>
      </c>
      <c r="C4750" s="10" t="s">
        <v>56</v>
      </c>
      <c r="D4750" s="11">
        <v>24.129610479145121</v>
      </c>
      <c r="E4750" s="12">
        <f t="shared" si="74"/>
        <v>46188</v>
      </c>
    </row>
    <row r="4751" spans="1:5" x14ac:dyDescent="0.25">
      <c r="A4751" s="2">
        <f>IF(B4751="","",SUBTOTAL(3,$B$2:B4751))</f>
        <v>4750</v>
      </c>
      <c r="B4751" s="9" t="s">
        <v>48</v>
      </c>
      <c r="C4751" s="10" t="s">
        <v>56</v>
      </c>
      <c r="D4751" s="11">
        <v>1.723543605653223</v>
      </c>
      <c r="E4751" s="12">
        <f t="shared" si="74"/>
        <v>46189</v>
      </c>
    </row>
    <row r="4752" spans="1:5" x14ac:dyDescent="0.25">
      <c r="A4752" s="2">
        <f>IF(B4752="","",SUBTOTAL(3,$B$2:B4752))</f>
        <v>4751</v>
      </c>
      <c r="B4752" s="9" t="s">
        <v>48</v>
      </c>
      <c r="C4752" s="10" t="s">
        <v>49</v>
      </c>
      <c r="D4752" s="11">
        <v>32.747328507411233</v>
      </c>
      <c r="E4752" s="12">
        <f t="shared" si="74"/>
        <v>46190</v>
      </c>
    </row>
    <row r="4753" spans="1:5" x14ac:dyDescent="0.25">
      <c r="A4753" s="2">
        <f>IF(B4753="","",SUBTOTAL(3,$B$2:B4753))</f>
        <v>4752</v>
      </c>
      <c r="B4753" s="9" t="s">
        <v>48</v>
      </c>
      <c r="C4753" s="10" t="s">
        <v>52</v>
      </c>
      <c r="D4753" s="11">
        <v>123.22858903265558</v>
      </c>
      <c r="E4753" s="12">
        <f t="shared" si="74"/>
        <v>46191</v>
      </c>
    </row>
    <row r="4754" spans="1:5" x14ac:dyDescent="0.25">
      <c r="A4754" s="2">
        <f>IF(B4754="","",SUBTOTAL(3,$B$2:B4754))</f>
        <v>4753</v>
      </c>
      <c r="B4754" s="9" t="s">
        <v>48</v>
      </c>
      <c r="C4754" s="10" t="s">
        <v>54</v>
      </c>
      <c r="D4754" s="11">
        <v>15.403573629081947</v>
      </c>
      <c r="E4754" s="12">
        <f t="shared" si="74"/>
        <v>46192</v>
      </c>
    </row>
    <row r="4755" spans="1:5" x14ac:dyDescent="0.25">
      <c r="A4755" s="2">
        <f>IF(B4755="","",SUBTOTAL(3,$B$2:B4755))</f>
        <v>4754</v>
      </c>
      <c r="B4755" s="9" t="s">
        <v>48</v>
      </c>
      <c r="C4755" s="10" t="s">
        <v>52</v>
      </c>
      <c r="D4755" s="11">
        <v>7701.7868145409739</v>
      </c>
      <c r="E4755" s="12">
        <f t="shared" si="74"/>
        <v>46193</v>
      </c>
    </row>
    <row r="4756" spans="1:5" x14ac:dyDescent="0.25">
      <c r="A4756" s="2">
        <f>IF(B4756="","",SUBTOTAL(3,$B$2:B4756))</f>
        <v>4755</v>
      </c>
      <c r="B4756" s="9" t="s">
        <v>48</v>
      </c>
      <c r="C4756" s="10" t="s">
        <v>49</v>
      </c>
      <c r="D4756" s="11">
        <v>7.7017868145409736</v>
      </c>
      <c r="E4756" s="12">
        <f t="shared" si="74"/>
        <v>46194</v>
      </c>
    </row>
    <row r="4757" spans="1:5" x14ac:dyDescent="0.25">
      <c r="A4757" s="2">
        <f>IF(B4757="","",SUBTOTAL(3,$B$2:B4757))</f>
        <v>4756</v>
      </c>
      <c r="B4757" s="9" t="s">
        <v>48</v>
      </c>
      <c r="C4757" s="10" t="s">
        <v>52</v>
      </c>
      <c r="D4757" s="11">
        <v>92.421441774491683</v>
      </c>
      <c r="E4757" s="12">
        <f t="shared" si="74"/>
        <v>46195</v>
      </c>
    </row>
    <row r="4758" spans="1:5" x14ac:dyDescent="0.25">
      <c r="A4758" s="2">
        <f>IF(B4758="","",SUBTOTAL(3,$B$2:B4758))</f>
        <v>4757</v>
      </c>
      <c r="B4758" s="9" t="s">
        <v>48</v>
      </c>
      <c r="C4758" s="10" t="s">
        <v>52</v>
      </c>
      <c r="D4758" s="11">
        <v>61.614294516327789</v>
      </c>
      <c r="E4758" s="12">
        <f t="shared" si="74"/>
        <v>46196</v>
      </c>
    </row>
    <row r="4759" spans="1:5" x14ac:dyDescent="0.25">
      <c r="A4759" s="2">
        <f>IF(B4759="","",SUBTOTAL(3,$B$2:B4759))</f>
        <v>4758</v>
      </c>
      <c r="B4759" s="9" t="s">
        <v>48</v>
      </c>
      <c r="C4759" s="10" t="s">
        <v>52</v>
      </c>
      <c r="D4759" s="11">
        <v>123.22858903265558</v>
      </c>
      <c r="E4759" s="12">
        <f t="shared" si="74"/>
        <v>46197</v>
      </c>
    </row>
    <row r="4760" spans="1:5" x14ac:dyDescent="0.25">
      <c r="A4760" s="2">
        <f>IF(B4760="","",SUBTOTAL(3,$B$2:B4760))</f>
        <v>4759</v>
      </c>
      <c r="B4760" s="9" t="s">
        <v>48</v>
      </c>
      <c r="C4760" s="10" t="s">
        <v>54</v>
      </c>
      <c r="D4760" s="11">
        <v>7.7017868145409736</v>
      </c>
      <c r="E4760" s="12">
        <f t="shared" si="74"/>
        <v>46198</v>
      </c>
    </row>
    <row r="4761" spans="1:5" x14ac:dyDescent="0.25">
      <c r="A4761" s="2">
        <f>IF(B4761="","",SUBTOTAL(3,$B$2:B4761))</f>
        <v>4760</v>
      </c>
      <c r="B4761" s="9" t="s">
        <v>48</v>
      </c>
      <c r="C4761" s="10" t="s">
        <v>49</v>
      </c>
      <c r="D4761" s="11">
        <v>32.34750462107209</v>
      </c>
      <c r="E4761" s="12">
        <f t="shared" si="74"/>
        <v>46199</v>
      </c>
    </row>
    <row r="4762" spans="1:5" x14ac:dyDescent="0.25">
      <c r="A4762" s="2">
        <f>IF(B4762="","",SUBTOTAL(3,$B$2:B4762))</f>
        <v>4761</v>
      </c>
      <c r="B4762" s="9" t="s">
        <v>48</v>
      </c>
      <c r="C4762" s="10" t="s">
        <v>54</v>
      </c>
      <c r="D4762" s="11">
        <v>77.017868145409736</v>
      </c>
      <c r="E4762" s="12">
        <f t="shared" si="74"/>
        <v>46200</v>
      </c>
    </row>
    <row r="4763" spans="1:5" x14ac:dyDescent="0.25">
      <c r="A4763" s="2">
        <f>IF(B4763="","",SUBTOTAL(3,$B$2:B4763))</f>
        <v>4762</v>
      </c>
      <c r="B4763" s="9" t="s">
        <v>48</v>
      </c>
      <c r="C4763" s="10" t="s">
        <v>52</v>
      </c>
      <c r="D4763" s="11">
        <v>123.22858903265558</v>
      </c>
      <c r="E4763" s="12">
        <f t="shared" si="74"/>
        <v>46201</v>
      </c>
    </row>
    <row r="4764" spans="1:5" x14ac:dyDescent="0.25">
      <c r="A4764" s="2">
        <f>IF(B4764="","",SUBTOTAL(3,$B$2:B4764))</f>
        <v>4763</v>
      </c>
      <c r="B4764" s="9" t="s">
        <v>55</v>
      </c>
      <c r="C4764" s="10" t="s">
        <v>49</v>
      </c>
      <c r="D4764" s="11">
        <v>100</v>
      </c>
      <c r="E4764" s="12">
        <f t="shared" si="74"/>
        <v>46202</v>
      </c>
    </row>
    <row r="4765" spans="1:5" x14ac:dyDescent="0.25">
      <c r="A4765" s="2">
        <f>IF(B4765="","",SUBTOTAL(3,$B$2:B4765))</f>
        <v>4764</v>
      </c>
      <c r="B4765" s="9" t="s">
        <v>51</v>
      </c>
      <c r="C4765" s="10" t="s">
        <v>49</v>
      </c>
      <c r="D4765" s="11">
        <v>17.802605104310071</v>
      </c>
      <c r="E4765" s="12">
        <f t="shared" si="74"/>
        <v>46203</v>
      </c>
    </row>
    <row r="4766" spans="1:5" x14ac:dyDescent="0.25">
      <c r="A4766" s="2">
        <f>IF(B4766="","",SUBTOTAL(3,$B$2:B4766))</f>
        <v>4765</v>
      </c>
      <c r="B4766" s="9" t="s">
        <v>53</v>
      </c>
      <c r="C4766" s="10" t="s">
        <v>49</v>
      </c>
      <c r="D4766" s="11">
        <v>73.2687957357561</v>
      </c>
      <c r="E4766" s="12">
        <f t="shared" si="74"/>
        <v>46204</v>
      </c>
    </row>
    <row r="4767" spans="1:5" x14ac:dyDescent="0.25">
      <c r="A4767" s="2">
        <f>IF(B4767="","",SUBTOTAL(3,$B$2:B4767))</f>
        <v>4766</v>
      </c>
      <c r="B4767" s="9" t="s">
        <v>48</v>
      </c>
      <c r="C4767" s="10" t="s">
        <v>52</v>
      </c>
      <c r="D4767" s="11">
        <v>924.21441774491689</v>
      </c>
      <c r="E4767" s="12">
        <f t="shared" si="74"/>
        <v>46205</v>
      </c>
    </row>
    <row r="4768" spans="1:5" x14ac:dyDescent="0.25">
      <c r="A4768" s="2">
        <f>IF(B4768="","",SUBTOTAL(3,$B$2:B4768))</f>
        <v>4767</v>
      </c>
      <c r="B4768" s="9" t="s">
        <v>48</v>
      </c>
      <c r="C4768" s="10" t="s">
        <v>54</v>
      </c>
      <c r="D4768" s="11">
        <v>123.22858903265558</v>
      </c>
      <c r="E4768" s="12">
        <f t="shared" si="74"/>
        <v>46206</v>
      </c>
    </row>
    <row r="4769" spans="1:5" x14ac:dyDescent="0.25">
      <c r="A4769" s="2">
        <f>IF(B4769="","",SUBTOTAL(3,$B$2:B4769))</f>
        <v>4768</v>
      </c>
      <c r="B4769" s="9" t="s">
        <v>48</v>
      </c>
      <c r="C4769" s="10" t="s">
        <v>54</v>
      </c>
      <c r="D4769" s="11">
        <v>154.03573629081947</v>
      </c>
      <c r="E4769" s="12">
        <f t="shared" si="74"/>
        <v>46207</v>
      </c>
    </row>
    <row r="4770" spans="1:5" x14ac:dyDescent="0.25">
      <c r="A4770" s="2">
        <f>IF(B4770="","",SUBTOTAL(3,$B$2:B4770))</f>
        <v>4769</v>
      </c>
      <c r="B4770" s="9" t="s">
        <v>48</v>
      </c>
      <c r="C4770" s="10" t="s">
        <v>54</v>
      </c>
      <c r="D4770" s="11">
        <v>154.03573629081947</v>
      </c>
      <c r="E4770" s="12">
        <f t="shared" si="74"/>
        <v>46208</v>
      </c>
    </row>
    <row r="4771" spans="1:5" x14ac:dyDescent="0.25">
      <c r="A4771" s="2">
        <f>IF(B4771="","",SUBTOTAL(3,$B$2:B4771))</f>
        <v>4770</v>
      </c>
      <c r="B4771" s="9" t="s">
        <v>51</v>
      </c>
      <c r="C4771" s="10" t="s">
        <v>52</v>
      </c>
      <c r="D4771" s="11">
        <v>264.74637297469025</v>
      </c>
      <c r="E4771" s="12">
        <f t="shared" si="74"/>
        <v>46209</v>
      </c>
    </row>
    <row r="4772" spans="1:5" x14ac:dyDescent="0.25">
      <c r="A4772" s="2">
        <f>IF(B4772="","",SUBTOTAL(3,$B$2:B4772))</f>
        <v>4771</v>
      </c>
      <c r="B4772" s="9" t="s">
        <v>48</v>
      </c>
      <c r="C4772" s="10" t="s">
        <v>49</v>
      </c>
      <c r="D4772" s="11">
        <v>23.105360443622921</v>
      </c>
      <c r="E4772" s="12">
        <f t="shared" si="74"/>
        <v>46210</v>
      </c>
    </row>
    <row r="4773" spans="1:5" x14ac:dyDescent="0.25">
      <c r="A4773" s="2">
        <f>IF(B4773="","",SUBTOTAL(3,$B$2:B4773))</f>
        <v>4772</v>
      </c>
      <c r="B4773" s="9" t="s">
        <v>48</v>
      </c>
      <c r="C4773" s="10" t="s">
        <v>49</v>
      </c>
      <c r="D4773" s="11">
        <v>38.508934072704868</v>
      </c>
      <c r="E4773" s="12">
        <f t="shared" si="74"/>
        <v>46211</v>
      </c>
    </row>
    <row r="4774" spans="1:5" x14ac:dyDescent="0.25">
      <c r="A4774" s="2">
        <f>IF(B4774="","",SUBTOTAL(3,$B$2:B4774))</f>
        <v>4773</v>
      </c>
      <c r="B4774" s="9" t="s">
        <v>48</v>
      </c>
      <c r="C4774" s="10" t="s">
        <v>54</v>
      </c>
      <c r="D4774" s="11">
        <v>38.54406228720466</v>
      </c>
      <c r="E4774" s="12">
        <f t="shared" si="74"/>
        <v>46212</v>
      </c>
    </row>
    <row r="4775" spans="1:5" x14ac:dyDescent="0.25">
      <c r="A4775" s="2">
        <f>IF(B4775="","",SUBTOTAL(3,$B$2:B4775))</f>
        <v>4774</v>
      </c>
      <c r="B4775" s="9" t="s">
        <v>50</v>
      </c>
      <c r="C4775" s="10" t="s">
        <v>49</v>
      </c>
      <c r="D4775" s="11">
        <v>5.511463844797178</v>
      </c>
      <c r="E4775" s="12">
        <f t="shared" si="74"/>
        <v>46213</v>
      </c>
    </row>
    <row r="4776" spans="1:5" x14ac:dyDescent="0.25">
      <c r="A4776" s="2">
        <f>IF(B4776="","",SUBTOTAL(3,$B$2:B4776))</f>
        <v>4775</v>
      </c>
      <c r="B4776" s="9" t="s">
        <v>48</v>
      </c>
      <c r="C4776" s="10" t="s">
        <v>54</v>
      </c>
      <c r="D4776" s="11">
        <v>25.696041524803107</v>
      </c>
      <c r="E4776" s="12">
        <f t="shared" si="74"/>
        <v>46214</v>
      </c>
    </row>
    <row r="4777" spans="1:5" x14ac:dyDescent="0.25">
      <c r="A4777" s="2">
        <f>IF(B4777="","",SUBTOTAL(3,$B$2:B4777))</f>
        <v>4776</v>
      </c>
      <c r="B4777" s="9" t="s">
        <v>50</v>
      </c>
      <c r="C4777" s="10" t="s">
        <v>52</v>
      </c>
      <c r="D4777" s="11">
        <v>33.06878306878307</v>
      </c>
      <c r="E4777" s="12">
        <f t="shared" si="74"/>
        <v>46215</v>
      </c>
    </row>
    <row r="4778" spans="1:5" x14ac:dyDescent="0.25">
      <c r="A4778" s="2">
        <f>IF(B4778="","",SUBTOTAL(3,$B$2:B4778))</f>
        <v>4777</v>
      </c>
      <c r="B4778" s="9" t="s">
        <v>55</v>
      </c>
      <c r="C4778" s="10" t="s">
        <v>49</v>
      </c>
      <c r="D4778" s="11">
        <v>94.62718794505443</v>
      </c>
      <c r="E4778" s="12">
        <f t="shared" si="74"/>
        <v>46216</v>
      </c>
    </row>
    <row r="4779" spans="1:5" x14ac:dyDescent="0.25">
      <c r="A4779" s="2">
        <f>IF(B4779="","",SUBTOTAL(3,$B$2:B4779))</f>
        <v>4778</v>
      </c>
      <c r="B4779" s="9" t="s">
        <v>50</v>
      </c>
      <c r="C4779" s="10" t="s">
        <v>49</v>
      </c>
      <c r="D4779" s="11">
        <v>661.37566137566137</v>
      </c>
      <c r="E4779" s="12">
        <f t="shared" si="74"/>
        <v>46217</v>
      </c>
    </row>
    <row r="4780" spans="1:5" x14ac:dyDescent="0.25">
      <c r="A4780" s="2">
        <f>IF(B4780="","",SUBTOTAL(3,$B$2:B4780))</f>
        <v>4779</v>
      </c>
      <c r="B4780" s="9" t="s">
        <v>48</v>
      </c>
      <c r="C4780" s="10" t="s">
        <v>49</v>
      </c>
      <c r="D4780" s="11">
        <v>770.17868145409739</v>
      </c>
      <c r="E4780" s="12">
        <f t="shared" si="74"/>
        <v>46218</v>
      </c>
    </row>
    <row r="4781" spans="1:5" x14ac:dyDescent="0.25">
      <c r="A4781" s="2">
        <f>IF(B4781="","",SUBTOTAL(3,$B$2:B4781))</f>
        <v>4780</v>
      </c>
      <c r="B4781" s="9" t="s">
        <v>48</v>
      </c>
      <c r="C4781" s="10" t="s">
        <v>49</v>
      </c>
      <c r="D4781" s="11">
        <v>62.047569803516026</v>
      </c>
      <c r="E4781" s="12">
        <f t="shared" si="74"/>
        <v>46219</v>
      </c>
    </row>
    <row r="4782" spans="1:5" x14ac:dyDescent="0.25">
      <c r="A4782" s="2">
        <f>IF(B4782="","",SUBTOTAL(3,$B$2:B4782))</f>
        <v>4781</v>
      </c>
      <c r="B4782" s="9" t="s">
        <v>48</v>
      </c>
      <c r="C4782" s="10" t="s">
        <v>49</v>
      </c>
      <c r="D4782" s="11">
        <v>103.41261633919338</v>
      </c>
      <c r="E4782" s="12">
        <f t="shared" si="74"/>
        <v>46220</v>
      </c>
    </row>
    <row r="4783" spans="1:5" x14ac:dyDescent="0.25">
      <c r="A4783" s="2">
        <f>IF(B4783="","",SUBTOTAL(3,$B$2:B4783))</f>
        <v>4782</v>
      </c>
      <c r="B4783" s="9" t="s">
        <v>55</v>
      </c>
      <c r="C4783" s="10" t="s">
        <v>54</v>
      </c>
      <c r="D4783" s="11">
        <v>65.178425941013529</v>
      </c>
      <c r="E4783" s="12">
        <f t="shared" si="74"/>
        <v>46221</v>
      </c>
    </row>
    <row r="4784" spans="1:5" x14ac:dyDescent="0.25">
      <c r="A4784" s="2">
        <f>IF(B4784="","",SUBTOTAL(3,$B$2:B4784))</f>
        <v>4783</v>
      </c>
      <c r="B4784" s="9" t="s">
        <v>50</v>
      </c>
      <c r="C4784" s="10" t="s">
        <v>52</v>
      </c>
      <c r="D4784" s="11">
        <v>19.841269841269842</v>
      </c>
      <c r="E4784" s="12">
        <f t="shared" si="74"/>
        <v>46222</v>
      </c>
    </row>
    <row r="4785" spans="1:5" x14ac:dyDescent="0.25">
      <c r="A4785" s="2">
        <f>IF(B4785="","",SUBTOTAL(3,$B$2:B4785))</f>
        <v>4784</v>
      </c>
      <c r="B4785" s="9" t="s">
        <v>51</v>
      </c>
      <c r="C4785" s="10" t="s">
        <v>49</v>
      </c>
      <c r="D4785" s="11">
        <v>211.79709837975219</v>
      </c>
      <c r="E4785" s="12">
        <f t="shared" si="74"/>
        <v>46223</v>
      </c>
    </row>
    <row r="4786" spans="1:5" x14ac:dyDescent="0.25">
      <c r="A4786" s="2">
        <f>IF(B4786="","",SUBTOTAL(3,$B$2:B4786))</f>
        <v>4785</v>
      </c>
      <c r="B4786" s="9" t="s">
        <v>51</v>
      </c>
      <c r="C4786" s="10" t="s">
        <v>54</v>
      </c>
      <c r="D4786" s="11">
        <v>105.89854918987609</v>
      </c>
      <c r="E4786" s="12">
        <f t="shared" si="74"/>
        <v>46224</v>
      </c>
    </row>
    <row r="4787" spans="1:5" x14ac:dyDescent="0.25">
      <c r="A4787" s="2">
        <f>IF(B4787="","",SUBTOTAL(3,$B$2:B4787))</f>
        <v>4786</v>
      </c>
      <c r="B4787" s="9" t="s">
        <v>51</v>
      </c>
      <c r="C4787" s="10" t="s">
        <v>52</v>
      </c>
      <c r="D4787" s="11">
        <v>105.89854918987609</v>
      </c>
      <c r="E4787" s="12">
        <f t="shared" si="74"/>
        <v>46225</v>
      </c>
    </row>
    <row r="4788" spans="1:5" x14ac:dyDescent="0.25">
      <c r="A4788" s="2">
        <f>IF(B4788="","",SUBTOTAL(3,$B$2:B4788))</f>
        <v>4787</v>
      </c>
      <c r="B4788" s="9" t="s">
        <v>51</v>
      </c>
      <c r="C4788" s="10" t="s">
        <v>52</v>
      </c>
      <c r="D4788" s="11">
        <v>20.257677659833075</v>
      </c>
      <c r="E4788" s="12">
        <f t="shared" si="74"/>
        <v>46226</v>
      </c>
    </row>
    <row r="4789" spans="1:5" x14ac:dyDescent="0.25">
      <c r="A4789" s="2">
        <f>IF(B4789="","",SUBTOTAL(3,$B$2:B4789))</f>
        <v>4788</v>
      </c>
      <c r="B4789" s="9" t="s">
        <v>51</v>
      </c>
      <c r="C4789" s="10" t="s">
        <v>52</v>
      </c>
      <c r="D4789" s="11">
        <v>12.707825902785132</v>
      </c>
      <c r="E4789" s="12">
        <f t="shared" si="74"/>
        <v>46227</v>
      </c>
    </row>
    <row r="4790" spans="1:5" x14ac:dyDescent="0.25">
      <c r="A4790" s="2">
        <f>IF(B4790="","",SUBTOTAL(3,$B$2:B4790))</f>
        <v>4789</v>
      </c>
      <c r="B4790" s="9" t="s">
        <v>48</v>
      </c>
      <c r="C4790" s="10" t="s">
        <v>54</v>
      </c>
      <c r="D4790" s="11">
        <v>86.177180282661155</v>
      </c>
      <c r="E4790" s="12">
        <f t="shared" si="74"/>
        <v>46228</v>
      </c>
    </row>
    <row r="4791" spans="1:5" x14ac:dyDescent="0.25">
      <c r="A4791" s="2">
        <f>IF(B4791="","",SUBTOTAL(3,$B$2:B4791))</f>
        <v>4790</v>
      </c>
      <c r="B4791" s="9" t="s">
        <v>50</v>
      </c>
      <c r="C4791" s="10" t="s">
        <v>49</v>
      </c>
      <c r="D4791" s="11">
        <v>17.636684303350968</v>
      </c>
      <c r="E4791" s="12">
        <f t="shared" si="74"/>
        <v>46229</v>
      </c>
    </row>
    <row r="4792" spans="1:5" x14ac:dyDescent="0.25">
      <c r="A4792" s="2">
        <f>IF(B4792="","",SUBTOTAL(3,$B$2:B4792))</f>
        <v>4791</v>
      </c>
      <c r="B4792" s="9" t="s">
        <v>48</v>
      </c>
      <c r="C4792" s="10" t="s">
        <v>49</v>
      </c>
      <c r="D4792" s="11">
        <v>61.484974239718376</v>
      </c>
      <c r="E4792" s="12">
        <f t="shared" si="74"/>
        <v>46230</v>
      </c>
    </row>
    <row r="4793" spans="1:5" x14ac:dyDescent="0.25">
      <c r="A4793" s="2">
        <f>IF(B4793="","",SUBTOTAL(3,$B$2:B4793))</f>
        <v>4792</v>
      </c>
      <c r="B4793" s="9" t="s">
        <v>48</v>
      </c>
      <c r="C4793" s="10" t="s">
        <v>54</v>
      </c>
      <c r="D4793" s="11">
        <v>123.22858903265558</v>
      </c>
      <c r="E4793" s="12">
        <f t="shared" si="74"/>
        <v>46231</v>
      </c>
    </row>
    <row r="4794" spans="1:5" x14ac:dyDescent="0.25">
      <c r="A4794" s="2">
        <f>IF(B4794="","",SUBTOTAL(3,$B$2:B4794))</f>
        <v>4793</v>
      </c>
      <c r="B4794" s="9" t="s">
        <v>48</v>
      </c>
      <c r="C4794" s="10" t="s">
        <v>54</v>
      </c>
      <c r="D4794" s="11">
        <v>77.017868145409736</v>
      </c>
      <c r="E4794" s="12">
        <f t="shared" si="74"/>
        <v>46232</v>
      </c>
    </row>
    <row r="4795" spans="1:5" x14ac:dyDescent="0.25">
      <c r="A4795" s="2">
        <f>IF(B4795="","",SUBTOTAL(3,$B$2:B4795))</f>
        <v>4794</v>
      </c>
      <c r="B4795" s="9" t="s">
        <v>48</v>
      </c>
      <c r="C4795" s="10" t="s">
        <v>54</v>
      </c>
      <c r="D4795" s="11">
        <v>46.210720887245841</v>
      </c>
      <c r="E4795" s="12">
        <f t="shared" si="74"/>
        <v>46233</v>
      </c>
    </row>
    <row r="4796" spans="1:5" x14ac:dyDescent="0.25">
      <c r="A4796" s="2">
        <f>IF(B4796="","",SUBTOTAL(3,$B$2:B4796))</f>
        <v>4795</v>
      </c>
      <c r="B4796" s="9" t="s">
        <v>48</v>
      </c>
      <c r="C4796" s="10" t="s">
        <v>54</v>
      </c>
      <c r="D4796" s="11">
        <v>123.22858903265558</v>
      </c>
      <c r="E4796" s="12">
        <f t="shared" si="74"/>
        <v>46234</v>
      </c>
    </row>
    <row r="4797" spans="1:5" x14ac:dyDescent="0.25">
      <c r="A4797" s="2">
        <f>IF(B4797="","",SUBTOTAL(3,$B$2:B4797))</f>
        <v>4796</v>
      </c>
      <c r="B4797" s="9" t="s">
        <v>48</v>
      </c>
      <c r="C4797" s="10" t="s">
        <v>54</v>
      </c>
      <c r="D4797" s="11">
        <v>77.017868145409736</v>
      </c>
      <c r="E4797" s="12">
        <f t="shared" si="74"/>
        <v>46235</v>
      </c>
    </row>
    <row r="4798" spans="1:5" x14ac:dyDescent="0.25">
      <c r="A4798" s="2">
        <f>IF(B4798="","",SUBTOTAL(3,$B$2:B4798))</f>
        <v>4797</v>
      </c>
      <c r="B4798" s="9" t="s">
        <v>48</v>
      </c>
      <c r="C4798" s="10" t="s">
        <v>54</v>
      </c>
      <c r="D4798" s="11">
        <v>23.105360443622921</v>
      </c>
      <c r="E4798" s="12">
        <f t="shared" si="74"/>
        <v>46236</v>
      </c>
    </row>
    <row r="4799" spans="1:5" x14ac:dyDescent="0.25">
      <c r="A4799" s="2">
        <f>IF(B4799="","",SUBTOTAL(3,$B$2:B4799))</f>
        <v>4798</v>
      </c>
      <c r="B4799" s="9" t="s">
        <v>55</v>
      </c>
      <c r="C4799" s="10" t="s">
        <v>54</v>
      </c>
      <c r="D4799" s="11">
        <v>1695.3527130519799</v>
      </c>
      <c r="E4799" s="12">
        <f t="shared" si="74"/>
        <v>46237</v>
      </c>
    </row>
    <row r="4800" spans="1:5" x14ac:dyDescent="0.25">
      <c r="A4800" s="2">
        <f>IF(B4800="","",SUBTOTAL(3,$B$2:B4800))</f>
        <v>4799</v>
      </c>
      <c r="B4800" s="9" t="s">
        <v>50</v>
      </c>
      <c r="C4800" s="10" t="s">
        <v>49</v>
      </c>
      <c r="D4800" s="11">
        <v>1.7636684303350971</v>
      </c>
      <c r="E4800" s="12">
        <f t="shared" si="74"/>
        <v>46238</v>
      </c>
    </row>
    <row r="4801" spans="1:5" x14ac:dyDescent="0.25">
      <c r="A4801" s="2">
        <f>IF(B4801="","",SUBTOTAL(3,$B$2:B4801))</f>
        <v>4800</v>
      </c>
      <c r="B4801" s="9" t="s">
        <v>50</v>
      </c>
      <c r="C4801" s="10" t="s">
        <v>49</v>
      </c>
      <c r="D4801" s="11">
        <v>44.091710758377424</v>
      </c>
      <c r="E4801" s="12">
        <f t="shared" si="74"/>
        <v>46239</v>
      </c>
    </row>
    <row r="4802" spans="1:5" x14ac:dyDescent="0.25">
      <c r="A4802" s="2">
        <f>IF(B4802="","",SUBTOTAL(3,$B$2:B4802))</f>
        <v>4801</v>
      </c>
      <c r="B4802" s="9" t="s">
        <v>51</v>
      </c>
      <c r="C4802" s="10" t="s">
        <v>49</v>
      </c>
      <c r="D4802" s="11">
        <v>158.84782378481412</v>
      </c>
      <c r="E4802" s="12">
        <f t="shared" si="74"/>
        <v>46240</v>
      </c>
    </row>
    <row r="4803" spans="1:5" x14ac:dyDescent="0.25">
      <c r="A4803" s="2">
        <f>IF(B4803="","",SUBTOTAL(3,$B$2:B4803))</f>
        <v>4802</v>
      </c>
      <c r="B4803" s="9" t="s">
        <v>51</v>
      </c>
      <c r="C4803" s="10" t="s">
        <v>49</v>
      </c>
      <c r="D4803" s="11">
        <v>52.949274594938046</v>
      </c>
      <c r="E4803" s="12">
        <f t="shared" si="74"/>
        <v>46241</v>
      </c>
    </row>
    <row r="4804" spans="1:5" x14ac:dyDescent="0.25">
      <c r="A4804" s="2">
        <f>IF(B4804="","",SUBTOTAL(3,$B$2:B4804))</f>
        <v>4803</v>
      </c>
      <c r="B4804" s="9" t="s">
        <v>51</v>
      </c>
      <c r="C4804" s="10" t="s">
        <v>54</v>
      </c>
      <c r="D4804" s="11">
        <v>21.179709837975221</v>
      </c>
      <c r="E4804" s="12">
        <f t="shared" ref="E4804:E4867" si="75">E4803+1</f>
        <v>46242</v>
      </c>
    </row>
    <row r="4805" spans="1:5" x14ac:dyDescent="0.25">
      <c r="A4805" s="2">
        <f>IF(B4805="","",SUBTOTAL(3,$B$2:B4805))</f>
        <v>4804</v>
      </c>
      <c r="B4805" s="9" t="s">
        <v>51</v>
      </c>
      <c r="C4805" s="10" t="s">
        <v>52</v>
      </c>
      <c r="D4805" s="11">
        <v>52.949274594938046</v>
      </c>
      <c r="E4805" s="12">
        <f t="shared" si="75"/>
        <v>46243</v>
      </c>
    </row>
    <row r="4806" spans="1:5" x14ac:dyDescent="0.25">
      <c r="A4806" s="2">
        <f>IF(B4806="","",SUBTOTAL(3,$B$2:B4806))</f>
        <v>4805</v>
      </c>
      <c r="B4806" s="9" t="s">
        <v>51</v>
      </c>
      <c r="C4806" s="10" t="s">
        <v>52</v>
      </c>
      <c r="D4806" s="11">
        <v>105.89854918987609</v>
      </c>
      <c r="E4806" s="12">
        <f t="shared" si="75"/>
        <v>46244</v>
      </c>
    </row>
    <row r="4807" spans="1:5" x14ac:dyDescent="0.25">
      <c r="A4807" s="2">
        <f>IF(B4807="","",SUBTOTAL(3,$B$2:B4807))</f>
        <v>4806</v>
      </c>
      <c r="B4807" s="9" t="s">
        <v>51</v>
      </c>
      <c r="C4807" s="10" t="s">
        <v>52</v>
      </c>
      <c r="D4807" s="11">
        <v>8.4718839351900872</v>
      </c>
      <c r="E4807" s="12">
        <f t="shared" si="75"/>
        <v>46245</v>
      </c>
    </row>
    <row r="4808" spans="1:5" x14ac:dyDescent="0.25">
      <c r="A4808" s="2">
        <f>IF(B4808="","",SUBTOTAL(3,$B$2:B4808))</f>
        <v>4807</v>
      </c>
      <c r="B4808" s="9" t="s">
        <v>51</v>
      </c>
      <c r="C4808" s="10" t="s">
        <v>52</v>
      </c>
      <c r="D4808" s="11">
        <v>254.15651805570261</v>
      </c>
      <c r="E4808" s="12">
        <f t="shared" si="75"/>
        <v>46246</v>
      </c>
    </row>
    <row r="4809" spans="1:5" x14ac:dyDescent="0.25">
      <c r="A4809" s="2">
        <f>IF(B4809="","",SUBTOTAL(3,$B$2:B4809))</f>
        <v>4808</v>
      </c>
      <c r="B4809" s="9" t="s">
        <v>50</v>
      </c>
      <c r="C4809" s="10" t="s">
        <v>49</v>
      </c>
      <c r="D4809" s="11">
        <v>1763.6684303350971</v>
      </c>
      <c r="E4809" s="12">
        <f t="shared" si="75"/>
        <v>46247</v>
      </c>
    </row>
    <row r="4810" spans="1:5" x14ac:dyDescent="0.25">
      <c r="A4810" s="2">
        <f>IF(B4810="","",SUBTOTAL(3,$B$2:B4810))</f>
        <v>4809</v>
      </c>
      <c r="B4810" s="9" t="s">
        <v>50</v>
      </c>
      <c r="C4810" s="10" t="s">
        <v>49</v>
      </c>
      <c r="D4810" s="11">
        <v>881.83421516754856</v>
      </c>
      <c r="E4810" s="12">
        <f t="shared" si="75"/>
        <v>46248</v>
      </c>
    </row>
    <row r="4811" spans="1:5" x14ac:dyDescent="0.25">
      <c r="A4811" s="2">
        <f>IF(B4811="","",SUBTOTAL(3,$B$2:B4811))</f>
        <v>4810</v>
      </c>
      <c r="B4811" s="9" t="s">
        <v>51</v>
      </c>
      <c r="C4811" s="10" t="s">
        <v>57</v>
      </c>
      <c r="D4811" s="11">
        <v>211.79709837975219</v>
      </c>
      <c r="E4811" s="12">
        <f t="shared" si="75"/>
        <v>46249</v>
      </c>
    </row>
    <row r="4812" spans="1:5" x14ac:dyDescent="0.25">
      <c r="A4812" s="2">
        <f>IF(B4812="","",SUBTOTAL(3,$B$2:B4812))</f>
        <v>4811</v>
      </c>
      <c r="B4812" s="9" t="s">
        <v>50</v>
      </c>
      <c r="C4812" s="10" t="s">
        <v>52</v>
      </c>
      <c r="D4812" s="11">
        <v>55.114638447971785</v>
      </c>
      <c r="E4812" s="12">
        <f t="shared" si="75"/>
        <v>46250</v>
      </c>
    </row>
    <row r="4813" spans="1:5" x14ac:dyDescent="0.25">
      <c r="A4813" s="2">
        <f>IF(B4813="","",SUBTOTAL(3,$B$2:B4813))</f>
        <v>4812</v>
      </c>
      <c r="B4813" s="9" t="s">
        <v>50</v>
      </c>
      <c r="C4813" s="10" t="s">
        <v>52</v>
      </c>
      <c r="D4813" s="11">
        <v>33.06878306878307</v>
      </c>
      <c r="E4813" s="12">
        <f t="shared" si="75"/>
        <v>46251</v>
      </c>
    </row>
    <row r="4814" spans="1:5" x14ac:dyDescent="0.25">
      <c r="A4814" s="2">
        <f>IF(B4814="","",SUBTOTAL(3,$B$2:B4814))</f>
        <v>4813</v>
      </c>
      <c r="B4814" s="9" t="s">
        <v>50</v>
      </c>
      <c r="C4814" s="10" t="s">
        <v>52</v>
      </c>
      <c r="D4814" s="11">
        <v>44.091710758377424</v>
      </c>
      <c r="E4814" s="12">
        <f t="shared" si="75"/>
        <v>46252</v>
      </c>
    </row>
    <row r="4815" spans="1:5" x14ac:dyDescent="0.25">
      <c r="A4815" s="2">
        <f>IF(B4815="","",SUBTOTAL(3,$B$2:B4815))</f>
        <v>4814</v>
      </c>
      <c r="B4815" s="9" t="s">
        <v>55</v>
      </c>
      <c r="C4815" s="10" t="s">
        <v>56</v>
      </c>
      <c r="D4815" s="11">
        <v>400</v>
      </c>
      <c r="E4815" s="12">
        <f t="shared" si="75"/>
        <v>46253</v>
      </c>
    </row>
    <row r="4816" spans="1:5" x14ac:dyDescent="0.25">
      <c r="A4816" s="2">
        <f>IF(B4816="","",SUBTOTAL(3,$B$2:B4816))</f>
        <v>4815</v>
      </c>
      <c r="B4816" s="9" t="s">
        <v>48</v>
      </c>
      <c r="C4816" s="10" t="s">
        <v>49</v>
      </c>
      <c r="D4816" s="11">
        <v>46.210720887245841</v>
      </c>
      <c r="E4816" s="12">
        <f t="shared" si="75"/>
        <v>46254</v>
      </c>
    </row>
    <row r="4817" spans="1:5" x14ac:dyDescent="0.25">
      <c r="A4817" s="2">
        <f>IF(B4817="","",SUBTOTAL(3,$B$2:B4817))</f>
        <v>4816</v>
      </c>
      <c r="B4817" s="9" t="s">
        <v>53</v>
      </c>
      <c r="C4817" s="10" t="s">
        <v>49</v>
      </c>
      <c r="D4817" s="11">
        <v>13.737899200454269</v>
      </c>
      <c r="E4817" s="12">
        <f t="shared" si="75"/>
        <v>46255</v>
      </c>
    </row>
    <row r="4818" spans="1:5" x14ac:dyDescent="0.25">
      <c r="A4818" s="2">
        <f>IF(B4818="","",SUBTOTAL(3,$B$2:B4818))</f>
        <v>4817</v>
      </c>
      <c r="B4818" s="9" t="s">
        <v>53</v>
      </c>
      <c r="C4818" s="10" t="s">
        <v>54</v>
      </c>
      <c r="D4818" s="11">
        <v>54.951596801817075</v>
      </c>
      <c r="E4818" s="12">
        <f t="shared" si="75"/>
        <v>46256</v>
      </c>
    </row>
    <row r="4819" spans="1:5" x14ac:dyDescent="0.25">
      <c r="A4819" s="2">
        <f>IF(B4819="","",SUBTOTAL(3,$B$2:B4819))</f>
        <v>4818</v>
      </c>
      <c r="B4819" s="9" t="s">
        <v>50</v>
      </c>
      <c r="C4819" s="10" t="s">
        <v>49</v>
      </c>
      <c r="D4819" s="11">
        <v>295.30423280423281</v>
      </c>
      <c r="E4819" s="12">
        <f t="shared" si="75"/>
        <v>46257</v>
      </c>
    </row>
    <row r="4820" spans="1:5" x14ac:dyDescent="0.25">
      <c r="A4820" s="2">
        <f>IF(B4820="","",SUBTOTAL(3,$B$2:B4820))</f>
        <v>4819</v>
      </c>
      <c r="B4820" s="9" t="s">
        <v>55</v>
      </c>
      <c r="C4820" s="10" t="s">
        <v>52</v>
      </c>
      <c r="D4820" s="11">
        <v>26.071370376405412</v>
      </c>
      <c r="E4820" s="12">
        <f t="shared" si="75"/>
        <v>46258</v>
      </c>
    </row>
    <row r="4821" spans="1:5" x14ac:dyDescent="0.25">
      <c r="A4821" s="2">
        <f>IF(B4821="","",SUBTOTAL(3,$B$2:B4821))</f>
        <v>4820</v>
      </c>
      <c r="B4821" s="9" t="s">
        <v>55</v>
      </c>
      <c r="C4821" s="10" t="s">
        <v>52</v>
      </c>
      <c r="D4821" s="11">
        <v>918.82207010612387</v>
      </c>
      <c r="E4821" s="12">
        <f t="shared" si="75"/>
        <v>46259</v>
      </c>
    </row>
    <row r="4822" spans="1:5" x14ac:dyDescent="0.25">
      <c r="A4822" s="2">
        <f>IF(B4822="","",SUBTOTAL(3,$B$2:B4822))</f>
        <v>4821</v>
      </c>
      <c r="B4822" s="9" t="s">
        <v>48</v>
      </c>
      <c r="C4822" s="10" t="s">
        <v>49</v>
      </c>
      <c r="D4822" s="11">
        <v>122.96994847943675</v>
      </c>
      <c r="E4822" s="12">
        <f t="shared" si="75"/>
        <v>46260</v>
      </c>
    </row>
    <row r="4823" spans="1:5" x14ac:dyDescent="0.25">
      <c r="A4823" s="2">
        <f>IF(B4823="","",SUBTOTAL(3,$B$2:B4823))</f>
        <v>4822</v>
      </c>
      <c r="B4823" s="9" t="s">
        <v>48</v>
      </c>
      <c r="C4823" s="10" t="s">
        <v>49</v>
      </c>
      <c r="D4823" s="11">
        <v>154.03573629081947</v>
      </c>
      <c r="E4823" s="12">
        <f t="shared" si="75"/>
        <v>46261</v>
      </c>
    </row>
    <row r="4824" spans="1:5" x14ac:dyDescent="0.25">
      <c r="A4824" s="2">
        <f>IF(B4824="","",SUBTOTAL(3,$B$2:B4824))</f>
        <v>4823</v>
      </c>
      <c r="B4824" s="9" t="s">
        <v>48</v>
      </c>
      <c r="C4824" s="10" t="s">
        <v>54</v>
      </c>
      <c r="D4824" s="11">
        <v>89.340727048675291</v>
      </c>
      <c r="E4824" s="12">
        <f t="shared" si="75"/>
        <v>46262</v>
      </c>
    </row>
    <row r="4825" spans="1:5" x14ac:dyDescent="0.25">
      <c r="A4825" s="2">
        <f>IF(B4825="","",SUBTOTAL(3,$B$2:B4825))</f>
        <v>4824</v>
      </c>
      <c r="B4825" s="9" t="s">
        <v>48</v>
      </c>
      <c r="C4825" s="10" t="s">
        <v>49</v>
      </c>
      <c r="D4825" s="11">
        <v>27.576697690451567</v>
      </c>
      <c r="E4825" s="12">
        <f t="shared" si="75"/>
        <v>46263</v>
      </c>
    </row>
    <row r="4826" spans="1:5" x14ac:dyDescent="0.25">
      <c r="A4826" s="2">
        <f>IF(B4826="","",SUBTOTAL(3,$B$2:B4826))</f>
        <v>4825</v>
      </c>
      <c r="B4826" s="9" t="s">
        <v>48</v>
      </c>
      <c r="C4826" s="10" t="s">
        <v>49</v>
      </c>
      <c r="D4826" s="11">
        <v>34.470872113064452</v>
      </c>
      <c r="E4826" s="12">
        <f t="shared" si="75"/>
        <v>46264</v>
      </c>
    </row>
    <row r="4827" spans="1:5" x14ac:dyDescent="0.25">
      <c r="A4827" s="2">
        <f>IF(B4827="","",SUBTOTAL(3,$B$2:B4827))</f>
        <v>4826</v>
      </c>
      <c r="B4827" s="9" t="s">
        <v>48</v>
      </c>
      <c r="C4827" s="10" t="s">
        <v>56</v>
      </c>
      <c r="D4827" s="11">
        <v>27.576697690451567</v>
      </c>
      <c r="E4827" s="12">
        <f t="shared" si="75"/>
        <v>46265</v>
      </c>
    </row>
    <row r="4828" spans="1:5" x14ac:dyDescent="0.25">
      <c r="A4828" s="2">
        <f>IF(B4828="","",SUBTOTAL(3,$B$2:B4828))</f>
        <v>4827</v>
      </c>
      <c r="B4828" s="9" t="s">
        <v>48</v>
      </c>
      <c r="C4828" s="10" t="s">
        <v>49</v>
      </c>
      <c r="D4828" s="11">
        <v>8.617718028266113</v>
      </c>
      <c r="E4828" s="12">
        <f t="shared" si="75"/>
        <v>46266</v>
      </c>
    </row>
    <row r="4829" spans="1:5" x14ac:dyDescent="0.25">
      <c r="A4829" s="2">
        <f>IF(B4829="","",SUBTOTAL(3,$B$2:B4829))</f>
        <v>4828</v>
      </c>
      <c r="B4829" s="9" t="s">
        <v>50</v>
      </c>
      <c r="C4829" s="10" t="s">
        <v>49</v>
      </c>
      <c r="D4829" s="11">
        <v>55.114638447971785</v>
      </c>
      <c r="E4829" s="12">
        <f t="shared" si="75"/>
        <v>46267</v>
      </c>
    </row>
    <row r="4830" spans="1:5" x14ac:dyDescent="0.25">
      <c r="A4830" s="2">
        <f>IF(B4830="","",SUBTOTAL(3,$B$2:B4830))</f>
        <v>4829</v>
      </c>
      <c r="B4830" s="9" t="s">
        <v>51</v>
      </c>
      <c r="C4830" s="10" t="s">
        <v>52</v>
      </c>
      <c r="D4830" s="11">
        <v>105.89854918987609</v>
      </c>
      <c r="E4830" s="12">
        <f t="shared" si="75"/>
        <v>46268</v>
      </c>
    </row>
    <row r="4831" spans="1:5" x14ac:dyDescent="0.25">
      <c r="A4831" s="2">
        <f>IF(B4831="","",SUBTOTAL(3,$B$2:B4831))</f>
        <v>4830</v>
      </c>
      <c r="B4831" s="9" t="s">
        <v>51</v>
      </c>
      <c r="C4831" s="10" t="s">
        <v>56</v>
      </c>
      <c r="D4831" s="11">
        <v>741.28984432913273</v>
      </c>
      <c r="E4831" s="12">
        <f t="shared" si="75"/>
        <v>46269</v>
      </c>
    </row>
    <row r="4832" spans="1:5" x14ac:dyDescent="0.25">
      <c r="A4832" s="2">
        <f>IF(B4832="","",SUBTOTAL(3,$B$2:B4832))</f>
        <v>4831</v>
      </c>
      <c r="B4832" s="9" t="s">
        <v>51</v>
      </c>
      <c r="C4832" s="10" t="s">
        <v>54</v>
      </c>
      <c r="D4832" s="11">
        <v>211.79709837975219</v>
      </c>
      <c r="E4832" s="12">
        <f t="shared" si="75"/>
        <v>46270</v>
      </c>
    </row>
    <row r="4833" spans="1:5" x14ac:dyDescent="0.25">
      <c r="A4833" s="2">
        <f>IF(B4833="","",SUBTOTAL(3,$B$2:B4833))</f>
        <v>4832</v>
      </c>
      <c r="B4833" s="9" t="s">
        <v>48</v>
      </c>
      <c r="C4833" s="10" t="s">
        <v>49</v>
      </c>
      <c r="D4833" s="11">
        <v>30.807147258163894</v>
      </c>
      <c r="E4833" s="12">
        <f t="shared" si="75"/>
        <v>46271</v>
      </c>
    </row>
    <row r="4834" spans="1:5" x14ac:dyDescent="0.25">
      <c r="A4834" s="2">
        <f>IF(B4834="","",SUBTOTAL(3,$B$2:B4834))</f>
        <v>4833</v>
      </c>
      <c r="B4834" s="9" t="s">
        <v>48</v>
      </c>
      <c r="C4834" s="10" t="s">
        <v>54</v>
      </c>
      <c r="D4834" s="11">
        <v>123.22858903265558</v>
      </c>
      <c r="E4834" s="12">
        <f t="shared" si="75"/>
        <v>46272</v>
      </c>
    </row>
    <row r="4835" spans="1:5" x14ac:dyDescent="0.25">
      <c r="A4835" s="2">
        <f>IF(B4835="","",SUBTOTAL(3,$B$2:B4835))</f>
        <v>4834</v>
      </c>
      <c r="B4835" s="9" t="s">
        <v>48</v>
      </c>
      <c r="C4835" s="10" t="s">
        <v>52</v>
      </c>
      <c r="D4835" s="11">
        <v>308.07147258163894</v>
      </c>
      <c r="E4835" s="12">
        <f t="shared" si="75"/>
        <v>46273</v>
      </c>
    </row>
    <row r="4836" spans="1:5" x14ac:dyDescent="0.25">
      <c r="A4836" s="2">
        <f>IF(B4836="","",SUBTOTAL(3,$B$2:B4836))</f>
        <v>4835</v>
      </c>
      <c r="B4836" s="9" t="s">
        <v>48</v>
      </c>
      <c r="C4836" s="10" t="s">
        <v>52</v>
      </c>
      <c r="D4836" s="11">
        <v>15.403573629081947</v>
      </c>
      <c r="E4836" s="12">
        <f t="shared" si="75"/>
        <v>46274</v>
      </c>
    </row>
    <row r="4837" spans="1:5" x14ac:dyDescent="0.25">
      <c r="A4837" s="2">
        <f>IF(B4837="","",SUBTOTAL(3,$B$2:B4837))</f>
        <v>4836</v>
      </c>
      <c r="B4837" s="9" t="s">
        <v>48</v>
      </c>
      <c r="C4837" s="10" t="s">
        <v>52</v>
      </c>
      <c r="D4837" s="11">
        <v>924.21441774491689</v>
      </c>
      <c r="E4837" s="12">
        <f t="shared" si="75"/>
        <v>46275</v>
      </c>
    </row>
    <row r="4838" spans="1:5" x14ac:dyDescent="0.25">
      <c r="A4838" s="2">
        <f>IF(B4838="","",SUBTOTAL(3,$B$2:B4838))</f>
        <v>4837</v>
      </c>
      <c r="B4838" s="9" t="s">
        <v>48</v>
      </c>
      <c r="C4838" s="10" t="s">
        <v>52</v>
      </c>
      <c r="D4838" s="11">
        <v>308.07147258163894</v>
      </c>
      <c r="E4838" s="12">
        <f t="shared" si="75"/>
        <v>46276</v>
      </c>
    </row>
    <row r="4839" spans="1:5" x14ac:dyDescent="0.25">
      <c r="A4839" s="2">
        <f>IF(B4839="","",SUBTOTAL(3,$B$2:B4839))</f>
        <v>4838</v>
      </c>
      <c r="B4839" s="9" t="s">
        <v>48</v>
      </c>
      <c r="C4839" s="10" t="s">
        <v>52</v>
      </c>
      <c r="D4839" s="11">
        <v>924.21441774491689</v>
      </c>
      <c r="E4839" s="12">
        <f t="shared" si="75"/>
        <v>46277</v>
      </c>
    </row>
    <row r="4840" spans="1:5" x14ac:dyDescent="0.25">
      <c r="A4840" s="2">
        <f>IF(B4840="","",SUBTOTAL(3,$B$2:B4840))</f>
        <v>4839</v>
      </c>
      <c r="B4840" s="9" t="s">
        <v>48</v>
      </c>
      <c r="C4840" s="10" t="s">
        <v>52</v>
      </c>
      <c r="D4840" s="11">
        <v>462.10720887245844</v>
      </c>
      <c r="E4840" s="12">
        <f t="shared" si="75"/>
        <v>46278</v>
      </c>
    </row>
    <row r="4841" spans="1:5" x14ac:dyDescent="0.25">
      <c r="A4841" s="2">
        <f>IF(B4841="","",SUBTOTAL(3,$B$2:B4841))</f>
        <v>4840</v>
      </c>
      <c r="B4841" s="9" t="s">
        <v>48</v>
      </c>
      <c r="C4841" s="10" t="s">
        <v>54</v>
      </c>
      <c r="D4841" s="11">
        <v>30.807147258163894</v>
      </c>
      <c r="E4841" s="12">
        <f t="shared" si="75"/>
        <v>46279</v>
      </c>
    </row>
    <row r="4842" spans="1:5" x14ac:dyDescent="0.25">
      <c r="A4842" s="2">
        <f>IF(B4842="","",SUBTOTAL(3,$B$2:B4842))</f>
        <v>4841</v>
      </c>
      <c r="B4842" s="9" t="s">
        <v>48</v>
      </c>
      <c r="C4842" s="10" t="s">
        <v>52</v>
      </c>
      <c r="D4842" s="11">
        <v>462.10720887245844</v>
      </c>
      <c r="E4842" s="12">
        <f t="shared" si="75"/>
        <v>46280</v>
      </c>
    </row>
    <row r="4843" spans="1:5" x14ac:dyDescent="0.25">
      <c r="A4843" s="2">
        <f>IF(B4843="","",SUBTOTAL(3,$B$2:B4843))</f>
        <v>4842</v>
      </c>
      <c r="B4843" s="9" t="s">
        <v>48</v>
      </c>
      <c r="C4843" s="10" t="s">
        <v>49</v>
      </c>
      <c r="D4843" s="11">
        <v>46.210720887245841</v>
      </c>
      <c r="E4843" s="12">
        <f t="shared" si="75"/>
        <v>46281</v>
      </c>
    </row>
    <row r="4844" spans="1:5" x14ac:dyDescent="0.25">
      <c r="A4844" s="2">
        <f>IF(B4844="","",SUBTOTAL(3,$B$2:B4844))</f>
        <v>4843</v>
      </c>
      <c r="B4844" s="9" t="s">
        <v>48</v>
      </c>
      <c r="C4844" s="10" t="s">
        <v>49</v>
      </c>
      <c r="D4844" s="11">
        <v>77.017868145409736</v>
      </c>
      <c r="E4844" s="12">
        <f t="shared" si="75"/>
        <v>46282</v>
      </c>
    </row>
    <row r="4845" spans="1:5" x14ac:dyDescent="0.25">
      <c r="A4845" s="2">
        <f>IF(B4845="","",SUBTOTAL(3,$B$2:B4845))</f>
        <v>4844</v>
      </c>
      <c r="B4845" s="9" t="s">
        <v>48</v>
      </c>
      <c r="C4845" s="10" t="s">
        <v>52</v>
      </c>
      <c r="D4845" s="11">
        <v>462.10720887245844</v>
      </c>
      <c r="E4845" s="12">
        <f t="shared" si="75"/>
        <v>46283</v>
      </c>
    </row>
    <row r="4846" spans="1:5" x14ac:dyDescent="0.25">
      <c r="A4846" s="2">
        <f>IF(B4846="","",SUBTOTAL(3,$B$2:B4846))</f>
        <v>4845</v>
      </c>
      <c r="B4846" s="9" t="s">
        <v>48</v>
      </c>
      <c r="C4846" s="10" t="s">
        <v>52</v>
      </c>
      <c r="D4846" s="11">
        <v>1.5403573629081945E-4</v>
      </c>
      <c r="E4846" s="12">
        <f t="shared" si="75"/>
        <v>46284</v>
      </c>
    </row>
    <row r="4847" spans="1:5" x14ac:dyDescent="0.25">
      <c r="A4847" s="2">
        <f>IF(B4847="","",SUBTOTAL(3,$B$2:B4847))</f>
        <v>4846</v>
      </c>
      <c r="B4847" s="9" t="s">
        <v>48</v>
      </c>
      <c r="C4847" s="10" t="s">
        <v>49</v>
      </c>
      <c r="D4847" s="11">
        <v>46.210720887245841</v>
      </c>
      <c r="E4847" s="12">
        <f t="shared" si="75"/>
        <v>46285</v>
      </c>
    </row>
    <row r="4848" spans="1:5" x14ac:dyDescent="0.25">
      <c r="A4848" s="2">
        <f>IF(B4848="","",SUBTOTAL(3,$B$2:B4848))</f>
        <v>4847</v>
      </c>
      <c r="B4848" s="9" t="s">
        <v>48</v>
      </c>
      <c r="C4848" s="10" t="s">
        <v>49</v>
      </c>
      <c r="D4848" s="11">
        <v>61.614294516327789</v>
      </c>
      <c r="E4848" s="12">
        <f t="shared" si="75"/>
        <v>46286</v>
      </c>
    </row>
    <row r="4849" spans="1:5" x14ac:dyDescent="0.25">
      <c r="A4849" s="2">
        <f>IF(B4849="","",SUBTOTAL(3,$B$2:B4849))</f>
        <v>4848</v>
      </c>
      <c r="B4849" s="9" t="s">
        <v>48</v>
      </c>
      <c r="C4849" s="10" t="s">
        <v>49</v>
      </c>
      <c r="D4849" s="11">
        <v>61.614294516327789</v>
      </c>
      <c r="E4849" s="12">
        <f t="shared" si="75"/>
        <v>46287</v>
      </c>
    </row>
    <row r="4850" spans="1:5" x14ac:dyDescent="0.25">
      <c r="A4850" s="2">
        <f>IF(B4850="","",SUBTOTAL(3,$B$2:B4850))</f>
        <v>4849</v>
      </c>
      <c r="B4850" s="9" t="s">
        <v>48</v>
      </c>
      <c r="C4850" s="10" t="s">
        <v>54</v>
      </c>
      <c r="D4850" s="11">
        <v>61.614294516327789</v>
      </c>
      <c r="E4850" s="12">
        <f t="shared" si="75"/>
        <v>46288</v>
      </c>
    </row>
    <row r="4851" spans="1:5" x14ac:dyDescent="0.25">
      <c r="A4851" s="2">
        <f>IF(B4851="","",SUBTOTAL(3,$B$2:B4851))</f>
        <v>4850</v>
      </c>
      <c r="B4851" s="9" t="s">
        <v>48</v>
      </c>
      <c r="C4851" s="10" t="s">
        <v>54</v>
      </c>
      <c r="D4851" s="11">
        <v>61.614294516327789</v>
      </c>
      <c r="E4851" s="12">
        <f t="shared" si="75"/>
        <v>46289</v>
      </c>
    </row>
    <row r="4852" spans="1:5" x14ac:dyDescent="0.25">
      <c r="A4852" s="2">
        <f>IF(B4852="","",SUBTOTAL(3,$B$2:B4852))</f>
        <v>4851</v>
      </c>
      <c r="B4852" s="9" t="s">
        <v>48</v>
      </c>
      <c r="C4852" s="10" t="s">
        <v>49</v>
      </c>
      <c r="D4852" s="11">
        <v>61.614294516327789</v>
      </c>
      <c r="E4852" s="12">
        <f t="shared" si="75"/>
        <v>46290</v>
      </c>
    </row>
    <row r="4853" spans="1:5" x14ac:dyDescent="0.25">
      <c r="A4853" s="2">
        <f>IF(B4853="","",SUBTOTAL(3,$B$2:B4853))</f>
        <v>4852</v>
      </c>
      <c r="B4853" s="9" t="s">
        <v>48</v>
      </c>
      <c r="C4853" s="10" t="s">
        <v>49</v>
      </c>
      <c r="D4853" s="11">
        <v>61.614294516327789</v>
      </c>
      <c r="E4853" s="12">
        <f t="shared" si="75"/>
        <v>46291</v>
      </c>
    </row>
    <row r="4854" spans="1:5" x14ac:dyDescent="0.25">
      <c r="A4854" s="2">
        <f>IF(B4854="","",SUBTOTAL(3,$B$2:B4854))</f>
        <v>4853</v>
      </c>
      <c r="B4854" s="9" t="s">
        <v>48</v>
      </c>
      <c r="C4854" s="10" t="s">
        <v>49</v>
      </c>
      <c r="D4854" s="11">
        <v>61.614294516327789</v>
      </c>
      <c r="E4854" s="12">
        <f t="shared" si="75"/>
        <v>46292</v>
      </c>
    </row>
    <row r="4855" spans="1:5" x14ac:dyDescent="0.25">
      <c r="A4855" s="2">
        <f>IF(B4855="","",SUBTOTAL(3,$B$2:B4855))</f>
        <v>4854</v>
      </c>
      <c r="B4855" s="9" t="s">
        <v>48</v>
      </c>
      <c r="C4855" s="10" t="s">
        <v>49</v>
      </c>
      <c r="D4855" s="11">
        <v>46.210720887245841</v>
      </c>
      <c r="E4855" s="12">
        <f t="shared" si="75"/>
        <v>46293</v>
      </c>
    </row>
    <row r="4856" spans="1:5" x14ac:dyDescent="0.25">
      <c r="A4856" s="2">
        <f>IF(B4856="","",SUBTOTAL(3,$B$2:B4856))</f>
        <v>4855</v>
      </c>
      <c r="B4856" s="9" t="s">
        <v>48</v>
      </c>
      <c r="C4856" s="10" t="s">
        <v>49</v>
      </c>
      <c r="D4856" s="11">
        <v>61.614294516327789</v>
      </c>
      <c r="E4856" s="12">
        <f t="shared" si="75"/>
        <v>46294</v>
      </c>
    </row>
    <row r="4857" spans="1:5" x14ac:dyDescent="0.25">
      <c r="A4857" s="2">
        <f>IF(B4857="","",SUBTOTAL(3,$B$2:B4857))</f>
        <v>4856</v>
      </c>
      <c r="B4857" s="9" t="s">
        <v>48</v>
      </c>
      <c r="C4857" s="10" t="s">
        <v>49</v>
      </c>
      <c r="D4857" s="11">
        <v>46.210720887245841</v>
      </c>
      <c r="E4857" s="12">
        <f t="shared" si="75"/>
        <v>46295</v>
      </c>
    </row>
    <row r="4858" spans="1:5" x14ac:dyDescent="0.25">
      <c r="A4858" s="2">
        <f>IF(B4858="","",SUBTOTAL(3,$B$2:B4858))</f>
        <v>4857</v>
      </c>
      <c r="B4858" s="9" t="s">
        <v>48</v>
      </c>
      <c r="C4858" s="10" t="s">
        <v>49</v>
      </c>
      <c r="D4858" s="11">
        <v>0.61614294516327783</v>
      </c>
      <c r="E4858" s="12">
        <f t="shared" si="75"/>
        <v>46296</v>
      </c>
    </row>
    <row r="4859" spans="1:5" x14ac:dyDescent="0.25">
      <c r="A4859" s="2">
        <f>IF(B4859="","",SUBTOTAL(3,$B$2:B4859))</f>
        <v>4858</v>
      </c>
      <c r="B4859" s="9" t="s">
        <v>48</v>
      </c>
      <c r="C4859" s="10" t="s">
        <v>49</v>
      </c>
      <c r="D4859" s="11">
        <v>0.61614294516327783</v>
      </c>
      <c r="E4859" s="12">
        <f t="shared" si="75"/>
        <v>46297</v>
      </c>
    </row>
    <row r="4860" spans="1:5" x14ac:dyDescent="0.25">
      <c r="A4860" s="2">
        <f>IF(B4860="","",SUBTOTAL(3,$B$2:B4860))</f>
        <v>4859</v>
      </c>
      <c r="B4860" s="9" t="s">
        <v>48</v>
      </c>
      <c r="C4860" s="10" t="s">
        <v>52</v>
      </c>
      <c r="D4860" s="11">
        <v>77.017868145409736</v>
      </c>
      <c r="E4860" s="12">
        <f t="shared" si="75"/>
        <v>46298</v>
      </c>
    </row>
    <row r="4861" spans="1:5" x14ac:dyDescent="0.25">
      <c r="A4861" s="2">
        <f>IF(B4861="","",SUBTOTAL(3,$B$2:B4861))</f>
        <v>4860</v>
      </c>
      <c r="B4861" s="9" t="s">
        <v>48</v>
      </c>
      <c r="C4861" s="10" t="s">
        <v>56</v>
      </c>
      <c r="D4861" s="11">
        <v>31.023784901758013</v>
      </c>
      <c r="E4861" s="12">
        <f t="shared" si="75"/>
        <v>46299</v>
      </c>
    </row>
    <row r="4862" spans="1:5" x14ac:dyDescent="0.25">
      <c r="A4862" s="2">
        <f>IF(B4862="","",SUBTOTAL(3,$B$2:B4862))</f>
        <v>4861</v>
      </c>
      <c r="B4862" s="9" t="s">
        <v>48</v>
      </c>
      <c r="C4862" s="10" t="s">
        <v>49</v>
      </c>
      <c r="D4862" s="11">
        <v>2.5853154084798344</v>
      </c>
      <c r="E4862" s="12">
        <f t="shared" si="75"/>
        <v>46300</v>
      </c>
    </row>
    <row r="4863" spans="1:5" x14ac:dyDescent="0.25">
      <c r="A4863" s="2">
        <f>IF(B4863="","",SUBTOTAL(3,$B$2:B4863))</f>
        <v>4862</v>
      </c>
      <c r="B4863" s="9" t="s">
        <v>48</v>
      </c>
      <c r="C4863" s="10" t="s">
        <v>49</v>
      </c>
      <c r="D4863" s="11">
        <v>34.470872113064452</v>
      </c>
      <c r="E4863" s="12">
        <f t="shared" si="75"/>
        <v>46301</v>
      </c>
    </row>
    <row r="4864" spans="1:5" x14ac:dyDescent="0.25">
      <c r="A4864" s="2">
        <f>IF(B4864="","",SUBTOTAL(3,$B$2:B4864))</f>
        <v>4863</v>
      </c>
      <c r="B4864" s="9" t="s">
        <v>48</v>
      </c>
      <c r="C4864" s="10" t="s">
        <v>49</v>
      </c>
      <c r="D4864" s="11">
        <v>9.6518441916580482</v>
      </c>
      <c r="E4864" s="12">
        <f t="shared" si="75"/>
        <v>46302</v>
      </c>
    </row>
    <row r="4865" spans="1:5" x14ac:dyDescent="0.25">
      <c r="A4865" s="2">
        <f>IF(B4865="","",SUBTOTAL(3,$B$2:B4865))</f>
        <v>4864</v>
      </c>
      <c r="B4865" s="9" t="s">
        <v>48</v>
      </c>
      <c r="C4865" s="10" t="s">
        <v>57</v>
      </c>
      <c r="D4865" s="11">
        <v>2.6393689052201506</v>
      </c>
      <c r="E4865" s="12">
        <f t="shared" si="75"/>
        <v>46303</v>
      </c>
    </row>
    <row r="4866" spans="1:5" x14ac:dyDescent="0.25">
      <c r="A4866" s="2">
        <f>IF(B4866="","",SUBTOTAL(3,$B$2:B4866))</f>
        <v>4865</v>
      </c>
      <c r="B4866" s="9" t="s">
        <v>48</v>
      </c>
      <c r="C4866" s="10" t="s">
        <v>52</v>
      </c>
      <c r="D4866" s="11">
        <v>38.508934072704868</v>
      </c>
      <c r="E4866" s="12">
        <f t="shared" si="75"/>
        <v>46304</v>
      </c>
    </row>
    <row r="4867" spans="1:5" x14ac:dyDescent="0.25">
      <c r="A4867" s="2">
        <f>IF(B4867="","",SUBTOTAL(3,$B$2:B4867))</f>
        <v>4866</v>
      </c>
      <c r="B4867" s="9" t="s">
        <v>48</v>
      </c>
      <c r="C4867" s="10" t="s">
        <v>49</v>
      </c>
      <c r="D4867" s="11">
        <v>308.07147258163894</v>
      </c>
      <c r="E4867" s="12">
        <f t="shared" si="75"/>
        <v>46305</v>
      </c>
    </row>
    <row r="4868" spans="1:5" x14ac:dyDescent="0.25">
      <c r="A4868" s="2">
        <f>IF(B4868="","",SUBTOTAL(3,$B$2:B4868))</f>
        <v>4867</v>
      </c>
      <c r="B4868" s="9" t="s">
        <v>51</v>
      </c>
      <c r="C4868" s="10" t="s">
        <v>52</v>
      </c>
      <c r="D4868" s="11">
        <v>58.99819972466377</v>
      </c>
      <c r="E4868" s="12">
        <f t="shared" ref="E4868:E4931" si="76">E4867+1</f>
        <v>46306</v>
      </c>
    </row>
    <row r="4869" spans="1:5" x14ac:dyDescent="0.25">
      <c r="A4869" s="2">
        <f>IF(B4869="","",SUBTOTAL(3,$B$2:B4869))</f>
        <v>4868</v>
      </c>
      <c r="B4869" s="9" t="s">
        <v>53</v>
      </c>
      <c r="C4869" s="10" t="s">
        <v>49</v>
      </c>
      <c r="D4869" s="11">
        <v>137.37899200454268</v>
      </c>
      <c r="E4869" s="12">
        <f t="shared" si="76"/>
        <v>46307</v>
      </c>
    </row>
    <row r="4870" spans="1:5" x14ac:dyDescent="0.25">
      <c r="A4870" s="2">
        <f>IF(B4870="","",SUBTOTAL(3,$B$2:B4870))</f>
        <v>4869</v>
      </c>
      <c r="B4870" s="9" t="s">
        <v>55</v>
      </c>
      <c r="C4870" s="10" t="s">
        <v>52</v>
      </c>
      <c r="D4870" s="11">
        <v>9.65</v>
      </c>
      <c r="E4870" s="12">
        <f t="shared" si="76"/>
        <v>46308</v>
      </c>
    </row>
    <row r="4871" spans="1:5" x14ac:dyDescent="0.25">
      <c r="A4871" s="2">
        <f>IF(B4871="","",SUBTOTAL(3,$B$2:B4871))</f>
        <v>4870</v>
      </c>
      <c r="B4871" s="9" t="s">
        <v>48</v>
      </c>
      <c r="C4871" s="10" t="s">
        <v>52</v>
      </c>
      <c r="D4871" s="11">
        <v>107.82501540357363</v>
      </c>
      <c r="E4871" s="12">
        <f t="shared" si="76"/>
        <v>46309</v>
      </c>
    </row>
    <row r="4872" spans="1:5" x14ac:dyDescent="0.25">
      <c r="A4872" s="2">
        <f>IF(B4872="","",SUBTOTAL(3,$B$2:B4872))</f>
        <v>4871</v>
      </c>
      <c r="B4872" s="9" t="s">
        <v>48</v>
      </c>
      <c r="C4872" s="10" t="s">
        <v>49</v>
      </c>
      <c r="D4872" s="11">
        <v>46.210720887245841</v>
      </c>
      <c r="E4872" s="12">
        <f t="shared" si="76"/>
        <v>46310</v>
      </c>
    </row>
    <row r="4873" spans="1:5" x14ac:dyDescent="0.25">
      <c r="A4873" s="2">
        <f>IF(B4873="","",SUBTOTAL(3,$B$2:B4873))</f>
        <v>4872</v>
      </c>
      <c r="B4873" s="9" t="s">
        <v>48</v>
      </c>
      <c r="C4873" s="10" t="s">
        <v>52</v>
      </c>
      <c r="D4873" s="11">
        <v>308.07147258163894</v>
      </c>
      <c r="E4873" s="12">
        <f t="shared" si="76"/>
        <v>46311</v>
      </c>
    </row>
    <row r="4874" spans="1:5" x14ac:dyDescent="0.25">
      <c r="A4874" s="2">
        <f>IF(B4874="","",SUBTOTAL(3,$B$2:B4874))</f>
        <v>4873</v>
      </c>
      <c r="B4874" s="9" t="s">
        <v>50</v>
      </c>
      <c r="C4874" s="10" t="s">
        <v>49</v>
      </c>
      <c r="D4874" s="11">
        <v>881.83421516754856</v>
      </c>
      <c r="E4874" s="12">
        <f t="shared" si="76"/>
        <v>46312</v>
      </c>
    </row>
    <row r="4875" spans="1:5" x14ac:dyDescent="0.25">
      <c r="A4875" s="2">
        <f>IF(B4875="","",SUBTOTAL(3,$B$2:B4875))</f>
        <v>4874</v>
      </c>
      <c r="B4875" s="9" t="s">
        <v>50</v>
      </c>
      <c r="C4875" s="10" t="s">
        <v>49</v>
      </c>
      <c r="D4875" s="11">
        <v>48.967151675485006</v>
      </c>
      <c r="E4875" s="12">
        <f t="shared" si="76"/>
        <v>46313</v>
      </c>
    </row>
    <row r="4876" spans="1:5" x14ac:dyDescent="0.25">
      <c r="A4876" s="2">
        <f>IF(B4876="","",SUBTOTAL(3,$B$2:B4876))</f>
        <v>4875</v>
      </c>
      <c r="B4876" s="9" t="s">
        <v>50</v>
      </c>
      <c r="C4876" s="10" t="s">
        <v>52</v>
      </c>
      <c r="D4876" s="11">
        <v>220.45855379188714</v>
      </c>
      <c r="E4876" s="12">
        <f t="shared" si="76"/>
        <v>46314</v>
      </c>
    </row>
    <row r="4877" spans="1:5" x14ac:dyDescent="0.25">
      <c r="A4877" s="2">
        <f>IF(B4877="","",SUBTOTAL(3,$B$2:B4877))</f>
        <v>4876</v>
      </c>
      <c r="B4877" s="9" t="s">
        <v>50</v>
      </c>
      <c r="C4877" s="10" t="s">
        <v>49</v>
      </c>
      <c r="D4877" s="11">
        <v>489.67151675485013</v>
      </c>
      <c r="E4877" s="12">
        <f t="shared" si="76"/>
        <v>46315</v>
      </c>
    </row>
    <row r="4878" spans="1:5" x14ac:dyDescent="0.25">
      <c r="A4878" s="2">
        <f>IF(B4878="","",SUBTOTAL(3,$B$2:B4878))</f>
        <v>4877</v>
      </c>
      <c r="B4878" s="9" t="s">
        <v>48</v>
      </c>
      <c r="C4878" s="10" t="s">
        <v>54</v>
      </c>
      <c r="D4878" s="11">
        <v>115.63218686161397</v>
      </c>
      <c r="E4878" s="12">
        <f t="shared" si="76"/>
        <v>46316</v>
      </c>
    </row>
    <row r="4879" spans="1:5" x14ac:dyDescent="0.25">
      <c r="A4879" s="2">
        <f>IF(B4879="","",SUBTOTAL(3,$B$2:B4879))</f>
        <v>4878</v>
      </c>
      <c r="B4879" s="9" t="s">
        <v>50</v>
      </c>
      <c r="C4879" s="10" t="s">
        <v>49</v>
      </c>
      <c r="D4879" s="11">
        <v>62.60030864197531</v>
      </c>
      <c r="E4879" s="12">
        <f t="shared" si="76"/>
        <v>46317</v>
      </c>
    </row>
    <row r="4880" spans="1:5" x14ac:dyDescent="0.25">
      <c r="A4880" s="2">
        <f>IF(B4880="","",SUBTOTAL(3,$B$2:B4880))</f>
        <v>4879</v>
      </c>
      <c r="B4880" s="9" t="s">
        <v>53</v>
      </c>
      <c r="C4880" s="10" t="s">
        <v>49</v>
      </c>
      <c r="D4880" s="11">
        <v>641.10196268786581</v>
      </c>
      <c r="E4880" s="12">
        <f t="shared" si="76"/>
        <v>46318</v>
      </c>
    </row>
    <row r="4881" spans="1:5" x14ac:dyDescent="0.25">
      <c r="A4881" s="2">
        <f>IF(B4881="","",SUBTOTAL(3,$B$2:B4881))</f>
        <v>4880</v>
      </c>
      <c r="B4881" s="9" t="s">
        <v>48</v>
      </c>
      <c r="C4881" s="10" t="s">
        <v>54</v>
      </c>
      <c r="D4881" s="11">
        <v>77.017868145409736</v>
      </c>
      <c r="E4881" s="12">
        <f t="shared" si="76"/>
        <v>46319</v>
      </c>
    </row>
    <row r="4882" spans="1:5" x14ac:dyDescent="0.25">
      <c r="A4882" s="2">
        <f>IF(B4882="","",SUBTOTAL(3,$B$2:B4882))</f>
        <v>4881</v>
      </c>
      <c r="B4882" s="9" t="s">
        <v>48</v>
      </c>
      <c r="C4882" s="10" t="s">
        <v>49</v>
      </c>
      <c r="D4882" s="11">
        <v>53.912507701786815</v>
      </c>
      <c r="E4882" s="12">
        <f t="shared" si="76"/>
        <v>46320</v>
      </c>
    </row>
    <row r="4883" spans="1:5" x14ac:dyDescent="0.25">
      <c r="A4883" s="2">
        <f>IF(B4883="","",SUBTOTAL(3,$B$2:B4883))</f>
        <v>4882</v>
      </c>
      <c r="B4883" s="9" t="s">
        <v>53</v>
      </c>
      <c r="C4883" s="10" t="s">
        <v>49</v>
      </c>
      <c r="D4883" s="11">
        <v>183.17198933939025</v>
      </c>
      <c r="E4883" s="12">
        <f t="shared" si="76"/>
        <v>46321</v>
      </c>
    </row>
    <row r="4884" spans="1:5" x14ac:dyDescent="0.25">
      <c r="A4884" s="2">
        <f>IF(B4884="","",SUBTOTAL(3,$B$2:B4884))</f>
        <v>4883</v>
      </c>
      <c r="B4884" s="9" t="s">
        <v>53</v>
      </c>
      <c r="C4884" s="10" t="s">
        <v>54</v>
      </c>
      <c r="D4884" s="11">
        <v>48.540577174938413</v>
      </c>
      <c r="E4884" s="12">
        <f t="shared" si="76"/>
        <v>46322</v>
      </c>
    </row>
    <row r="4885" spans="1:5" x14ac:dyDescent="0.25">
      <c r="A4885" s="2">
        <f>IF(B4885="","",SUBTOTAL(3,$B$2:B4885))</f>
        <v>4884</v>
      </c>
      <c r="B4885" s="9" t="s">
        <v>48</v>
      </c>
      <c r="C4885" s="10" t="s">
        <v>52</v>
      </c>
      <c r="D4885" s="11">
        <v>105.51447935921134</v>
      </c>
      <c r="E4885" s="12">
        <f t="shared" si="76"/>
        <v>46323</v>
      </c>
    </row>
    <row r="4886" spans="1:5" x14ac:dyDescent="0.25">
      <c r="A4886" s="2">
        <f>IF(B4886="","",SUBTOTAL(3,$B$2:B4886))</f>
        <v>4885</v>
      </c>
      <c r="B4886" s="9" t="s">
        <v>48</v>
      </c>
      <c r="C4886" s="10" t="s">
        <v>49</v>
      </c>
      <c r="D4886" s="11">
        <v>46.210720887245841</v>
      </c>
      <c r="E4886" s="12">
        <f t="shared" si="76"/>
        <v>46324</v>
      </c>
    </row>
    <row r="4887" spans="1:5" x14ac:dyDescent="0.25">
      <c r="A4887" s="2">
        <f>IF(B4887="","",SUBTOTAL(3,$B$2:B4887))</f>
        <v>4886</v>
      </c>
      <c r="B4887" s="9" t="s">
        <v>48</v>
      </c>
      <c r="C4887" s="10" t="s">
        <v>49</v>
      </c>
      <c r="D4887" s="11">
        <v>46.210720887245841</v>
      </c>
      <c r="E4887" s="12">
        <f t="shared" si="76"/>
        <v>46325</v>
      </c>
    </row>
    <row r="4888" spans="1:5" x14ac:dyDescent="0.25">
      <c r="A4888" s="2">
        <f>IF(B4888="","",SUBTOTAL(3,$B$2:B4888))</f>
        <v>4887</v>
      </c>
      <c r="B4888" s="9" t="s">
        <v>48</v>
      </c>
      <c r="C4888" s="10" t="s">
        <v>54</v>
      </c>
      <c r="D4888" s="11">
        <v>61.614294516327789</v>
      </c>
      <c r="E4888" s="12">
        <f t="shared" si="76"/>
        <v>46326</v>
      </c>
    </row>
    <row r="4889" spans="1:5" x14ac:dyDescent="0.25">
      <c r="A4889" s="2">
        <f>IF(B4889="","",SUBTOTAL(3,$B$2:B4889))</f>
        <v>4888</v>
      </c>
      <c r="B4889" s="9" t="s">
        <v>48</v>
      </c>
      <c r="C4889" s="10" t="s">
        <v>54</v>
      </c>
      <c r="D4889" s="11">
        <v>77.017868145409736</v>
      </c>
      <c r="E4889" s="12">
        <f t="shared" si="76"/>
        <v>46327</v>
      </c>
    </row>
    <row r="4890" spans="1:5" x14ac:dyDescent="0.25">
      <c r="A4890" s="2">
        <f>IF(B4890="","",SUBTOTAL(3,$B$2:B4890))</f>
        <v>4889</v>
      </c>
      <c r="B4890" s="9" t="s">
        <v>48</v>
      </c>
      <c r="C4890" s="10" t="s">
        <v>54</v>
      </c>
      <c r="D4890" s="11">
        <v>77.017868145409736</v>
      </c>
      <c r="E4890" s="12">
        <f t="shared" si="76"/>
        <v>46328</v>
      </c>
    </row>
    <row r="4891" spans="1:5" x14ac:dyDescent="0.25">
      <c r="A4891" s="2">
        <f>IF(B4891="","",SUBTOTAL(3,$B$2:B4891))</f>
        <v>4890</v>
      </c>
      <c r="B4891" s="9" t="s">
        <v>48</v>
      </c>
      <c r="C4891" s="10" t="s">
        <v>54</v>
      </c>
      <c r="D4891" s="11">
        <v>77.017868145409736</v>
      </c>
      <c r="E4891" s="12">
        <f t="shared" si="76"/>
        <v>46329</v>
      </c>
    </row>
    <row r="4892" spans="1:5" x14ac:dyDescent="0.25">
      <c r="A4892" s="2">
        <f>IF(B4892="","",SUBTOTAL(3,$B$2:B4892))</f>
        <v>4891</v>
      </c>
      <c r="B4892" s="9" t="s">
        <v>50</v>
      </c>
      <c r="C4892" s="10" t="s">
        <v>52</v>
      </c>
      <c r="D4892" s="11">
        <v>50</v>
      </c>
      <c r="E4892" s="12">
        <f t="shared" si="76"/>
        <v>46330</v>
      </c>
    </row>
    <row r="4893" spans="1:5" x14ac:dyDescent="0.25">
      <c r="A4893" s="2">
        <f>IF(B4893="","",SUBTOTAL(3,$B$2:B4893))</f>
        <v>4892</v>
      </c>
      <c r="B4893" s="9" t="s">
        <v>50</v>
      </c>
      <c r="C4893" s="10" t="s">
        <v>49</v>
      </c>
      <c r="D4893" s="11">
        <v>62</v>
      </c>
      <c r="E4893" s="12">
        <f t="shared" si="76"/>
        <v>46331</v>
      </c>
    </row>
    <row r="4894" spans="1:5" x14ac:dyDescent="0.25">
      <c r="A4894" s="2">
        <f>IF(B4894="","",SUBTOTAL(3,$B$2:B4894))</f>
        <v>4893</v>
      </c>
      <c r="B4894" s="9" t="s">
        <v>48</v>
      </c>
      <c r="C4894" s="10" t="s">
        <v>52</v>
      </c>
      <c r="D4894" s="11">
        <v>924.21441774491689</v>
      </c>
      <c r="E4894" s="12">
        <f t="shared" si="76"/>
        <v>46332</v>
      </c>
    </row>
    <row r="4895" spans="1:5" x14ac:dyDescent="0.25">
      <c r="A4895" s="2">
        <f>IF(B4895="","",SUBTOTAL(3,$B$2:B4895))</f>
        <v>4894</v>
      </c>
      <c r="B4895" s="9" t="s">
        <v>48</v>
      </c>
      <c r="C4895" s="10" t="s">
        <v>52</v>
      </c>
      <c r="D4895" s="11">
        <v>616.14294516327789</v>
      </c>
      <c r="E4895" s="12">
        <f t="shared" si="76"/>
        <v>46333</v>
      </c>
    </row>
    <row r="4896" spans="1:5" x14ac:dyDescent="0.25">
      <c r="A4896" s="2">
        <f>IF(B4896="","",SUBTOTAL(3,$B$2:B4896))</f>
        <v>4895</v>
      </c>
      <c r="B4896" s="9" t="s">
        <v>48</v>
      </c>
      <c r="C4896" s="10" t="s">
        <v>49</v>
      </c>
      <c r="D4896" s="11">
        <v>616.14294516327789</v>
      </c>
      <c r="E4896" s="12">
        <f t="shared" si="76"/>
        <v>46334</v>
      </c>
    </row>
    <row r="4897" spans="1:5" x14ac:dyDescent="0.25">
      <c r="A4897" s="2">
        <f>IF(B4897="","",SUBTOTAL(3,$B$2:B4897))</f>
        <v>4896</v>
      </c>
      <c r="B4897" s="9" t="s">
        <v>55</v>
      </c>
      <c r="C4897" s="10" t="s">
        <v>54</v>
      </c>
      <c r="D4897" s="11">
        <v>50</v>
      </c>
      <c r="E4897" s="12">
        <f t="shared" si="76"/>
        <v>46335</v>
      </c>
    </row>
    <row r="4898" spans="1:5" x14ac:dyDescent="0.25">
      <c r="A4898" s="2">
        <f>IF(B4898="","",SUBTOTAL(3,$B$2:B4898))</f>
        <v>4897</v>
      </c>
      <c r="B4898" s="9" t="s">
        <v>55</v>
      </c>
      <c r="C4898" s="10" t="s">
        <v>49</v>
      </c>
      <c r="D4898" s="11">
        <v>94.508717614469617</v>
      </c>
      <c r="E4898" s="12">
        <f t="shared" si="76"/>
        <v>46336</v>
      </c>
    </row>
    <row r="4899" spans="1:5" x14ac:dyDescent="0.25">
      <c r="A4899" s="2">
        <f>IF(B4899="","",SUBTOTAL(3,$B$2:B4899))</f>
        <v>4898</v>
      </c>
      <c r="B4899" s="9" t="s">
        <v>53</v>
      </c>
      <c r="C4899" s="10" t="s">
        <v>49</v>
      </c>
      <c r="D4899" s="11">
        <v>45.792997334847563</v>
      </c>
      <c r="E4899" s="12">
        <f t="shared" si="76"/>
        <v>46337</v>
      </c>
    </row>
    <row r="4900" spans="1:5" x14ac:dyDescent="0.25">
      <c r="A4900" s="2">
        <f>IF(B4900="","",SUBTOTAL(3,$B$2:B4900))</f>
        <v>4899</v>
      </c>
      <c r="B4900" s="9" t="s">
        <v>50</v>
      </c>
      <c r="C4900" s="10" t="s">
        <v>49</v>
      </c>
      <c r="D4900" s="11">
        <v>43.454585537918874</v>
      </c>
      <c r="E4900" s="12">
        <f t="shared" si="76"/>
        <v>46338</v>
      </c>
    </row>
    <row r="4901" spans="1:5" x14ac:dyDescent="0.25">
      <c r="A4901" s="2">
        <f>IF(B4901="","",SUBTOTAL(3,$B$2:B4901))</f>
        <v>4900</v>
      </c>
      <c r="B4901" s="9" t="s">
        <v>55</v>
      </c>
      <c r="C4901" s="10" t="s">
        <v>56</v>
      </c>
      <c r="D4901" s="11">
        <v>29.861717278449028</v>
      </c>
      <c r="E4901" s="12">
        <f t="shared" si="76"/>
        <v>46339</v>
      </c>
    </row>
    <row r="4902" spans="1:5" x14ac:dyDescent="0.25">
      <c r="A4902" s="2">
        <f>IF(B4902="","",SUBTOTAL(3,$B$2:B4902))</f>
        <v>4901</v>
      </c>
      <c r="B4902" s="9" t="s">
        <v>48</v>
      </c>
      <c r="C4902" s="10" t="s">
        <v>49</v>
      </c>
      <c r="D4902" s="11">
        <v>48.410996208204068</v>
      </c>
      <c r="E4902" s="12">
        <f t="shared" si="76"/>
        <v>46340</v>
      </c>
    </row>
    <row r="4903" spans="1:5" x14ac:dyDescent="0.25">
      <c r="A4903" s="2">
        <f>IF(B4903="","",SUBTOTAL(3,$B$2:B4903))</f>
        <v>4902</v>
      </c>
      <c r="B4903" s="9" t="s">
        <v>50</v>
      </c>
      <c r="C4903" s="10" t="s">
        <v>57</v>
      </c>
      <c r="D4903" s="11">
        <v>2425.0440917107585</v>
      </c>
      <c r="E4903" s="12">
        <f t="shared" si="76"/>
        <v>46341</v>
      </c>
    </row>
    <row r="4904" spans="1:5" x14ac:dyDescent="0.25">
      <c r="A4904" s="2">
        <f>IF(B4904="","",SUBTOTAL(3,$B$2:B4904))</f>
        <v>4903</v>
      </c>
      <c r="B4904" s="9" t="s">
        <v>50</v>
      </c>
      <c r="C4904" s="10" t="s">
        <v>49</v>
      </c>
      <c r="D4904" s="11">
        <v>13.401675485008818</v>
      </c>
      <c r="E4904" s="12">
        <f t="shared" si="76"/>
        <v>46342</v>
      </c>
    </row>
    <row r="4905" spans="1:5" x14ac:dyDescent="0.25">
      <c r="A4905" s="2">
        <f>IF(B4905="","",SUBTOTAL(3,$B$2:B4905))</f>
        <v>4904</v>
      </c>
      <c r="B4905" s="9" t="s">
        <v>48</v>
      </c>
      <c r="C4905" s="10" t="s">
        <v>49</v>
      </c>
      <c r="D4905" s="11">
        <v>55.153395380903135</v>
      </c>
      <c r="E4905" s="12">
        <f t="shared" si="76"/>
        <v>46343</v>
      </c>
    </row>
    <row r="4906" spans="1:5" x14ac:dyDescent="0.25">
      <c r="A4906" s="2">
        <f>IF(B4906="","",SUBTOTAL(3,$B$2:B4906))</f>
        <v>4905</v>
      </c>
      <c r="B4906" s="9" t="s">
        <v>50</v>
      </c>
      <c r="C4906" s="10" t="s">
        <v>52</v>
      </c>
      <c r="D4906" s="11">
        <v>15.4320987654321</v>
      </c>
      <c r="E4906" s="12">
        <f t="shared" si="76"/>
        <v>46344</v>
      </c>
    </row>
    <row r="4907" spans="1:5" x14ac:dyDescent="0.25">
      <c r="A4907" s="2">
        <f>IF(B4907="","",SUBTOTAL(3,$B$2:B4907))</f>
        <v>4906</v>
      </c>
      <c r="B4907" s="9" t="s">
        <v>50</v>
      </c>
      <c r="C4907" s="10" t="s">
        <v>52</v>
      </c>
      <c r="D4907" s="11">
        <v>30.8641975308642</v>
      </c>
      <c r="E4907" s="12">
        <f t="shared" si="76"/>
        <v>46345</v>
      </c>
    </row>
    <row r="4908" spans="1:5" x14ac:dyDescent="0.25">
      <c r="A4908" s="2">
        <f>IF(B4908="","",SUBTOTAL(3,$B$2:B4908))</f>
        <v>4907</v>
      </c>
      <c r="B4908" s="9" t="s">
        <v>48</v>
      </c>
      <c r="C4908" s="10" t="s">
        <v>52</v>
      </c>
      <c r="D4908" s="11">
        <v>17.235436056532226</v>
      </c>
      <c r="E4908" s="12">
        <f t="shared" si="76"/>
        <v>46346</v>
      </c>
    </row>
    <row r="4909" spans="1:5" x14ac:dyDescent="0.25">
      <c r="A4909" s="2">
        <f>IF(B4909="","",SUBTOTAL(3,$B$2:B4909))</f>
        <v>4908</v>
      </c>
      <c r="B4909" s="9" t="s">
        <v>53</v>
      </c>
      <c r="C4909" s="10" t="s">
        <v>49</v>
      </c>
      <c r="D4909" s="11">
        <v>97.081154349876826</v>
      </c>
      <c r="E4909" s="12">
        <f t="shared" si="76"/>
        <v>46347</v>
      </c>
    </row>
    <row r="4910" spans="1:5" x14ac:dyDescent="0.25">
      <c r="A4910" s="2">
        <f>IF(B4910="","",SUBTOTAL(3,$B$2:B4910))</f>
        <v>4909</v>
      </c>
      <c r="B4910" s="9" t="s">
        <v>50</v>
      </c>
      <c r="C4910" s="10" t="s">
        <v>52</v>
      </c>
      <c r="D4910" s="11">
        <v>110.22927689594357</v>
      </c>
      <c r="E4910" s="12">
        <f t="shared" si="76"/>
        <v>46348</v>
      </c>
    </row>
    <row r="4911" spans="1:5" x14ac:dyDescent="0.25">
      <c r="A4911" s="2">
        <f>IF(B4911="","",SUBTOTAL(3,$B$2:B4911))</f>
        <v>4910</v>
      </c>
      <c r="B4911" s="9" t="s">
        <v>50</v>
      </c>
      <c r="C4911" s="10" t="s">
        <v>49</v>
      </c>
      <c r="D4911" s="11">
        <v>440.91710758377428</v>
      </c>
      <c r="E4911" s="12">
        <f t="shared" si="76"/>
        <v>46349</v>
      </c>
    </row>
    <row r="4912" spans="1:5" x14ac:dyDescent="0.25">
      <c r="A4912" s="2">
        <f>IF(B4912="","",SUBTOTAL(3,$B$2:B4912))</f>
        <v>4911</v>
      </c>
      <c r="B4912" s="9" t="s">
        <v>50</v>
      </c>
      <c r="C4912" s="10" t="s">
        <v>49</v>
      </c>
      <c r="D4912" s="11">
        <v>66.137566137566139</v>
      </c>
      <c r="E4912" s="12">
        <f t="shared" si="76"/>
        <v>46350</v>
      </c>
    </row>
    <row r="4913" spans="1:5" x14ac:dyDescent="0.25">
      <c r="A4913" s="2">
        <f>IF(B4913="","",SUBTOTAL(3,$B$2:B4913))</f>
        <v>4912</v>
      </c>
      <c r="B4913" s="9" t="s">
        <v>51</v>
      </c>
      <c r="C4913" s="10" t="s">
        <v>52</v>
      </c>
      <c r="D4913" s="11">
        <v>78.331038864767564</v>
      </c>
      <c r="E4913" s="12">
        <f t="shared" si="76"/>
        <v>46351</v>
      </c>
    </row>
    <row r="4914" spans="1:5" x14ac:dyDescent="0.25">
      <c r="A4914" s="2">
        <f>IF(B4914="","",SUBTOTAL(3,$B$2:B4914))</f>
        <v>4913</v>
      </c>
      <c r="B4914" s="9" t="s">
        <v>55</v>
      </c>
      <c r="C4914" s="10" t="s">
        <v>54</v>
      </c>
      <c r="D4914" s="11">
        <v>75</v>
      </c>
      <c r="E4914" s="12">
        <f t="shared" si="76"/>
        <v>46352</v>
      </c>
    </row>
    <row r="4915" spans="1:5" x14ac:dyDescent="0.25">
      <c r="A4915" s="2">
        <f>IF(B4915="","",SUBTOTAL(3,$B$2:B4915))</f>
        <v>4914</v>
      </c>
      <c r="B4915" s="9" t="s">
        <v>48</v>
      </c>
      <c r="C4915" s="10" t="s">
        <v>52</v>
      </c>
      <c r="D4915" s="11">
        <v>154.03573629081947</v>
      </c>
      <c r="E4915" s="12">
        <f t="shared" si="76"/>
        <v>46353</v>
      </c>
    </row>
    <row r="4916" spans="1:5" x14ac:dyDescent="0.25">
      <c r="A4916" s="2">
        <f>IF(B4916="","",SUBTOTAL(3,$B$2:B4916))</f>
        <v>4915</v>
      </c>
      <c r="B4916" s="9" t="s">
        <v>48</v>
      </c>
      <c r="C4916" s="10" t="s">
        <v>52</v>
      </c>
      <c r="D4916" s="11">
        <v>77.017868145409736</v>
      </c>
      <c r="E4916" s="12">
        <f t="shared" si="76"/>
        <v>46354</v>
      </c>
    </row>
    <row r="4917" spans="1:5" x14ac:dyDescent="0.25">
      <c r="A4917" s="2">
        <f>IF(B4917="","",SUBTOTAL(3,$B$2:B4917))</f>
        <v>4916</v>
      </c>
      <c r="B4917" s="9" t="s">
        <v>51</v>
      </c>
      <c r="C4917" s="10" t="s">
        <v>52</v>
      </c>
      <c r="D4917" s="11">
        <v>31.769564756962826</v>
      </c>
      <c r="E4917" s="12">
        <f t="shared" si="76"/>
        <v>46355</v>
      </c>
    </row>
    <row r="4918" spans="1:5" x14ac:dyDescent="0.25">
      <c r="A4918" s="2">
        <f>IF(B4918="","",SUBTOTAL(3,$B$2:B4918))</f>
        <v>4917</v>
      </c>
      <c r="B4918" s="9" t="s">
        <v>48</v>
      </c>
      <c r="C4918" s="10" t="s">
        <v>49</v>
      </c>
      <c r="D4918" s="11">
        <v>137.88348845225781</v>
      </c>
      <c r="E4918" s="12">
        <f t="shared" si="76"/>
        <v>46356</v>
      </c>
    </row>
    <row r="4919" spans="1:5" x14ac:dyDescent="0.25">
      <c r="A4919" s="2">
        <f>IF(B4919="","",SUBTOTAL(3,$B$2:B4919))</f>
        <v>4918</v>
      </c>
      <c r="B4919" s="9" t="s">
        <v>50</v>
      </c>
      <c r="C4919" s="10" t="s">
        <v>49</v>
      </c>
      <c r="D4919" s="11">
        <v>33.06878306878307</v>
      </c>
      <c r="E4919" s="12">
        <f t="shared" si="76"/>
        <v>46357</v>
      </c>
    </row>
    <row r="4920" spans="1:5" x14ac:dyDescent="0.25">
      <c r="A4920" s="2">
        <f>IF(B4920="","",SUBTOTAL(3,$B$2:B4920))</f>
        <v>4919</v>
      </c>
      <c r="B4920" s="9" t="s">
        <v>51</v>
      </c>
      <c r="C4920" s="10" t="s">
        <v>52</v>
      </c>
      <c r="D4920" s="11">
        <v>472.30752938684742</v>
      </c>
      <c r="E4920" s="12">
        <f t="shared" si="76"/>
        <v>46358</v>
      </c>
    </row>
    <row r="4921" spans="1:5" x14ac:dyDescent="0.25">
      <c r="A4921" s="2">
        <f>IF(B4921="","",SUBTOTAL(3,$B$2:B4921))</f>
        <v>4920</v>
      </c>
      <c r="B4921" s="9" t="s">
        <v>51</v>
      </c>
      <c r="C4921" s="10" t="s">
        <v>52</v>
      </c>
      <c r="D4921" s="11">
        <v>52.949274594938046</v>
      </c>
      <c r="E4921" s="12">
        <f t="shared" si="76"/>
        <v>46359</v>
      </c>
    </row>
    <row r="4922" spans="1:5" x14ac:dyDescent="0.25">
      <c r="A4922" s="2">
        <f>IF(B4922="","",SUBTOTAL(3,$B$2:B4922))</f>
        <v>4921</v>
      </c>
      <c r="B4922" s="9" t="s">
        <v>48</v>
      </c>
      <c r="C4922" s="10" t="s">
        <v>52</v>
      </c>
      <c r="D4922" s="11">
        <v>107.82501540357363</v>
      </c>
      <c r="E4922" s="12">
        <f t="shared" si="76"/>
        <v>46360</v>
      </c>
    </row>
    <row r="4923" spans="1:5" x14ac:dyDescent="0.25">
      <c r="A4923" s="2">
        <f>IF(B4923="","",SUBTOTAL(3,$B$2:B4923))</f>
        <v>4922</v>
      </c>
      <c r="B4923" s="9" t="s">
        <v>48</v>
      </c>
      <c r="C4923" s="10" t="s">
        <v>52</v>
      </c>
      <c r="D4923" s="11">
        <v>308.07147258163894</v>
      </c>
      <c r="E4923" s="12">
        <f t="shared" si="76"/>
        <v>46361</v>
      </c>
    </row>
    <row r="4924" spans="1:5" x14ac:dyDescent="0.25">
      <c r="A4924" s="2">
        <f>IF(B4924="","",SUBTOTAL(3,$B$2:B4924))</f>
        <v>4923</v>
      </c>
      <c r="B4924" s="9" t="s">
        <v>48</v>
      </c>
      <c r="C4924" s="10" t="s">
        <v>49</v>
      </c>
      <c r="D4924" s="11">
        <v>34.470872113064452</v>
      </c>
      <c r="E4924" s="12">
        <f t="shared" si="76"/>
        <v>46362</v>
      </c>
    </row>
    <row r="4925" spans="1:5" x14ac:dyDescent="0.25">
      <c r="A4925" s="2">
        <f>IF(B4925="","",SUBTOTAL(3,$B$2:B4925))</f>
        <v>4924</v>
      </c>
      <c r="B4925" s="9" t="s">
        <v>48</v>
      </c>
      <c r="C4925" s="10" t="s">
        <v>49</v>
      </c>
      <c r="D4925" s="11">
        <v>30.807147258163894</v>
      </c>
      <c r="E4925" s="12">
        <f t="shared" si="76"/>
        <v>46363</v>
      </c>
    </row>
    <row r="4926" spans="1:5" x14ac:dyDescent="0.25">
      <c r="A4926" s="2">
        <f>IF(B4926="","",SUBTOTAL(3,$B$2:B4926))</f>
        <v>4925</v>
      </c>
      <c r="B4926" s="9" t="s">
        <v>51</v>
      </c>
      <c r="C4926" s="10" t="s">
        <v>49</v>
      </c>
      <c r="D4926" s="11">
        <v>529.49274594938049</v>
      </c>
      <c r="E4926" s="12">
        <f t="shared" si="76"/>
        <v>46364</v>
      </c>
    </row>
    <row r="4927" spans="1:5" x14ac:dyDescent="0.25">
      <c r="A4927" s="2">
        <f>IF(B4927="","",SUBTOTAL(3,$B$2:B4927))</f>
        <v>4926</v>
      </c>
      <c r="B4927" s="9" t="s">
        <v>55</v>
      </c>
      <c r="C4927" s="10" t="s">
        <v>49</v>
      </c>
      <c r="D4927" s="11">
        <v>18.92543758901089</v>
      </c>
      <c r="E4927" s="12">
        <f t="shared" si="76"/>
        <v>46365</v>
      </c>
    </row>
    <row r="4928" spans="1:5" x14ac:dyDescent="0.25">
      <c r="A4928" s="2">
        <f>IF(B4928="","",SUBTOTAL(3,$B$2:B4928))</f>
        <v>4927</v>
      </c>
      <c r="B4928" s="9" t="s">
        <v>48</v>
      </c>
      <c r="C4928" s="10" t="s">
        <v>52</v>
      </c>
      <c r="D4928" s="11">
        <v>105.51447935921134</v>
      </c>
      <c r="E4928" s="12">
        <f t="shared" si="76"/>
        <v>46366</v>
      </c>
    </row>
    <row r="4929" spans="1:5" x14ac:dyDescent="0.25">
      <c r="A4929" s="2">
        <f>IF(B4929="","",SUBTOTAL(3,$B$2:B4929))</f>
        <v>4928</v>
      </c>
      <c r="B4929" s="9" t="s">
        <v>48</v>
      </c>
      <c r="C4929" s="10" t="s">
        <v>52</v>
      </c>
      <c r="D4929" s="11">
        <v>310.23784901758017</v>
      </c>
      <c r="E4929" s="12">
        <f t="shared" si="76"/>
        <v>46367</v>
      </c>
    </row>
    <row r="4930" spans="1:5" x14ac:dyDescent="0.25">
      <c r="A4930" s="2">
        <f>IF(B4930="","",SUBTOTAL(3,$B$2:B4930))</f>
        <v>4929</v>
      </c>
      <c r="B4930" s="9" t="s">
        <v>48</v>
      </c>
      <c r="C4930" s="10" t="s">
        <v>52</v>
      </c>
      <c r="D4930" s="11">
        <v>27.576697690451567</v>
      </c>
      <c r="E4930" s="12">
        <f t="shared" si="76"/>
        <v>46368</v>
      </c>
    </row>
    <row r="4931" spans="1:5" x14ac:dyDescent="0.25">
      <c r="A4931" s="2">
        <f>IF(B4931="","",SUBTOTAL(3,$B$2:B4931))</f>
        <v>4930</v>
      </c>
      <c r="B4931" s="9" t="s">
        <v>48</v>
      </c>
      <c r="C4931" s="10" t="s">
        <v>49</v>
      </c>
      <c r="D4931" s="11">
        <v>25.853154084798344</v>
      </c>
      <c r="E4931" s="12">
        <f t="shared" si="76"/>
        <v>46369</v>
      </c>
    </row>
    <row r="4932" spans="1:5" x14ac:dyDescent="0.25">
      <c r="A4932" s="2">
        <f>IF(B4932="","",SUBTOTAL(3,$B$2:B4932))</f>
        <v>4931</v>
      </c>
      <c r="B4932" s="9" t="s">
        <v>48</v>
      </c>
      <c r="C4932" s="10" t="s">
        <v>49</v>
      </c>
      <c r="D4932" s="11">
        <v>30.807147258163894</v>
      </c>
      <c r="E4932" s="12">
        <f t="shared" ref="E4932:E4995" si="77">E4931+1</f>
        <v>46370</v>
      </c>
    </row>
    <row r="4933" spans="1:5" x14ac:dyDescent="0.25">
      <c r="A4933" s="2">
        <f>IF(B4933="","",SUBTOTAL(3,$B$2:B4933))</f>
        <v>4932</v>
      </c>
      <c r="B4933" s="9" t="s">
        <v>53</v>
      </c>
      <c r="C4933" s="10" t="s">
        <v>54</v>
      </c>
      <c r="D4933" s="11">
        <v>45.792997334847563</v>
      </c>
      <c r="E4933" s="12">
        <f t="shared" si="77"/>
        <v>46371</v>
      </c>
    </row>
    <row r="4934" spans="1:5" x14ac:dyDescent="0.25">
      <c r="A4934" s="2">
        <f>IF(B4934="","",SUBTOTAL(3,$B$2:B4934))</f>
        <v>4933</v>
      </c>
      <c r="B4934" s="9" t="s">
        <v>53</v>
      </c>
      <c r="C4934" s="10" t="s">
        <v>49</v>
      </c>
      <c r="D4934" s="11">
        <v>137.37899200454268</v>
      </c>
      <c r="E4934" s="12">
        <f t="shared" si="77"/>
        <v>46372</v>
      </c>
    </row>
    <row r="4935" spans="1:5" x14ac:dyDescent="0.25">
      <c r="A4935" s="2">
        <f>IF(B4935="","",SUBTOTAL(3,$B$2:B4935))</f>
        <v>4934</v>
      </c>
      <c r="B4935" s="9" t="s">
        <v>53</v>
      </c>
      <c r="C4935" s="10" t="s">
        <v>54</v>
      </c>
      <c r="D4935" s="11">
        <v>45.792997334847563</v>
      </c>
      <c r="E4935" s="12">
        <f t="shared" si="77"/>
        <v>46373</v>
      </c>
    </row>
    <row r="4936" spans="1:5" x14ac:dyDescent="0.25">
      <c r="A4936" s="2">
        <f>IF(B4936="","",SUBTOTAL(3,$B$2:B4936))</f>
        <v>4935</v>
      </c>
      <c r="B4936" s="9" t="s">
        <v>48</v>
      </c>
      <c r="C4936" s="10" t="s">
        <v>49</v>
      </c>
      <c r="D4936" s="11">
        <v>48.259220958290243</v>
      </c>
      <c r="E4936" s="12">
        <f t="shared" si="77"/>
        <v>46374</v>
      </c>
    </row>
    <row r="4937" spans="1:5" x14ac:dyDescent="0.25">
      <c r="A4937" s="2">
        <f>IF(B4937="","",SUBTOTAL(3,$B$2:B4937))</f>
        <v>4936</v>
      </c>
      <c r="B4937" s="9" t="s">
        <v>48</v>
      </c>
      <c r="C4937" s="10" t="s">
        <v>54</v>
      </c>
      <c r="D4937" s="11">
        <v>10</v>
      </c>
      <c r="E4937" s="12">
        <f t="shared" si="77"/>
        <v>46375</v>
      </c>
    </row>
    <row r="4938" spans="1:5" x14ac:dyDescent="0.25">
      <c r="A4938" s="2">
        <f>IF(B4938="","",SUBTOTAL(3,$B$2:B4938))</f>
        <v>4937</v>
      </c>
      <c r="B4938" s="9" t="s">
        <v>48</v>
      </c>
      <c r="C4938" s="10" t="s">
        <v>54</v>
      </c>
      <c r="D4938" s="11">
        <v>10</v>
      </c>
      <c r="E4938" s="12">
        <f t="shared" si="77"/>
        <v>46376</v>
      </c>
    </row>
    <row r="4939" spans="1:5" x14ac:dyDescent="0.25">
      <c r="A4939" s="2">
        <f>IF(B4939="","",SUBTOTAL(3,$B$2:B4939))</f>
        <v>4938</v>
      </c>
      <c r="B4939" s="9" t="s">
        <v>48</v>
      </c>
      <c r="C4939" s="10" t="s">
        <v>54</v>
      </c>
      <c r="D4939" s="11">
        <v>10</v>
      </c>
      <c r="E4939" s="12">
        <f t="shared" si="77"/>
        <v>46377</v>
      </c>
    </row>
    <row r="4940" spans="1:5" x14ac:dyDescent="0.25">
      <c r="A4940" s="2">
        <f>IF(B4940="","",SUBTOTAL(3,$B$2:B4940))</f>
        <v>4939</v>
      </c>
      <c r="B4940" s="9" t="s">
        <v>48</v>
      </c>
      <c r="C4940" s="10" t="s">
        <v>54</v>
      </c>
      <c r="D4940" s="11">
        <v>34.470872113064452</v>
      </c>
      <c r="E4940" s="12">
        <f t="shared" si="77"/>
        <v>46378</v>
      </c>
    </row>
    <row r="4941" spans="1:5" x14ac:dyDescent="0.25">
      <c r="A4941" s="2">
        <f>IF(B4941="","",SUBTOTAL(3,$B$2:B4941))</f>
        <v>4940</v>
      </c>
      <c r="B4941" s="9" t="s">
        <v>48</v>
      </c>
      <c r="C4941" s="10" t="s">
        <v>49</v>
      </c>
      <c r="D4941" s="11">
        <v>18</v>
      </c>
      <c r="E4941" s="12">
        <f t="shared" si="77"/>
        <v>46379</v>
      </c>
    </row>
    <row r="4942" spans="1:5" x14ac:dyDescent="0.25">
      <c r="A4942" s="2">
        <f>IF(B4942="","",SUBTOTAL(3,$B$2:B4942))</f>
        <v>4941</v>
      </c>
      <c r="B4942" s="9" t="s">
        <v>48</v>
      </c>
      <c r="C4942" s="10" t="s">
        <v>49</v>
      </c>
      <c r="D4942" s="11">
        <v>5</v>
      </c>
      <c r="E4942" s="12">
        <f t="shared" si="77"/>
        <v>46380</v>
      </c>
    </row>
    <row r="4943" spans="1:5" x14ac:dyDescent="0.25">
      <c r="A4943" s="2">
        <f>IF(B4943="","",SUBTOTAL(3,$B$2:B4943))</f>
        <v>4942</v>
      </c>
      <c r="B4943" s="9" t="s">
        <v>48</v>
      </c>
      <c r="C4943" s="10" t="s">
        <v>54</v>
      </c>
      <c r="D4943" s="11">
        <v>8</v>
      </c>
      <c r="E4943" s="12">
        <f t="shared" si="77"/>
        <v>46381</v>
      </c>
    </row>
    <row r="4944" spans="1:5" x14ac:dyDescent="0.25">
      <c r="A4944" s="2">
        <f>IF(B4944="","",SUBTOTAL(3,$B$2:B4944))</f>
        <v>4943</v>
      </c>
      <c r="B4944" s="9" t="s">
        <v>48</v>
      </c>
      <c r="C4944" s="10" t="s">
        <v>54</v>
      </c>
      <c r="D4944" s="11">
        <v>10</v>
      </c>
      <c r="E4944" s="12">
        <f t="shared" si="77"/>
        <v>46382</v>
      </c>
    </row>
    <row r="4945" spans="1:5" x14ac:dyDescent="0.25">
      <c r="A4945" s="2">
        <f>IF(B4945="","",SUBTOTAL(3,$B$2:B4945))</f>
        <v>4944</v>
      </c>
      <c r="B4945" s="9" t="s">
        <v>48</v>
      </c>
      <c r="C4945" s="10" t="s">
        <v>49</v>
      </c>
      <c r="D4945" s="11">
        <v>154.03573629081947</v>
      </c>
      <c r="E4945" s="12">
        <f t="shared" si="77"/>
        <v>46383</v>
      </c>
    </row>
    <row r="4946" spans="1:5" x14ac:dyDescent="0.25">
      <c r="A4946" s="2">
        <f>IF(B4946="","",SUBTOTAL(3,$B$2:B4946))</f>
        <v>4945</v>
      </c>
      <c r="B4946" s="9" t="s">
        <v>48</v>
      </c>
      <c r="C4946" s="10" t="s">
        <v>49</v>
      </c>
      <c r="D4946" s="11">
        <v>123.22858903265558</v>
      </c>
      <c r="E4946" s="12">
        <f t="shared" si="77"/>
        <v>46384</v>
      </c>
    </row>
    <row r="4947" spans="1:5" x14ac:dyDescent="0.25">
      <c r="A4947" s="2">
        <f>IF(B4947="","",SUBTOTAL(3,$B$2:B4947))</f>
        <v>4946</v>
      </c>
      <c r="B4947" s="9" t="s">
        <v>48</v>
      </c>
      <c r="C4947" s="10" t="s">
        <v>49</v>
      </c>
      <c r="D4947" s="11">
        <v>46.210720887245841</v>
      </c>
      <c r="E4947" s="12">
        <f t="shared" si="77"/>
        <v>46385</v>
      </c>
    </row>
    <row r="4948" spans="1:5" x14ac:dyDescent="0.25">
      <c r="A4948" s="2">
        <f>IF(B4948="","",SUBTOTAL(3,$B$2:B4948))</f>
        <v>4947</v>
      </c>
      <c r="B4948" s="9" t="s">
        <v>48</v>
      </c>
      <c r="C4948" s="10" t="s">
        <v>49</v>
      </c>
      <c r="D4948" s="11">
        <v>1617.3752310536045</v>
      </c>
      <c r="E4948" s="12">
        <f t="shared" si="77"/>
        <v>46386</v>
      </c>
    </row>
    <row r="4949" spans="1:5" x14ac:dyDescent="0.25">
      <c r="A4949" s="2">
        <f>IF(B4949="","",SUBTOTAL(3,$B$2:B4949))</f>
        <v>4948</v>
      </c>
      <c r="B4949" s="9" t="s">
        <v>48</v>
      </c>
      <c r="C4949" s="10" t="s">
        <v>54</v>
      </c>
      <c r="D4949" s="11">
        <v>115.63218686161397</v>
      </c>
      <c r="E4949" s="12">
        <f t="shared" si="77"/>
        <v>46387</v>
      </c>
    </row>
    <row r="4950" spans="1:5" x14ac:dyDescent="0.25">
      <c r="A4950" s="2">
        <f>IF(B4950="","",SUBTOTAL(3,$B$2:B4950))</f>
        <v>4949</v>
      </c>
      <c r="B4950" s="9" t="s">
        <v>48</v>
      </c>
      <c r="C4950" s="10" t="s">
        <v>49</v>
      </c>
      <c r="D4950" s="11">
        <v>34.470872113064452</v>
      </c>
      <c r="E4950" s="12">
        <f t="shared" si="77"/>
        <v>46388</v>
      </c>
    </row>
    <row r="4951" spans="1:5" x14ac:dyDescent="0.25">
      <c r="A4951" s="2">
        <f>IF(B4951="","",SUBTOTAL(3,$B$2:B4951))</f>
        <v>4950</v>
      </c>
      <c r="B4951" s="9" t="s">
        <v>48</v>
      </c>
      <c r="C4951" s="10" t="s">
        <v>49</v>
      </c>
      <c r="D4951" s="11">
        <v>17.235436056532226</v>
      </c>
      <c r="E4951" s="12">
        <f t="shared" si="77"/>
        <v>46389</v>
      </c>
    </row>
    <row r="4952" spans="1:5" x14ac:dyDescent="0.25">
      <c r="A4952" s="2">
        <f>IF(B4952="","",SUBTOTAL(3,$B$2:B4952))</f>
        <v>4951</v>
      </c>
      <c r="B4952" s="9" t="s">
        <v>48</v>
      </c>
      <c r="C4952" s="10" t="s">
        <v>49</v>
      </c>
      <c r="D4952" s="11">
        <v>34.470872113064452</v>
      </c>
      <c r="E4952" s="12">
        <f t="shared" si="77"/>
        <v>46390</v>
      </c>
    </row>
    <row r="4953" spans="1:5" x14ac:dyDescent="0.25">
      <c r="A4953" s="2">
        <f>IF(B4953="","",SUBTOTAL(3,$B$2:B4953))</f>
        <v>4952</v>
      </c>
      <c r="B4953" s="9" t="s">
        <v>48</v>
      </c>
      <c r="C4953" s="10" t="s">
        <v>49</v>
      </c>
      <c r="D4953" s="11">
        <v>43.088590141330577</v>
      </c>
      <c r="E4953" s="12">
        <f t="shared" si="77"/>
        <v>46391</v>
      </c>
    </row>
    <row r="4954" spans="1:5" x14ac:dyDescent="0.25">
      <c r="A4954" s="2">
        <f>IF(B4954="","",SUBTOTAL(3,$B$2:B4954))</f>
        <v>4953</v>
      </c>
      <c r="B4954" s="9" t="s">
        <v>48</v>
      </c>
      <c r="C4954" s="10" t="s">
        <v>54</v>
      </c>
      <c r="D4954" s="11">
        <v>10</v>
      </c>
      <c r="E4954" s="12">
        <f t="shared" si="77"/>
        <v>46392</v>
      </c>
    </row>
    <row r="4955" spans="1:5" x14ac:dyDescent="0.25">
      <c r="A4955" s="2">
        <f>IF(B4955="","",SUBTOTAL(3,$B$2:B4955))</f>
        <v>4954</v>
      </c>
      <c r="B4955" s="9" t="s">
        <v>48</v>
      </c>
      <c r="C4955" s="10" t="s">
        <v>54</v>
      </c>
      <c r="D4955" s="11">
        <v>10</v>
      </c>
      <c r="E4955" s="12">
        <f t="shared" si="77"/>
        <v>46393</v>
      </c>
    </row>
    <row r="4956" spans="1:5" x14ac:dyDescent="0.25">
      <c r="A4956" s="2">
        <f>IF(B4956="","",SUBTOTAL(3,$B$2:B4956))</f>
        <v>4955</v>
      </c>
      <c r="B4956" s="9" t="s">
        <v>48</v>
      </c>
      <c r="C4956" s="10" t="s">
        <v>54</v>
      </c>
      <c r="D4956" s="11">
        <v>10</v>
      </c>
      <c r="E4956" s="12">
        <f t="shared" si="77"/>
        <v>46394</v>
      </c>
    </row>
    <row r="4957" spans="1:5" x14ac:dyDescent="0.25">
      <c r="A4957" s="2">
        <f>IF(B4957="","",SUBTOTAL(3,$B$2:B4957))</f>
        <v>4956</v>
      </c>
      <c r="B4957" s="9" t="s">
        <v>48</v>
      </c>
      <c r="C4957" s="10" t="s">
        <v>49</v>
      </c>
      <c r="D4957" s="11">
        <v>51.706308169596689</v>
      </c>
      <c r="E4957" s="12">
        <f t="shared" si="77"/>
        <v>46395</v>
      </c>
    </row>
    <row r="4958" spans="1:5" x14ac:dyDescent="0.25">
      <c r="A4958" s="2">
        <f>IF(B4958="","",SUBTOTAL(3,$B$2:B4958))</f>
        <v>4957</v>
      </c>
      <c r="B4958" s="9" t="s">
        <v>48</v>
      </c>
      <c r="C4958" s="10" t="s">
        <v>49</v>
      </c>
      <c r="D4958" s="11">
        <v>62.047569803516026</v>
      </c>
      <c r="E4958" s="12">
        <f t="shared" si="77"/>
        <v>46396</v>
      </c>
    </row>
    <row r="4959" spans="1:5" x14ac:dyDescent="0.25">
      <c r="A4959" s="2">
        <f>IF(B4959="","",SUBTOTAL(3,$B$2:B4959))</f>
        <v>4958</v>
      </c>
      <c r="B4959" s="9" t="s">
        <v>48</v>
      </c>
      <c r="C4959" s="10" t="s">
        <v>49</v>
      </c>
      <c r="D4959" s="11">
        <v>1.5403573629081948</v>
      </c>
      <c r="E4959" s="12">
        <f t="shared" si="77"/>
        <v>46397</v>
      </c>
    </row>
    <row r="4960" spans="1:5" x14ac:dyDescent="0.25">
      <c r="A4960" s="2">
        <f>IF(B4960="","",SUBTOTAL(3,$B$2:B4960))</f>
        <v>4959</v>
      </c>
      <c r="B4960" s="9" t="s">
        <v>48</v>
      </c>
      <c r="C4960" s="10" t="s">
        <v>54</v>
      </c>
      <c r="D4960" s="11">
        <v>1.5403573629081948</v>
      </c>
      <c r="E4960" s="12">
        <f t="shared" si="77"/>
        <v>46398</v>
      </c>
    </row>
    <row r="4961" spans="1:5" x14ac:dyDescent="0.25">
      <c r="A4961" s="2">
        <f>IF(B4961="","",SUBTOTAL(3,$B$2:B4961))</f>
        <v>4960</v>
      </c>
      <c r="B4961" s="9" t="s">
        <v>48</v>
      </c>
      <c r="C4961" s="10" t="s">
        <v>49</v>
      </c>
      <c r="D4961" s="11">
        <v>1.5403573629081948</v>
      </c>
      <c r="E4961" s="12">
        <f t="shared" si="77"/>
        <v>46399</v>
      </c>
    </row>
    <row r="4962" spans="1:5" x14ac:dyDescent="0.25">
      <c r="A4962" s="2">
        <f>IF(B4962="","",SUBTOTAL(3,$B$2:B4962))</f>
        <v>4961</v>
      </c>
      <c r="B4962" s="9" t="s">
        <v>48</v>
      </c>
      <c r="C4962" s="10" t="s">
        <v>54</v>
      </c>
      <c r="D4962" s="11">
        <v>1.5403573629081948</v>
      </c>
      <c r="E4962" s="12">
        <f t="shared" si="77"/>
        <v>46400</v>
      </c>
    </row>
    <row r="4963" spans="1:5" x14ac:dyDescent="0.25">
      <c r="A4963" s="2">
        <f>IF(B4963="","",SUBTOTAL(3,$B$2:B4963))</f>
        <v>4962</v>
      </c>
      <c r="B4963" s="9" t="s">
        <v>48</v>
      </c>
      <c r="C4963" s="10" t="s">
        <v>54</v>
      </c>
      <c r="D4963" s="11">
        <v>1.5403573629081948</v>
      </c>
      <c r="E4963" s="12">
        <f t="shared" si="77"/>
        <v>46401</v>
      </c>
    </row>
    <row r="4964" spans="1:5" x14ac:dyDescent="0.25">
      <c r="A4964" s="2">
        <f>IF(B4964="","",SUBTOTAL(3,$B$2:B4964))</f>
        <v>4963</v>
      </c>
      <c r="B4964" s="9" t="s">
        <v>48</v>
      </c>
      <c r="C4964" s="10" t="s">
        <v>49</v>
      </c>
      <c r="D4964" s="11">
        <v>1.5403573629081948</v>
      </c>
      <c r="E4964" s="12">
        <f t="shared" si="77"/>
        <v>46402</v>
      </c>
    </row>
    <row r="4965" spans="1:5" x14ac:dyDescent="0.25">
      <c r="A4965" s="2">
        <f>IF(B4965="","",SUBTOTAL(3,$B$2:B4965))</f>
        <v>4964</v>
      </c>
      <c r="B4965" s="9" t="s">
        <v>48</v>
      </c>
      <c r="C4965" s="10" t="s">
        <v>54</v>
      </c>
      <c r="D4965" s="11">
        <v>1.5403573629081948</v>
      </c>
      <c r="E4965" s="12">
        <f t="shared" si="77"/>
        <v>46403</v>
      </c>
    </row>
    <row r="4966" spans="1:5" x14ac:dyDescent="0.25">
      <c r="A4966" s="2">
        <f>IF(B4966="","",SUBTOTAL(3,$B$2:B4966))</f>
        <v>4965</v>
      </c>
      <c r="B4966" s="9" t="s">
        <v>48</v>
      </c>
      <c r="C4966" s="10" t="s">
        <v>49</v>
      </c>
      <c r="D4966" s="11">
        <v>1.5403573629081948</v>
      </c>
      <c r="E4966" s="12">
        <f t="shared" si="77"/>
        <v>46404</v>
      </c>
    </row>
    <row r="4967" spans="1:5" x14ac:dyDescent="0.25">
      <c r="A4967" s="2">
        <f>IF(B4967="","",SUBTOTAL(3,$B$2:B4967))</f>
        <v>4966</v>
      </c>
      <c r="B4967" s="9" t="s">
        <v>48</v>
      </c>
      <c r="C4967" s="10" t="s">
        <v>49</v>
      </c>
      <c r="D4967" s="11">
        <v>1.5403573629081948</v>
      </c>
      <c r="E4967" s="12">
        <f t="shared" si="77"/>
        <v>46405</v>
      </c>
    </row>
    <row r="4968" spans="1:5" x14ac:dyDescent="0.25">
      <c r="A4968" s="2">
        <f>IF(B4968="","",SUBTOTAL(3,$B$2:B4968))</f>
        <v>4967</v>
      </c>
      <c r="B4968" s="9" t="s">
        <v>48</v>
      </c>
      <c r="C4968" s="10" t="s">
        <v>54</v>
      </c>
      <c r="D4968" s="11">
        <v>1.5403573629081948</v>
      </c>
      <c r="E4968" s="12">
        <f t="shared" si="77"/>
        <v>46406</v>
      </c>
    </row>
    <row r="4969" spans="1:5" x14ac:dyDescent="0.25">
      <c r="A4969" s="2">
        <f>IF(B4969="","",SUBTOTAL(3,$B$2:B4969))</f>
        <v>4968</v>
      </c>
      <c r="B4969" s="9" t="s">
        <v>48</v>
      </c>
      <c r="C4969" s="10" t="s">
        <v>49</v>
      </c>
      <c r="D4969" s="11">
        <v>1.5403573629081948</v>
      </c>
      <c r="E4969" s="12">
        <f t="shared" si="77"/>
        <v>46407</v>
      </c>
    </row>
    <row r="4970" spans="1:5" x14ac:dyDescent="0.25">
      <c r="A4970" s="2">
        <f>IF(B4970="","",SUBTOTAL(3,$B$2:B4970))</f>
        <v>4969</v>
      </c>
      <c r="B4970" s="9" t="s">
        <v>48</v>
      </c>
      <c r="C4970" s="10" t="s">
        <v>54</v>
      </c>
      <c r="D4970" s="11">
        <v>1.5403573629081948</v>
      </c>
      <c r="E4970" s="12">
        <f t="shared" si="77"/>
        <v>46408</v>
      </c>
    </row>
    <row r="4971" spans="1:5" x14ac:dyDescent="0.25">
      <c r="A4971" s="2">
        <f>IF(B4971="","",SUBTOTAL(3,$B$2:B4971))</f>
        <v>4970</v>
      </c>
      <c r="B4971" s="9" t="s">
        <v>51</v>
      </c>
      <c r="C4971" s="10" t="s">
        <v>52</v>
      </c>
      <c r="D4971" s="11">
        <v>211.79709837975219</v>
      </c>
      <c r="E4971" s="12">
        <f t="shared" si="77"/>
        <v>46409</v>
      </c>
    </row>
    <row r="4972" spans="1:5" x14ac:dyDescent="0.25">
      <c r="A4972" s="2">
        <f>IF(B4972="","",SUBTOTAL(3,$B$2:B4972))</f>
        <v>4971</v>
      </c>
      <c r="B4972" s="9" t="s">
        <v>51</v>
      </c>
      <c r="C4972" s="10" t="s">
        <v>49</v>
      </c>
      <c r="D4972" s="11">
        <v>81.030710639332298</v>
      </c>
      <c r="E4972" s="12">
        <f t="shared" si="77"/>
        <v>46410</v>
      </c>
    </row>
    <row r="4973" spans="1:5" x14ac:dyDescent="0.25">
      <c r="A4973" s="2">
        <f>IF(B4973="","",SUBTOTAL(3,$B$2:B4973))</f>
        <v>4972</v>
      </c>
      <c r="B4973" s="9" t="s">
        <v>48</v>
      </c>
      <c r="C4973" s="10" t="s">
        <v>52</v>
      </c>
      <c r="D4973" s="11">
        <v>58.841651263093034</v>
      </c>
      <c r="E4973" s="12">
        <f t="shared" si="77"/>
        <v>46411</v>
      </c>
    </row>
    <row r="4974" spans="1:5" x14ac:dyDescent="0.25">
      <c r="A4974" s="2">
        <f>IF(B4974="","",SUBTOTAL(3,$B$2:B4974))</f>
        <v>4973</v>
      </c>
      <c r="B4974" s="9" t="s">
        <v>51</v>
      </c>
      <c r="C4974" s="10" t="s">
        <v>49</v>
      </c>
      <c r="D4974" s="11">
        <v>40.515355319666149</v>
      </c>
      <c r="E4974" s="12">
        <f t="shared" si="77"/>
        <v>46412</v>
      </c>
    </row>
    <row r="4975" spans="1:5" x14ac:dyDescent="0.25">
      <c r="A4975" s="2">
        <f>IF(B4975="","",SUBTOTAL(3,$B$2:B4975))</f>
        <v>4974</v>
      </c>
      <c r="B4975" s="9" t="s">
        <v>50</v>
      </c>
      <c r="C4975" s="10" t="s">
        <v>49</v>
      </c>
      <c r="D4975" s="11">
        <v>66.137566137566139</v>
      </c>
      <c r="E4975" s="12">
        <f t="shared" si="77"/>
        <v>46413</v>
      </c>
    </row>
    <row r="4976" spans="1:5" x14ac:dyDescent="0.25">
      <c r="A4976" s="2">
        <f>IF(B4976="","",SUBTOTAL(3,$B$2:B4976))</f>
        <v>4975</v>
      </c>
      <c r="B4976" s="9" t="s">
        <v>50</v>
      </c>
      <c r="C4976" s="10" t="s">
        <v>49</v>
      </c>
      <c r="D4976" s="11">
        <v>55.114638447971785</v>
      </c>
      <c r="E4976" s="12">
        <f t="shared" si="77"/>
        <v>46414</v>
      </c>
    </row>
    <row r="4977" spans="1:5" x14ac:dyDescent="0.25">
      <c r="A4977" s="2">
        <f>IF(B4977="","",SUBTOTAL(3,$B$2:B4977))</f>
        <v>4976</v>
      </c>
      <c r="B4977" s="9" t="s">
        <v>55</v>
      </c>
      <c r="C4977" s="10" t="s">
        <v>49</v>
      </c>
      <c r="D4977" s="11">
        <v>205.47617953783251</v>
      </c>
      <c r="E4977" s="12">
        <f t="shared" si="77"/>
        <v>46415</v>
      </c>
    </row>
    <row r="4978" spans="1:5" x14ac:dyDescent="0.25">
      <c r="A4978" s="2">
        <f>IF(B4978="","",SUBTOTAL(3,$B$2:B4978))</f>
        <v>4977</v>
      </c>
      <c r="B4978" s="9" t="s">
        <v>51</v>
      </c>
      <c r="C4978" s="10" t="s">
        <v>54</v>
      </c>
      <c r="D4978" s="11">
        <v>47.654347135444247</v>
      </c>
      <c r="E4978" s="12">
        <f t="shared" si="77"/>
        <v>46416</v>
      </c>
    </row>
    <row r="4979" spans="1:5" x14ac:dyDescent="0.25">
      <c r="A4979" s="2">
        <f>IF(B4979="","",SUBTOTAL(3,$B$2:B4979))</f>
        <v>4978</v>
      </c>
      <c r="B4979" s="9" t="s">
        <v>51</v>
      </c>
      <c r="C4979" s="10" t="s">
        <v>52</v>
      </c>
      <c r="D4979" s="11">
        <v>52.949274594938046</v>
      </c>
      <c r="E4979" s="12">
        <f t="shared" si="77"/>
        <v>46417</v>
      </c>
    </row>
    <row r="4980" spans="1:5" x14ac:dyDescent="0.25">
      <c r="A4980" s="2">
        <f>IF(B4980="","",SUBTOTAL(3,$B$2:B4980))</f>
        <v>4979</v>
      </c>
      <c r="B4980" s="9" t="s">
        <v>48</v>
      </c>
      <c r="C4980" s="10" t="s">
        <v>49</v>
      </c>
      <c r="D4980" s="11">
        <v>15.403573629081947</v>
      </c>
      <c r="E4980" s="12">
        <f t="shared" si="77"/>
        <v>46418</v>
      </c>
    </row>
    <row r="4981" spans="1:5" x14ac:dyDescent="0.25">
      <c r="A4981" s="2">
        <f>IF(B4981="","",SUBTOTAL(3,$B$2:B4981))</f>
        <v>4980</v>
      </c>
      <c r="B4981" s="9" t="s">
        <v>48</v>
      </c>
      <c r="C4981" s="10" t="s">
        <v>54</v>
      </c>
      <c r="D4981" s="11">
        <v>18.484288354898336</v>
      </c>
      <c r="E4981" s="12">
        <f t="shared" si="77"/>
        <v>46419</v>
      </c>
    </row>
    <row r="4982" spans="1:5" x14ac:dyDescent="0.25">
      <c r="A4982" s="2">
        <f>IF(B4982="","",SUBTOTAL(3,$B$2:B4982))</f>
        <v>4981</v>
      </c>
      <c r="B4982" s="9" t="s">
        <v>48</v>
      </c>
      <c r="C4982" s="10" t="s">
        <v>54</v>
      </c>
      <c r="D4982" s="11">
        <v>12.322858903265558</v>
      </c>
      <c r="E4982" s="12">
        <f t="shared" si="77"/>
        <v>46420</v>
      </c>
    </row>
    <row r="4983" spans="1:5" x14ac:dyDescent="0.25">
      <c r="A4983" s="2">
        <f>IF(B4983="","",SUBTOTAL(3,$B$2:B4983))</f>
        <v>4982</v>
      </c>
      <c r="B4983" s="9" t="s">
        <v>48</v>
      </c>
      <c r="C4983" s="10" t="s">
        <v>54</v>
      </c>
      <c r="D4983" s="11">
        <v>15.403573629081947</v>
      </c>
      <c r="E4983" s="12">
        <f t="shared" si="77"/>
        <v>46421</v>
      </c>
    </row>
    <row r="4984" spans="1:5" x14ac:dyDescent="0.25">
      <c r="A4984" s="2">
        <f>IF(B4984="","",SUBTOTAL(3,$B$2:B4984))</f>
        <v>4983</v>
      </c>
      <c r="B4984" s="9" t="s">
        <v>50</v>
      </c>
      <c r="C4984" s="10" t="s">
        <v>52</v>
      </c>
      <c r="D4984" s="11">
        <v>88.183421516754848</v>
      </c>
      <c r="E4984" s="12">
        <f t="shared" si="77"/>
        <v>46422</v>
      </c>
    </row>
    <row r="4985" spans="1:5" x14ac:dyDescent="0.25">
      <c r="A4985" s="2">
        <f>IF(B4985="","",SUBTOTAL(3,$B$2:B4985))</f>
        <v>4984</v>
      </c>
      <c r="B4985" s="9" t="s">
        <v>48</v>
      </c>
      <c r="C4985" s="10" t="s">
        <v>49</v>
      </c>
      <c r="D4985" s="11">
        <v>25.696041524803107</v>
      </c>
      <c r="E4985" s="12">
        <f t="shared" si="77"/>
        <v>46423</v>
      </c>
    </row>
    <row r="4986" spans="1:5" x14ac:dyDescent="0.25">
      <c r="A4986" s="2">
        <f>IF(B4986="","",SUBTOTAL(3,$B$2:B4986))</f>
        <v>4985</v>
      </c>
      <c r="B4986" s="9" t="s">
        <v>53</v>
      </c>
      <c r="C4986" s="10" t="s">
        <v>54</v>
      </c>
      <c r="D4986" s="11">
        <v>412.13697601362799</v>
      </c>
      <c r="E4986" s="12">
        <f t="shared" si="77"/>
        <v>46424</v>
      </c>
    </row>
    <row r="4987" spans="1:5" x14ac:dyDescent="0.25">
      <c r="A4987" s="2">
        <f>IF(B4987="","",SUBTOTAL(3,$B$2:B4987))</f>
        <v>4986</v>
      </c>
      <c r="B4987" s="9" t="s">
        <v>48</v>
      </c>
      <c r="C4987" s="10" t="s">
        <v>56</v>
      </c>
      <c r="D4987" s="11">
        <v>13.788348845225784</v>
      </c>
      <c r="E4987" s="12">
        <f t="shared" si="77"/>
        <v>46425</v>
      </c>
    </row>
    <row r="4988" spans="1:5" x14ac:dyDescent="0.25">
      <c r="A4988" s="2">
        <f>IF(B4988="","",SUBTOTAL(3,$B$2:B4988))</f>
        <v>4987</v>
      </c>
      <c r="B4988" s="9" t="s">
        <v>48</v>
      </c>
      <c r="C4988" s="10" t="s">
        <v>49</v>
      </c>
      <c r="D4988" s="11">
        <v>103.41261633919338</v>
      </c>
      <c r="E4988" s="12">
        <f t="shared" si="77"/>
        <v>46426</v>
      </c>
    </row>
    <row r="4989" spans="1:5" x14ac:dyDescent="0.25">
      <c r="A4989" s="2">
        <f>IF(B4989="","",SUBTOTAL(3,$B$2:B4989))</f>
        <v>4988</v>
      </c>
      <c r="B4989" s="9" t="s">
        <v>48</v>
      </c>
      <c r="C4989" s="10" t="s">
        <v>56</v>
      </c>
      <c r="D4989" s="11">
        <v>689.41744226128924</v>
      </c>
      <c r="E4989" s="12">
        <f t="shared" si="77"/>
        <v>46427</v>
      </c>
    </row>
    <row r="4990" spans="1:5" x14ac:dyDescent="0.25">
      <c r="A4990" s="2">
        <f>IF(B4990="","",SUBTOTAL(3,$B$2:B4990))</f>
        <v>4989</v>
      </c>
      <c r="B4990" s="9" t="s">
        <v>50</v>
      </c>
      <c r="C4990" s="10" t="s">
        <v>49</v>
      </c>
      <c r="D4990" s="11">
        <v>44.091710758377424</v>
      </c>
      <c r="E4990" s="12">
        <f t="shared" si="77"/>
        <v>46428</v>
      </c>
    </row>
    <row r="4991" spans="1:5" x14ac:dyDescent="0.25">
      <c r="A4991" s="2">
        <f>IF(B4991="","",SUBTOTAL(3,$B$2:B4991))</f>
        <v>4990</v>
      </c>
      <c r="B4991" s="9" t="s">
        <v>50</v>
      </c>
      <c r="C4991" s="10" t="s">
        <v>49</v>
      </c>
      <c r="D4991" s="11">
        <v>90.202557319223985</v>
      </c>
      <c r="E4991" s="12">
        <f t="shared" si="77"/>
        <v>46429</v>
      </c>
    </row>
    <row r="4992" spans="1:5" x14ac:dyDescent="0.25">
      <c r="A4992" s="2">
        <f>IF(B4992="","",SUBTOTAL(3,$B$2:B4992))</f>
        <v>4991</v>
      </c>
      <c r="B4992" s="9" t="s">
        <v>50</v>
      </c>
      <c r="C4992" s="10" t="s">
        <v>52</v>
      </c>
      <c r="D4992" s="11">
        <v>30.8641975308642</v>
      </c>
      <c r="E4992" s="12">
        <f t="shared" si="77"/>
        <v>46430</v>
      </c>
    </row>
    <row r="4993" spans="1:5" x14ac:dyDescent="0.25">
      <c r="A4993" s="2">
        <f>IF(B4993="","",SUBTOTAL(3,$B$2:B4993))</f>
        <v>4992</v>
      </c>
      <c r="B4993" s="9" t="s">
        <v>55</v>
      </c>
      <c r="C4993" s="10" t="s">
        <v>49</v>
      </c>
      <c r="D4993" s="11">
        <v>32.589212970506765</v>
      </c>
      <c r="E4993" s="12">
        <f t="shared" si="77"/>
        <v>46431</v>
      </c>
    </row>
    <row r="4994" spans="1:5" x14ac:dyDescent="0.25">
      <c r="A4994" s="2">
        <f>IF(B4994="","",SUBTOTAL(3,$B$2:B4994))</f>
        <v>4993</v>
      </c>
      <c r="B4994" s="9" t="s">
        <v>55</v>
      </c>
      <c r="C4994" s="10" t="s">
        <v>56</v>
      </c>
      <c r="D4994" s="11">
        <v>44.735997432193869</v>
      </c>
      <c r="E4994" s="12">
        <f t="shared" si="77"/>
        <v>46432</v>
      </c>
    </row>
    <row r="4995" spans="1:5" x14ac:dyDescent="0.25">
      <c r="A4995" s="2">
        <f>IF(B4995="","",SUBTOTAL(3,$B$2:B4995))</f>
        <v>4994</v>
      </c>
      <c r="B4995" s="9" t="s">
        <v>50</v>
      </c>
      <c r="C4995" s="10" t="s">
        <v>49</v>
      </c>
      <c r="D4995" s="11">
        <v>28.659611992945326</v>
      </c>
      <c r="E4995" s="12">
        <f t="shared" si="77"/>
        <v>46433</v>
      </c>
    </row>
    <row r="4996" spans="1:5" x14ac:dyDescent="0.25">
      <c r="A4996" s="2">
        <f>IF(B4996="","",SUBTOTAL(3,$B$2:B4996))</f>
        <v>4995</v>
      </c>
      <c r="B4996" s="9" t="s">
        <v>50</v>
      </c>
      <c r="C4996" s="10" t="s">
        <v>54</v>
      </c>
      <c r="D4996" s="11">
        <v>132.27513227513228</v>
      </c>
      <c r="E4996" s="12">
        <f t="shared" ref="E4996:E5059" si="78">E4995+1</f>
        <v>46434</v>
      </c>
    </row>
    <row r="4997" spans="1:5" x14ac:dyDescent="0.25">
      <c r="A4997" s="2">
        <f>IF(B4997="","",SUBTOTAL(3,$B$2:B4997))</f>
        <v>4996</v>
      </c>
      <c r="B4997" s="9" t="s">
        <v>51</v>
      </c>
      <c r="C4997" s="10" t="s">
        <v>52</v>
      </c>
      <c r="D4997" s="11">
        <v>317.69564756962825</v>
      </c>
      <c r="E4997" s="12">
        <f t="shared" si="78"/>
        <v>46435</v>
      </c>
    </row>
    <row r="4998" spans="1:5" x14ac:dyDescent="0.25">
      <c r="A4998" s="2">
        <f>IF(B4998="","",SUBTOTAL(3,$B$2:B4998))</f>
        <v>4997</v>
      </c>
      <c r="B4998" s="9" t="s">
        <v>51</v>
      </c>
      <c r="C4998" s="10" t="s">
        <v>52</v>
      </c>
      <c r="D4998" s="11">
        <v>211.79709837975219</v>
      </c>
      <c r="E4998" s="12">
        <f t="shared" si="78"/>
        <v>46436</v>
      </c>
    </row>
    <row r="4999" spans="1:5" x14ac:dyDescent="0.25">
      <c r="A4999" s="2">
        <f>IF(B4999="","",SUBTOTAL(3,$B$2:B4999))</f>
        <v>4998</v>
      </c>
      <c r="B4999" s="9" t="s">
        <v>51</v>
      </c>
      <c r="C4999" s="10" t="s">
        <v>52</v>
      </c>
      <c r="D4999" s="11">
        <v>317.69564756962825</v>
      </c>
      <c r="E4999" s="12">
        <f t="shared" si="78"/>
        <v>46437</v>
      </c>
    </row>
    <row r="5000" spans="1:5" x14ac:dyDescent="0.25">
      <c r="A5000" s="2">
        <f>IF(B5000="","",SUBTOTAL(3,$B$2:B5000))</f>
        <v>4999</v>
      </c>
      <c r="B5000" s="9" t="s">
        <v>51</v>
      </c>
      <c r="C5000" s="10" t="s">
        <v>52</v>
      </c>
      <c r="D5000" s="11">
        <v>317.69564756962825</v>
      </c>
      <c r="E5000" s="12">
        <f t="shared" si="78"/>
        <v>46438</v>
      </c>
    </row>
    <row r="5001" spans="1:5" x14ac:dyDescent="0.25">
      <c r="A5001" s="2">
        <f>IF(B5001="","",SUBTOTAL(3,$B$2:B5001))</f>
        <v>5000</v>
      </c>
      <c r="B5001" s="9" t="s">
        <v>55</v>
      </c>
      <c r="C5001" s="10" t="s">
        <v>49</v>
      </c>
      <c r="D5001" s="11">
        <v>427.75258790315684</v>
      </c>
      <c r="E5001" s="12">
        <f t="shared" si="78"/>
        <v>46439</v>
      </c>
    </row>
    <row r="5002" spans="1:5" x14ac:dyDescent="0.25">
      <c r="A5002" s="2">
        <f>IF(B5002="","",SUBTOTAL(3,$B$2:B5002))</f>
        <v>5001</v>
      </c>
      <c r="B5002" s="9" t="s">
        <v>51</v>
      </c>
      <c r="C5002" s="10" t="s">
        <v>52</v>
      </c>
      <c r="D5002" s="11">
        <v>211.79709837975219</v>
      </c>
      <c r="E5002" s="12">
        <f t="shared" si="78"/>
        <v>46440</v>
      </c>
    </row>
    <row r="5003" spans="1:5" x14ac:dyDescent="0.25">
      <c r="A5003" s="2">
        <f>IF(B5003="","",SUBTOTAL(3,$B$2:B5003))</f>
        <v>5002</v>
      </c>
      <c r="B5003" s="9" t="s">
        <v>48</v>
      </c>
      <c r="C5003" s="10" t="s">
        <v>49</v>
      </c>
      <c r="D5003" s="11">
        <v>68.941744226128904</v>
      </c>
      <c r="E5003" s="12">
        <f t="shared" si="78"/>
        <v>46441</v>
      </c>
    </row>
    <row r="5004" spans="1:5" x14ac:dyDescent="0.25">
      <c r="A5004" s="2">
        <f>IF(B5004="","",SUBTOTAL(3,$B$2:B5004))</f>
        <v>5003</v>
      </c>
      <c r="B5004" s="9" t="s">
        <v>55</v>
      </c>
      <c r="C5004" s="10" t="s">
        <v>49</v>
      </c>
      <c r="D5004" s="11">
        <v>24.687530091478092</v>
      </c>
      <c r="E5004" s="12">
        <f t="shared" si="78"/>
        <v>46442</v>
      </c>
    </row>
    <row r="5005" spans="1:5" x14ac:dyDescent="0.25">
      <c r="A5005" s="2">
        <f>IF(B5005="","",SUBTOTAL(3,$B$2:B5005))</f>
        <v>5004</v>
      </c>
      <c r="B5005" s="9" t="s">
        <v>48</v>
      </c>
      <c r="C5005" s="10" t="s">
        <v>52</v>
      </c>
      <c r="D5005" s="11">
        <v>5</v>
      </c>
      <c r="E5005" s="12">
        <f t="shared" si="78"/>
        <v>46443</v>
      </c>
    </row>
    <row r="5006" spans="1:5" x14ac:dyDescent="0.25">
      <c r="A5006" s="2">
        <f>IF(B5006="","",SUBTOTAL(3,$B$2:B5006))</f>
        <v>5005</v>
      </c>
      <c r="B5006" s="9" t="s">
        <v>53</v>
      </c>
      <c r="C5006" s="10" t="s">
        <v>49</v>
      </c>
      <c r="D5006" s="11">
        <v>137.37899200454268</v>
      </c>
      <c r="E5006" s="12">
        <f t="shared" si="78"/>
        <v>46444</v>
      </c>
    </row>
    <row r="5007" spans="1:5" x14ac:dyDescent="0.25">
      <c r="A5007" s="2">
        <f>IF(B5007="","",SUBTOTAL(3,$B$2:B5007))</f>
        <v>5006</v>
      </c>
      <c r="B5007" s="9" t="s">
        <v>55</v>
      </c>
      <c r="C5007" s="10" t="s">
        <v>54</v>
      </c>
      <c r="D5007" s="11">
        <v>70</v>
      </c>
      <c r="E5007" s="12">
        <f t="shared" si="78"/>
        <v>46445</v>
      </c>
    </row>
    <row r="5008" spans="1:5" x14ac:dyDescent="0.25">
      <c r="A5008" s="2">
        <f>IF(B5008="","",SUBTOTAL(3,$B$2:B5008))</f>
        <v>5007</v>
      </c>
      <c r="B5008" s="9" t="s">
        <v>55</v>
      </c>
      <c r="C5008" s="10" t="s">
        <v>54</v>
      </c>
      <c r="D5008" s="11">
        <v>100</v>
      </c>
      <c r="E5008" s="12">
        <f t="shared" si="78"/>
        <v>46446</v>
      </c>
    </row>
    <row r="5009" spans="1:5" x14ac:dyDescent="0.25">
      <c r="A5009" s="2">
        <f>IF(B5009="","",SUBTOTAL(3,$B$2:B5009))</f>
        <v>5008</v>
      </c>
      <c r="B5009" s="9" t="s">
        <v>50</v>
      </c>
      <c r="C5009" s="10" t="s">
        <v>49</v>
      </c>
      <c r="D5009" s="11">
        <v>22.707231040564373</v>
      </c>
      <c r="E5009" s="12">
        <f t="shared" si="78"/>
        <v>46447</v>
      </c>
    </row>
    <row r="5010" spans="1:5" x14ac:dyDescent="0.25">
      <c r="A5010" s="2">
        <f>IF(B5010="","",SUBTOTAL(3,$B$2:B5010))</f>
        <v>5009</v>
      </c>
      <c r="B5010" s="9" t="s">
        <v>50</v>
      </c>
      <c r="C5010" s="10" t="s">
        <v>49</v>
      </c>
      <c r="D5010" s="11">
        <v>587.60515873015868</v>
      </c>
      <c r="E5010" s="12">
        <f t="shared" si="78"/>
        <v>46448</v>
      </c>
    </row>
    <row r="5011" spans="1:5" x14ac:dyDescent="0.25">
      <c r="A5011" s="2">
        <f>IF(B5011="","",SUBTOTAL(3,$B$2:B5011))</f>
        <v>5010</v>
      </c>
      <c r="B5011" s="9" t="s">
        <v>50</v>
      </c>
      <c r="C5011" s="10" t="s">
        <v>52</v>
      </c>
      <c r="D5011" s="11">
        <v>26.455026455026456</v>
      </c>
      <c r="E5011" s="12">
        <f t="shared" si="78"/>
        <v>46449</v>
      </c>
    </row>
    <row r="5012" spans="1:5" x14ac:dyDescent="0.25">
      <c r="A5012" s="2">
        <f>IF(B5012="","",SUBTOTAL(3,$B$2:B5012))</f>
        <v>5011</v>
      </c>
      <c r="B5012" s="9" t="s">
        <v>50</v>
      </c>
      <c r="C5012" s="10" t="s">
        <v>49</v>
      </c>
      <c r="D5012" s="11">
        <v>97.976190476190467</v>
      </c>
      <c r="E5012" s="12">
        <f t="shared" si="78"/>
        <v>46450</v>
      </c>
    </row>
    <row r="5013" spans="1:5" x14ac:dyDescent="0.25">
      <c r="A5013" s="2">
        <f>IF(B5013="","",SUBTOTAL(3,$B$2:B5013))</f>
        <v>5012</v>
      </c>
      <c r="B5013" s="9" t="s">
        <v>48</v>
      </c>
      <c r="C5013" s="10" t="s">
        <v>54</v>
      </c>
      <c r="D5013" s="11">
        <v>4.621072088724584</v>
      </c>
      <c r="E5013" s="12">
        <f t="shared" si="78"/>
        <v>46451</v>
      </c>
    </row>
    <row r="5014" spans="1:5" x14ac:dyDescent="0.25">
      <c r="A5014" s="2">
        <f>IF(B5014="","",SUBTOTAL(3,$B$2:B5014))</f>
        <v>5013</v>
      </c>
      <c r="B5014" s="9" t="s">
        <v>48</v>
      </c>
      <c r="C5014" s="10" t="s">
        <v>49</v>
      </c>
      <c r="D5014" s="11">
        <v>46.210720887245841</v>
      </c>
      <c r="E5014" s="12">
        <f t="shared" si="78"/>
        <v>46452</v>
      </c>
    </row>
    <row r="5015" spans="1:5" x14ac:dyDescent="0.25">
      <c r="A5015" s="2">
        <f>IF(B5015="","",SUBTOTAL(3,$B$2:B5015))</f>
        <v>5014</v>
      </c>
      <c r="B5015" s="9" t="s">
        <v>48</v>
      </c>
      <c r="C5015" s="10" t="s">
        <v>52</v>
      </c>
      <c r="D5015" s="11">
        <v>154.03573629081947</v>
      </c>
      <c r="E5015" s="12">
        <f t="shared" si="78"/>
        <v>46453</v>
      </c>
    </row>
    <row r="5016" spans="1:5" x14ac:dyDescent="0.25">
      <c r="A5016" s="2">
        <f>IF(B5016="","",SUBTOTAL(3,$B$2:B5016))</f>
        <v>5015</v>
      </c>
      <c r="B5016" s="9" t="s">
        <v>48</v>
      </c>
      <c r="C5016" s="10" t="s">
        <v>52</v>
      </c>
      <c r="D5016" s="11">
        <v>154.03573629081947</v>
      </c>
      <c r="E5016" s="12">
        <f t="shared" si="78"/>
        <v>46454</v>
      </c>
    </row>
    <row r="5017" spans="1:5" x14ac:dyDescent="0.25">
      <c r="A5017" s="2">
        <f>IF(B5017="","",SUBTOTAL(3,$B$2:B5017))</f>
        <v>5016</v>
      </c>
      <c r="B5017" s="9" t="s">
        <v>51</v>
      </c>
      <c r="C5017" s="10" t="s">
        <v>52</v>
      </c>
      <c r="D5017" s="11">
        <v>105.79688658265381</v>
      </c>
      <c r="E5017" s="12">
        <f t="shared" si="78"/>
        <v>46455</v>
      </c>
    </row>
    <row r="5018" spans="1:5" x14ac:dyDescent="0.25">
      <c r="A5018" s="2">
        <f>IF(B5018="","",SUBTOTAL(3,$B$2:B5018))</f>
        <v>5017</v>
      </c>
      <c r="B5018" s="9" t="s">
        <v>48</v>
      </c>
      <c r="C5018" s="10" t="s">
        <v>52</v>
      </c>
      <c r="D5018" s="11">
        <v>385.08934072704869</v>
      </c>
      <c r="E5018" s="12">
        <f t="shared" si="78"/>
        <v>46456</v>
      </c>
    </row>
    <row r="5019" spans="1:5" x14ac:dyDescent="0.25">
      <c r="A5019" s="2">
        <f>IF(B5019="","",SUBTOTAL(3,$B$2:B5019))</f>
        <v>5018</v>
      </c>
      <c r="B5019" s="9" t="s">
        <v>48</v>
      </c>
      <c r="C5019" s="10" t="s">
        <v>49</v>
      </c>
      <c r="D5019" s="11">
        <v>61.614294516327789</v>
      </c>
      <c r="E5019" s="12">
        <f t="shared" si="78"/>
        <v>46457</v>
      </c>
    </row>
    <row r="5020" spans="1:5" x14ac:dyDescent="0.25">
      <c r="A5020" s="2">
        <f>IF(B5020="","",SUBTOTAL(3,$B$2:B5020))</f>
        <v>5019</v>
      </c>
      <c r="B5020" s="9" t="s">
        <v>48</v>
      </c>
      <c r="C5020" s="10" t="s">
        <v>56</v>
      </c>
      <c r="D5020" s="11">
        <v>27.576697690451567</v>
      </c>
      <c r="E5020" s="12">
        <f t="shared" si="78"/>
        <v>46458</v>
      </c>
    </row>
    <row r="5021" spans="1:5" x14ac:dyDescent="0.25">
      <c r="A5021" s="2">
        <f>IF(B5021="","",SUBTOTAL(3,$B$2:B5021))</f>
        <v>5020</v>
      </c>
      <c r="B5021" s="9" t="s">
        <v>48</v>
      </c>
      <c r="C5021" s="10" t="s">
        <v>49</v>
      </c>
      <c r="D5021" s="11">
        <v>20.682523267838675</v>
      </c>
      <c r="E5021" s="12">
        <f t="shared" si="78"/>
        <v>46459</v>
      </c>
    </row>
    <row r="5022" spans="1:5" x14ac:dyDescent="0.25">
      <c r="A5022" s="2">
        <f>IF(B5022="","",SUBTOTAL(3,$B$2:B5022))</f>
        <v>5021</v>
      </c>
      <c r="B5022" s="9" t="s">
        <v>51</v>
      </c>
      <c r="C5022" s="10" t="s">
        <v>49</v>
      </c>
      <c r="D5022" s="11">
        <v>529.49274594938049</v>
      </c>
      <c r="E5022" s="12">
        <f t="shared" si="78"/>
        <v>46460</v>
      </c>
    </row>
    <row r="5023" spans="1:5" x14ac:dyDescent="0.25">
      <c r="A5023" s="2">
        <f>IF(B5023="","",SUBTOTAL(3,$B$2:B5023))</f>
        <v>5022</v>
      </c>
      <c r="B5023" s="9" t="s">
        <v>53</v>
      </c>
      <c r="C5023" s="10" t="s">
        <v>49</v>
      </c>
      <c r="D5023" s="11">
        <v>59.530896535301828</v>
      </c>
      <c r="E5023" s="12">
        <f t="shared" si="78"/>
        <v>46461</v>
      </c>
    </row>
    <row r="5024" spans="1:5" x14ac:dyDescent="0.25">
      <c r="A5024" s="2">
        <f>IF(B5024="","",SUBTOTAL(3,$B$2:B5024))</f>
        <v>5023</v>
      </c>
      <c r="B5024" s="9" t="s">
        <v>48</v>
      </c>
      <c r="C5024" s="10" t="s">
        <v>49</v>
      </c>
      <c r="D5024" s="11">
        <v>24.129610479145121</v>
      </c>
      <c r="E5024" s="12">
        <f t="shared" si="78"/>
        <v>46462</v>
      </c>
    </row>
    <row r="5025" spans="1:5" x14ac:dyDescent="0.25">
      <c r="A5025" s="2">
        <f>IF(B5025="","",SUBTOTAL(3,$B$2:B5025))</f>
        <v>5024</v>
      </c>
      <c r="B5025" s="9" t="s">
        <v>48</v>
      </c>
      <c r="C5025" s="10" t="s">
        <v>49</v>
      </c>
      <c r="D5025" s="11">
        <v>68.941744226128904</v>
      </c>
      <c r="E5025" s="12">
        <f t="shared" si="78"/>
        <v>46463</v>
      </c>
    </row>
    <row r="5026" spans="1:5" x14ac:dyDescent="0.25">
      <c r="A5026" s="2">
        <f>IF(B5026="","",SUBTOTAL(3,$B$2:B5026))</f>
        <v>5025</v>
      </c>
      <c r="B5026" s="9" t="s">
        <v>48</v>
      </c>
      <c r="C5026" s="10" t="s">
        <v>49</v>
      </c>
      <c r="D5026" s="11">
        <v>68.941744226128904</v>
      </c>
      <c r="E5026" s="12">
        <f t="shared" si="78"/>
        <v>46464</v>
      </c>
    </row>
    <row r="5027" spans="1:5" x14ac:dyDescent="0.25">
      <c r="A5027" s="2">
        <f>IF(B5027="","",SUBTOTAL(3,$B$2:B5027))</f>
        <v>5026</v>
      </c>
      <c r="B5027" s="9" t="s">
        <v>48</v>
      </c>
      <c r="C5027" s="10" t="s">
        <v>49</v>
      </c>
      <c r="D5027" s="11">
        <v>68.941744226128904</v>
      </c>
      <c r="E5027" s="12">
        <f t="shared" si="78"/>
        <v>46465</v>
      </c>
    </row>
    <row r="5028" spans="1:5" x14ac:dyDescent="0.25">
      <c r="A5028" s="2">
        <f>IF(B5028="","",SUBTOTAL(3,$B$2:B5028))</f>
        <v>5027</v>
      </c>
      <c r="B5028" s="9" t="s">
        <v>48</v>
      </c>
      <c r="C5028" s="10" t="s">
        <v>49</v>
      </c>
      <c r="D5028" s="11">
        <v>46.144260599793178</v>
      </c>
      <c r="E5028" s="12">
        <f t="shared" si="78"/>
        <v>46466</v>
      </c>
    </row>
    <row r="5029" spans="1:5" x14ac:dyDescent="0.25">
      <c r="A5029" s="2">
        <f>IF(B5029="","",SUBTOTAL(3,$B$2:B5029))</f>
        <v>5028</v>
      </c>
      <c r="B5029" s="9" t="s">
        <v>53</v>
      </c>
      <c r="C5029" s="10" t="s">
        <v>54</v>
      </c>
      <c r="D5029" s="11">
        <v>115.39835328381585</v>
      </c>
      <c r="E5029" s="12">
        <f t="shared" si="78"/>
        <v>46467</v>
      </c>
    </row>
    <row r="5030" spans="1:5" x14ac:dyDescent="0.25">
      <c r="A5030" s="2">
        <f>IF(B5030="","",SUBTOTAL(3,$B$2:B5030))</f>
        <v>5029</v>
      </c>
      <c r="B5030" s="9" t="s">
        <v>53</v>
      </c>
      <c r="C5030" s="10" t="s">
        <v>54</v>
      </c>
      <c r="D5030" s="11">
        <v>36.63439786787805</v>
      </c>
      <c r="E5030" s="12">
        <f t="shared" si="78"/>
        <v>46468</v>
      </c>
    </row>
    <row r="5031" spans="1:5" x14ac:dyDescent="0.25">
      <c r="A5031" s="2">
        <f>IF(B5031="","",SUBTOTAL(3,$B$2:B5031))</f>
        <v>5030</v>
      </c>
      <c r="B5031" s="9" t="s">
        <v>53</v>
      </c>
      <c r="C5031" s="10" t="s">
        <v>54</v>
      </c>
      <c r="D5031" s="11">
        <v>36.63439786787805</v>
      </c>
      <c r="E5031" s="12">
        <f t="shared" si="78"/>
        <v>46469</v>
      </c>
    </row>
    <row r="5032" spans="1:5" x14ac:dyDescent="0.25">
      <c r="A5032" s="2">
        <f>IF(B5032="","",SUBTOTAL(3,$B$2:B5032))</f>
        <v>5031</v>
      </c>
      <c r="B5032" s="9" t="s">
        <v>50</v>
      </c>
      <c r="C5032" s="10" t="s">
        <v>52</v>
      </c>
      <c r="D5032" s="11">
        <v>55.114638447971785</v>
      </c>
      <c r="E5032" s="12">
        <f t="shared" si="78"/>
        <v>46470</v>
      </c>
    </row>
    <row r="5033" spans="1:5" x14ac:dyDescent="0.25">
      <c r="A5033" s="2">
        <f>IF(B5033="","",SUBTOTAL(3,$B$2:B5033))</f>
        <v>5032</v>
      </c>
      <c r="B5033" s="9" t="s">
        <v>50</v>
      </c>
      <c r="C5033" s="10" t="s">
        <v>57</v>
      </c>
      <c r="D5033" s="11">
        <v>165.34391534391534</v>
      </c>
      <c r="E5033" s="12">
        <f t="shared" si="78"/>
        <v>46471</v>
      </c>
    </row>
    <row r="5034" spans="1:5" x14ac:dyDescent="0.25">
      <c r="A5034" s="2">
        <f>IF(B5034="","",SUBTOTAL(3,$B$2:B5034))</f>
        <v>5033</v>
      </c>
      <c r="B5034" s="9" t="s">
        <v>50</v>
      </c>
      <c r="C5034" s="10" t="s">
        <v>52</v>
      </c>
      <c r="D5034" s="11">
        <v>88.183421516754848</v>
      </c>
      <c r="E5034" s="12">
        <f t="shared" si="78"/>
        <v>46472</v>
      </c>
    </row>
    <row r="5035" spans="1:5" x14ac:dyDescent="0.25">
      <c r="A5035" s="2">
        <f>IF(B5035="","",SUBTOTAL(3,$B$2:B5035))</f>
        <v>5034</v>
      </c>
      <c r="B5035" s="9" t="s">
        <v>48</v>
      </c>
      <c r="C5035" s="10" t="s">
        <v>49</v>
      </c>
      <c r="D5035" s="11">
        <v>77.088124574409321</v>
      </c>
      <c r="E5035" s="12">
        <f t="shared" si="78"/>
        <v>46473</v>
      </c>
    </row>
    <row r="5036" spans="1:5" x14ac:dyDescent="0.25">
      <c r="A5036" s="2">
        <f>IF(B5036="","",SUBTOTAL(3,$B$2:B5036))</f>
        <v>5035</v>
      </c>
      <c r="B5036" s="9" t="s">
        <v>55</v>
      </c>
      <c r="C5036" s="10" t="s">
        <v>52</v>
      </c>
      <c r="D5036" s="11">
        <v>41.08</v>
      </c>
      <c r="E5036" s="12">
        <f t="shared" si="78"/>
        <v>46474</v>
      </c>
    </row>
    <row r="5037" spans="1:5" x14ac:dyDescent="0.25">
      <c r="A5037" s="2">
        <f>IF(B5037="","",SUBTOTAL(3,$B$2:B5037))</f>
        <v>5036</v>
      </c>
      <c r="B5037" s="9" t="s">
        <v>48</v>
      </c>
      <c r="C5037" s="10" t="s">
        <v>52</v>
      </c>
      <c r="D5037" s="11">
        <v>15.403573629081947</v>
      </c>
      <c r="E5037" s="12">
        <f t="shared" si="78"/>
        <v>46475</v>
      </c>
    </row>
    <row r="5038" spans="1:5" x14ac:dyDescent="0.25">
      <c r="A5038" s="2">
        <f>IF(B5038="","",SUBTOTAL(3,$B$2:B5038))</f>
        <v>5037</v>
      </c>
      <c r="B5038" s="9" t="s">
        <v>50</v>
      </c>
      <c r="C5038" s="10" t="s">
        <v>54</v>
      </c>
      <c r="D5038" s="11">
        <v>13.227513227513228</v>
      </c>
      <c r="E5038" s="12">
        <f t="shared" si="78"/>
        <v>46476</v>
      </c>
    </row>
    <row r="5039" spans="1:5" x14ac:dyDescent="0.25">
      <c r="A5039" s="2">
        <f>IF(B5039="","",SUBTOTAL(3,$B$2:B5039))</f>
        <v>5038</v>
      </c>
      <c r="B5039" s="9" t="s">
        <v>50</v>
      </c>
      <c r="C5039" s="10" t="s">
        <v>52</v>
      </c>
      <c r="D5039" s="11">
        <v>33.06878306878307</v>
      </c>
      <c r="E5039" s="12">
        <f t="shared" si="78"/>
        <v>46477</v>
      </c>
    </row>
    <row r="5040" spans="1:5" x14ac:dyDescent="0.25">
      <c r="A5040" s="2">
        <f>IF(B5040="","",SUBTOTAL(3,$B$2:B5040))</f>
        <v>5039</v>
      </c>
      <c r="B5040" s="9" t="s">
        <v>55</v>
      </c>
      <c r="C5040" s="10" t="s">
        <v>49</v>
      </c>
      <c r="D5040" s="11">
        <v>98.712135669959252</v>
      </c>
      <c r="E5040" s="12">
        <f t="shared" si="78"/>
        <v>46478</v>
      </c>
    </row>
    <row r="5041" spans="1:5" x14ac:dyDescent="0.25">
      <c r="A5041" s="2">
        <f>IF(B5041="","",SUBTOTAL(3,$B$2:B5041))</f>
        <v>5040</v>
      </c>
      <c r="B5041" s="9" t="s">
        <v>48</v>
      </c>
      <c r="C5041" s="10" t="s">
        <v>49</v>
      </c>
      <c r="D5041" s="11">
        <v>15.403573629081947</v>
      </c>
      <c r="E5041" s="12">
        <f t="shared" si="78"/>
        <v>46479</v>
      </c>
    </row>
    <row r="5042" spans="1:5" x14ac:dyDescent="0.25">
      <c r="A5042" s="2">
        <f>IF(B5042="","",SUBTOTAL(3,$B$2:B5042))</f>
        <v>5041</v>
      </c>
      <c r="B5042" s="9" t="s">
        <v>50</v>
      </c>
      <c r="C5042" s="10" t="s">
        <v>49</v>
      </c>
      <c r="D5042" s="11">
        <v>66.137566137566139</v>
      </c>
      <c r="E5042" s="12">
        <f t="shared" si="78"/>
        <v>46480</v>
      </c>
    </row>
    <row r="5043" spans="1:5" x14ac:dyDescent="0.25">
      <c r="A5043" s="2">
        <f>IF(B5043="","",SUBTOTAL(3,$B$2:B5043))</f>
        <v>5042</v>
      </c>
      <c r="B5043" s="9" t="s">
        <v>50</v>
      </c>
      <c r="C5043" s="10" t="s">
        <v>49</v>
      </c>
      <c r="D5043" s="11">
        <v>44.091710758377424</v>
      </c>
      <c r="E5043" s="12">
        <f t="shared" si="78"/>
        <v>46481</v>
      </c>
    </row>
    <row r="5044" spans="1:5" x14ac:dyDescent="0.25">
      <c r="A5044" s="2">
        <f>IF(B5044="","",SUBTOTAL(3,$B$2:B5044))</f>
        <v>5043</v>
      </c>
      <c r="B5044" s="9" t="s">
        <v>50</v>
      </c>
      <c r="C5044" s="10" t="s">
        <v>52</v>
      </c>
      <c r="D5044" s="11">
        <v>165.34391534391534</v>
      </c>
      <c r="E5044" s="12">
        <f t="shared" si="78"/>
        <v>46482</v>
      </c>
    </row>
    <row r="5045" spans="1:5" x14ac:dyDescent="0.25">
      <c r="A5045" s="2">
        <f>IF(B5045="","",SUBTOTAL(3,$B$2:B5045))</f>
        <v>5044</v>
      </c>
      <c r="B5045" s="9" t="s">
        <v>55</v>
      </c>
      <c r="C5045" s="10" t="s">
        <v>52</v>
      </c>
      <c r="D5045" s="11">
        <v>14.907837552258007</v>
      </c>
      <c r="E5045" s="12">
        <f t="shared" si="78"/>
        <v>46483</v>
      </c>
    </row>
    <row r="5046" spans="1:5" x14ac:dyDescent="0.25">
      <c r="A5046" s="2">
        <f>IF(B5046="","",SUBTOTAL(3,$B$2:B5046))</f>
        <v>5045</v>
      </c>
      <c r="B5046" s="9" t="s">
        <v>55</v>
      </c>
      <c r="C5046" s="10" t="s">
        <v>52</v>
      </c>
      <c r="D5046" s="11">
        <v>5.6170759107687376</v>
      </c>
      <c r="E5046" s="12">
        <f t="shared" si="78"/>
        <v>46484</v>
      </c>
    </row>
    <row r="5047" spans="1:5" x14ac:dyDescent="0.25">
      <c r="A5047" s="2">
        <f>IF(B5047="","",SUBTOTAL(3,$B$2:B5047))</f>
        <v>5046</v>
      </c>
      <c r="B5047" s="9" t="s">
        <v>55</v>
      </c>
      <c r="C5047" s="10" t="s">
        <v>52</v>
      </c>
      <c r="D5047" s="11">
        <v>22.970551752653101</v>
      </c>
      <c r="E5047" s="12">
        <f t="shared" si="78"/>
        <v>46485</v>
      </c>
    </row>
    <row r="5048" spans="1:5" x14ac:dyDescent="0.25">
      <c r="A5048" s="2">
        <f>IF(B5048="","",SUBTOTAL(3,$B$2:B5048))</f>
        <v>5047</v>
      </c>
      <c r="B5048" s="9" t="s">
        <v>51</v>
      </c>
      <c r="C5048" s="10" t="s">
        <v>52</v>
      </c>
      <c r="D5048" s="11">
        <v>14.296304140633271</v>
      </c>
      <c r="E5048" s="12">
        <f t="shared" si="78"/>
        <v>46486</v>
      </c>
    </row>
    <row r="5049" spans="1:5" x14ac:dyDescent="0.25">
      <c r="A5049" s="2">
        <f>IF(B5049="","",SUBTOTAL(3,$B$2:B5049))</f>
        <v>5048</v>
      </c>
      <c r="B5049" s="9" t="s">
        <v>48</v>
      </c>
      <c r="C5049" s="10" t="s">
        <v>54</v>
      </c>
      <c r="D5049" s="11">
        <v>115.63218686161397</v>
      </c>
      <c r="E5049" s="12">
        <f t="shared" si="78"/>
        <v>46487</v>
      </c>
    </row>
    <row r="5050" spans="1:5" x14ac:dyDescent="0.25">
      <c r="A5050" s="2">
        <f>IF(B5050="","",SUBTOTAL(3,$B$2:B5050))</f>
        <v>5049</v>
      </c>
      <c r="B5050" s="9" t="s">
        <v>48</v>
      </c>
      <c r="C5050" s="10" t="s">
        <v>52</v>
      </c>
      <c r="D5050" s="11">
        <v>128.48020762401552</v>
      </c>
      <c r="E5050" s="12">
        <f t="shared" si="78"/>
        <v>46488</v>
      </c>
    </row>
    <row r="5051" spans="1:5" x14ac:dyDescent="0.25">
      <c r="A5051" s="2">
        <f>IF(B5051="","",SUBTOTAL(3,$B$2:B5051))</f>
        <v>5050</v>
      </c>
      <c r="B5051" s="9" t="s">
        <v>55</v>
      </c>
      <c r="C5051" s="10" t="s">
        <v>54</v>
      </c>
      <c r="D5051" s="11">
        <v>2.1633766650617878</v>
      </c>
      <c r="E5051" s="12">
        <f t="shared" si="78"/>
        <v>46489</v>
      </c>
    </row>
    <row r="5052" spans="1:5" x14ac:dyDescent="0.25">
      <c r="A5052" s="2">
        <f>IF(B5052="","",SUBTOTAL(3,$B$2:B5052))</f>
        <v>5051</v>
      </c>
      <c r="B5052" s="9" t="s">
        <v>53</v>
      </c>
      <c r="C5052" s="10" t="s">
        <v>54</v>
      </c>
      <c r="D5052" s="11">
        <v>274.75798400908536</v>
      </c>
      <c r="E5052" s="12">
        <f t="shared" si="78"/>
        <v>46490</v>
      </c>
    </row>
    <row r="5053" spans="1:5" x14ac:dyDescent="0.25">
      <c r="A5053" s="2">
        <f>IF(B5053="","",SUBTOTAL(3,$B$2:B5053))</f>
        <v>5052</v>
      </c>
      <c r="B5053" s="9" t="s">
        <v>50</v>
      </c>
      <c r="C5053" s="10" t="s">
        <v>49</v>
      </c>
      <c r="D5053" s="11">
        <v>32.42398589065256</v>
      </c>
      <c r="E5053" s="12">
        <f t="shared" si="78"/>
        <v>46491</v>
      </c>
    </row>
    <row r="5054" spans="1:5" x14ac:dyDescent="0.25">
      <c r="A5054" s="2">
        <f>IF(B5054="","",SUBTOTAL(3,$B$2:B5054))</f>
        <v>5053</v>
      </c>
      <c r="B5054" s="9" t="s">
        <v>50</v>
      </c>
      <c r="C5054" s="10" t="s">
        <v>52</v>
      </c>
      <c r="D5054" s="11">
        <v>77.160493827160494</v>
      </c>
      <c r="E5054" s="12">
        <f t="shared" si="78"/>
        <v>46492</v>
      </c>
    </row>
    <row r="5055" spans="1:5" x14ac:dyDescent="0.25">
      <c r="A5055" s="2">
        <f>IF(B5055="","",SUBTOTAL(3,$B$2:B5055))</f>
        <v>5054</v>
      </c>
      <c r="B5055" s="9" t="s">
        <v>55</v>
      </c>
      <c r="C5055" s="10" t="s">
        <v>49</v>
      </c>
      <c r="D5055" s="11">
        <v>20.106240834283852</v>
      </c>
      <c r="E5055" s="12">
        <f t="shared" si="78"/>
        <v>46493</v>
      </c>
    </row>
    <row r="5056" spans="1:5" x14ac:dyDescent="0.25">
      <c r="A5056" s="2">
        <f>IF(B5056="","",SUBTOTAL(3,$B$2:B5056))</f>
        <v>5055</v>
      </c>
      <c r="B5056" s="9" t="s">
        <v>51</v>
      </c>
      <c r="C5056" s="10" t="s">
        <v>52</v>
      </c>
      <c r="D5056" s="11">
        <v>16.20614212786646</v>
      </c>
      <c r="E5056" s="12">
        <f t="shared" si="78"/>
        <v>46494</v>
      </c>
    </row>
    <row r="5057" spans="1:5" x14ac:dyDescent="0.25">
      <c r="A5057" s="2">
        <f>IF(B5057="","",SUBTOTAL(3,$B$2:B5057))</f>
        <v>5056</v>
      </c>
      <c r="B5057" s="9" t="s">
        <v>48</v>
      </c>
      <c r="C5057" s="10" t="s">
        <v>52</v>
      </c>
      <c r="D5057" s="11">
        <v>25.696041524803107</v>
      </c>
      <c r="E5057" s="12">
        <f t="shared" si="78"/>
        <v>46495</v>
      </c>
    </row>
    <row r="5058" spans="1:5" x14ac:dyDescent="0.25">
      <c r="A5058" s="2">
        <f>IF(B5058="","",SUBTOTAL(3,$B$2:B5058))</f>
        <v>5057</v>
      </c>
      <c r="B5058" s="9" t="s">
        <v>50</v>
      </c>
      <c r="C5058" s="10" t="s">
        <v>49</v>
      </c>
      <c r="D5058" s="11">
        <v>110.22927689594357</v>
      </c>
      <c r="E5058" s="12">
        <f t="shared" si="78"/>
        <v>46496</v>
      </c>
    </row>
    <row r="5059" spans="1:5" x14ac:dyDescent="0.25">
      <c r="A5059" s="2">
        <f>IF(B5059="","",SUBTOTAL(3,$B$2:B5059))</f>
        <v>5058</v>
      </c>
      <c r="B5059" s="9" t="s">
        <v>51</v>
      </c>
      <c r="C5059" s="10" t="s">
        <v>52</v>
      </c>
      <c r="D5059" s="11">
        <v>42.359419675950441</v>
      </c>
      <c r="E5059" s="12">
        <f t="shared" si="78"/>
        <v>46497</v>
      </c>
    </row>
    <row r="5060" spans="1:5" x14ac:dyDescent="0.25">
      <c r="A5060" s="2">
        <f>IF(B5060="","",SUBTOTAL(3,$B$2:B5060))</f>
        <v>5059</v>
      </c>
      <c r="B5060" s="9" t="s">
        <v>50</v>
      </c>
      <c r="C5060" s="10" t="s">
        <v>54</v>
      </c>
      <c r="D5060" s="11">
        <v>12.566137566137566</v>
      </c>
      <c r="E5060" s="12">
        <f t="shared" ref="E5060:E5123" si="79">E5059+1</f>
        <v>46498</v>
      </c>
    </row>
    <row r="5061" spans="1:5" x14ac:dyDescent="0.25">
      <c r="A5061" s="2">
        <f>IF(B5061="","",SUBTOTAL(3,$B$2:B5061))</f>
        <v>5060</v>
      </c>
      <c r="B5061" s="9" t="s">
        <v>48</v>
      </c>
      <c r="C5061" s="10" t="s">
        <v>52</v>
      </c>
      <c r="D5061" s="11">
        <v>25.696041524803107</v>
      </c>
      <c r="E5061" s="12">
        <f t="shared" si="79"/>
        <v>46499</v>
      </c>
    </row>
    <row r="5062" spans="1:5" x14ac:dyDescent="0.25">
      <c r="A5062" s="2">
        <f>IF(B5062="","",SUBTOTAL(3,$B$2:B5062))</f>
        <v>5061</v>
      </c>
      <c r="B5062" s="9" t="s">
        <v>50</v>
      </c>
      <c r="C5062" s="10" t="s">
        <v>52</v>
      </c>
      <c r="D5062" s="11">
        <v>110.22927689594357</v>
      </c>
      <c r="E5062" s="12">
        <f t="shared" si="79"/>
        <v>46500</v>
      </c>
    </row>
    <row r="5063" spans="1:5" x14ac:dyDescent="0.25">
      <c r="A5063" s="2">
        <f>IF(B5063="","",SUBTOTAL(3,$B$2:B5063))</f>
        <v>5062</v>
      </c>
      <c r="B5063" s="9" t="s">
        <v>50</v>
      </c>
      <c r="C5063" s="10" t="s">
        <v>52</v>
      </c>
      <c r="D5063" s="11">
        <v>110.22927689594357</v>
      </c>
      <c r="E5063" s="12">
        <f t="shared" si="79"/>
        <v>46501</v>
      </c>
    </row>
    <row r="5064" spans="1:5" x14ac:dyDescent="0.25">
      <c r="A5064" s="2">
        <f>IF(B5064="","",SUBTOTAL(3,$B$2:B5064))</f>
        <v>5063</v>
      </c>
      <c r="B5064" s="9" t="s">
        <v>50</v>
      </c>
      <c r="C5064" s="10" t="s">
        <v>52</v>
      </c>
      <c r="D5064" s="11">
        <v>77.160493827160494</v>
      </c>
      <c r="E5064" s="12">
        <f t="shared" si="79"/>
        <v>46502</v>
      </c>
    </row>
    <row r="5065" spans="1:5" x14ac:dyDescent="0.25">
      <c r="A5065" s="2">
        <f>IF(B5065="","",SUBTOTAL(3,$B$2:B5065))</f>
        <v>5064</v>
      </c>
      <c r="B5065" s="9" t="s">
        <v>50</v>
      </c>
      <c r="C5065" s="10" t="s">
        <v>52</v>
      </c>
      <c r="D5065" s="11">
        <v>55.114638447971785</v>
      </c>
      <c r="E5065" s="12">
        <f t="shared" si="79"/>
        <v>46503</v>
      </c>
    </row>
    <row r="5066" spans="1:5" x14ac:dyDescent="0.25">
      <c r="A5066" s="2">
        <f>IF(B5066="","",SUBTOTAL(3,$B$2:B5066))</f>
        <v>5065</v>
      </c>
      <c r="B5066" s="9" t="s">
        <v>50</v>
      </c>
      <c r="C5066" s="10" t="s">
        <v>49</v>
      </c>
      <c r="D5066" s="11">
        <v>141.09347442680775</v>
      </c>
      <c r="E5066" s="12">
        <f t="shared" si="79"/>
        <v>46504</v>
      </c>
    </row>
    <row r="5067" spans="1:5" x14ac:dyDescent="0.25">
      <c r="A5067" s="2">
        <f>IF(B5067="","",SUBTOTAL(3,$B$2:B5067))</f>
        <v>5066</v>
      </c>
      <c r="B5067" s="9" t="s">
        <v>50</v>
      </c>
      <c r="C5067" s="10" t="s">
        <v>52</v>
      </c>
      <c r="D5067" s="11">
        <v>66.137566137566139</v>
      </c>
      <c r="E5067" s="12">
        <f t="shared" si="79"/>
        <v>46505</v>
      </c>
    </row>
    <row r="5068" spans="1:5" x14ac:dyDescent="0.25">
      <c r="A5068" s="2">
        <f>IF(B5068="","",SUBTOTAL(3,$B$2:B5068))</f>
        <v>5067</v>
      </c>
      <c r="B5068" s="9" t="s">
        <v>50</v>
      </c>
      <c r="C5068" s="10" t="s">
        <v>49</v>
      </c>
      <c r="D5068" s="11">
        <v>22</v>
      </c>
      <c r="E5068" s="12">
        <f t="shared" si="79"/>
        <v>46506</v>
      </c>
    </row>
    <row r="5069" spans="1:5" x14ac:dyDescent="0.25">
      <c r="A5069" s="2">
        <f>IF(B5069="","",SUBTOTAL(3,$B$2:B5069))</f>
        <v>5068</v>
      </c>
      <c r="B5069" s="9" t="s">
        <v>55</v>
      </c>
      <c r="C5069" s="10" t="s">
        <v>52</v>
      </c>
      <c r="D5069" s="11">
        <v>18.38</v>
      </c>
      <c r="E5069" s="12">
        <f t="shared" si="79"/>
        <v>46507</v>
      </c>
    </row>
    <row r="5070" spans="1:5" x14ac:dyDescent="0.25">
      <c r="A5070" s="2">
        <f>IF(B5070="","",SUBTOTAL(3,$B$2:B5070))</f>
        <v>5069</v>
      </c>
      <c r="B5070" s="9" t="s">
        <v>51</v>
      </c>
      <c r="C5070" s="10" t="s">
        <v>52</v>
      </c>
      <c r="D5070" s="11">
        <v>17.050482132728305</v>
      </c>
      <c r="E5070" s="12">
        <f t="shared" si="79"/>
        <v>46508</v>
      </c>
    </row>
    <row r="5071" spans="1:5" x14ac:dyDescent="0.25">
      <c r="A5071" s="2">
        <f>IF(B5071="","",SUBTOTAL(3,$B$2:B5071))</f>
        <v>5070</v>
      </c>
      <c r="B5071" s="9" t="s">
        <v>51</v>
      </c>
      <c r="C5071" s="10" t="s">
        <v>52</v>
      </c>
      <c r="D5071" s="11">
        <v>3.1769564756962829</v>
      </c>
      <c r="E5071" s="12">
        <f t="shared" si="79"/>
        <v>46509</v>
      </c>
    </row>
    <row r="5072" spans="1:5" x14ac:dyDescent="0.25">
      <c r="A5072" s="2">
        <f>IF(B5072="","",SUBTOTAL(3,$B$2:B5072))</f>
        <v>5071</v>
      </c>
      <c r="B5072" s="9" t="s">
        <v>50</v>
      </c>
      <c r="C5072" s="10" t="s">
        <v>49</v>
      </c>
      <c r="D5072" s="11">
        <v>110.22927689594357</v>
      </c>
      <c r="E5072" s="12">
        <f t="shared" si="79"/>
        <v>46510</v>
      </c>
    </row>
    <row r="5073" spans="1:5" x14ac:dyDescent="0.25">
      <c r="A5073" s="2">
        <f>IF(B5073="","",SUBTOTAL(3,$B$2:B5073))</f>
        <v>5072</v>
      </c>
      <c r="B5073" s="9" t="s">
        <v>51</v>
      </c>
      <c r="C5073" s="10" t="s">
        <v>56</v>
      </c>
      <c r="D5073" s="11">
        <v>21.179709837975221</v>
      </c>
      <c r="E5073" s="12">
        <f t="shared" si="79"/>
        <v>46511</v>
      </c>
    </row>
    <row r="5074" spans="1:5" x14ac:dyDescent="0.25">
      <c r="A5074" s="2">
        <f>IF(B5074="","",SUBTOTAL(3,$B$2:B5074))</f>
        <v>5073</v>
      </c>
      <c r="B5074" s="9" t="s">
        <v>51</v>
      </c>
      <c r="C5074" s="10" t="s">
        <v>52</v>
      </c>
      <c r="D5074" s="11">
        <v>74.128984432913256</v>
      </c>
      <c r="E5074" s="12">
        <f t="shared" si="79"/>
        <v>46512</v>
      </c>
    </row>
    <row r="5075" spans="1:5" x14ac:dyDescent="0.25">
      <c r="A5075" s="2">
        <f>IF(B5075="","",SUBTOTAL(3,$B$2:B5075))</f>
        <v>5074</v>
      </c>
      <c r="B5075" s="9" t="s">
        <v>51</v>
      </c>
      <c r="C5075" s="10" t="s">
        <v>52</v>
      </c>
      <c r="D5075" s="11">
        <v>105.89854918987609</v>
      </c>
      <c r="E5075" s="12">
        <f t="shared" si="79"/>
        <v>46513</v>
      </c>
    </row>
    <row r="5076" spans="1:5" x14ac:dyDescent="0.25">
      <c r="A5076" s="2">
        <f>IF(B5076="","",SUBTOTAL(3,$B$2:B5076))</f>
        <v>5075</v>
      </c>
      <c r="B5076" s="9" t="s">
        <v>50</v>
      </c>
      <c r="C5076" s="10" t="s">
        <v>52</v>
      </c>
      <c r="D5076" s="11">
        <v>22.045855379188712</v>
      </c>
      <c r="E5076" s="12">
        <f t="shared" si="79"/>
        <v>46514</v>
      </c>
    </row>
    <row r="5077" spans="1:5" x14ac:dyDescent="0.25">
      <c r="A5077" s="2">
        <f>IF(B5077="","",SUBTOTAL(3,$B$2:B5077))</f>
        <v>5076</v>
      </c>
      <c r="B5077" s="9" t="s">
        <v>50</v>
      </c>
      <c r="C5077" s="10" t="s">
        <v>52</v>
      </c>
      <c r="D5077" s="11">
        <v>88.183421516754848</v>
      </c>
      <c r="E5077" s="12">
        <f t="shared" si="79"/>
        <v>46515</v>
      </c>
    </row>
    <row r="5078" spans="1:5" x14ac:dyDescent="0.25">
      <c r="A5078" s="2">
        <f>IF(B5078="","",SUBTOTAL(3,$B$2:B5078))</f>
        <v>5077</v>
      </c>
      <c r="B5078" s="9" t="s">
        <v>50</v>
      </c>
      <c r="C5078" s="10" t="s">
        <v>54</v>
      </c>
      <c r="D5078" s="11">
        <v>110.22927689594357</v>
      </c>
      <c r="E5078" s="12">
        <f t="shared" si="79"/>
        <v>46516</v>
      </c>
    </row>
    <row r="5079" spans="1:5" x14ac:dyDescent="0.25">
      <c r="A5079" s="2">
        <f>IF(B5079="","",SUBTOTAL(3,$B$2:B5079))</f>
        <v>5078</v>
      </c>
      <c r="B5079" s="9" t="s">
        <v>50</v>
      </c>
      <c r="C5079" s="10" t="s">
        <v>49</v>
      </c>
      <c r="D5079" s="11">
        <v>194.00352733686069</v>
      </c>
      <c r="E5079" s="12">
        <f t="shared" si="79"/>
        <v>46517</v>
      </c>
    </row>
    <row r="5080" spans="1:5" x14ac:dyDescent="0.25">
      <c r="A5080" s="2">
        <f>IF(B5080="","",SUBTOTAL(3,$B$2:B5080))</f>
        <v>5079</v>
      </c>
      <c r="B5080" s="9" t="s">
        <v>51</v>
      </c>
      <c r="C5080" s="10" t="s">
        <v>52</v>
      </c>
      <c r="D5080" s="11">
        <v>52.949274594938046</v>
      </c>
      <c r="E5080" s="12">
        <f t="shared" si="79"/>
        <v>46518</v>
      </c>
    </row>
    <row r="5081" spans="1:5" x14ac:dyDescent="0.25">
      <c r="A5081" s="2">
        <f>IF(B5081="","",SUBTOTAL(3,$B$2:B5081))</f>
        <v>5080</v>
      </c>
      <c r="B5081" s="9" t="s">
        <v>55</v>
      </c>
      <c r="C5081" s="10" t="s">
        <v>52</v>
      </c>
      <c r="D5081" s="11">
        <v>22.975000000000001</v>
      </c>
      <c r="E5081" s="12">
        <f t="shared" si="79"/>
        <v>46519</v>
      </c>
    </row>
    <row r="5082" spans="1:5" x14ac:dyDescent="0.25">
      <c r="A5082" s="2">
        <f>IF(B5082="","",SUBTOTAL(3,$B$2:B5082))</f>
        <v>5081</v>
      </c>
      <c r="B5082" s="9" t="s">
        <v>50</v>
      </c>
      <c r="C5082" s="10" t="s">
        <v>54</v>
      </c>
      <c r="D5082" s="11">
        <v>154.32098765432099</v>
      </c>
      <c r="E5082" s="12">
        <f t="shared" si="79"/>
        <v>46520</v>
      </c>
    </row>
    <row r="5083" spans="1:5" x14ac:dyDescent="0.25">
      <c r="A5083" s="2">
        <f>IF(B5083="","",SUBTOTAL(3,$B$2:B5083))</f>
        <v>5082</v>
      </c>
      <c r="B5083" s="9" t="s">
        <v>50</v>
      </c>
      <c r="C5083" s="10" t="s">
        <v>49</v>
      </c>
      <c r="D5083" s="11">
        <v>22.045855379188712</v>
      </c>
      <c r="E5083" s="12">
        <f t="shared" si="79"/>
        <v>46521</v>
      </c>
    </row>
    <row r="5084" spans="1:5" x14ac:dyDescent="0.25">
      <c r="A5084" s="2">
        <f>IF(B5084="","",SUBTOTAL(3,$B$2:B5084))</f>
        <v>5083</v>
      </c>
      <c r="B5084" s="9" t="s">
        <v>55</v>
      </c>
      <c r="C5084" s="10" t="s">
        <v>49</v>
      </c>
      <c r="D5084" s="11">
        <v>75.701750356043561</v>
      </c>
      <c r="E5084" s="12">
        <f t="shared" si="79"/>
        <v>46522</v>
      </c>
    </row>
    <row r="5085" spans="1:5" x14ac:dyDescent="0.25">
      <c r="A5085" s="2">
        <f>IF(B5085="","",SUBTOTAL(3,$B$2:B5085))</f>
        <v>5084</v>
      </c>
      <c r="B5085" s="9" t="s">
        <v>50</v>
      </c>
      <c r="C5085" s="10" t="s">
        <v>52</v>
      </c>
      <c r="D5085" s="11">
        <v>2.4801587301587302</v>
      </c>
      <c r="E5085" s="12">
        <f t="shared" si="79"/>
        <v>46523</v>
      </c>
    </row>
    <row r="5086" spans="1:5" x14ac:dyDescent="0.25">
      <c r="A5086" s="2">
        <f>IF(B5086="","",SUBTOTAL(3,$B$2:B5086))</f>
        <v>5085</v>
      </c>
      <c r="B5086" s="9" t="s">
        <v>55</v>
      </c>
      <c r="C5086" s="10" t="s">
        <v>49</v>
      </c>
      <c r="D5086" s="11">
        <v>151.40350071208712</v>
      </c>
      <c r="E5086" s="12">
        <f t="shared" si="79"/>
        <v>46524</v>
      </c>
    </row>
    <row r="5087" spans="1:5" x14ac:dyDescent="0.25">
      <c r="A5087" s="2">
        <f>IF(B5087="","",SUBTOTAL(3,$B$2:B5087))</f>
        <v>5086</v>
      </c>
      <c r="B5087" s="9" t="s">
        <v>55</v>
      </c>
      <c r="C5087" s="10" t="s">
        <v>54</v>
      </c>
      <c r="D5087" s="11">
        <v>400</v>
      </c>
      <c r="E5087" s="12">
        <f t="shared" si="79"/>
        <v>46525</v>
      </c>
    </row>
    <row r="5088" spans="1:5" x14ac:dyDescent="0.25">
      <c r="A5088" s="2">
        <f>IF(B5088="","",SUBTOTAL(3,$B$2:B5088))</f>
        <v>5087</v>
      </c>
      <c r="B5088" s="9" t="s">
        <v>55</v>
      </c>
      <c r="C5088" s="10" t="s">
        <v>54</v>
      </c>
      <c r="D5088" s="11">
        <v>300</v>
      </c>
      <c r="E5088" s="12">
        <f t="shared" si="79"/>
        <v>46526</v>
      </c>
    </row>
    <row r="5089" spans="1:5" x14ac:dyDescent="0.25">
      <c r="A5089" s="2">
        <f>IF(B5089="","",SUBTOTAL(3,$B$2:B5089))</f>
        <v>5088</v>
      </c>
      <c r="B5089" s="9" t="s">
        <v>51</v>
      </c>
      <c r="C5089" s="10" t="s">
        <v>54</v>
      </c>
      <c r="D5089" s="11">
        <v>264.74637297469025</v>
      </c>
      <c r="E5089" s="12">
        <f t="shared" si="79"/>
        <v>46527</v>
      </c>
    </row>
    <row r="5090" spans="1:5" x14ac:dyDescent="0.25">
      <c r="A5090" s="2">
        <f>IF(B5090="","",SUBTOTAL(3,$B$2:B5090))</f>
        <v>5089</v>
      </c>
      <c r="B5090" s="9" t="s">
        <v>55</v>
      </c>
      <c r="C5090" s="10" t="s">
        <v>56</v>
      </c>
      <c r="D5090" s="11">
        <v>82.260113058299382</v>
      </c>
      <c r="E5090" s="12">
        <f t="shared" si="79"/>
        <v>46528</v>
      </c>
    </row>
    <row r="5091" spans="1:5" x14ac:dyDescent="0.25">
      <c r="A5091" s="2">
        <f>IF(B5091="","",SUBTOTAL(3,$B$2:B5091))</f>
        <v>5090</v>
      </c>
      <c r="B5091" s="9" t="s">
        <v>55</v>
      </c>
      <c r="C5091" s="10" t="s">
        <v>56</v>
      </c>
      <c r="D5091" s="11">
        <v>46.065663312647658</v>
      </c>
      <c r="E5091" s="12">
        <f t="shared" si="79"/>
        <v>46529</v>
      </c>
    </row>
    <row r="5092" spans="1:5" x14ac:dyDescent="0.25">
      <c r="A5092" s="2">
        <f>IF(B5092="","",SUBTOTAL(3,$B$2:B5092))</f>
        <v>5091</v>
      </c>
      <c r="B5092" s="9" t="s">
        <v>55</v>
      </c>
      <c r="C5092" s="10" t="s">
        <v>56</v>
      </c>
      <c r="D5092" s="11">
        <v>88.840922102963333</v>
      </c>
      <c r="E5092" s="12">
        <f t="shared" si="79"/>
        <v>46530</v>
      </c>
    </row>
    <row r="5093" spans="1:5" x14ac:dyDescent="0.25">
      <c r="A5093" s="2">
        <f>IF(B5093="","",SUBTOTAL(3,$B$2:B5093))</f>
        <v>5092</v>
      </c>
      <c r="B5093" s="9" t="s">
        <v>55</v>
      </c>
      <c r="C5093" s="10" t="s">
        <v>56</v>
      </c>
      <c r="D5093" s="11">
        <v>23.690912560790224</v>
      </c>
      <c r="E5093" s="12">
        <f t="shared" si="79"/>
        <v>46531</v>
      </c>
    </row>
    <row r="5094" spans="1:5" x14ac:dyDescent="0.25">
      <c r="A5094" s="2">
        <f>IF(B5094="","",SUBTOTAL(3,$B$2:B5094))</f>
        <v>5093</v>
      </c>
      <c r="B5094" s="9" t="s">
        <v>55</v>
      </c>
      <c r="C5094" s="10" t="s">
        <v>56</v>
      </c>
      <c r="D5094" s="11">
        <v>32.904045223319756</v>
      </c>
      <c r="E5094" s="12">
        <f t="shared" si="79"/>
        <v>46532</v>
      </c>
    </row>
    <row r="5095" spans="1:5" x14ac:dyDescent="0.25">
      <c r="A5095" s="2">
        <f>IF(B5095="","",SUBTOTAL(3,$B$2:B5095))</f>
        <v>5094</v>
      </c>
      <c r="B5095" s="9" t="s">
        <v>55</v>
      </c>
      <c r="C5095" s="10" t="s">
        <v>56</v>
      </c>
      <c r="D5095" s="11">
        <v>65.808090446639511</v>
      </c>
      <c r="E5095" s="12">
        <f t="shared" si="79"/>
        <v>46533</v>
      </c>
    </row>
    <row r="5096" spans="1:5" x14ac:dyDescent="0.25">
      <c r="A5096" s="2">
        <f>IF(B5096="","",SUBTOTAL(3,$B$2:B5096))</f>
        <v>5095</v>
      </c>
      <c r="B5096" s="9" t="s">
        <v>55</v>
      </c>
      <c r="C5096" s="10" t="s">
        <v>56</v>
      </c>
      <c r="D5096" s="11">
        <v>3.2904045223319756</v>
      </c>
      <c r="E5096" s="12">
        <f t="shared" si="79"/>
        <v>46534</v>
      </c>
    </row>
    <row r="5097" spans="1:5" x14ac:dyDescent="0.25">
      <c r="A5097" s="2">
        <f>IF(B5097="","",SUBTOTAL(3,$B$2:B5097))</f>
        <v>5096</v>
      </c>
      <c r="B5097" s="9" t="s">
        <v>55</v>
      </c>
      <c r="C5097" s="10" t="s">
        <v>49</v>
      </c>
      <c r="D5097" s="11">
        <v>0.9</v>
      </c>
      <c r="E5097" s="12">
        <f t="shared" si="79"/>
        <v>46535</v>
      </c>
    </row>
    <row r="5098" spans="1:5" x14ac:dyDescent="0.25">
      <c r="A5098" s="2">
        <f>IF(B5098="","",SUBTOTAL(3,$B$2:B5098))</f>
        <v>5097</v>
      </c>
      <c r="B5098" s="9" t="s">
        <v>50</v>
      </c>
      <c r="C5098" s="10" t="s">
        <v>49</v>
      </c>
      <c r="D5098" s="11">
        <v>44.091710758377424</v>
      </c>
      <c r="E5098" s="12">
        <f t="shared" si="79"/>
        <v>46536</v>
      </c>
    </row>
    <row r="5099" spans="1:5" x14ac:dyDescent="0.25">
      <c r="A5099" s="2">
        <f>IF(B5099="","",SUBTOTAL(3,$B$2:B5099))</f>
        <v>5098</v>
      </c>
      <c r="B5099" s="9" t="s">
        <v>51</v>
      </c>
      <c r="C5099" s="10" t="s">
        <v>49</v>
      </c>
      <c r="D5099" s="11">
        <v>11.6</v>
      </c>
      <c r="E5099" s="12">
        <f t="shared" si="79"/>
        <v>46537</v>
      </c>
    </row>
    <row r="5100" spans="1:5" x14ac:dyDescent="0.25">
      <c r="A5100" s="2">
        <f>IF(B5100="","",SUBTOTAL(3,$B$2:B5100))</f>
        <v>5099</v>
      </c>
      <c r="B5100" s="9" t="s">
        <v>55</v>
      </c>
      <c r="C5100" s="10" t="s">
        <v>52</v>
      </c>
      <c r="D5100" s="11">
        <v>130.35685188202706</v>
      </c>
      <c r="E5100" s="12">
        <f t="shared" si="79"/>
        <v>46538</v>
      </c>
    </row>
    <row r="5101" spans="1:5" x14ac:dyDescent="0.25">
      <c r="A5101" s="2">
        <f>IF(B5101="","",SUBTOTAL(3,$B$2:B5101))</f>
        <v>5100</v>
      </c>
      <c r="B5101" s="9" t="s">
        <v>50</v>
      </c>
      <c r="C5101" s="10" t="s">
        <v>49</v>
      </c>
      <c r="D5101" s="11">
        <v>4.409171075837742</v>
      </c>
      <c r="E5101" s="12">
        <f t="shared" si="79"/>
        <v>46539</v>
      </c>
    </row>
    <row r="5102" spans="1:5" x14ac:dyDescent="0.25">
      <c r="A5102" s="2">
        <f>IF(B5102="","",SUBTOTAL(3,$B$2:B5102))</f>
        <v>5101</v>
      </c>
      <c r="B5102" s="9" t="s">
        <v>48</v>
      </c>
      <c r="C5102" s="10" t="s">
        <v>56</v>
      </c>
      <c r="D5102" s="11">
        <v>17.235436056532226</v>
      </c>
      <c r="E5102" s="12">
        <f t="shared" si="79"/>
        <v>46540</v>
      </c>
    </row>
    <row r="5103" spans="1:5" x14ac:dyDescent="0.25">
      <c r="A5103" s="2">
        <f>IF(B5103="","",SUBTOTAL(3,$B$2:B5103))</f>
        <v>5102</v>
      </c>
      <c r="B5103" s="9" t="s">
        <v>55</v>
      </c>
      <c r="C5103" s="10" t="s">
        <v>52</v>
      </c>
      <c r="D5103" s="11">
        <v>162.94606485253382</v>
      </c>
      <c r="E5103" s="12">
        <f t="shared" si="79"/>
        <v>46541</v>
      </c>
    </row>
    <row r="5104" spans="1:5" x14ac:dyDescent="0.25">
      <c r="A5104" s="2">
        <f>IF(B5104="","",SUBTOTAL(3,$B$2:B5104))</f>
        <v>5103</v>
      </c>
      <c r="B5104" s="9" t="s">
        <v>55</v>
      </c>
      <c r="C5104" s="10" t="s">
        <v>52</v>
      </c>
      <c r="D5104" s="11">
        <v>48.883819455760147</v>
      </c>
      <c r="E5104" s="12">
        <f t="shared" si="79"/>
        <v>46542</v>
      </c>
    </row>
    <row r="5105" spans="1:5" x14ac:dyDescent="0.25">
      <c r="A5105" s="2">
        <f>IF(B5105="","",SUBTOTAL(3,$B$2:B5105))</f>
        <v>5104</v>
      </c>
      <c r="B5105" s="9" t="s">
        <v>50</v>
      </c>
      <c r="C5105" s="10" t="s">
        <v>52</v>
      </c>
      <c r="D5105" s="11">
        <v>110.22927689594357</v>
      </c>
      <c r="E5105" s="12">
        <f t="shared" si="79"/>
        <v>46543</v>
      </c>
    </row>
    <row r="5106" spans="1:5" x14ac:dyDescent="0.25">
      <c r="A5106" s="2">
        <f>IF(B5106="","",SUBTOTAL(3,$B$2:B5106))</f>
        <v>5105</v>
      </c>
      <c r="B5106" s="9" t="s">
        <v>50</v>
      </c>
      <c r="C5106" s="10" t="s">
        <v>52</v>
      </c>
      <c r="D5106" s="11">
        <v>66.137566137566139</v>
      </c>
      <c r="E5106" s="12">
        <f t="shared" si="79"/>
        <v>46544</v>
      </c>
    </row>
    <row r="5107" spans="1:5" x14ac:dyDescent="0.25">
      <c r="A5107" s="2">
        <f>IF(B5107="","",SUBTOTAL(3,$B$2:B5107))</f>
        <v>5106</v>
      </c>
      <c r="B5107" s="9" t="s">
        <v>48</v>
      </c>
      <c r="C5107" s="10" t="s">
        <v>56</v>
      </c>
      <c r="D5107" s="11">
        <v>137.88348845225781</v>
      </c>
      <c r="E5107" s="12">
        <f t="shared" si="79"/>
        <v>46545</v>
      </c>
    </row>
    <row r="5108" spans="1:5" x14ac:dyDescent="0.25">
      <c r="A5108" s="2">
        <f>IF(B5108="","",SUBTOTAL(3,$B$2:B5108))</f>
        <v>5107</v>
      </c>
      <c r="B5108" s="9" t="s">
        <v>50</v>
      </c>
      <c r="C5108" s="10" t="s">
        <v>52</v>
      </c>
      <c r="D5108" s="11">
        <v>66.137566137566139</v>
      </c>
      <c r="E5108" s="12">
        <f t="shared" si="79"/>
        <v>46546</v>
      </c>
    </row>
    <row r="5109" spans="1:5" x14ac:dyDescent="0.25">
      <c r="A5109" s="2">
        <f>IF(B5109="","",SUBTOTAL(3,$B$2:B5109))</f>
        <v>5108</v>
      </c>
      <c r="B5109" s="9" t="s">
        <v>50</v>
      </c>
      <c r="C5109" s="10" t="s">
        <v>52</v>
      </c>
      <c r="D5109" s="11">
        <v>88.183421516754848</v>
      </c>
      <c r="E5109" s="12">
        <f t="shared" si="79"/>
        <v>46547</v>
      </c>
    </row>
    <row r="5110" spans="1:5" x14ac:dyDescent="0.25">
      <c r="A5110" s="2">
        <f>IF(B5110="","",SUBTOTAL(3,$B$2:B5110))</f>
        <v>5109</v>
      </c>
      <c r="B5110" s="9" t="s">
        <v>50</v>
      </c>
      <c r="C5110" s="10" t="s">
        <v>52</v>
      </c>
      <c r="D5110" s="11">
        <v>88.183421516754848</v>
      </c>
      <c r="E5110" s="12">
        <f t="shared" si="79"/>
        <v>46548</v>
      </c>
    </row>
    <row r="5111" spans="1:5" x14ac:dyDescent="0.25">
      <c r="A5111" s="2">
        <f>IF(B5111="","",SUBTOTAL(3,$B$2:B5111))</f>
        <v>5110</v>
      </c>
      <c r="B5111" s="9" t="s">
        <v>50</v>
      </c>
      <c r="C5111" s="10" t="s">
        <v>52</v>
      </c>
      <c r="D5111" s="11">
        <v>110.22927689594357</v>
      </c>
      <c r="E5111" s="12">
        <f t="shared" si="79"/>
        <v>46549</v>
      </c>
    </row>
    <row r="5112" spans="1:5" x14ac:dyDescent="0.25">
      <c r="A5112" s="2">
        <f>IF(B5112="","",SUBTOTAL(3,$B$2:B5112))</f>
        <v>5111</v>
      </c>
      <c r="B5112" s="9" t="s">
        <v>50</v>
      </c>
      <c r="C5112" s="10" t="s">
        <v>52</v>
      </c>
      <c r="D5112" s="11">
        <v>66.137566137566139</v>
      </c>
      <c r="E5112" s="12">
        <f t="shared" si="79"/>
        <v>46550</v>
      </c>
    </row>
    <row r="5113" spans="1:5" x14ac:dyDescent="0.25">
      <c r="A5113" s="2">
        <f>IF(B5113="","",SUBTOTAL(3,$B$2:B5113))</f>
        <v>5112</v>
      </c>
      <c r="B5113" s="9" t="s">
        <v>50</v>
      </c>
      <c r="C5113" s="10" t="s">
        <v>52</v>
      </c>
      <c r="D5113" s="11">
        <v>66.137566137566139</v>
      </c>
      <c r="E5113" s="12">
        <f t="shared" si="79"/>
        <v>46551</v>
      </c>
    </row>
    <row r="5114" spans="1:5" x14ac:dyDescent="0.25">
      <c r="A5114" s="2">
        <f>IF(B5114="","",SUBTOTAL(3,$B$2:B5114))</f>
        <v>5113</v>
      </c>
      <c r="B5114" s="9" t="s">
        <v>50</v>
      </c>
      <c r="C5114" s="10" t="s">
        <v>52</v>
      </c>
      <c r="D5114" s="11">
        <v>66.137566137566139</v>
      </c>
      <c r="E5114" s="12">
        <f t="shared" si="79"/>
        <v>46552</v>
      </c>
    </row>
    <row r="5115" spans="1:5" x14ac:dyDescent="0.25">
      <c r="A5115" s="2">
        <f>IF(B5115="","",SUBTOTAL(3,$B$2:B5115))</f>
        <v>5114</v>
      </c>
      <c r="B5115" s="9" t="s">
        <v>50</v>
      </c>
      <c r="C5115" s="10" t="s">
        <v>52</v>
      </c>
      <c r="D5115" s="11">
        <v>66.137566137566139</v>
      </c>
      <c r="E5115" s="12">
        <f t="shared" si="79"/>
        <v>46553</v>
      </c>
    </row>
    <row r="5116" spans="1:5" x14ac:dyDescent="0.25">
      <c r="A5116" s="2">
        <f>IF(B5116="","",SUBTOTAL(3,$B$2:B5116))</f>
        <v>5115</v>
      </c>
      <c r="B5116" s="9" t="s">
        <v>55</v>
      </c>
      <c r="C5116" s="10" t="s">
        <v>57</v>
      </c>
      <c r="D5116" s="11">
        <v>11.243278474824834</v>
      </c>
      <c r="E5116" s="12">
        <f t="shared" si="79"/>
        <v>46554</v>
      </c>
    </row>
    <row r="5117" spans="1:5" x14ac:dyDescent="0.25">
      <c r="A5117" s="2">
        <f>IF(B5117="","",SUBTOTAL(3,$B$2:B5117))</f>
        <v>5116</v>
      </c>
      <c r="B5117" s="9" t="s">
        <v>51</v>
      </c>
      <c r="C5117" s="10" t="s">
        <v>56</v>
      </c>
      <c r="D5117" s="11">
        <v>794.23911892407068</v>
      </c>
      <c r="E5117" s="12">
        <f t="shared" si="79"/>
        <v>46555</v>
      </c>
    </row>
    <row r="5118" spans="1:5" x14ac:dyDescent="0.25">
      <c r="A5118" s="2">
        <f>IF(B5118="","",SUBTOTAL(3,$B$2:B5118))</f>
        <v>5117</v>
      </c>
      <c r="B5118" s="9" t="s">
        <v>50</v>
      </c>
      <c r="C5118" s="10" t="s">
        <v>49</v>
      </c>
      <c r="D5118" s="11">
        <v>110.22927689594357</v>
      </c>
      <c r="E5118" s="12">
        <f t="shared" si="79"/>
        <v>46556</v>
      </c>
    </row>
    <row r="5119" spans="1:5" x14ac:dyDescent="0.25">
      <c r="A5119" s="2">
        <f>IF(B5119="","",SUBTOTAL(3,$B$2:B5119))</f>
        <v>5118</v>
      </c>
      <c r="B5119" s="9" t="s">
        <v>48</v>
      </c>
      <c r="C5119" s="10" t="s">
        <v>52</v>
      </c>
      <c r="D5119" s="11">
        <v>86.177180282661155</v>
      </c>
      <c r="E5119" s="12">
        <f t="shared" si="79"/>
        <v>46557</v>
      </c>
    </row>
    <row r="5120" spans="1:5" x14ac:dyDescent="0.25">
      <c r="A5120" s="2">
        <f>IF(B5120="","",SUBTOTAL(3,$B$2:B5120))</f>
        <v>5119</v>
      </c>
      <c r="B5120" s="9" t="s">
        <v>48</v>
      </c>
      <c r="C5120" s="10" t="s">
        <v>52</v>
      </c>
      <c r="D5120" s="11">
        <v>86.177180282661155</v>
      </c>
      <c r="E5120" s="12">
        <f t="shared" si="79"/>
        <v>46558</v>
      </c>
    </row>
    <row r="5121" spans="1:5" x14ac:dyDescent="0.25">
      <c r="A5121" s="2">
        <f>IF(B5121="","",SUBTOTAL(3,$B$2:B5121))</f>
        <v>5120</v>
      </c>
      <c r="B5121" s="9" t="s">
        <v>48</v>
      </c>
      <c r="C5121" s="10" t="s">
        <v>52</v>
      </c>
      <c r="D5121" s="11">
        <v>86.177180282661155</v>
      </c>
      <c r="E5121" s="12">
        <f t="shared" si="79"/>
        <v>46559</v>
      </c>
    </row>
    <row r="5122" spans="1:5" x14ac:dyDescent="0.25">
      <c r="A5122" s="2">
        <f>IF(B5122="","",SUBTOTAL(3,$B$2:B5122))</f>
        <v>5121</v>
      </c>
      <c r="B5122" s="9" t="s">
        <v>55</v>
      </c>
      <c r="C5122" s="10" t="s">
        <v>49</v>
      </c>
      <c r="D5122" s="11">
        <v>37.850875178021781</v>
      </c>
      <c r="E5122" s="12">
        <f t="shared" si="79"/>
        <v>46560</v>
      </c>
    </row>
    <row r="5123" spans="1:5" x14ac:dyDescent="0.25">
      <c r="A5123" s="2">
        <f>IF(B5123="","",SUBTOTAL(3,$B$2:B5123))</f>
        <v>5122</v>
      </c>
      <c r="B5123" s="9" t="s">
        <v>50</v>
      </c>
      <c r="C5123" s="10" t="s">
        <v>52</v>
      </c>
      <c r="D5123" s="11">
        <v>55.114638447971785</v>
      </c>
      <c r="E5123" s="12">
        <f t="shared" si="79"/>
        <v>46561</v>
      </c>
    </row>
    <row r="5124" spans="1:5" x14ac:dyDescent="0.25">
      <c r="A5124" s="2">
        <f>IF(B5124="","",SUBTOTAL(3,$B$2:B5124))</f>
        <v>5123</v>
      </c>
      <c r="B5124" s="9" t="s">
        <v>50</v>
      </c>
      <c r="C5124" s="10" t="s">
        <v>49</v>
      </c>
      <c r="D5124" s="11">
        <v>881.83421516754856</v>
      </c>
      <c r="E5124" s="12">
        <f t="shared" ref="E5124:E5187" si="80">E5123+1</f>
        <v>46562</v>
      </c>
    </row>
    <row r="5125" spans="1:5" x14ac:dyDescent="0.25">
      <c r="A5125" s="2">
        <f>IF(B5125="","",SUBTOTAL(3,$B$2:B5125))</f>
        <v>5124</v>
      </c>
      <c r="B5125" s="9" t="s">
        <v>50</v>
      </c>
      <c r="C5125" s="10" t="s">
        <v>52</v>
      </c>
      <c r="D5125" s="11">
        <v>44.091710758377424</v>
      </c>
      <c r="E5125" s="12">
        <f t="shared" si="80"/>
        <v>46563</v>
      </c>
    </row>
    <row r="5126" spans="1:5" x14ac:dyDescent="0.25">
      <c r="A5126" s="2">
        <f>IF(B5126="","",SUBTOTAL(3,$B$2:B5126))</f>
        <v>5125</v>
      </c>
      <c r="B5126" s="9" t="s">
        <v>50</v>
      </c>
      <c r="C5126" s="10" t="s">
        <v>52</v>
      </c>
      <c r="D5126" s="11">
        <v>44.091710758377424</v>
      </c>
      <c r="E5126" s="12">
        <f t="shared" si="80"/>
        <v>46564</v>
      </c>
    </row>
    <row r="5127" spans="1:5" x14ac:dyDescent="0.25">
      <c r="A5127" s="2">
        <f>IF(B5127="","",SUBTOTAL(3,$B$2:B5127))</f>
        <v>5126</v>
      </c>
      <c r="B5127" s="9" t="s">
        <v>50</v>
      </c>
      <c r="C5127" s="10" t="s">
        <v>52</v>
      </c>
      <c r="D5127" s="11">
        <v>66.137566137566139</v>
      </c>
      <c r="E5127" s="12">
        <f t="shared" si="80"/>
        <v>46565</v>
      </c>
    </row>
    <row r="5128" spans="1:5" x14ac:dyDescent="0.25">
      <c r="A5128" s="2">
        <f>IF(B5128="","",SUBTOTAL(3,$B$2:B5128))</f>
        <v>5127</v>
      </c>
      <c r="B5128" s="9" t="s">
        <v>51</v>
      </c>
      <c r="C5128" s="10" t="s">
        <v>52</v>
      </c>
      <c r="D5128" s="11">
        <v>279.57216986127293</v>
      </c>
      <c r="E5128" s="12">
        <f t="shared" si="80"/>
        <v>46566</v>
      </c>
    </row>
    <row r="5129" spans="1:5" x14ac:dyDescent="0.25">
      <c r="A5129" s="2">
        <f>IF(B5129="","",SUBTOTAL(3,$B$2:B5129))</f>
        <v>5128</v>
      </c>
      <c r="B5129" s="9" t="s">
        <v>51</v>
      </c>
      <c r="C5129" s="10" t="s">
        <v>52</v>
      </c>
      <c r="D5129" s="11">
        <v>211.79709837975219</v>
      </c>
      <c r="E5129" s="12">
        <f t="shared" si="80"/>
        <v>46567</v>
      </c>
    </row>
    <row r="5130" spans="1:5" x14ac:dyDescent="0.25">
      <c r="A5130" s="2">
        <f>IF(B5130="","",SUBTOTAL(3,$B$2:B5130))</f>
        <v>5129</v>
      </c>
      <c r="B5130" s="9" t="s">
        <v>51</v>
      </c>
      <c r="C5130" s="10" t="s">
        <v>52</v>
      </c>
      <c r="D5130" s="11">
        <v>105.89854918987609</v>
      </c>
      <c r="E5130" s="12">
        <f t="shared" si="80"/>
        <v>46568</v>
      </c>
    </row>
    <row r="5131" spans="1:5" x14ac:dyDescent="0.25">
      <c r="A5131" s="2">
        <f>IF(B5131="","",SUBTOTAL(3,$B$2:B5131))</f>
        <v>5130</v>
      </c>
      <c r="B5131" s="9" t="s">
        <v>48</v>
      </c>
      <c r="C5131" s="10" t="s">
        <v>52</v>
      </c>
      <c r="D5131" s="11">
        <v>12.848020762401553</v>
      </c>
      <c r="E5131" s="12">
        <f t="shared" si="80"/>
        <v>46569</v>
      </c>
    </row>
    <row r="5132" spans="1:5" x14ac:dyDescent="0.25">
      <c r="A5132" s="2">
        <f>IF(B5132="","",SUBTOTAL(3,$B$2:B5132))</f>
        <v>5131</v>
      </c>
      <c r="B5132" s="9" t="s">
        <v>50</v>
      </c>
      <c r="C5132" s="10" t="s">
        <v>49</v>
      </c>
      <c r="D5132" s="11">
        <v>88.183421516754848</v>
      </c>
      <c r="E5132" s="12">
        <f t="shared" si="80"/>
        <v>46570</v>
      </c>
    </row>
    <row r="5133" spans="1:5" x14ac:dyDescent="0.25">
      <c r="A5133" s="2">
        <f>IF(B5133="","",SUBTOTAL(3,$B$2:B5133))</f>
        <v>5132</v>
      </c>
      <c r="B5133" s="9" t="s">
        <v>50</v>
      </c>
      <c r="C5133" s="10" t="s">
        <v>49</v>
      </c>
      <c r="D5133" s="11">
        <v>88.183421516754848</v>
      </c>
      <c r="E5133" s="12">
        <f t="shared" si="80"/>
        <v>46571</v>
      </c>
    </row>
    <row r="5134" spans="1:5" x14ac:dyDescent="0.25">
      <c r="A5134" s="2">
        <f>IF(B5134="","",SUBTOTAL(3,$B$2:B5134))</f>
        <v>5133</v>
      </c>
      <c r="B5134" s="9" t="s">
        <v>50</v>
      </c>
      <c r="C5134" s="10" t="s">
        <v>49</v>
      </c>
      <c r="D5134" s="11">
        <v>97.934303350970012</v>
      </c>
      <c r="E5134" s="12">
        <f t="shared" si="80"/>
        <v>46572</v>
      </c>
    </row>
    <row r="5135" spans="1:5" x14ac:dyDescent="0.25">
      <c r="A5135" s="2">
        <f>IF(B5135="","",SUBTOTAL(3,$B$2:B5135))</f>
        <v>5134</v>
      </c>
      <c r="B5135" s="9" t="s">
        <v>50</v>
      </c>
      <c r="C5135" s="10" t="s">
        <v>49</v>
      </c>
      <c r="D5135" s="11">
        <v>88.183421516754848</v>
      </c>
      <c r="E5135" s="12">
        <f t="shared" si="80"/>
        <v>46573</v>
      </c>
    </row>
    <row r="5136" spans="1:5" x14ac:dyDescent="0.25">
      <c r="A5136" s="2">
        <f>IF(B5136="","",SUBTOTAL(3,$B$2:B5136))</f>
        <v>5135</v>
      </c>
      <c r="B5136" s="9" t="s">
        <v>48</v>
      </c>
      <c r="C5136" s="10" t="s">
        <v>56</v>
      </c>
      <c r="D5136" s="11">
        <v>51.706308169596689</v>
      </c>
      <c r="E5136" s="12">
        <f t="shared" si="80"/>
        <v>46574</v>
      </c>
    </row>
    <row r="5137" spans="1:5" x14ac:dyDescent="0.25">
      <c r="A5137" s="2">
        <f>IF(B5137="","",SUBTOTAL(3,$B$2:B5137))</f>
        <v>5136</v>
      </c>
      <c r="B5137" s="9" t="s">
        <v>55</v>
      </c>
      <c r="C5137" s="10" t="s">
        <v>49</v>
      </c>
      <c r="D5137" s="11">
        <v>9.3293791754929138</v>
      </c>
      <c r="E5137" s="12">
        <f t="shared" si="80"/>
        <v>46575</v>
      </c>
    </row>
    <row r="5138" spans="1:5" x14ac:dyDescent="0.25">
      <c r="A5138" s="2">
        <f>IF(B5138="","",SUBTOTAL(3,$B$2:B5138))</f>
        <v>5137</v>
      </c>
      <c r="B5138" s="9" t="s">
        <v>51</v>
      </c>
      <c r="C5138" s="10" t="s">
        <v>49</v>
      </c>
      <c r="D5138" s="11">
        <v>317.69564756962825</v>
      </c>
      <c r="E5138" s="12">
        <f t="shared" si="80"/>
        <v>46576</v>
      </c>
    </row>
    <row r="5139" spans="1:5" x14ac:dyDescent="0.25">
      <c r="A5139" s="2">
        <f>IF(B5139="","",SUBTOTAL(3,$B$2:B5139))</f>
        <v>5138</v>
      </c>
      <c r="B5139" s="9" t="s">
        <v>55</v>
      </c>
      <c r="C5139" s="10" t="s">
        <v>49</v>
      </c>
      <c r="D5139" s="11">
        <v>616.42853861349749</v>
      </c>
      <c r="E5139" s="12">
        <f t="shared" si="80"/>
        <v>46577</v>
      </c>
    </row>
    <row r="5140" spans="1:5" x14ac:dyDescent="0.25">
      <c r="A5140" s="2">
        <f>IF(B5140="","",SUBTOTAL(3,$B$2:B5140))</f>
        <v>5139</v>
      </c>
      <c r="B5140" s="9" t="s">
        <v>55</v>
      </c>
      <c r="C5140" s="10" t="s">
        <v>49</v>
      </c>
      <c r="D5140" s="11">
        <v>616.42853861349749</v>
      </c>
      <c r="E5140" s="12">
        <f t="shared" si="80"/>
        <v>46578</v>
      </c>
    </row>
    <row r="5141" spans="1:5" x14ac:dyDescent="0.25">
      <c r="A5141" s="2">
        <f>IF(B5141="","",SUBTOTAL(3,$B$2:B5141))</f>
        <v>5140</v>
      </c>
      <c r="B5141" s="9" t="s">
        <v>51</v>
      </c>
      <c r="C5141" s="10" t="s">
        <v>49</v>
      </c>
      <c r="D5141" s="11">
        <v>158.84782378481412</v>
      </c>
      <c r="E5141" s="12">
        <f t="shared" si="80"/>
        <v>46579</v>
      </c>
    </row>
    <row r="5142" spans="1:5" x14ac:dyDescent="0.25">
      <c r="A5142" s="2">
        <f>IF(B5142="","",SUBTOTAL(3,$B$2:B5142))</f>
        <v>5141</v>
      </c>
      <c r="B5142" s="9" t="s">
        <v>50</v>
      </c>
      <c r="C5142" s="10" t="s">
        <v>49</v>
      </c>
      <c r="D5142" s="11">
        <v>132.27513227513228</v>
      </c>
      <c r="E5142" s="12">
        <f t="shared" si="80"/>
        <v>46580</v>
      </c>
    </row>
    <row r="5143" spans="1:5" x14ac:dyDescent="0.25">
      <c r="A5143" s="2">
        <f>IF(B5143="","",SUBTOTAL(3,$B$2:B5143))</f>
        <v>5142</v>
      </c>
      <c r="B5143" s="9" t="s">
        <v>53</v>
      </c>
      <c r="C5143" s="10" t="s">
        <v>49</v>
      </c>
      <c r="D5143" s="11">
        <v>43.045417494756705</v>
      </c>
      <c r="E5143" s="12">
        <f t="shared" si="80"/>
        <v>46581</v>
      </c>
    </row>
    <row r="5144" spans="1:5" x14ac:dyDescent="0.25">
      <c r="A5144" s="2">
        <f>IF(B5144="","",SUBTOTAL(3,$B$2:B5144))</f>
        <v>5143</v>
      </c>
      <c r="B5144" s="9" t="s">
        <v>53</v>
      </c>
      <c r="C5144" s="10" t="s">
        <v>49</v>
      </c>
      <c r="D5144" s="11">
        <v>45.792997334847563</v>
      </c>
      <c r="E5144" s="12">
        <f t="shared" si="80"/>
        <v>46582</v>
      </c>
    </row>
    <row r="5145" spans="1:5" x14ac:dyDescent="0.25">
      <c r="A5145" s="2">
        <f>IF(B5145="","",SUBTOTAL(3,$B$2:B5145))</f>
        <v>5144</v>
      </c>
      <c r="B5145" s="9" t="s">
        <v>55</v>
      </c>
      <c r="C5145" s="10" t="s">
        <v>56</v>
      </c>
      <c r="D5145" s="11">
        <v>97.767638911520294</v>
      </c>
      <c r="E5145" s="12">
        <f t="shared" si="80"/>
        <v>46583</v>
      </c>
    </row>
    <row r="5146" spans="1:5" x14ac:dyDescent="0.25">
      <c r="A5146" s="2">
        <f>IF(B5146="","",SUBTOTAL(3,$B$2:B5146))</f>
        <v>5145</v>
      </c>
      <c r="B5146" s="9" t="s">
        <v>51</v>
      </c>
      <c r="C5146" s="10" t="s">
        <v>49</v>
      </c>
      <c r="D5146" s="11">
        <v>127.0782590278513</v>
      </c>
      <c r="E5146" s="12">
        <f t="shared" si="80"/>
        <v>46584</v>
      </c>
    </row>
    <row r="5147" spans="1:5" x14ac:dyDescent="0.25">
      <c r="A5147" s="2">
        <f>IF(B5147="","",SUBTOTAL(3,$B$2:B5147))</f>
        <v>5146</v>
      </c>
      <c r="B5147" s="9" t="s">
        <v>50</v>
      </c>
      <c r="C5147" s="10" t="s">
        <v>49</v>
      </c>
      <c r="D5147" s="11">
        <v>289.021164021164</v>
      </c>
      <c r="E5147" s="12">
        <f t="shared" si="80"/>
        <v>46585</v>
      </c>
    </row>
    <row r="5148" spans="1:5" x14ac:dyDescent="0.25">
      <c r="A5148" s="2">
        <f>IF(B5148="","",SUBTOTAL(3,$B$2:B5148))</f>
        <v>5147</v>
      </c>
      <c r="B5148" s="9" t="s">
        <v>55</v>
      </c>
      <c r="C5148" s="10" t="s">
        <v>49</v>
      </c>
      <c r="D5148" s="11">
        <v>51.369044884458127</v>
      </c>
      <c r="E5148" s="12">
        <f t="shared" si="80"/>
        <v>46586</v>
      </c>
    </row>
    <row r="5149" spans="1:5" x14ac:dyDescent="0.25">
      <c r="A5149" s="2">
        <f>IF(B5149="","",SUBTOTAL(3,$B$2:B5149))</f>
        <v>5148</v>
      </c>
      <c r="B5149" s="9" t="s">
        <v>55</v>
      </c>
      <c r="C5149" s="10" t="s">
        <v>52</v>
      </c>
      <c r="D5149" s="11">
        <v>5.8660583346912167</v>
      </c>
      <c r="E5149" s="12">
        <f t="shared" si="80"/>
        <v>46587</v>
      </c>
    </row>
    <row r="5150" spans="1:5" x14ac:dyDescent="0.25">
      <c r="A5150" s="2">
        <f>IF(B5150="","",SUBTOTAL(3,$B$2:B5150))</f>
        <v>5149</v>
      </c>
      <c r="B5150" s="9" t="s">
        <v>55</v>
      </c>
      <c r="C5150" s="10" t="s">
        <v>52</v>
      </c>
      <c r="D5150" s="11">
        <v>5.8660583346912167</v>
      </c>
      <c r="E5150" s="12">
        <f t="shared" si="80"/>
        <v>46588</v>
      </c>
    </row>
    <row r="5151" spans="1:5" x14ac:dyDescent="0.25">
      <c r="A5151" s="2">
        <f>IF(B5151="","",SUBTOTAL(3,$B$2:B5151))</f>
        <v>5150</v>
      </c>
      <c r="B5151" s="9" t="s">
        <v>50</v>
      </c>
      <c r="C5151" s="10" t="s">
        <v>52</v>
      </c>
      <c r="D5151" s="11">
        <v>19</v>
      </c>
      <c r="E5151" s="12">
        <f t="shared" si="80"/>
        <v>46589</v>
      </c>
    </row>
    <row r="5152" spans="1:5" x14ac:dyDescent="0.25">
      <c r="A5152" s="2">
        <f>IF(B5152="","",SUBTOTAL(3,$B$2:B5152))</f>
        <v>5151</v>
      </c>
      <c r="B5152" s="9" t="s">
        <v>55</v>
      </c>
      <c r="C5152" s="10" t="s">
        <v>52</v>
      </c>
      <c r="D5152" s="11">
        <v>0</v>
      </c>
      <c r="E5152" s="12">
        <f t="shared" si="80"/>
        <v>46590</v>
      </c>
    </row>
    <row r="5153" spans="1:5" x14ac:dyDescent="0.25">
      <c r="A5153" s="2">
        <f>IF(B5153="","",SUBTOTAL(3,$B$2:B5153))</f>
        <v>5152</v>
      </c>
      <c r="B5153" s="9" t="s">
        <v>50</v>
      </c>
      <c r="C5153" s="10" t="s">
        <v>49</v>
      </c>
      <c r="D5153" s="11">
        <v>55.114638447971785</v>
      </c>
      <c r="E5153" s="12">
        <f t="shared" si="80"/>
        <v>46591</v>
      </c>
    </row>
    <row r="5154" spans="1:5" x14ac:dyDescent="0.25">
      <c r="A5154" s="2">
        <f>IF(B5154="","",SUBTOTAL(3,$B$2:B5154))</f>
        <v>5153</v>
      </c>
      <c r="B5154" s="9" t="s">
        <v>48</v>
      </c>
      <c r="C5154" s="10" t="s">
        <v>49</v>
      </c>
      <c r="D5154" s="11">
        <v>107.82501540357363</v>
      </c>
      <c r="E5154" s="12">
        <f t="shared" si="80"/>
        <v>46592</v>
      </c>
    </row>
    <row r="5155" spans="1:5" x14ac:dyDescent="0.25">
      <c r="A5155" s="2">
        <f>IF(B5155="","",SUBTOTAL(3,$B$2:B5155))</f>
        <v>5154</v>
      </c>
      <c r="B5155" s="9" t="s">
        <v>48</v>
      </c>
      <c r="C5155" s="10" t="s">
        <v>49</v>
      </c>
      <c r="D5155" s="11">
        <v>77.017868145409736</v>
      </c>
      <c r="E5155" s="12">
        <f t="shared" si="80"/>
        <v>46593</v>
      </c>
    </row>
    <row r="5156" spans="1:5" x14ac:dyDescent="0.25">
      <c r="A5156" s="2">
        <f>IF(B5156="","",SUBTOTAL(3,$B$2:B5156))</f>
        <v>5155</v>
      </c>
      <c r="B5156" s="9" t="s">
        <v>48</v>
      </c>
      <c r="C5156" s="10" t="s">
        <v>54</v>
      </c>
      <c r="D5156" s="11">
        <v>46.210720887245841</v>
      </c>
      <c r="E5156" s="12">
        <f t="shared" si="80"/>
        <v>46594</v>
      </c>
    </row>
    <row r="5157" spans="1:5" x14ac:dyDescent="0.25">
      <c r="A5157" s="2">
        <f>IF(B5157="","",SUBTOTAL(3,$B$2:B5157))</f>
        <v>5156</v>
      </c>
      <c r="B5157" s="9" t="s">
        <v>55</v>
      </c>
      <c r="C5157" s="10" t="s">
        <v>52</v>
      </c>
      <c r="D5157" s="11">
        <v>329.04045223319753</v>
      </c>
      <c r="E5157" s="12">
        <f t="shared" si="80"/>
        <v>46595</v>
      </c>
    </row>
    <row r="5158" spans="1:5" x14ac:dyDescent="0.25">
      <c r="A5158" s="2">
        <f>IF(B5158="","",SUBTOTAL(3,$B$2:B5158))</f>
        <v>5157</v>
      </c>
      <c r="B5158" s="9" t="s">
        <v>50</v>
      </c>
      <c r="C5158" s="10" t="s">
        <v>49</v>
      </c>
      <c r="D5158" s="11">
        <v>47.420634920634917</v>
      </c>
      <c r="E5158" s="12">
        <f t="shared" si="80"/>
        <v>46596</v>
      </c>
    </row>
    <row r="5159" spans="1:5" x14ac:dyDescent="0.25">
      <c r="A5159" s="2">
        <f>IF(B5159="","",SUBTOTAL(3,$B$2:B5159))</f>
        <v>5158</v>
      </c>
      <c r="B5159" s="9" t="s">
        <v>50</v>
      </c>
      <c r="C5159" s="10" t="s">
        <v>49</v>
      </c>
      <c r="D5159" s="11">
        <v>105</v>
      </c>
      <c r="E5159" s="12">
        <f t="shared" si="80"/>
        <v>46597</v>
      </c>
    </row>
    <row r="5160" spans="1:5" x14ac:dyDescent="0.25">
      <c r="A5160" s="2">
        <f>IF(B5160="","",SUBTOTAL(3,$B$2:B5160))</f>
        <v>5159</v>
      </c>
      <c r="B5160" s="9" t="s">
        <v>55</v>
      </c>
      <c r="C5160" s="10" t="s">
        <v>49</v>
      </c>
      <c r="D5160" s="11">
        <v>30</v>
      </c>
      <c r="E5160" s="12">
        <f t="shared" si="80"/>
        <v>46598</v>
      </c>
    </row>
    <row r="5161" spans="1:5" x14ac:dyDescent="0.25">
      <c r="A5161" s="2">
        <f>IF(B5161="","",SUBTOTAL(3,$B$2:B5161))</f>
        <v>5160</v>
      </c>
      <c r="B5161" s="9" t="s">
        <v>50</v>
      </c>
      <c r="C5161" s="10" t="s">
        <v>49</v>
      </c>
      <c r="D5161" s="11">
        <v>208.52539682539683</v>
      </c>
      <c r="E5161" s="12">
        <f t="shared" si="80"/>
        <v>46599</v>
      </c>
    </row>
    <row r="5162" spans="1:5" x14ac:dyDescent="0.25">
      <c r="A5162" s="2">
        <f>IF(B5162="","",SUBTOTAL(3,$B$2:B5162))</f>
        <v>5161</v>
      </c>
      <c r="B5162" s="9" t="s">
        <v>50</v>
      </c>
      <c r="C5162" s="10" t="s">
        <v>52</v>
      </c>
      <c r="D5162" s="11">
        <v>11022.927689594357</v>
      </c>
      <c r="E5162" s="12">
        <f t="shared" si="80"/>
        <v>46600</v>
      </c>
    </row>
    <row r="5163" spans="1:5" x14ac:dyDescent="0.25">
      <c r="A5163" s="2">
        <f>IF(B5163="","",SUBTOTAL(3,$B$2:B5163))</f>
        <v>5162</v>
      </c>
      <c r="B5163" s="9" t="s">
        <v>48</v>
      </c>
      <c r="C5163" s="10" t="s">
        <v>49</v>
      </c>
      <c r="D5163" s="11">
        <v>61.614294516327789</v>
      </c>
      <c r="E5163" s="12">
        <f t="shared" si="80"/>
        <v>46601</v>
      </c>
    </row>
    <row r="5164" spans="1:5" x14ac:dyDescent="0.25">
      <c r="A5164" s="2">
        <f>IF(B5164="","",SUBTOTAL(3,$B$2:B5164))</f>
        <v>5163</v>
      </c>
      <c r="B5164" s="9" t="s">
        <v>48</v>
      </c>
      <c r="C5164" s="10" t="s">
        <v>49</v>
      </c>
      <c r="D5164" s="11">
        <v>123.22858903265558</v>
      </c>
      <c r="E5164" s="12">
        <f t="shared" si="80"/>
        <v>46602</v>
      </c>
    </row>
    <row r="5165" spans="1:5" x14ac:dyDescent="0.25">
      <c r="A5165" s="2">
        <f>IF(B5165="","",SUBTOTAL(3,$B$2:B5165))</f>
        <v>5164</v>
      </c>
      <c r="B5165" s="9" t="s">
        <v>55</v>
      </c>
      <c r="C5165" s="10" t="s">
        <v>52</v>
      </c>
      <c r="D5165" s="11">
        <v>103.36748288693894</v>
      </c>
      <c r="E5165" s="12">
        <f t="shared" si="80"/>
        <v>46603</v>
      </c>
    </row>
    <row r="5166" spans="1:5" x14ac:dyDescent="0.25">
      <c r="A5166" s="2">
        <f>IF(B5166="","",SUBTOTAL(3,$B$2:B5166))</f>
        <v>5165</v>
      </c>
      <c r="B5166" s="9" t="s">
        <v>53</v>
      </c>
      <c r="C5166" s="10" t="s">
        <v>54</v>
      </c>
      <c r="D5166" s="11">
        <v>91.585994669695125</v>
      </c>
      <c r="E5166" s="12">
        <f t="shared" si="80"/>
        <v>46604</v>
      </c>
    </row>
    <row r="5167" spans="1:5" x14ac:dyDescent="0.25">
      <c r="A5167" s="2">
        <f>IF(B5167="","",SUBTOTAL(3,$B$2:B5167))</f>
        <v>5166</v>
      </c>
      <c r="B5167" s="9" t="s">
        <v>53</v>
      </c>
      <c r="C5167" s="10" t="s">
        <v>54</v>
      </c>
      <c r="D5167" s="11">
        <v>3.6634397867878046</v>
      </c>
      <c r="E5167" s="12">
        <f t="shared" si="80"/>
        <v>46605</v>
      </c>
    </row>
    <row r="5168" spans="1:5" x14ac:dyDescent="0.25">
      <c r="A5168" s="2">
        <f>IF(B5168="","",SUBTOTAL(3,$B$2:B5168))</f>
        <v>5167</v>
      </c>
      <c r="B5168" s="9" t="s">
        <v>53</v>
      </c>
      <c r="C5168" s="10" t="s">
        <v>49</v>
      </c>
      <c r="D5168" s="11">
        <v>283.91658347605488</v>
      </c>
      <c r="E5168" s="12">
        <f t="shared" si="80"/>
        <v>46606</v>
      </c>
    </row>
    <row r="5169" spans="1:5" x14ac:dyDescent="0.25">
      <c r="A5169" s="2">
        <f>IF(B5169="","",SUBTOTAL(3,$B$2:B5169))</f>
        <v>5168</v>
      </c>
      <c r="B5169" s="9" t="s">
        <v>53</v>
      </c>
      <c r="C5169" s="10" t="s">
        <v>54</v>
      </c>
      <c r="D5169" s="11">
        <v>366.3439786787805</v>
      </c>
      <c r="E5169" s="12">
        <f t="shared" si="80"/>
        <v>46607</v>
      </c>
    </row>
    <row r="5170" spans="1:5" x14ac:dyDescent="0.25">
      <c r="A5170" s="2">
        <f>IF(B5170="","",SUBTOTAL(3,$B$2:B5170))</f>
        <v>5169</v>
      </c>
      <c r="B5170" s="9" t="s">
        <v>53</v>
      </c>
      <c r="C5170" s="10" t="s">
        <v>54</v>
      </c>
      <c r="D5170" s="11">
        <v>10.990319360363413</v>
      </c>
      <c r="E5170" s="12">
        <f t="shared" si="80"/>
        <v>46608</v>
      </c>
    </row>
    <row r="5171" spans="1:5" x14ac:dyDescent="0.25">
      <c r="A5171" s="2">
        <f>IF(B5171="","",SUBTOTAL(3,$B$2:B5171))</f>
        <v>5170</v>
      </c>
      <c r="B5171" s="9" t="s">
        <v>48</v>
      </c>
      <c r="C5171" s="10" t="s">
        <v>49</v>
      </c>
      <c r="D5171" s="11">
        <v>154.03573629081947</v>
      </c>
      <c r="E5171" s="12">
        <f t="shared" si="80"/>
        <v>46609</v>
      </c>
    </row>
    <row r="5172" spans="1:5" x14ac:dyDescent="0.25">
      <c r="A5172" s="2">
        <f>IF(B5172="","",SUBTOTAL(3,$B$2:B5172))</f>
        <v>5171</v>
      </c>
      <c r="B5172" s="9" t="s">
        <v>50</v>
      </c>
      <c r="C5172" s="10" t="s">
        <v>52</v>
      </c>
      <c r="D5172" s="11">
        <v>83.333333333333329</v>
      </c>
      <c r="E5172" s="12">
        <f t="shared" si="80"/>
        <v>46610</v>
      </c>
    </row>
    <row r="5173" spans="1:5" x14ac:dyDescent="0.25">
      <c r="A5173" s="2">
        <f>IF(B5173="","",SUBTOTAL(3,$B$2:B5173))</f>
        <v>5172</v>
      </c>
      <c r="B5173" s="9" t="s">
        <v>48</v>
      </c>
      <c r="C5173" s="10" t="s">
        <v>52</v>
      </c>
      <c r="D5173" s="11">
        <v>199.42852741836109</v>
      </c>
      <c r="E5173" s="12">
        <f t="shared" si="80"/>
        <v>46611</v>
      </c>
    </row>
    <row r="5174" spans="1:5" x14ac:dyDescent="0.25">
      <c r="A5174" s="2">
        <f>IF(B5174="","",SUBTOTAL(3,$B$2:B5174))</f>
        <v>5173</v>
      </c>
      <c r="B5174" s="9" t="s">
        <v>48</v>
      </c>
      <c r="C5174" s="10" t="s">
        <v>49</v>
      </c>
      <c r="D5174" s="11">
        <v>69.316081330868769</v>
      </c>
      <c r="E5174" s="12">
        <f t="shared" si="80"/>
        <v>46612</v>
      </c>
    </row>
    <row r="5175" spans="1:5" x14ac:dyDescent="0.25">
      <c r="A5175" s="2">
        <f>IF(B5175="","",SUBTOTAL(3,$B$2:B5175))</f>
        <v>5174</v>
      </c>
      <c r="B5175" s="9" t="s">
        <v>53</v>
      </c>
      <c r="C5175" s="10" t="s">
        <v>54</v>
      </c>
      <c r="D5175" s="11">
        <v>9.1585994669695125</v>
      </c>
      <c r="E5175" s="12">
        <f t="shared" si="80"/>
        <v>46613</v>
      </c>
    </row>
    <row r="5176" spans="1:5" x14ac:dyDescent="0.25">
      <c r="A5176" s="2">
        <f>IF(B5176="","",SUBTOTAL(3,$B$2:B5176))</f>
        <v>5175</v>
      </c>
      <c r="B5176" s="9" t="s">
        <v>50</v>
      </c>
      <c r="C5176" s="10" t="s">
        <v>52</v>
      </c>
      <c r="D5176" s="11">
        <v>66.137566137566139</v>
      </c>
      <c r="E5176" s="12">
        <f t="shared" si="80"/>
        <v>46614</v>
      </c>
    </row>
    <row r="5177" spans="1:5" x14ac:dyDescent="0.25">
      <c r="A5177" s="2">
        <f>IF(B5177="","",SUBTOTAL(3,$B$2:B5177))</f>
        <v>5176</v>
      </c>
      <c r="B5177" s="9" t="s">
        <v>50</v>
      </c>
      <c r="C5177" s="10" t="s">
        <v>52</v>
      </c>
      <c r="D5177" s="11">
        <v>88.183421516754848</v>
      </c>
      <c r="E5177" s="12">
        <f t="shared" si="80"/>
        <v>46615</v>
      </c>
    </row>
    <row r="5178" spans="1:5" x14ac:dyDescent="0.25">
      <c r="A5178" s="2">
        <f>IF(B5178="","",SUBTOTAL(3,$B$2:B5178))</f>
        <v>5177</v>
      </c>
      <c r="B5178" s="9" t="s">
        <v>50</v>
      </c>
      <c r="C5178" s="10" t="s">
        <v>52</v>
      </c>
      <c r="D5178" s="11">
        <v>66.137566137566139</v>
      </c>
      <c r="E5178" s="12">
        <f t="shared" si="80"/>
        <v>46616</v>
      </c>
    </row>
    <row r="5179" spans="1:5" x14ac:dyDescent="0.25">
      <c r="A5179" s="2">
        <f>IF(B5179="","",SUBTOTAL(3,$B$2:B5179))</f>
        <v>5178</v>
      </c>
      <c r="B5179" s="9" t="s">
        <v>50</v>
      </c>
      <c r="C5179" s="10" t="s">
        <v>52</v>
      </c>
      <c r="D5179" s="11">
        <v>66.137566137566139</v>
      </c>
      <c r="E5179" s="12">
        <f t="shared" si="80"/>
        <v>46617</v>
      </c>
    </row>
    <row r="5180" spans="1:5" x14ac:dyDescent="0.25">
      <c r="A5180" s="2">
        <f>IF(B5180="","",SUBTOTAL(3,$B$2:B5180))</f>
        <v>5179</v>
      </c>
      <c r="B5180" s="9" t="s">
        <v>50</v>
      </c>
      <c r="C5180" s="10" t="s">
        <v>52</v>
      </c>
      <c r="D5180" s="11">
        <v>66.137566137566139</v>
      </c>
      <c r="E5180" s="12">
        <f t="shared" si="80"/>
        <v>46618</v>
      </c>
    </row>
    <row r="5181" spans="1:5" x14ac:dyDescent="0.25">
      <c r="A5181" s="2">
        <f>IF(B5181="","",SUBTOTAL(3,$B$2:B5181))</f>
        <v>5180</v>
      </c>
      <c r="B5181" s="9" t="s">
        <v>50</v>
      </c>
      <c r="C5181" s="10" t="s">
        <v>49</v>
      </c>
      <c r="D5181" s="11">
        <v>22</v>
      </c>
      <c r="E5181" s="12">
        <f t="shared" si="80"/>
        <v>46619</v>
      </c>
    </row>
    <row r="5182" spans="1:5" x14ac:dyDescent="0.25">
      <c r="A5182" s="2">
        <f>IF(B5182="","",SUBTOTAL(3,$B$2:B5182))</f>
        <v>5181</v>
      </c>
      <c r="B5182" s="9" t="s">
        <v>50</v>
      </c>
      <c r="C5182" s="10" t="s">
        <v>49</v>
      </c>
      <c r="D5182" s="11">
        <v>176.3668430335097</v>
      </c>
      <c r="E5182" s="12">
        <f t="shared" si="80"/>
        <v>46620</v>
      </c>
    </row>
    <row r="5183" spans="1:5" x14ac:dyDescent="0.25">
      <c r="A5183" s="2">
        <f>IF(B5183="","",SUBTOTAL(3,$B$2:B5183))</f>
        <v>5182</v>
      </c>
      <c r="B5183" s="9" t="s">
        <v>48</v>
      </c>
      <c r="C5183" s="10" t="s">
        <v>52</v>
      </c>
      <c r="D5183" s="11">
        <v>86.177180282661155</v>
      </c>
      <c r="E5183" s="12">
        <f t="shared" si="80"/>
        <v>46621</v>
      </c>
    </row>
    <row r="5184" spans="1:5" x14ac:dyDescent="0.25">
      <c r="A5184" s="2">
        <f>IF(B5184="","",SUBTOTAL(3,$B$2:B5184))</f>
        <v>5183</v>
      </c>
      <c r="B5184" s="9" t="s">
        <v>48</v>
      </c>
      <c r="C5184" s="10" t="s">
        <v>52</v>
      </c>
      <c r="D5184" s="11">
        <v>86.177180282661155</v>
      </c>
      <c r="E5184" s="12">
        <f t="shared" si="80"/>
        <v>46622</v>
      </c>
    </row>
    <row r="5185" spans="1:5" x14ac:dyDescent="0.25">
      <c r="A5185" s="2">
        <f>IF(B5185="","",SUBTOTAL(3,$B$2:B5185))</f>
        <v>5184</v>
      </c>
      <c r="B5185" s="9" t="s">
        <v>50</v>
      </c>
      <c r="C5185" s="10" t="s">
        <v>54</v>
      </c>
      <c r="D5185" s="11">
        <v>198.4126984126984</v>
      </c>
      <c r="E5185" s="12">
        <f t="shared" si="80"/>
        <v>46623</v>
      </c>
    </row>
    <row r="5186" spans="1:5" x14ac:dyDescent="0.25">
      <c r="A5186" s="2">
        <f>IF(B5186="","",SUBTOTAL(3,$B$2:B5186))</f>
        <v>5185</v>
      </c>
      <c r="B5186" s="9" t="s">
        <v>48</v>
      </c>
      <c r="C5186" s="10" t="s">
        <v>49</v>
      </c>
      <c r="D5186" s="11">
        <v>107.82501540357363</v>
      </c>
      <c r="E5186" s="12">
        <f t="shared" si="80"/>
        <v>46624</v>
      </c>
    </row>
    <row r="5187" spans="1:5" x14ac:dyDescent="0.25">
      <c r="A5187" s="2">
        <f>IF(B5187="","",SUBTOTAL(3,$B$2:B5187))</f>
        <v>5186</v>
      </c>
      <c r="B5187" s="9" t="s">
        <v>50</v>
      </c>
      <c r="C5187" s="10" t="s">
        <v>52</v>
      </c>
      <c r="D5187" s="11">
        <v>55.114638447971785</v>
      </c>
      <c r="E5187" s="12">
        <f t="shared" si="80"/>
        <v>46625</v>
      </c>
    </row>
    <row r="5188" spans="1:5" x14ac:dyDescent="0.25">
      <c r="A5188" s="2">
        <f>IF(B5188="","",SUBTOTAL(3,$B$2:B5188))</f>
        <v>5187</v>
      </c>
      <c r="B5188" s="9" t="s">
        <v>55</v>
      </c>
      <c r="C5188" s="10" t="s">
        <v>52</v>
      </c>
      <c r="D5188" s="11">
        <v>95.658624293655535</v>
      </c>
      <c r="E5188" s="12">
        <f t="shared" ref="E5188:E5251" si="81">E5187+1</f>
        <v>46626</v>
      </c>
    </row>
    <row r="5189" spans="1:5" x14ac:dyDescent="0.25">
      <c r="A5189" s="2">
        <f>IF(B5189="","",SUBTOTAL(3,$B$2:B5189))</f>
        <v>5188</v>
      </c>
      <c r="B5189" s="9" t="s">
        <v>50</v>
      </c>
      <c r="C5189" s="10" t="s">
        <v>52</v>
      </c>
      <c r="D5189" s="11">
        <v>99.206349206349202</v>
      </c>
      <c r="E5189" s="12">
        <f t="shared" si="81"/>
        <v>46627</v>
      </c>
    </row>
    <row r="5190" spans="1:5" x14ac:dyDescent="0.25">
      <c r="A5190" s="2">
        <f>IF(B5190="","",SUBTOTAL(3,$B$2:B5190))</f>
        <v>5189</v>
      </c>
      <c r="B5190" s="9" t="s">
        <v>50</v>
      </c>
      <c r="C5190" s="10" t="s">
        <v>49</v>
      </c>
      <c r="D5190" s="11">
        <v>122.57495590828924</v>
      </c>
      <c r="E5190" s="12">
        <f t="shared" si="81"/>
        <v>46628</v>
      </c>
    </row>
    <row r="5191" spans="1:5" x14ac:dyDescent="0.25">
      <c r="A5191" s="2">
        <f>IF(B5191="","",SUBTOTAL(3,$B$2:B5191))</f>
        <v>5190</v>
      </c>
      <c r="B5191" s="9" t="s">
        <v>50</v>
      </c>
      <c r="C5191" s="10" t="s">
        <v>49</v>
      </c>
      <c r="D5191" s="11">
        <v>88.183421516754848</v>
      </c>
      <c r="E5191" s="12">
        <f t="shared" si="81"/>
        <v>46629</v>
      </c>
    </row>
    <row r="5192" spans="1:5" x14ac:dyDescent="0.25">
      <c r="A5192" s="2">
        <f>IF(B5192="","",SUBTOTAL(3,$B$2:B5192))</f>
        <v>5191</v>
      </c>
      <c r="B5192" s="9" t="s">
        <v>48</v>
      </c>
      <c r="C5192" s="10" t="s">
        <v>56</v>
      </c>
      <c r="D5192" s="11">
        <v>33.404853982244035</v>
      </c>
      <c r="E5192" s="12">
        <f t="shared" si="81"/>
        <v>46630</v>
      </c>
    </row>
    <row r="5193" spans="1:5" x14ac:dyDescent="0.25">
      <c r="A5193" s="2">
        <f>IF(B5193="","",SUBTOTAL(3,$B$2:B5193))</f>
        <v>5192</v>
      </c>
      <c r="B5193" s="9" t="s">
        <v>48</v>
      </c>
      <c r="C5193" s="10" t="s">
        <v>52</v>
      </c>
      <c r="D5193" s="11">
        <v>123.22858903265558</v>
      </c>
      <c r="E5193" s="12">
        <f t="shared" si="81"/>
        <v>46631</v>
      </c>
    </row>
    <row r="5194" spans="1:5" x14ac:dyDescent="0.25">
      <c r="A5194" s="2">
        <f>IF(B5194="","",SUBTOTAL(3,$B$2:B5194))</f>
        <v>5193</v>
      </c>
      <c r="B5194" s="9" t="s">
        <v>48</v>
      </c>
      <c r="C5194" s="10" t="s">
        <v>49</v>
      </c>
      <c r="D5194" s="11">
        <v>6.8941744226128918</v>
      </c>
      <c r="E5194" s="12">
        <f t="shared" si="81"/>
        <v>46632</v>
      </c>
    </row>
    <row r="5195" spans="1:5" x14ac:dyDescent="0.25">
      <c r="A5195" s="2">
        <f>IF(B5195="","",SUBTOTAL(3,$B$2:B5195))</f>
        <v>5194</v>
      </c>
      <c r="B5195" s="9" t="s">
        <v>48</v>
      </c>
      <c r="C5195" s="10" t="s">
        <v>49</v>
      </c>
      <c r="D5195" s="11">
        <v>16.943930991990143</v>
      </c>
      <c r="E5195" s="12">
        <f t="shared" si="81"/>
        <v>46633</v>
      </c>
    </row>
    <row r="5196" spans="1:5" x14ac:dyDescent="0.25">
      <c r="A5196" s="2">
        <f>IF(B5196="","",SUBTOTAL(3,$B$2:B5196))</f>
        <v>5195</v>
      </c>
      <c r="B5196" s="9" t="s">
        <v>50</v>
      </c>
      <c r="C5196" s="10" t="s">
        <v>52</v>
      </c>
      <c r="D5196" s="11">
        <v>7.7160493827160499</v>
      </c>
      <c r="E5196" s="12">
        <f t="shared" si="81"/>
        <v>46634</v>
      </c>
    </row>
    <row r="5197" spans="1:5" x14ac:dyDescent="0.25">
      <c r="A5197" s="2">
        <f>IF(B5197="","",SUBTOTAL(3,$B$2:B5197))</f>
        <v>5196</v>
      </c>
      <c r="B5197" s="9" t="s">
        <v>50</v>
      </c>
      <c r="C5197" s="10" t="s">
        <v>49</v>
      </c>
      <c r="D5197" s="11">
        <v>176.3668430335097</v>
      </c>
      <c r="E5197" s="12">
        <f t="shared" si="81"/>
        <v>46635</v>
      </c>
    </row>
    <row r="5198" spans="1:5" x14ac:dyDescent="0.25">
      <c r="A5198" s="2">
        <f>IF(B5198="","",SUBTOTAL(3,$B$2:B5198))</f>
        <v>5197</v>
      </c>
      <c r="B5198" s="9" t="s">
        <v>48</v>
      </c>
      <c r="C5198" s="10" t="s">
        <v>49</v>
      </c>
      <c r="D5198" s="11">
        <v>462.10720887245844</v>
      </c>
      <c r="E5198" s="12">
        <f t="shared" si="81"/>
        <v>46636</v>
      </c>
    </row>
    <row r="5199" spans="1:5" x14ac:dyDescent="0.25">
      <c r="A5199" s="2">
        <f>IF(B5199="","",SUBTOTAL(3,$B$2:B5199))</f>
        <v>5198</v>
      </c>
      <c r="B5199" s="9" t="s">
        <v>55</v>
      </c>
      <c r="C5199" s="10" t="s">
        <v>52</v>
      </c>
      <c r="D5199" s="11">
        <v>13.782331051591861</v>
      </c>
      <c r="E5199" s="12">
        <f t="shared" si="81"/>
        <v>46637</v>
      </c>
    </row>
    <row r="5200" spans="1:5" x14ac:dyDescent="0.25">
      <c r="A5200" s="2">
        <f>IF(B5200="","",SUBTOTAL(3,$B$2:B5200))</f>
        <v>5199</v>
      </c>
      <c r="B5200" s="9" t="s">
        <v>55</v>
      </c>
      <c r="C5200" s="10" t="s">
        <v>52</v>
      </c>
      <c r="D5200" s="11">
        <v>57.426379381632742</v>
      </c>
      <c r="E5200" s="12">
        <f t="shared" si="81"/>
        <v>46638</v>
      </c>
    </row>
    <row r="5201" spans="1:5" x14ac:dyDescent="0.25">
      <c r="A5201" s="2">
        <f>IF(B5201="","",SUBTOTAL(3,$B$2:B5201))</f>
        <v>5200</v>
      </c>
      <c r="B5201" s="9" t="s">
        <v>51</v>
      </c>
      <c r="C5201" s="10" t="s">
        <v>52</v>
      </c>
      <c r="D5201" s="11">
        <v>454.1660489251297</v>
      </c>
      <c r="E5201" s="12">
        <f t="shared" si="81"/>
        <v>46639</v>
      </c>
    </row>
    <row r="5202" spans="1:5" x14ac:dyDescent="0.25">
      <c r="A5202" s="2">
        <f>IF(B5202="","",SUBTOTAL(3,$B$2:B5202))</f>
        <v>5201</v>
      </c>
      <c r="B5202" s="9" t="s">
        <v>48</v>
      </c>
      <c r="C5202" s="10" t="s">
        <v>52</v>
      </c>
      <c r="D5202" s="11">
        <v>94.963031423290204</v>
      </c>
      <c r="E5202" s="12">
        <f t="shared" si="81"/>
        <v>46640</v>
      </c>
    </row>
    <row r="5203" spans="1:5" x14ac:dyDescent="0.25">
      <c r="A5203" s="2">
        <f>IF(B5203="","",SUBTOTAL(3,$B$2:B5203))</f>
        <v>5202</v>
      </c>
      <c r="B5203" s="9" t="s">
        <v>48</v>
      </c>
      <c r="C5203" s="10" t="s">
        <v>54</v>
      </c>
      <c r="D5203" s="11">
        <v>200</v>
      </c>
      <c r="E5203" s="12">
        <f t="shared" si="81"/>
        <v>46641</v>
      </c>
    </row>
    <row r="5204" spans="1:5" x14ac:dyDescent="0.25">
      <c r="A5204" s="2">
        <f>IF(B5204="","",SUBTOTAL(3,$B$2:B5204))</f>
        <v>5203</v>
      </c>
      <c r="B5204" s="9" t="s">
        <v>55</v>
      </c>
      <c r="C5204" s="10" t="s">
        <v>49</v>
      </c>
      <c r="D5204" s="11">
        <v>924.64280792024624</v>
      </c>
      <c r="E5204" s="12">
        <f t="shared" si="81"/>
        <v>46642</v>
      </c>
    </row>
    <row r="5205" spans="1:5" x14ac:dyDescent="0.25">
      <c r="A5205" s="2">
        <f>IF(B5205="","",SUBTOTAL(3,$B$2:B5205))</f>
        <v>5204</v>
      </c>
      <c r="B5205" s="9" t="s">
        <v>48</v>
      </c>
      <c r="C5205" s="10" t="s">
        <v>52</v>
      </c>
      <c r="D5205" s="11">
        <v>154.03573629081947</v>
      </c>
      <c r="E5205" s="12">
        <f t="shared" si="81"/>
        <v>46643</v>
      </c>
    </row>
    <row r="5206" spans="1:5" x14ac:dyDescent="0.25">
      <c r="A5206" s="2">
        <f>IF(B5206="","",SUBTOTAL(3,$B$2:B5206))</f>
        <v>5205</v>
      </c>
      <c r="B5206" s="9" t="s">
        <v>48</v>
      </c>
      <c r="C5206" s="10" t="s">
        <v>49</v>
      </c>
      <c r="D5206" s="11">
        <v>53.912507701786815</v>
      </c>
      <c r="E5206" s="12">
        <f t="shared" si="81"/>
        <v>46644</v>
      </c>
    </row>
    <row r="5207" spans="1:5" x14ac:dyDescent="0.25">
      <c r="A5207" s="2">
        <f>IF(B5207="","",SUBTOTAL(3,$B$2:B5207))</f>
        <v>5206</v>
      </c>
      <c r="B5207" s="9" t="s">
        <v>48</v>
      </c>
      <c r="C5207" s="10" t="s">
        <v>54</v>
      </c>
      <c r="D5207" s="11">
        <v>23.105360443622921</v>
      </c>
      <c r="E5207" s="12">
        <f t="shared" si="81"/>
        <v>46645</v>
      </c>
    </row>
    <row r="5208" spans="1:5" x14ac:dyDescent="0.25">
      <c r="A5208" s="2">
        <f>IF(B5208="","",SUBTOTAL(3,$B$2:B5208))</f>
        <v>5207</v>
      </c>
      <c r="B5208" s="9" t="s">
        <v>48</v>
      </c>
      <c r="C5208" s="10" t="s">
        <v>52</v>
      </c>
      <c r="D5208" s="11">
        <v>23.105360443622921</v>
      </c>
      <c r="E5208" s="12">
        <f t="shared" si="81"/>
        <v>46646</v>
      </c>
    </row>
    <row r="5209" spans="1:5" x14ac:dyDescent="0.25">
      <c r="A5209" s="2">
        <f>IF(B5209="","",SUBTOTAL(3,$B$2:B5209))</f>
        <v>5208</v>
      </c>
      <c r="B5209" s="9" t="s">
        <v>53</v>
      </c>
      <c r="C5209" s="10" t="s">
        <v>54</v>
      </c>
      <c r="D5209" s="11">
        <v>91.585994669695125</v>
      </c>
      <c r="E5209" s="12">
        <f t="shared" si="81"/>
        <v>46647</v>
      </c>
    </row>
    <row r="5210" spans="1:5" x14ac:dyDescent="0.25">
      <c r="A5210" s="2">
        <f>IF(B5210="","",SUBTOTAL(3,$B$2:B5210))</f>
        <v>5209</v>
      </c>
      <c r="B5210" s="9" t="s">
        <v>53</v>
      </c>
      <c r="C5210" s="10" t="s">
        <v>54</v>
      </c>
      <c r="D5210" s="11">
        <v>172.18166997902682</v>
      </c>
      <c r="E5210" s="12">
        <f t="shared" si="81"/>
        <v>46648</v>
      </c>
    </row>
    <row r="5211" spans="1:5" x14ac:dyDescent="0.25">
      <c r="A5211" s="2">
        <f>IF(B5211="","",SUBTOTAL(3,$B$2:B5211))</f>
        <v>5210</v>
      </c>
      <c r="B5211" s="9" t="s">
        <v>53</v>
      </c>
      <c r="C5211" s="10" t="s">
        <v>49</v>
      </c>
      <c r="D5211" s="11">
        <v>32.05509813439329</v>
      </c>
      <c r="E5211" s="12">
        <f t="shared" si="81"/>
        <v>46649</v>
      </c>
    </row>
    <row r="5212" spans="1:5" x14ac:dyDescent="0.25">
      <c r="A5212" s="2">
        <f>IF(B5212="","",SUBTOTAL(3,$B$2:B5212))</f>
        <v>5211</v>
      </c>
      <c r="B5212" s="9" t="s">
        <v>50</v>
      </c>
      <c r="C5212" s="10" t="s">
        <v>49</v>
      </c>
      <c r="D5212" s="11">
        <v>131.17283950617283</v>
      </c>
      <c r="E5212" s="12">
        <f t="shared" si="81"/>
        <v>46650</v>
      </c>
    </row>
    <row r="5213" spans="1:5" x14ac:dyDescent="0.25">
      <c r="A5213" s="2">
        <f>IF(B5213="","",SUBTOTAL(3,$B$2:B5213))</f>
        <v>5212</v>
      </c>
      <c r="B5213" s="9" t="s">
        <v>53</v>
      </c>
      <c r="C5213" s="10" t="s">
        <v>54</v>
      </c>
      <c r="D5213" s="11">
        <v>457.92997334847558</v>
      </c>
      <c r="E5213" s="12">
        <f t="shared" si="81"/>
        <v>46651</v>
      </c>
    </row>
    <row r="5214" spans="1:5" x14ac:dyDescent="0.25">
      <c r="A5214" s="2">
        <f>IF(B5214="","",SUBTOTAL(3,$B$2:B5214))</f>
        <v>5213</v>
      </c>
      <c r="B5214" s="9" t="s">
        <v>50</v>
      </c>
      <c r="C5214" s="10" t="s">
        <v>54</v>
      </c>
      <c r="D5214" s="11">
        <v>176.3668430335097</v>
      </c>
      <c r="E5214" s="12">
        <f t="shared" si="81"/>
        <v>46652</v>
      </c>
    </row>
    <row r="5215" spans="1:5" x14ac:dyDescent="0.25">
      <c r="A5215" s="2">
        <f>IF(B5215="","",SUBTOTAL(3,$B$2:B5215))</f>
        <v>5214</v>
      </c>
      <c r="B5215" s="9" t="s">
        <v>50</v>
      </c>
      <c r="C5215" s="10" t="s">
        <v>49</v>
      </c>
      <c r="D5215" s="11">
        <v>163.13932980599648</v>
      </c>
      <c r="E5215" s="12">
        <f t="shared" si="81"/>
        <v>46653</v>
      </c>
    </row>
    <row r="5216" spans="1:5" x14ac:dyDescent="0.25">
      <c r="A5216" s="2">
        <f>IF(B5216="","",SUBTOTAL(3,$B$2:B5216))</f>
        <v>5215</v>
      </c>
      <c r="B5216" s="9" t="s">
        <v>55</v>
      </c>
      <c r="C5216" s="10" t="s">
        <v>54</v>
      </c>
      <c r="D5216" s="11">
        <v>102.48</v>
      </c>
      <c r="E5216" s="12">
        <f t="shared" si="81"/>
        <v>46654</v>
      </c>
    </row>
    <row r="5217" spans="1:5" x14ac:dyDescent="0.25">
      <c r="A5217" s="2">
        <f>IF(B5217="","",SUBTOTAL(3,$B$2:B5217))</f>
        <v>5216</v>
      </c>
      <c r="B5217" s="9" t="s">
        <v>48</v>
      </c>
      <c r="C5217" s="10" t="s">
        <v>49</v>
      </c>
      <c r="D5217" s="11">
        <v>31.524953789279113</v>
      </c>
      <c r="E5217" s="12">
        <f t="shared" si="81"/>
        <v>46655</v>
      </c>
    </row>
    <row r="5218" spans="1:5" x14ac:dyDescent="0.25">
      <c r="A5218" s="2">
        <f>IF(B5218="","",SUBTOTAL(3,$B$2:B5218))</f>
        <v>5217</v>
      </c>
      <c r="B5218" s="9" t="s">
        <v>48</v>
      </c>
      <c r="C5218" s="10" t="s">
        <v>49</v>
      </c>
      <c r="D5218" s="11">
        <v>1.5403573629081948</v>
      </c>
      <c r="E5218" s="12">
        <f t="shared" si="81"/>
        <v>46656</v>
      </c>
    </row>
    <row r="5219" spans="1:5" x14ac:dyDescent="0.25">
      <c r="A5219" s="2">
        <f>IF(B5219="","",SUBTOTAL(3,$B$2:B5219))</f>
        <v>5218</v>
      </c>
      <c r="B5219" s="9" t="s">
        <v>48</v>
      </c>
      <c r="C5219" s="10" t="s">
        <v>54</v>
      </c>
      <c r="D5219" s="11">
        <v>1.5403573629081948</v>
      </c>
      <c r="E5219" s="12">
        <f t="shared" si="81"/>
        <v>46657</v>
      </c>
    </row>
    <row r="5220" spans="1:5" x14ac:dyDescent="0.25">
      <c r="A5220" s="2">
        <f>IF(B5220="","",SUBTOTAL(3,$B$2:B5220))</f>
        <v>5219</v>
      </c>
      <c r="B5220" s="9" t="s">
        <v>50</v>
      </c>
      <c r="C5220" s="10" t="s">
        <v>49</v>
      </c>
      <c r="D5220" s="11">
        <v>50</v>
      </c>
      <c r="E5220" s="12">
        <f t="shared" si="81"/>
        <v>46658</v>
      </c>
    </row>
    <row r="5221" spans="1:5" x14ac:dyDescent="0.25">
      <c r="A5221" s="2">
        <f>IF(B5221="","",SUBTOTAL(3,$B$2:B5221))</f>
        <v>5220</v>
      </c>
      <c r="B5221" s="9" t="s">
        <v>48</v>
      </c>
      <c r="C5221" s="10" t="s">
        <v>49</v>
      </c>
      <c r="D5221" s="11">
        <v>206.82523267838675</v>
      </c>
      <c r="E5221" s="12">
        <f t="shared" si="81"/>
        <v>46659</v>
      </c>
    </row>
    <row r="5222" spans="1:5" x14ac:dyDescent="0.25">
      <c r="A5222" s="2">
        <f>IF(B5222="","",SUBTOTAL(3,$B$2:B5222))</f>
        <v>5221</v>
      </c>
      <c r="B5222" s="9" t="s">
        <v>48</v>
      </c>
      <c r="C5222" s="10" t="s">
        <v>52</v>
      </c>
      <c r="D5222" s="11">
        <v>105.51447935921134</v>
      </c>
      <c r="E5222" s="12">
        <f t="shared" si="81"/>
        <v>46660</v>
      </c>
    </row>
    <row r="5223" spans="1:5" x14ac:dyDescent="0.25">
      <c r="A5223" s="2">
        <f>IF(B5223="","",SUBTOTAL(3,$B$2:B5223))</f>
        <v>5222</v>
      </c>
      <c r="B5223" s="9" t="s">
        <v>51</v>
      </c>
      <c r="C5223" s="10" t="s">
        <v>52</v>
      </c>
      <c r="D5223" s="11">
        <v>20.257677659833075</v>
      </c>
      <c r="E5223" s="12">
        <f t="shared" si="81"/>
        <v>46661</v>
      </c>
    </row>
    <row r="5224" spans="1:5" x14ac:dyDescent="0.25">
      <c r="A5224" s="2">
        <f>IF(B5224="","",SUBTOTAL(3,$B$2:B5224))</f>
        <v>5223</v>
      </c>
      <c r="B5224" s="9" t="s">
        <v>53</v>
      </c>
      <c r="C5224" s="10" t="s">
        <v>49</v>
      </c>
      <c r="D5224" s="11">
        <v>36.63439786787805</v>
      </c>
      <c r="E5224" s="12">
        <f t="shared" si="81"/>
        <v>46662</v>
      </c>
    </row>
    <row r="5225" spans="1:5" x14ac:dyDescent="0.25">
      <c r="A5225" s="2">
        <f>IF(B5225="","",SUBTOTAL(3,$B$2:B5225))</f>
        <v>5224</v>
      </c>
      <c r="B5225" s="9" t="s">
        <v>48</v>
      </c>
      <c r="C5225" s="10" t="s">
        <v>54</v>
      </c>
      <c r="D5225" s="11">
        <v>67.775723967960573</v>
      </c>
      <c r="E5225" s="12">
        <f t="shared" si="81"/>
        <v>46663</v>
      </c>
    </row>
    <row r="5226" spans="1:5" x14ac:dyDescent="0.25">
      <c r="A5226" s="2">
        <f>IF(B5226="","",SUBTOTAL(3,$B$2:B5226))</f>
        <v>5225</v>
      </c>
      <c r="B5226" s="9" t="s">
        <v>48</v>
      </c>
      <c r="C5226" s="10" t="s">
        <v>49</v>
      </c>
      <c r="D5226" s="11">
        <v>26.887280248190276</v>
      </c>
      <c r="E5226" s="12">
        <f t="shared" si="81"/>
        <v>46664</v>
      </c>
    </row>
    <row r="5227" spans="1:5" x14ac:dyDescent="0.25">
      <c r="A5227" s="2">
        <f>IF(B5227="","",SUBTOTAL(3,$B$2:B5227))</f>
        <v>5226</v>
      </c>
      <c r="B5227" s="9" t="s">
        <v>48</v>
      </c>
      <c r="C5227" s="10" t="s">
        <v>49</v>
      </c>
      <c r="D5227" s="11">
        <v>30.807147258163894</v>
      </c>
      <c r="E5227" s="12">
        <f t="shared" si="81"/>
        <v>46665</v>
      </c>
    </row>
    <row r="5228" spans="1:5" x14ac:dyDescent="0.25">
      <c r="A5228" s="2">
        <f>IF(B5228="","",SUBTOTAL(3,$B$2:B5228))</f>
        <v>5227</v>
      </c>
      <c r="B5228" s="9" t="s">
        <v>48</v>
      </c>
      <c r="C5228" s="10" t="s">
        <v>49</v>
      </c>
      <c r="D5228" s="11">
        <v>231.05360443622922</v>
      </c>
      <c r="E5228" s="12">
        <f t="shared" si="81"/>
        <v>46666</v>
      </c>
    </row>
    <row r="5229" spans="1:5" x14ac:dyDescent="0.25">
      <c r="A5229" s="2">
        <f>IF(B5229="","",SUBTOTAL(3,$B$2:B5229))</f>
        <v>5228</v>
      </c>
      <c r="B5229" s="9" t="s">
        <v>48</v>
      </c>
      <c r="C5229" s="10" t="s">
        <v>49</v>
      </c>
      <c r="D5229" s="11">
        <v>231.05360443622922</v>
      </c>
      <c r="E5229" s="12">
        <f t="shared" si="81"/>
        <v>46667</v>
      </c>
    </row>
    <row r="5230" spans="1:5" x14ac:dyDescent="0.25">
      <c r="A5230" s="2">
        <f>IF(B5230="","",SUBTOTAL(3,$B$2:B5230))</f>
        <v>5229</v>
      </c>
      <c r="B5230" s="9" t="s">
        <v>48</v>
      </c>
      <c r="C5230" s="10" t="s">
        <v>54</v>
      </c>
      <c r="D5230" s="11">
        <v>231.05360443622922</v>
      </c>
      <c r="E5230" s="12">
        <f t="shared" si="81"/>
        <v>46668</v>
      </c>
    </row>
    <row r="5231" spans="1:5" x14ac:dyDescent="0.25">
      <c r="A5231" s="2">
        <f>IF(B5231="","",SUBTOTAL(3,$B$2:B5231))</f>
        <v>5230</v>
      </c>
      <c r="B5231" s="9" t="s">
        <v>55</v>
      </c>
      <c r="C5231" s="10" t="s">
        <v>49</v>
      </c>
      <c r="D5231" s="11">
        <v>330</v>
      </c>
      <c r="E5231" s="12">
        <f t="shared" si="81"/>
        <v>46669</v>
      </c>
    </row>
    <row r="5232" spans="1:5" x14ac:dyDescent="0.25">
      <c r="A5232" s="2">
        <f>IF(B5232="","",SUBTOTAL(3,$B$2:B5232))</f>
        <v>5231</v>
      </c>
      <c r="B5232" s="9" t="s">
        <v>55</v>
      </c>
      <c r="C5232" s="10" t="s">
        <v>49</v>
      </c>
      <c r="D5232" s="11">
        <v>228</v>
      </c>
      <c r="E5232" s="12">
        <f t="shared" si="81"/>
        <v>46670</v>
      </c>
    </row>
    <row r="5233" spans="1:5" x14ac:dyDescent="0.25">
      <c r="A5233" s="2">
        <f>IF(B5233="","",SUBTOTAL(3,$B$2:B5233))</f>
        <v>5232</v>
      </c>
      <c r="B5233" s="9" t="s">
        <v>48</v>
      </c>
      <c r="C5233" s="10" t="s">
        <v>49</v>
      </c>
      <c r="D5233" s="11">
        <v>154.03573629081947</v>
      </c>
      <c r="E5233" s="12">
        <f t="shared" si="81"/>
        <v>46671</v>
      </c>
    </row>
    <row r="5234" spans="1:5" x14ac:dyDescent="0.25">
      <c r="A5234" s="2">
        <f>IF(B5234="","",SUBTOTAL(3,$B$2:B5234))</f>
        <v>5233</v>
      </c>
      <c r="B5234" s="9" t="s">
        <v>48</v>
      </c>
      <c r="C5234" s="10" t="s">
        <v>49</v>
      </c>
      <c r="D5234" s="11">
        <v>154.03573629081947</v>
      </c>
      <c r="E5234" s="12">
        <f t="shared" si="81"/>
        <v>46672</v>
      </c>
    </row>
    <row r="5235" spans="1:5" x14ac:dyDescent="0.25">
      <c r="A5235" s="2">
        <f>IF(B5235="","",SUBTOTAL(3,$B$2:B5235))</f>
        <v>5234</v>
      </c>
      <c r="B5235" s="9" t="s">
        <v>48</v>
      </c>
      <c r="C5235" s="10" t="s">
        <v>49</v>
      </c>
      <c r="D5235" s="11">
        <v>46.210720887245841</v>
      </c>
      <c r="E5235" s="12">
        <f t="shared" si="81"/>
        <v>46673</v>
      </c>
    </row>
    <row r="5236" spans="1:5" x14ac:dyDescent="0.25">
      <c r="A5236" s="2">
        <f>IF(B5236="","",SUBTOTAL(3,$B$2:B5236))</f>
        <v>5235</v>
      </c>
      <c r="B5236" s="9" t="s">
        <v>48</v>
      </c>
      <c r="C5236" s="10" t="s">
        <v>52</v>
      </c>
      <c r="D5236" s="11">
        <v>6.0073937153419594</v>
      </c>
      <c r="E5236" s="12">
        <f t="shared" si="81"/>
        <v>46674</v>
      </c>
    </row>
    <row r="5237" spans="1:5" x14ac:dyDescent="0.25">
      <c r="A5237" s="2">
        <f>IF(B5237="","",SUBTOTAL(3,$B$2:B5237))</f>
        <v>5236</v>
      </c>
      <c r="B5237" s="9" t="s">
        <v>48</v>
      </c>
      <c r="C5237" s="10" t="s">
        <v>52</v>
      </c>
      <c r="D5237" s="11">
        <v>105.51447935921134</v>
      </c>
      <c r="E5237" s="12">
        <f t="shared" si="81"/>
        <v>46675</v>
      </c>
    </row>
    <row r="5238" spans="1:5" x14ac:dyDescent="0.25">
      <c r="A5238" s="2">
        <f>IF(B5238="","",SUBTOTAL(3,$B$2:B5238))</f>
        <v>5237</v>
      </c>
      <c r="B5238" s="9" t="s">
        <v>55</v>
      </c>
      <c r="C5238" s="10" t="s">
        <v>49</v>
      </c>
      <c r="D5238" s="11">
        <v>114</v>
      </c>
      <c r="E5238" s="12">
        <f t="shared" si="81"/>
        <v>46676</v>
      </c>
    </row>
    <row r="5239" spans="1:5" x14ac:dyDescent="0.25">
      <c r="A5239" s="2">
        <f>IF(B5239="","",SUBTOTAL(3,$B$2:B5239))</f>
        <v>5238</v>
      </c>
      <c r="B5239" s="9" t="s">
        <v>55</v>
      </c>
      <c r="C5239" s="10" t="s">
        <v>49</v>
      </c>
      <c r="D5239" s="11">
        <v>760</v>
      </c>
      <c r="E5239" s="12">
        <f t="shared" si="81"/>
        <v>46677</v>
      </c>
    </row>
    <row r="5240" spans="1:5" x14ac:dyDescent="0.25">
      <c r="A5240" s="2">
        <f>IF(B5240="","",SUBTOTAL(3,$B$2:B5240))</f>
        <v>5239</v>
      </c>
      <c r="B5240" s="9" t="s">
        <v>50</v>
      </c>
      <c r="C5240" s="10" t="s">
        <v>49</v>
      </c>
      <c r="D5240" s="11">
        <v>59.523809523809526</v>
      </c>
      <c r="E5240" s="12">
        <f t="shared" si="81"/>
        <v>46678</v>
      </c>
    </row>
    <row r="5241" spans="1:5" x14ac:dyDescent="0.25">
      <c r="A5241" s="2">
        <f>IF(B5241="","",SUBTOTAL(3,$B$2:B5241))</f>
        <v>5240</v>
      </c>
      <c r="B5241" s="9" t="s">
        <v>50</v>
      </c>
      <c r="C5241" s="10" t="s">
        <v>49</v>
      </c>
      <c r="D5241" s="11">
        <v>2204.5855379188711</v>
      </c>
      <c r="E5241" s="12">
        <f t="shared" si="81"/>
        <v>46679</v>
      </c>
    </row>
    <row r="5242" spans="1:5" x14ac:dyDescent="0.25">
      <c r="A5242" s="2">
        <f>IF(B5242="","",SUBTOTAL(3,$B$2:B5242))</f>
        <v>5241</v>
      </c>
      <c r="B5242" s="9" t="s">
        <v>53</v>
      </c>
      <c r="C5242" s="10" t="s">
        <v>49</v>
      </c>
      <c r="D5242" s="11">
        <v>48.797648987516837</v>
      </c>
      <c r="E5242" s="12">
        <f t="shared" si="81"/>
        <v>46680</v>
      </c>
    </row>
    <row r="5243" spans="1:5" x14ac:dyDescent="0.25">
      <c r="A5243" s="2">
        <f>IF(B5243="","",SUBTOTAL(3,$B$2:B5243))</f>
        <v>5242</v>
      </c>
      <c r="B5243" s="9" t="s">
        <v>53</v>
      </c>
      <c r="C5243" s="10" t="s">
        <v>49</v>
      </c>
      <c r="D5243" s="11">
        <v>146.5375914715122</v>
      </c>
      <c r="E5243" s="12">
        <f t="shared" si="81"/>
        <v>46681</v>
      </c>
    </row>
    <row r="5244" spans="1:5" x14ac:dyDescent="0.25">
      <c r="A5244" s="2">
        <f>IF(B5244="","",SUBTOTAL(3,$B$2:B5244))</f>
        <v>5243</v>
      </c>
      <c r="B5244" s="9" t="s">
        <v>50</v>
      </c>
      <c r="C5244" s="10" t="s">
        <v>49</v>
      </c>
      <c r="D5244" s="11">
        <v>5.5114638447971777E-6</v>
      </c>
      <c r="E5244" s="12">
        <f t="shared" si="81"/>
        <v>46682</v>
      </c>
    </row>
    <row r="5245" spans="1:5" x14ac:dyDescent="0.25">
      <c r="A5245" s="2">
        <f>IF(B5245="","",SUBTOTAL(3,$B$2:B5245))</f>
        <v>5244</v>
      </c>
      <c r="B5245" s="9" t="s">
        <v>48</v>
      </c>
      <c r="C5245" s="10" t="s">
        <v>49</v>
      </c>
      <c r="D5245" s="11">
        <v>184.84288354898337</v>
      </c>
      <c r="E5245" s="12">
        <f t="shared" si="81"/>
        <v>46683</v>
      </c>
    </row>
    <row r="5246" spans="1:5" x14ac:dyDescent="0.25">
      <c r="A5246" s="2">
        <f>IF(B5246="","",SUBTOTAL(3,$B$2:B5246))</f>
        <v>5245</v>
      </c>
      <c r="B5246" s="9" t="s">
        <v>48</v>
      </c>
      <c r="C5246" s="10" t="s">
        <v>49</v>
      </c>
      <c r="D5246" s="11">
        <v>104.74430067775724</v>
      </c>
      <c r="E5246" s="12">
        <f t="shared" si="81"/>
        <v>46684</v>
      </c>
    </row>
    <row r="5247" spans="1:5" x14ac:dyDescent="0.25">
      <c r="A5247" s="2">
        <f>IF(B5247="","",SUBTOTAL(3,$B$2:B5247))</f>
        <v>5246</v>
      </c>
      <c r="B5247" s="9" t="s">
        <v>48</v>
      </c>
      <c r="C5247" s="10" t="s">
        <v>49</v>
      </c>
      <c r="D5247" s="11">
        <v>1078.2501540357364</v>
      </c>
      <c r="E5247" s="12">
        <f t="shared" si="81"/>
        <v>46685</v>
      </c>
    </row>
    <row r="5248" spans="1:5" x14ac:dyDescent="0.25">
      <c r="A5248" s="2">
        <f>IF(B5248="","",SUBTOTAL(3,$B$2:B5248))</f>
        <v>5247</v>
      </c>
      <c r="B5248" s="9" t="s">
        <v>48</v>
      </c>
      <c r="C5248" s="10" t="s">
        <v>49</v>
      </c>
      <c r="D5248" s="11">
        <v>169.43930991990143</v>
      </c>
      <c r="E5248" s="12">
        <f t="shared" si="81"/>
        <v>46686</v>
      </c>
    </row>
    <row r="5249" spans="1:5" x14ac:dyDescent="0.25">
      <c r="A5249" s="2">
        <f>IF(B5249="","",SUBTOTAL(3,$B$2:B5249))</f>
        <v>5248</v>
      </c>
      <c r="B5249" s="9" t="s">
        <v>50</v>
      </c>
      <c r="C5249" s="10" t="s">
        <v>54</v>
      </c>
      <c r="D5249" s="11">
        <v>100</v>
      </c>
      <c r="E5249" s="12">
        <f t="shared" si="81"/>
        <v>46687</v>
      </c>
    </row>
    <row r="5250" spans="1:5" x14ac:dyDescent="0.25">
      <c r="A5250" s="2">
        <f>IF(B5250="","",SUBTOTAL(3,$B$2:B5250))</f>
        <v>5249</v>
      </c>
      <c r="B5250" s="9" t="s">
        <v>55</v>
      </c>
      <c r="C5250" s="10" t="s">
        <v>52</v>
      </c>
      <c r="D5250" s="11">
        <v>70</v>
      </c>
      <c r="E5250" s="12">
        <f t="shared" si="81"/>
        <v>46688</v>
      </c>
    </row>
    <row r="5251" spans="1:5" x14ac:dyDescent="0.25">
      <c r="A5251" s="2">
        <f>IF(B5251="","",SUBTOTAL(3,$B$2:B5251))</f>
        <v>5250</v>
      </c>
      <c r="B5251" s="9" t="s">
        <v>51</v>
      </c>
      <c r="C5251" s="10" t="s">
        <v>52</v>
      </c>
      <c r="D5251" s="11">
        <v>105.89854918987609</v>
      </c>
      <c r="E5251" s="12">
        <f t="shared" si="81"/>
        <v>46689</v>
      </c>
    </row>
    <row r="5252" spans="1:5" x14ac:dyDescent="0.25">
      <c r="A5252" s="2">
        <f>IF(B5252="","",SUBTOTAL(3,$B$2:B5252))</f>
        <v>5251</v>
      </c>
      <c r="B5252" s="9" t="s">
        <v>48</v>
      </c>
      <c r="C5252" s="10" t="s">
        <v>54</v>
      </c>
      <c r="D5252" s="11">
        <v>38.54406228720466</v>
      </c>
      <c r="E5252" s="12">
        <f t="shared" ref="E5252:E5315" si="82">E5251+1</f>
        <v>46690</v>
      </c>
    </row>
    <row r="5253" spans="1:5" x14ac:dyDescent="0.25">
      <c r="A5253" s="2">
        <f>IF(B5253="","",SUBTOTAL(3,$B$2:B5253))</f>
        <v>5252</v>
      </c>
      <c r="B5253" s="9" t="s">
        <v>55</v>
      </c>
      <c r="C5253" s="10" t="s">
        <v>52</v>
      </c>
      <c r="D5253" s="11">
        <v>3.4455827628979652</v>
      </c>
      <c r="E5253" s="12">
        <f t="shared" si="82"/>
        <v>46691</v>
      </c>
    </row>
    <row r="5254" spans="1:5" x14ac:dyDescent="0.25">
      <c r="A5254" s="2">
        <f>IF(B5254="","",SUBTOTAL(3,$B$2:B5254))</f>
        <v>5253</v>
      </c>
      <c r="B5254" s="9" t="s">
        <v>51</v>
      </c>
      <c r="C5254" s="10" t="s">
        <v>52</v>
      </c>
      <c r="D5254" s="11">
        <v>264.74637297469025</v>
      </c>
      <c r="E5254" s="12">
        <f t="shared" si="82"/>
        <v>46692</v>
      </c>
    </row>
    <row r="5255" spans="1:5" x14ac:dyDescent="0.25">
      <c r="A5255" s="2">
        <f>IF(B5255="","",SUBTOTAL(3,$B$2:B5255))</f>
        <v>5254</v>
      </c>
      <c r="B5255" s="9" t="s">
        <v>48</v>
      </c>
      <c r="C5255" s="10" t="s">
        <v>49</v>
      </c>
      <c r="D5255" s="11">
        <v>246.45717806531115</v>
      </c>
      <c r="E5255" s="12">
        <f t="shared" si="82"/>
        <v>46693</v>
      </c>
    </row>
    <row r="5256" spans="1:5" x14ac:dyDescent="0.25">
      <c r="A5256" s="2">
        <f>IF(B5256="","",SUBTOTAL(3,$B$2:B5256))</f>
        <v>5255</v>
      </c>
      <c r="B5256" s="9" t="s">
        <v>53</v>
      </c>
      <c r="C5256" s="10" t="s">
        <v>54</v>
      </c>
      <c r="D5256" s="11">
        <v>64.110196268786581</v>
      </c>
      <c r="E5256" s="12">
        <f t="shared" si="82"/>
        <v>46694</v>
      </c>
    </row>
    <row r="5257" spans="1:5" x14ac:dyDescent="0.25">
      <c r="A5257" s="2">
        <f>IF(B5257="","",SUBTOTAL(3,$B$2:B5257))</f>
        <v>5256</v>
      </c>
      <c r="B5257" s="9" t="s">
        <v>55</v>
      </c>
      <c r="C5257" s="10" t="s">
        <v>49</v>
      </c>
      <c r="D5257" s="11">
        <v>150</v>
      </c>
      <c r="E5257" s="12">
        <f t="shared" si="82"/>
        <v>46695</v>
      </c>
    </row>
    <row r="5258" spans="1:5" x14ac:dyDescent="0.25">
      <c r="A5258" s="2">
        <f>IF(B5258="","",SUBTOTAL(3,$B$2:B5258))</f>
        <v>5257</v>
      </c>
      <c r="B5258" s="9" t="s">
        <v>48</v>
      </c>
      <c r="C5258" s="10" t="s">
        <v>52</v>
      </c>
      <c r="D5258" s="11">
        <v>107.82501540357363</v>
      </c>
      <c r="E5258" s="12">
        <f t="shared" si="82"/>
        <v>46696</v>
      </c>
    </row>
    <row r="5259" spans="1:5" x14ac:dyDescent="0.25">
      <c r="A5259" s="2">
        <f>IF(B5259="","",SUBTOTAL(3,$B$2:B5259))</f>
        <v>5258</v>
      </c>
      <c r="B5259" s="9" t="s">
        <v>48</v>
      </c>
      <c r="C5259" s="10" t="s">
        <v>52</v>
      </c>
      <c r="D5259" s="11">
        <v>107.82501540357363</v>
      </c>
      <c r="E5259" s="12">
        <f t="shared" si="82"/>
        <v>46697</v>
      </c>
    </row>
    <row r="5260" spans="1:5" x14ac:dyDescent="0.25">
      <c r="A5260" s="2">
        <f>IF(B5260="","",SUBTOTAL(3,$B$2:B5260))</f>
        <v>5259</v>
      </c>
      <c r="B5260" s="9" t="s">
        <v>48</v>
      </c>
      <c r="C5260" s="10" t="s">
        <v>52</v>
      </c>
      <c r="D5260" s="11">
        <v>107.82501540357363</v>
      </c>
      <c r="E5260" s="12">
        <f t="shared" si="82"/>
        <v>46698</v>
      </c>
    </row>
    <row r="5261" spans="1:5" x14ac:dyDescent="0.25">
      <c r="A5261" s="2">
        <f>IF(B5261="","",SUBTOTAL(3,$B$2:B5261))</f>
        <v>5260</v>
      </c>
      <c r="B5261" s="9" t="s">
        <v>51</v>
      </c>
      <c r="C5261" s="10" t="s">
        <v>52</v>
      </c>
      <c r="D5261" s="11">
        <v>847.18839351900874</v>
      </c>
      <c r="E5261" s="12">
        <f t="shared" si="82"/>
        <v>46699</v>
      </c>
    </row>
    <row r="5262" spans="1:5" x14ac:dyDescent="0.25">
      <c r="A5262" s="2">
        <f>IF(B5262="","",SUBTOTAL(3,$B$2:B5262))</f>
        <v>5261</v>
      </c>
      <c r="B5262" s="9" t="s">
        <v>48</v>
      </c>
      <c r="C5262" s="10" t="s">
        <v>54</v>
      </c>
      <c r="D5262" s="11">
        <v>23.105360443622921</v>
      </c>
      <c r="E5262" s="12">
        <f t="shared" si="82"/>
        <v>46700</v>
      </c>
    </row>
    <row r="5263" spans="1:5" x14ac:dyDescent="0.25">
      <c r="A5263" s="2">
        <f>IF(B5263="","",SUBTOTAL(3,$B$2:B5263))</f>
        <v>5262</v>
      </c>
      <c r="B5263" s="9" t="s">
        <v>48</v>
      </c>
      <c r="C5263" s="10" t="s">
        <v>49</v>
      </c>
      <c r="D5263" s="11">
        <v>30.807147258163894</v>
      </c>
      <c r="E5263" s="12">
        <f t="shared" si="82"/>
        <v>46701</v>
      </c>
    </row>
    <row r="5264" spans="1:5" x14ac:dyDescent="0.25">
      <c r="A5264" s="2">
        <f>IF(B5264="","",SUBTOTAL(3,$B$2:B5264))</f>
        <v>5263</v>
      </c>
      <c r="B5264" s="9" t="s">
        <v>48</v>
      </c>
      <c r="C5264" s="10" t="s">
        <v>49</v>
      </c>
      <c r="D5264" s="11">
        <v>299.90757855822551</v>
      </c>
      <c r="E5264" s="12">
        <f t="shared" si="82"/>
        <v>46702</v>
      </c>
    </row>
    <row r="5265" spans="1:5" x14ac:dyDescent="0.25">
      <c r="A5265" s="2">
        <f>IF(B5265="","",SUBTOTAL(3,$B$2:B5265))</f>
        <v>5264</v>
      </c>
      <c r="B5265" s="9" t="s">
        <v>50</v>
      </c>
      <c r="C5265" s="10" t="s">
        <v>49</v>
      </c>
      <c r="D5265" s="11">
        <v>47.420767195767198</v>
      </c>
      <c r="E5265" s="12">
        <f t="shared" si="82"/>
        <v>46703</v>
      </c>
    </row>
    <row r="5266" spans="1:5" x14ac:dyDescent="0.25">
      <c r="A5266" s="2">
        <f>IF(B5266="","",SUBTOTAL(3,$B$2:B5266))</f>
        <v>5265</v>
      </c>
      <c r="B5266" s="9" t="s">
        <v>50</v>
      </c>
      <c r="C5266" s="10" t="s">
        <v>49</v>
      </c>
      <c r="D5266" s="11">
        <v>154.32098765432099</v>
      </c>
      <c r="E5266" s="12">
        <f t="shared" si="82"/>
        <v>46704</v>
      </c>
    </row>
    <row r="5267" spans="1:5" x14ac:dyDescent="0.25">
      <c r="A5267" s="2">
        <f>IF(B5267="","",SUBTOTAL(3,$B$2:B5267))</f>
        <v>5266</v>
      </c>
      <c r="B5267" s="9" t="s">
        <v>48</v>
      </c>
      <c r="C5267" s="10" t="s">
        <v>54</v>
      </c>
      <c r="D5267" s="11">
        <v>231.05360443622922</v>
      </c>
      <c r="E5267" s="12">
        <f t="shared" si="82"/>
        <v>46705</v>
      </c>
    </row>
    <row r="5268" spans="1:5" x14ac:dyDescent="0.25">
      <c r="A5268" s="2">
        <f>IF(B5268="","",SUBTOTAL(3,$B$2:B5268))</f>
        <v>5267</v>
      </c>
      <c r="B5268" s="9" t="s">
        <v>48</v>
      </c>
      <c r="C5268" s="10" t="s">
        <v>54</v>
      </c>
      <c r="D5268" s="11">
        <v>231.05360443622922</v>
      </c>
      <c r="E5268" s="12">
        <f t="shared" si="82"/>
        <v>46706</v>
      </c>
    </row>
    <row r="5269" spans="1:5" x14ac:dyDescent="0.25">
      <c r="A5269" s="2">
        <f>IF(B5269="","",SUBTOTAL(3,$B$2:B5269))</f>
        <v>5268</v>
      </c>
      <c r="B5269" s="9" t="s">
        <v>48</v>
      </c>
      <c r="C5269" s="10" t="s">
        <v>56</v>
      </c>
      <c r="D5269" s="11">
        <v>344.25249537892796</v>
      </c>
      <c r="E5269" s="12">
        <f t="shared" si="82"/>
        <v>46707</v>
      </c>
    </row>
    <row r="5270" spans="1:5" x14ac:dyDescent="0.25">
      <c r="A5270" s="2">
        <f>IF(B5270="","",SUBTOTAL(3,$B$2:B5270))</f>
        <v>5269</v>
      </c>
      <c r="B5270" s="9" t="s">
        <v>48</v>
      </c>
      <c r="C5270" s="10" t="s">
        <v>52</v>
      </c>
      <c r="D5270" s="11">
        <v>149.99573012939001</v>
      </c>
      <c r="E5270" s="12">
        <f t="shared" si="82"/>
        <v>46708</v>
      </c>
    </row>
    <row r="5271" spans="1:5" x14ac:dyDescent="0.25">
      <c r="A5271" s="2">
        <f>IF(B5271="","",SUBTOTAL(3,$B$2:B5271))</f>
        <v>5270</v>
      </c>
      <c r="B5271" s="9" t="s">
        <v>55</v>
      </c>
      <c r="C5271" s="10" t="s">
        <v>49</v>
      </c>
      <c r="D5271" s="11">
        <v>123.2857077226995</v>
      </c>
      <c r="E5271" s="12">
        <f t="shared" si="82"/>
        <v>46709</v>
      </c>
    </row>
    <row r="5272" spans="1:5" x14ac:dyDescent="0.25">
      <c r="A5272" s="2">
        <f>IF(B5272="","",SUBTOTAL(3,$B$2:B5272))</f>
        <v>5271</v>
      </c>
      <c r="B5272" s="9" t="s">
        <v>51</v>
      </c>
      <c r="C5272" s="10" t="s">
        <v>49</v>
      </c>
      <c r="D5272" s="11">
        <v>52.949274594938046</v>
      </c>
      <c r="E5272" s="12">
        <f t="shared" si="82"/>
        <v>46710</v>
      </c>
    </row>
    <row r="5273" spans="1:5" x14ac:dyDescent="0.25">
      <c r="A5273" s="2">
        <f>IF(B5273="","",SUBTOTAL(3,$B$2:B5273))</f>
        <v>5272</v>
      </c>
      <c r="B5273" s="9" t="s">
        <v>48</v>
      </c>
      <c r="C5273" s="10" t="s">
        <v>52</v>
      </c>
      <c r="D5273" s="11">
        <v>86.177180282661155</v>
      </c>
      <c r="E5273" s="12">
        <f t="shared" si="82"/>
        <v>46711</v>
      </c>
    </row>
    <row r="5274" spans="1:5" x14ac:dyDescent="0.25">
      <c r="A5274" s="2">
        <f>IF(B5274="","",SUBTOTAL(3,$B$2:B5274))</f>
        <v>5273</v>
      </c>
      <c r="B5274" s="9" t="s">
        <v>51</v>
      </c>
      <c r="C5274" s="10" t="s">
        <v>49</v>
      </c>
      <c r="D5274" s="11">
        <v>158.84782378481412</v>
      </c>
      <c r="E5274" s="12">
        <f t="shared" si="82"/>
        <v>46712</v>
      </c>
    </row>
    <row r="5275" spans="1:5" x14ac:dyDescent="0.25">
      <c r="A5275" s="2">
        <f>IF(B5275="","",SUBTOTAL(3,$B$2:B5275))</f>
        <v>5274</v>
      </c>
      <c r="B5275" s="9" t="s">
        <v>55</v>
      </c>
      <c r="C5275" s="10" t="s">
        <v>49</v>
      </c>
      <c r="D5275" s="11">
        <v>120.63744500570311</v>
      </c>
      <c r="E5275" s="12">
        <f t="shared" si="82"/>
        <v>46713</v>
      </c>
    </row>
    <row r="5276" spans="1:5" x14ac:dyDescent="0.25">
      <c r="A5276" s="2">
        <f>IF(B5276="","",SUBTOTAL(3,$B$2:B5276))</f>
        <v>5275</v>
      </c>
      <c r="B5276" s="9" t="s">
        <v>51</v>
      </c>
      <c r="C5276" s="10" t="s">
        <v>52</v>
      </c>
      <c r="D5276" s="11">
        <v>185.32246108228318</v>
      </c>
      <c r="E5276" s="12">
        <f t="shared" si="82"/>
        <v>46714</v>
      </c>
    </row>
    <row r="5277" spans="1:5" x14ac:dyDescent="0.25">
      <c r="A5277" s="2">
        <f>IF(B5277="","",SUBTOTAL(3,$B$2:B5277))</f>
        <v>5276</v>
      </c>
      <c r="B5277" s="9" t="s">
        <v>53</v>
      </c>
      <c r="C5277" s="10" t="s">
        <v>49</v>
      </c>
      <c r="D5277" s="11">
        <v>228.96498667423779</v>
      </c>
      <c r="E5277" s="12">
        <f t="shared" si="82"/>
        <v>46715</v>
      </c>
    </row>
    <row r="5278" spans="1:5" x14ac:dyDescent="0.25">
      <c r="A5278" s="2">
        <f>IF(B5278="","",SUBTOTAL(3,$B$2:B5278))</f>
        <v>5277</v>
      </c>
      <c r="B5278" s="9" t="s">
        <v>53</v>
      </c>
      <c r="C5278" s="10" t="s">
        <v>49</v>
      </c>
      <c r="D5278" s="11">
        <v>45.792997334847563</v>
      </c>
      <c r="E5278" s="12">
        <f t="shared" si="82"/>
        <v>46716</v>
      </c>
    </row>
    <row r="5279" spans="1:5" x14ac:dyDescent="0.25">
      <c r="A5279" s="2">
        <f>IF(B5279="","",SUBTOTAL(3,$B$2:B5279))</f>
        <v>5278</v>
      </c>
      <c r="B5279" s="9" t="s">
        <v>53</v>
      </c>
      <c r="C5279" s="10" t="s">
        <v>49</v>
      </c>
      <c r="D5279" s="11">
        <v>183.17198933939025</v>
      </c>
      <c r="E5279" s="12">
        <f t="shared" si="82"/>
        <v>46717</v>
      </c>
    </row>
    <row r="5280" spans="1:5" x14ac:dyDescent="0.25">
      <c r="A5280" s="2">
        <f>IF(B5280="","",SUBTOTAL(3,$B$2:B5280))</f>
        <v>5279</v>
      </c>
      <c r="B5280" s="9" t="s">
        <v>53</v>
      </c>
      <c r="C5280" s="10" t="s">
        <v>49</v>
      </c>
      <c r="D5280" s="11">
        <v>274.75798400908536</v>
      </c>
      <c r="E5280" s="12">
        <f t="shared" si="82"/>
        <v>46718</v>
      </c>
    </row>
    <row r="5281" spans="1:5" x14ac:dyDescent="0.25">
      <c r="A5281" s="2">
        <f>IF(B5281="","",SUBTOTAL(3,$B$2:B5281))</f>
        <v>5280</v>
      </c>
      <c r="B5281" s="9" t="s">
        <v>53</v>
      </c>
      <c r="C5281" s="10" t="s">
        <v>49</v>
      </c>
      <c r="D5281" s="11">
        <v>137.37899200454268</v>
      </c>
      <c r="E5281" s="12">
        <f t="shared" si="82"/>
        <v>46719</v>
      </c>
    </row>
    <row r="5282" spans="1:5" x14ac:dyDescent="0.25">
      <c r="A5282" s="2">
        <f>IF(B5282="","",SUBTOTAL(3,$B$2:B5282))</f>
        <v>5281</v>
      </c>
      <c r="B5282" s="9" t="s">
        <v>48</v>
      </c>
      <c r="C5282" s="10" t="s">
        <v>52</v>
      </c>
      <c r="D5282" s="11">
        <v>308.07147258163894</v>
      </c>
      <c r="E5282" s="12">
        <f t="shared" si="82"/>
        <v>46720</v>
      </c>
    </row>
    <row r="5283" spans="1:5" x14ac:dyDescent="0.25">
      <c r="A5283" s="2">
        <f>IF(B5283="","",SUBTOTAL(3,$B$2:B5283))</f>
        <v>5282</v>
      </c>
      <c r="B5283" s="9" t="s">
        <v>50</v>
      </c>
      <c r="C5283" s="10" t="s">
        <v>54</v>
      </c>
      <c r="D5283" s="11">
        <v>33.06878306878307</v>
      </c>
      <c r="E5283" s="12">
        <f t="shared" si="82"/>
        <v>46721</v>
      </c>
    </row>
    <row r="5284" spans="1:5" x14ac:dyDescent="0.25">
      <c r="A5284" s="2">
        <f>IF(B5284="","",SUBTOTAL(3,$B$2:B5284))</f>
        <v>5283</v>
      </c>
      <c r="B5284" s="9" t="s">
        <v>48</v>
      </c>
      <c r="C5284" s="10" t="s">
        <v>52</v>
      </c>
      <c r="D5284" s="11">
        <v>231.05360443622922</v>
      </c>
      <c r="E5284" s="12">
        <f t="shared" si="82"/>
        <v>46722</v>
      </c>
    </row>
    <row r="5285" spans="1:5" x14ac:dyDescent="0.25">
      <c r="A5285" s="2">
        <f>IF(B5285="","",SUBTOTAL(3,$B$2:B5285))</f>
        <v>5284</v>
      </c>
      <c r="B5285" s="9" t="s">
        <v>50</v>
      </c>
      <c r="C5285" s="10" t="s">
        <v>54</v>
      </c>
      <c r="D5285" s="11">
        <v>33.06878306878307</v>
      </c>
      <c r="E5285" s="12">
        <f t="shared" si="82"/>
        <v>46723</v>
      </c>
    </row>
    <row r="5286" spans="1:5" x14ac:dyDescent="0.25">
      <c r="A5286" s="2">
        <f>IF(B5286="","",SUBTOTAL(3,$B$2:B5286))</f>
        <v>5285</v>
      </c>
      <c r="B5286" s="9" t="s">
        <v>50</v>
      </c>
      <c r="C5286" s="10" t="s">
        <v>49</v>
      </c>
      <c r="D5286" s="11">
        <v>110.22927689594357</v>
      </c>
      <c r="E5286" s="12">
        <f t="shared" si="82"/>
        <v>46724</v>
      </c>
    </row>
    <row r="5287" spans="1:5" x14ac:dyDescent="0.25">
      <c r="A5287" s="2">
        <f>IF(B5287="","",SUBTOTAL(3,$B$2:B5287))</f>
        <v>5286</v>
      </c>
      <c r="B5287" s="9" t="s">
        <v>50</v>
      </c>
      <c r="C5287" s="10" t="s">
        <v>49</v>
      </c>
      <c r="D5287" s="11">
        <v>110.22927689594357</v>
      </c>
      <c r="E5287" s="12">
        <f t="shared" si="82"/>
        <v>46725</v>
      </c>
    </row>
    <row r="5288" spans="1:5" x14ac:dyDescent="0.25">
      <c r="A5288" s="2">
        <f>IF(B5288="","",SUBTOTAL(3,$B$2:B5288))</f>
        <v>5287</v>
      </c>
      <c r="B5288" s="9" t="s">
        <v>50</v>
      </c>
      <c r="C5288" s="10" t="s">
        <v>52</v>
      </c>
      <c r="D5288" s="11">
        <v>66.137566137566139</v>
      </c>
      <c r="E5288" s="12">
        <f t="shared" si="82"/>
        <v>46726</v>
      </c>
    </row>
    <row r="5289" spans="1:5" x14ac:dyDescent="0.25">
      <c r="A5289" s="2">
        <f>IF(B5289="","",SUBTOTAL(3,$B$2:B5289))</f>
        <v>5288</v>
      </c>
      <c r="B5289" s="9" t="s">
        <v>48</v>
      </c>
      <c r="C5289" s="10" t="s">
        <v>49</v>
      </c>
      <c r="D5289" s="11">
        <v>53.252085487762834</v>
      </c>
      <c r="E5289" s="12">
        <f t="shared" si="82"/>
        <v>46727</v>
      </c>
    </row>
    <row r="5290" spans="1:5" x14ac:dyDescent="0.25">
      <c r="A5290" s="2">
        <f>IF(B5290="","",SUBTOTAL(3,$B$2:B5290))</f>
        <v>5289</v>
      </c>
      <c r="B5290" s="9" t="s">
        <v>51</v>
      </c>
      <c r="C5290" s="10" t="s">
        <v>52</v>
      </c>
      <c r="D5290" s="11">
        <v>52.949274594938046</v>
      </c>
      <c r="E5290" s="12">
        <f t="shared" si="82"/>
        <v>46728</v>
      </c>
    </row>
    <row r="5291" spans="1:5" x14ac:dyDescent="0.25">
      <c r="A5291" s="2">
        <f>IF(B5291="","",SUBTOTAL(3,$B$2:B5291))</f>
        <v>5290</v>
      </c>
      <c r="B5291" s="9" t="s">
        <v>48</v>
      </c>
      <c r="C5291" s="10" t="s">
        <v>49</v>
      </c>
      <c r="D5291" s="11">
        <v>231.05360443622922</v>
      </c>
      <c r="E5291" s="12">
        <f t="shared" si="82"/>
        <v>46729</v>
      </c>
    </row>
    <row r="5292" spans="1:5" x14ac:dyDescent="0.25">
      <c r="A5292" s="2">
        <f>IF(B5292="","",SUBTOTAL(3,$B$2:B5292))</f>
        <v>5291</v>
      </c>
      <c r="B5292" s="9" t="s">
        <v>50</v>
      </c>
      <c r="C5292" s="10" t="s">
        <v>54</v>
      </c>
      <c r="D5292" s="11">
        <v>66.137566137566139</v>
      </c>
      <c r="E5292" s="12">
        <f t="shared" si="82"/>
        <v>46730</v>
      </c>
    </row>
    <row r="5293" spans="1:5" x14ac:dyDescent="0.25">
      <c r="A5293" s="2">
        <f>IF(B5293="","",SUBTOTAL(3,$B$2:B5293))</f>
        <v>5292</v>
      </c>
      <c r="B5293" s="9" t="s">
        <v>48</v>
      </c>
      <c r="C5293" s="10" t="s">
        <v>52</v>
      </c>
      <c r="D5293" s="11">
        <v>154.03573629081947</v>
      </c>
      <c r="E5293" s="12">
        <f t="shared" si="82"/>
        <v>46731</v>
      </c>
    </row>
    <row r="5294" spans="1:5" x14ac:dyDescent="0.25">
      <c r="A5294" s="2">
        <f>IF(B5294="","",SUBTOTAL(3,$B$2:B5294))</f>
        <v>5293</v>
      </c>
      <c r="B5294" s="9" t="s">
        <v>50</v>
      </c>
      <c r="C5294" s="10" t="s">
        <v>54</v>
      </c>
      <c r="D5294" s="11">
        <v>66.137566137566139</v>
      </c>
      <c r="E5294" s="12">
        <f t="shared" si="82"/>
        <v>46732</v>
      </c>
    </row>
    <row r="5295" spans="1:5" x14ac:dyDescent="0.25">
      <c r="A5295" s="2">
        <f>IF(B5295="","",SUBTOTAL(3,$B$2:B5295))</f>
        <v>5294</v>
      </c>
      <c r="B5295" s="9" t="s">
        <v>50</v>
      </c>
      <c r="C5295" s="10" t="s">
        <v>54</v>
      </c>
      <c r="D5295" s="11">
        <v>99.206349206349202</v>
      </c>
      <c r="E5295" s="12">
        <f t="shared" si="82"/>
        <v>46733</v>
      </c>
    </row>
    <row r="5296" spans="1:5" x14ac:dyDescent="0.25">
      <c r="A5296" s="2">
        <f>IF(B5296="","",SUBTOTAL(3,$B$2:B5296))</f>
        <v>5295</v>
      </c>
      <c r="B5296" s="9" t="s">
        <v>48</v>
      </c>
      <c r="C5296" s="10" t="s">
        <v>52</v>
      </c>
      <c r="D5296" s="11">
        <v>308.07147258163894</v>
      </c>
      <c r="E5296" s="12">
        <f t="shared" si="82"/>
        <v>46734</v>
      </c>
    </row>
    <row r="5297" spans="1:5" x14ac:dyDescent="0.25">
      <c r="A5297" s="2">
        <f>IF(B5297="","",SUBTOTAL(3,$B$2:B5297))</f>
        <v>5296</v>
      </c>
      <c r="B5297" s="9" t="s">
        <v>48</v>
      </c>
      <c r="C5297" s="10" t="s">
        <v>52</v>
      </c>
      <c r="D5297" s="11">
        <v>308.07147258163894</v>
      </c>
      <c r="E5297" s="12">
        <f t="shared" si="82"/>
        <v>46735</v>
      </c>
    </row>
    <row r="5298" spans="1:5" x14ac:dyDescent="0.25">
      <c r="A5298" s="2">
        <f>IF(B5298="","",SUBTOTAL(3,$B$2:B5298))</f>
        <v>5297</v>
      </c>
      <c r="B5298" s="9" t="s">
        <v>50</v>
      </c>
      <c r="C5298" s="10" t="s">
        <v>49</v>
      </c>
      <c r="D5298" s="11">
        <v>33.06878306878307</v>
      </c>
      <c r="E5298" s="12">
        <f t="shared" si="82"/>
        <v>46736</v>
      </c>
    </row>
    <row r="5299" spans="1:5" x14ac:dyDescent="0.25">
      <c r="A5299" s="2">
        <f>IF(B5299="","",SUBTOTAL(3,$B$2:B5299))</f>
        <v>5298</v>
      </c>
      <c r="B5299" s="9" t="s">
        <v>50</v>
      </c>
      <c r="C5299" s="10" t="s">
        <v>49</v>
      </c>
      <c r="D5299" s="11">
        <v>220.45855379188714</v>
      </c>
      <c r="E5299" s="12">
        <f t="shared" si="82"/>
        <v>46737</v>
      </c>
    </row>
    <row r="5300" spans="1:5" x14ac:dyDescent="0.25">
      <c r="A5300" s="2">
        <f>IF(B5300="","",SUBTOTAL(3,$B$2:B5300))</f>
        <v>5299</v>
      </c>
      <c r="B5300" s="9" t="s">
        <v>48</v>
      </c>
      <c r="C5300" s="10" t="s">
        <v>52</v>
      </c>
      <c r="D5300" s="11">
        <v>128.48020762401552</v>
      </c>
      <c r="E5300" s="12">
        <f t="shared" si="82"/>
        <v>46738</v>
      </c>
    </row>
    <row r="5301" spans="1:5" x14ac:dyDescent="0.25">
      <c r="A5301" s="2">
        <f>IF(B5301="","",SUBTOTAL(3,$B$2:B5301))</f>
        <v>5300</v>
      </c>
      <c r="B5301" s="9" t="s">
        <v>48</v>
      </c>
      <c r="C5301" s="10" t="s">
        <v>52</v>
      </c>
      <c r="D5301" s="11">
        <v>642.4010381200776</v>
      </c>
      <c r="E5301" s="12">
        <f t="shared" si="82"/>
        <v>46739</v>
      </c>
    </row>
    <row r="5302" spans="1:5" x14ac:dyDescent="0.25">
      <c r="A5302" s="2">
        <f>IF(B5302="","",SUBTOTAL(3,$B$2:B5302))</f>
        <v>5301</v>
      </c>
      <c r="B5302" s="9" t="s">
        <v>48</v>
      </c>
      <c r="C5302" s="10" t="s">
        <v>52</v>
      </c>
      <c r="D5302" s="11">
        <v>569.93222427603212</v>
      </c>
      <c r="E5302" s="12">
        <f t="shared" si="82"/>
        <v>46740</v>
      </c>
    </row>
    <row r="5303" spans="1:5" x14ac:dyDescent="0.25">
      <c r="A5303" s="2">
        <f>IF(B5303="","",SUBTOTAL(3,$B$2:B5303))</f>
        <v>5302</v>
      </c>
      <c r="B5303" s="9" t="s">
        <v>50</v>
      </c>
      <c r="C5303" s="10" t="s">
        <v>52</v>
      </c>
      <c r="D5303" s="11">
        <v>44.091710758377424</v>
      </c>
      <c r="E5303" s="12">
        <f t="shared" si="82"/>
        <v>46741</v>
      </c>
    </row>
    <row r="5304" spans="1:5" x14ac:dyDescent="0.25">
      <c r="A5304" s="2">
        <f>IF(B5304="","",SUBTOTAL(3,$B$2:B5304))</f>
        <v>5303</v>
      </c>
      <c r="B5304" s="9" t="s">
        <v>51</v>
      </c>
      <c r="C5304" s="10" t="s">
        <v>49</v>
      </c>
      <c r="D5304" s="11">
        <v>52.949274594938046</v>
      </c>
      <c r="E5304" s="12">
        <f t="shared" si="82"/>
        <v>46742</v>
      </c>
    </row>
    <row r="5305" spans="1:5" x14ac:dyDescent="0.25">
      <c r="A5305" s="2">
        <f>IF(B5305="","",SUBTOTAL(3,$B$2:B5305))</f>
        <v>5304</v>
      </c>
      <c r="B5305" s="9" t="s">
        <v>51</v>
      </c>
      <c r="C5305" s="10" t="s">
        <v>52</v>
      </c>
      <c r="D5305" s="11">
        <v>238.27173567722122</v>
      </c>
      <c r="E5305" s="12">
        <f t="shared" si="82"/>
        <v>46743</v>
      </c>
    </row>
    <row r="5306" spans="1:5" x14ac:dyDescent="0.25">
      <c r="A5306" s="2">
        <f>IF(B5306="","",SUBTOTAL(3,$B$2:B5306))</f>
        <v>5305</v>
      </c>
      <c r="B5306" s="9" t="s">
        <v>55</v>
      </c>
      <c r="C5306" s="10" t="s">
        <v>49</v>
      </c>
      <c r="D5306" s="11">
        <v>155.72931501814674</v>
      </c>
      <c r="E5306" s="12">
        <f t="shared" si="82"/>
        <v>46744</v>
      </c>
    </row>
    <row r="5307" spans="1:5" x14ac:dyDescent="0.25">
      <c r="A5307" s="2">
        <f>IF(B5307="","",SUBTOTAL(3,$B$2:B5307))</f>
        <v>5306</v>
      </c>
      <c r="B5307" s="9" t="s">
        <v>51</v>
      </c>
      <c r="C5307" s="10" t="s">
        <v>52</v>
      </c>
      <c r="D5307" s="11">
        <v>847.18839351900874</v>
      </c>
      <c r="E5307" s="12">
        <f t="shared" si="82"/>
        <v>46745</v>
      </c>
    </row>
    <row r="5308" spans="1:5" x14ac:dyDescent="0.25">
      <c r="A5308" s="2">
        <f>IF(B5308="","",SUBTOTAL(3,$B$2:B5308))</f>
        <v>5307</v>
      </c>
      <c r="B5308" s="9" t="s">
        <v>48</v>
      </c>
      <c r="C5308" s="10" t="s">
        <v>56</v>
      </c>
      <c r="D5308" s="11">
        <v>5.8600482592209584</v>
      </c>
      <c r="E5308" s="12">
        <f t="shared" si="82"/>
        <v>46746</v>
      </c>
    </row>
    <row r="5309" spans="1:5" x14ac:dyDescent="0.25">
      <c r="A5309" s="2">
        <f>IF(B5309="","",SUBTOTAL(3,$B$2:B5309))</f>
        <v>5308</v>
      </c>
      <c r="B5309" s="9" t="s">
        <v>55</v>
      </c>
      <c r="C5309" s="10" t="s">
        <v>54</v>
      </c>
      <c r="D5309" s="11">
        <v>172.5</v>
      </c>
      <c r="E5309" s="12">
        <f t="shared" si="82"/>
        <v>46747</v>
      </c>
    </row>
    <row r="5310" spans="1:5" x14ac:dyDescent="0.25">
      <c r="A5310" s="2">
        <f>IF(B5310="","",SUBTOTAL(3,$B$2:B5310))</f>
        <v>5309</v>
      </c>
      <c r="B5310" s="9" t="s">
        <v>55</v>
      </c>
      <c r="C5310" s="10" t="s">
        <v>54</v>
      </c>
      <c r="D5310" s="11">
        <v>14.95</v>
      </c>
      <c r="E5310" s="12">
        <f t="shared" si="82"/>
        <v>46748</v>
      </c>
    </row>
    <row r="5311" spans="1:5" x14ac:dyDescent="0.25">
      <c r="A5311" s="2">
        <f>IF(B5311="","",SUBTOTAL(3,$B$2:B5311))</f>
        <v>5310</v>
      </c>
      <c r="B5311" s="9" t="s">
        <v>55</v>
      </c>
      <c r="C5311" s="10" t="s">
        <v>52</v>
      </c>
      <c r="D5311" s="11">
        <v>18.634796940322506</v>
      </c>
      <c r="E5311" s="12">
        <f t="shared" si="82"/>
        <v>46749</v>
      </c>
    </row>
    <row r="5312" spans="1:5" x14ac:dyDescent="0.25">
      <c r="A5312" s="2">
        <f>IF(B5312="","",SUBTOTAL(3,$B$2:B5312))</f>
        <v>5311</v>
      </c>
      <c r="B5312" s="9" t="s">
        <v>48</v>
      </c>
      <c r="C5312" s="10" t="s">
        <v>52</v>
      </c>
      <c r="D5312" s="11">
        <v>86.177180282661155</v>
      </c>
      <c r="E5312" s="12">
        <f t="shared" si="82"/>
        <v>46750</v>
      </c>
    </row>
    <row r="5313" spans="1:5" x14ac:dyDescent="0.25">
      <c r="A5313" s="2">
        <f>IF(B5313="","",SUBTOTAL(3,$B$2:B5313))</f>
        <v>5312</v>
      </c>
      <c r="B5313" s="9" t="s">
        <v>50</v>
      </c>
      <c r="C5313" s="10" t="s">
        <v>52</v>
      </c>
      <c r="D5313" s="11">
        <v>44.091710758377424</v>
      </c>
      <c r="E5313" s="12">
        <f t="shared" si="82"/>
        <v>46751</v>
      </c>
    </row>
    <row r="5314" spans="1:5" x14ac:dyDescent="0.25">
      <c r="A5314" s="2">
        <f>IF(B5314="","",SUBTOTAL(3,$B$2:B5314))</f>
        <v>5313</v>
      </c>
      <c r="B5314" s="9" t="s">
        <v>48</v>
      </c>
      <c r="C5314" s="10" t="s">
        <v>56</v>
      </c>
      <c r="D5314" s="11">
        <v>34.470872113064452</v>
      </c>
      <c r="E5314" s="12">
        <f t="shared" si="82"/>
        <v>46752</v>
      </c>
    </row>
    <row r="5315" spans="1:5" x14ac:dyDescent="0.25">
      <c r="A5315" s="2">
        <f>IF(B5315="","",SUBTOTAL(3,$B$2:B5315))</f>
        <v>5314</v>
      </c>
      <c r="B5315" s="9" t="s">
        <v>50</v>
      </c>
      <c r="C5315" s="10" t="s">
        <v>49</v>
      </c>
      <c r="D5315" s="11">
        <v>195.76719576719577</v>
      </c>
      <c r="E5315" s="12">
        <f t="shared" si="82"/>
        <v>46753</v>
      </c>
    </row>
    <row r="5316" spans="1:5" x14ac:dyDescent="0.25">
      <c r="A5316" s="2">
        <f>IF(B5316="","",SUBTOTAL(3,$B$2:B5316))</f>
        <v>5315</v>
      </c>
      <c r="B5316" s="9" t="s">
        <v>53</v>
      </c>
      <c r="C5316" s="10" t="s">
        <v>54</v>
      </c>
      <c r="D5316" s="11">
        <v>45.792997334847563</v>
      </c>
      <c r="E5316" s="12">
        <f t="shared" ref="E5316:E5379" si="83">E5315+1</f>
        <v>46754</v>
      </c>
    </row>
    <row r="5317" spans="1:5" x14ac:dyDescent="0.25">
      <c r="A5317" s="2">
        <f>IF(B5317="","",SUBTOTAL(3,$B$2:B5317))</f>
        <v>5316</v>
      </c>
      <c r="B5317" s="9" t="s">
        <v>53</v>
      </c>
      <c r="C5317" s="10" t="s">
        <v>49</v>
      </c>
      <c r="D5317" s="11">
        <v>45.792997334847563</v>
      </c>
      <c r="E5317" s="12">
        <f t="shared" si="83"/>
        <v>46755</v>
      </c>
    </row>
    <row r="5318" spans="1:5" x14ac:dyDescent="0.25">
      <c r="A5318" s="2">
        <f>IF(B5318="","",SUBTOTAL(3,$B$2:B5318))</f>
        <v>5317</v>
      </c>
      <c r="B5318" s="9" t="s">
        <v>53</v>
      </c>
      <c r="C5318" s="10" t="s">
        <v>49</v>
      </c>
      <c r="D5318" s="11">
        <v>178.59268960590546</v>
      </c>
      <c r="E5318" s="12">
        <f t="shared" si="83"/>
        <v>46756</v>
      </c>
    </row>
    <row r="5319" spans="1:5" x14ac:dyDescent="0.25">
      <c r="A5319" s="2">
        <f>IF(B5319="","",SUBTOTAL(3,$B$2:B5319))</f>
        <v>5318</v>
      </c>
      <c r="B5319" s="9" t="s">
        <v>55</v>
      </c>
      <c r="C5319" s="10" t="s">
        <v>49</v>
      </c>
      <c r="D5319" s="11">
        <v>18.92543758901089</v>
      </c>
      <c r="E5319" s="12">
        <f t="shared" si="83"/>
        <v>46757</v>
      </c>
    </row>
    <row r="5320" spans="1:5" x14ac:dyDescent="0.25">
      <c r="A5320" s="2">
        <f>IF(B5320="","",SUBTOTAL(3,$B$2:B5320))</f>
        <v>5319</v>
      </c>
      <c r="B5320" s="9" t="s">
        <v>51</v>
      </c>
      <c r="C5320" s="10" t="s">
        <v>52</v>
      </c>
      <c r="D5320" s="11">
        <v>308.16477814253943</v>
      </c>
      <c r="E5320" s="12">
        <f t="shared" si="83"/>
        <v>46758</v>
      </c>
    </row>
    <row r="5321" spans="1:5" x14ac:dyDescent="0.25">
      <c r="A5321" s="2">
        <f>IF(B5321="","",SUBTOTAL(3,$B$2:B5321))</f>
        <v>5320</v>
      </c>
      <c r="B5321" s="9" t="s">
        <v>48</v>
      </c>
      <c r="C5321" s="10" t="s">
        <v>52</v>
      </c>
      <c r="D5321" s="11">
        <v>123.22858903265558</v>
      </c>
      <c r="E5321" s="12">
        <f t="shared" si="83"/>
        <v>46759</v>
      </c>
    </row>
    <row r="5322" spans="1:5" x14ac:dyDescent="0.25">
      <c r="A5322" s="2">
        <f>IF(B5322="","",SUBTOTAL(3,$B$2:B5322))</f>
        <v>5321</v>
      </c>
      <c r="B5322" s="9" t="s">
        <v>48</v>
      </c>
      <c r="C5322" s="10" t="s">
        <v>52</v>
      </c>
      <c r="D5322" s="11">
        <v>1232.2858903265558</v>
      </c>
      <c r="E5322" s="12">
        <f t="shared" si="83"/>
        <v>46760</v>
      </c>
    </row>
    <row r="5323" spans="1:5" x14ac:dyDescent="0.25">
      <c r="A5323" s="2">
        <f>IF(B5323="","",SUBTOTAL(3,$B$2:B5323))</f>
        <v>5322</v>
      </c>
      <c r="B5323" s="9" t="s">
        <v>48</v>
      </c>
      <c r="C5323" s="10" t="s">
        <v>52</v>
      </c>
      <c r="D5323" s="11">
        <v>462.10720887245844</v>
      </c>
      <c r="E5323" s="12">
        <f t="shared" si="83"/>
        <v>46761</v>
      </c>
    </row>
    <row r="5324" spans="1:5" x14ac:dyDescent="0.25">
      <c r="A5324" s="2">
        <f>IF(B5324="","",SUBTOTAL(3,$B$2:B5324))</f>
        <v>5323</v>
      </c>
      <c r="B5324" s="9" t="s">
        <v>48</v>
      </c>
      <c r="C5324" s="10" t="s">
        <v>52</v>
      </c>
      <c r="D5324" s="11">
        <v>308.07147258163894</v>
      </c>
      <c r="E5324" s="12">
        <f t="shared" si="83"/>
        <v>46762</v>
      </c>
    </row>
    <row r="5325" spans="1:5" x14ac:dyDescent="0.25">
      <c r="A5325" s="2">
        <f>IF(B5325="","",SUBTOTAL(3,$B$2:B5325))</f>
        <v>5324</v>
      </c>
      <c r="B5325" s="9" t="s">
        <v>48</v>
      </c>
      <c r="C5325" s="10" t="s">
        <v>52</v>
      </c>
      <c r="D5325" s="11">
        <v>231.05360443622922</v>
      </c>
      <c r="E5325" s="12">
        <f t="shared" si="83"/>
        <v>46763</v>
      </c>
    </row>
    <row r="5326" spans="1:5" x14ac:dyDescent="0.25">
      <c r="A5326" s="2">
        <f>IF(B5326="","",SUBTOTAL(3,$B$2:B5326))</f>
        <v>5325</v>
      </c>
      <c r="B5326" s="9" t="s">
        <v>50</v>
      </c>
      <c r="C5326" s="10" t="s">
        <v>54</v>
      </c>
      <c r="D5326" s="11">
        <v>22.045855379188712</v>
      </c>
      <c r="E5326" s="12">
        <f t="shared" si="83"/>
        <v>46764</v>
      </c>
    </row>
    <row r="5327" spans="1:5" x14ac:dyDescent="0.25">
      <c r="A5327" s="2">
        <f>IF(B5327="","",SUBTOTAL(3,$B$2:B5327))</f>
        <v>5326</v>
      </c>
      <c r="B5327" s="9" t="s">
        <v>50</v>
      </c>
      <c r="C5327" s="10" t="s">
        <v>54</v>
      </c>
      <c r="D5327" s="11">
        <v>55.114638447971785</v>
      </c>
      <c r="E5327" s="12">
        <f t="shared" si="83"/>
        <v>46765</v>
      </c>
    </row>
    <row r="5328" spans="1:5" x14ac:dyDescent="0.25">
      <c r="A5328" s="2">
        <f>IF(B5328="","",SUBTOTAL(3,$B$2:B5328))</f>
        <v>5327</v>
      </c>
      <c r="B5328" s="9" t="s">
        <v>48</v>
      </c>
      <c r="C5328" s="10" t="s">
        <v>49</v>
      </c>
      <c r="D5328" s="11">
        <v>206.82523267838675</v>
      </c>
      <c r="E5328" s="12">
        <f t="shared" si="83"/>
        <v>46766</v>
      </c>
    </row>
    <row r="5329" spans="1:5" x14ac:dyDescent="0.25">
      <c r="A5329" s="2">
        <f>IF(B5329="","",SUBTOTAL(3,$B$2:B5329))</f>
        <v>5328</v>
      </c>
      <c r="B5329" s="9" t="s">
        <v>53</v>
      </c>
      <c r="C5329" s="10" t="s">
        <v>49</v>
      </c>
      <c r="D5329" s="11">
        <v>73.2687957357561</v>
      </c>
      <c r="E5329" s="12">
        <f t="shared" si="83"/>
        <v>46767</v>
      </c>
    </row>
    <row r="5330" spans="1:5" x14ac:dyDescent="0.25">
      <c r="A5330" s="2">
        <f>IF(B5330="","",SUBTOTAL(3,$B$2:B5330))</f>
        <v>5329</v>
      </c>
      <c r="B5330" s="9" t="s">
        <v>48</v>
      </c>
      <c r="C5330" s="10" t="s">
        <v>49</v>
      </c>
      <c r="D5330" s="11">
        <v>18.484288354898336</v>
      </c>
      <c r="E5330" s="12">
        <f t="shared" si="83"/>
        <v>46768</v>
      </c>
    </row>
    <row r="5331" spans="1:5" x14ac:dyDescent="0.25">
      <c r="A5331" s="2">
        <f>IF(B5331="","",SUBTOTAL(3,$B$2:B5331))</f>
        <v>5330</v>
      </c>
      <c r="B5331" s="9" t="s">
        <v>48</v>
      </c>
      <c r="C5331" s="10" t="s">
        <v>49</v>
      </c>
      <c r="D5331" s="11">
        <v>308.07147258163894</v>
      </c>
      <c r="E5331" s="12">
        <f t="shared" si="83"/>
        <v>46769</v>
      </c>
    </row>
    <row r="5332" spans="1:5" x14ac:dyDescent="0.25">
      <c r="A5332" s="2">
        <f>IF(B5332="","",SUBTOTAL(3,$B$2:B5332))</f>
        <v>5331</v>
      </c>
      <c r="B5332" s="9" t="s">
        <v>48</v>
      </c>
      <c r="C5332" s="10" t="s">
        <v>49</v>
      </c>
      <c r="D5332" s="11">
        <v>47.751078250154038</v>
      </c>
      <c r="E5332" s="12">
        <f t="shared" si="83"/>
        <v>46770</v>
      </c>
    </row>
    <row r="5333" spans="1:5" x14ac:dyDescent="0.25">
      <c r="A5333" s="2">
        <f>IF(B5333="","",SUBTOTAL(3,$B$2:B5333))</f>
        <v>5332</v>
      </c>
      <c r="B5333" s="9" t="s">
        <v>50</v>
      </c>
      <c r="C5333" s="10" t="s">
        <v>49</v>
      </c>
      <c r="D5333" s="11">
        <v>220.45855379188714</v>
      </c>
      <c r="E5333" s="12">
        <f t="shared" si="83"/>
        <v>46771</v>
      </c>
    </row>
    <row r="5334" spans="1:5" x14ac:dyDescent="0.25">
      <c r="A5334" s="2">
        <f>IF(B5334="","",SUBTOTAL(3,$B$2:B5334))</f>
        <v>5333</v>
      </c>
      <c r="B5334" s="9" t="s">
        <v>50</v>
      </c>
      <c r="C5334" s="10" t="s">
        <v>54</v>
      </c>
      <c r="D5334" s="11">
        <v>275.57319223985888</v>
      </c>
      <c r="E5334" s="12">
        <f t="shared" si="83"/>
        <v>46772</v>
      </c>
    </row>
    <row r="5335" spans="1:5" x14ac:dyDescent="0.25">
      <c r="A5335" s="2">
        <f>IF(B5335="","",SUBTOTAL(3,$B$2:B5335))</f>
        <v>5334</v>
      </c>
      <c r="B5335" s="9" t="s">
        <v>51</v>
      </c>
      <c r="C5335" s="10" t="s">
        <v>56</v>
      </c>
      <c r="D5335" s="11">
        <v>607.73032979499237</v>
      </c>
      <c r="E5335" s="12">
        <f t="shared" si="83"/>
        <v>46773</v>
      </c>
    </row>
    <row r="5336" spans="1:5" x14ac:dyDescent="0.25">
      <c r="A5336" s="2">
        <f>IF(B5336="","",SUBTOTAL(3,$B$2:B5336))</f>
        <v>5335</v>
      </c>
      <c r="B5336" s="9" t="s">
        <v>48</v>
      </c>
      <c r="C5336" s="10" t="s">
        <v>49</v>
      </c>
      <c r="D5336" s="11">
        <v>46.210720887245841</v>
      </c>
      <c r="E5336" s="12">
        <f t="shared" si="83"/>
        <v>46774</v>
      </c>
    </row>
    <row r="5337" spans="1:5" x14ac:dyDescent="0.25">
      <c r="A5337" s="2">
        <f>IF(B5337="","",SUBTOTAL(3,$B$2:B5337))</f>
        <v>5336</v>
      </c>
      <c r="B5337" s="9" t="s">
        <v>55</v>
      </c>
      <c r="C5337" s="10" t="s">
        <v>49</v>
      </c>
      <c r="D5337" s="11">
        <v>8.1541127306085013</v>
      </c>
      <c r="E5337" s="12">
        <f t="shared" si="83"/>
        <v>46775</v>
      </c>
    </row>
    <row r="5338" spans="1:5" x14ac:dyDescent="0.25">
      <c r="A5338" s="2">
        <f>IF(B5338="","",SUBTOTAL(3,$B$2:B5338))</f>
        <v>5337</v>
      </c>
      <c r="B5338" s="9" t="s">
        <v>48</v>
      </c>
      <c r="C5338" s="10" t="s">
        <v>54</v>
      </c>
      <c r="D5338" s="11">
        <v>4.621072088724584</v>
      </c>
      <c r="E5338" s="12">
        <f t="shared" si="83"/>
        <v>46776</v>
      </c>
    </row>
    <row r="5339" spans="1:5" x14ac:dyDescent="0.25">
      <c r="A5339" s="2">
        <f>IF(B5339="","",SUBTOTAL(3,$B$2:B5339))</f>
        <v>5338</v>
      </c>
      <c r="B5339" s="9" t="s">
        <v>48</v>
      </c>
      <c r="C5339" s="10" t="s">
        <v>54</v>
      </c>
      <c r="D5339" s="11">
        <v>46.210720887245841</v>
      </c>
      <c r="E5339" s="12">
        <f t="shared" si="83"/>
        <v>46777</v>
      </c>
    </row>
    <row r="5340" spans="1:5" x14ac:dyDescent="0.25">
      <c r="A5340" s="2">
        <f>IF(B5340="","",SUBTOTAL(3,$B$2:B5340))</f>
        <v>5339</v>
      </c>
      <c r="B5340" s="9" t="s">
        <v>48</v>
      </c>
      <c r="C5340" s="10" t="s">
        <v>49</v>
      </c>
      <c r="D5340" s="11">
        <v>30.807147258163894</v>
      </c>
      <c r="E5340" s="12">
        <f t="shared" si="83"/>
        <v>46778</v>
      </c>
    </row>
    <row r="5341" spans="1:5" x14ac:dyDescent="0.25">
      <c r="A5341" s="2">
        <f>IF(B5341="","",SUBTOTAL(3,$B$2:B5341))</f>
        <v>5340</v>
      </c>
      <c r="B5341" s="9" t="s">
        <v>53</v>
      </c>
      <c r="C5341" s="10" t="s">
        <v>54</v>
      </c>
      <c r="D5341" s="11">
        <v>91.585994669695125</v>
      </c>
      <c r="E5341" s="12">
        <f t="shared" si="83"/>
        <v>46779</v>
      </c>
    </row>
    <row r="5342" spans="1:5" x14ac:dyDescent="0.25">
      <c r="A5342" s="2">
        <f>IF(B5342="","",SUBTOTAL(3,$B$2:B5342))</f>
        <v>5341</v>
      </c>
      <c r="B5342" s="9" t="s">
        <v>50</v>
      </c>
      <c r="C5342" s="10" t="s">
        <v>49</v>
      </c>
      <c r="D5342" s="11">
        <v>661.37566137566137</v>
      </c>
      <c r="E5342" s="12">
        <f t="shared" si="83"/>
        <v>46780</v>
      </c>
    </row>
    <row r="5343" spans="1:5" x14ac:dyDescent="0.25">
      <c r="A5343" s="2">
        <f>IF(B5343="","",SUBTOTAL(3,$B$2:B5343))</f>
        <v>5342</v>
      </c>
      <c r="B5343" s="9" t="s">
        <v>48</v>
      </c>
      <c r="C5343" s="10" t="s">
        <v>52</v>
      </c>
      <c r="D5343" s="11">
        <v>92.421441774491683</v>
      </c>
      <c r="E5343" s="12">
        <f t="shared" si="83"/>
        <v>46781</v>
      </c>
    </row>
    <row r="5344" spans="1:5" x14ac:dyDescent="0.25">
      <c r="A5344" s="2">
        <f>IF(B5344="","",SUBTOTAL(3,$B$2:B5344))</f>
        <v>5343</v>
      </c>
      <c r="B5344" s="9" t="s">
        <v>48</v>
      </c>
      <c r="C5344" s="10" t="s">
        <v>52</v>
      </c>
      <c r="D5344" s="11">
        <v>154.03573629081947</v>
      </c>
      <c r="E5344" s="12">
        <f t="shared" si="83"/>
        <v>46782</v>
      </c>
    </row>
    <row r="5345" spans="1:5" x14ac:dyDescent="0.25">
      <c r="A5345" s="2">
        <f>IF(B5345="","",SUBTOTAL(3,$B$2:B5345))</f>
        <v>5344</v>
      </c>
      <c r="B5345" s="9" t="s">
        <v>48</v>
      </c>
      <c r="C5345" s="10" t="s">
        <v>52</v>
      </c>
      <c r="D5345" s="11">
        <v>46.210720887245841</v>
      </c>
      <c r="E5345" s="12">
        <f t="shared" si="83"/>
        <v>46783</v>
      </c>
    </row>
    <row r="5346" spans="1:5" x14ac:dyDescent="0.25">
      <c r="A5346" s="2">
        <f>IF(B5346="","",SUBTOTAL(3,$B$2:B5346))</f>
        <v>5345</v>
      </c>
      <c r="B5346" s="9" t="s">
        <v>48</v>
      </c>
      <c r="C5346" s="10" t="s">
        <v>52</v>
      </c>
      <c r="D5346" s="11">
        <v>308.07147258163894</v>
      </c>
      <c r="E5346" s="12">
        <f t="shared" si="83"/>
        <v>46784</v>
      </c>
    </row>
    <row r="5347" spans="1:5" x14ac:dyDescent="0.25">
      <c r="A5347" s="2">
        <f>IF(B5347="","",SUBTOTAL(3,$B$2:B5347))</f>
        <v>5346</v>
      </c>
      <c r="B5347" s="9" t="s">
        <v>48</v>
      </c>
      <c r="C5347" s="10" t="s">
        <v>54</v>
      </c>
      <c r="D5347" s="11">
        <v>30.807147258163894</v>
      </c>
      <c r="E5347" s="12">
        <f t="shared" si="83"/>
        <v>46785</v>
      </c>
    </row>
    <row r="5348" spans="1:5" x14ac:dyDescent="0.25">
      <c r="A5348" s="2">
        <f>IF(B5348="","",SUBTOTAL(3,$B$2:B5348))</f>
        <v>5347</v>
      </c>
      <c r="B5348" s="9" t="s">
        <v>48</v>
      </c>
      <c r="C5348" s="10" t="s">
        <v>49</v>
      </c>
      <c r="D5348" s="11">
        <v>7.7017868145409736</v>
      </c>
      <c r="E5348" s="12">
        <f t="shared" si="83"/>
        <v>46786</v>
      </c>
    </row>
    <row r="5349" spans="1:5" x14ac:dyDescent="0.25">
      <c r="A5349" s="2">
        <f>IF(B5349="","",SUBTOTAL(3,$B$2:B5349))</f>
        <v>5348</v>
      </c>
      <c r="B5349" s="9" t="s">
        <v>48</v>
      </c>
      <c r="C5349" s="10" t="s">
        <v>54</v>
      </c>
      <c r="D5349" s="11">
        <v>7.7017868145409736</v>
      </c>
      <c r="E5349" s="12">
        <f t="shared" si="83"/>
        <v>46787</v>
      </c>
    </row>
    <row r="5350" spans="1:5" x14ac:dyDescent="0.25">
      <c r="A5350" s="2">
        <f>IF(B5350="","",SUBTOTAL(3,$B$2:B5350))</f>
        <v>5349</v>
      </c>
      <c r="B5350" s="9" t="s">
        <v>48</v>
      </c>
      <c r="C5350" s="10" t="s">
        <v>52</v>
      </c>
      <c r="D5350" s="11">
        <v>12.848020762401553</v>
      </c>
      <c r="E5350" s="12">
        <f t="shared" si="83"/>
        <v>46788</v>
      </c>
    </row>
    <row r="5351" spans="1:5" x14ac:dyDescent="0.25">
      <c r="A5351" s="2">
        <f>IF(B5351="","",SUBTOTAL(3,$B$2:B5351))</f>
        <v>5350</v>
      </c>
      <c r="B5351" s="9" t="s">
        <v>50</v>
      </c>
      <c r="C5351" s="10" t="s">
        <v>49</v>
      </c>
      <c r="D5351" s="11">
        <v>46.296296296296298</v>
      </c>
      <c r="E5351" s="12">
        <f t="shared" si="83"/>
        <v>46789</v>
      </c>
    </row>
    <row r="5352" spans="1:5" x14ac:dyDescent="0.25">
      <c r="A5352" s="2">
        <f>IF(B5352="","",SUBTOTAL(3,$B$2:B5352))</f>
        <v>5351</v>
      </c>
      <c r="B5352" s="9" t="s">
        <v>50</v>
      </c>
      <c r="C5352" s="10" t="s">
        <v>52</v>
      </c>
      <c r="D5352" s="11">
        <v>55.114638447971785</v>
      </c>
      <c r="E5352" s="12">
        <f t="shared" si="83"/>
        <v>46790</v>
      </c>
    </row>
    <row r="5353" spans="1:5" x14ac:dyDescent="0.25">
      <c r="A5353" s="2">
        <f>IF(B5353="","",SUBTOTAL(3,$B$2:B5353))</f>
        <v>5352</v>
      </c>
      <c r="B5353" s="9" t="s">
        <v>50</v>
      </c>
      <c r="C5353" s="10" t="s">
        <v>54</v>
      </c>
      <c r="D5353" s="11">
        <v>4.409171075837742</v>
      </c>
      <c r="E5353" s="12">
        <f t="shared" si="83"/>
        <v>46791</v>
      </c>
    </row>
    <row r="5354" spans="1:5" x14ac:dyDescent="0.25">
      <c r="A5354" s="2">
        <f>IF(B5354="","",SUBTOTAL(3,$B$2:B5354))</f>
        <v>5353</v>
      </c>
      <c r="B5354" s="9" t="s">
        <v>50</v>
      </c>
      <c r="C5354" s="10" t="s">
        <v>52</v>
      </c>
      <c r="D5354" s="11">
        <v>55.114638447971785</v>
      </c>
      <c r="E5354" s="12">
        <f t="shared" si="83"/>
        <v>46792</v>
      </c>
    </row>
    <row r="5355" spans="1:5" x14ac:dyDescent="0.25">
      <c r="A5355" s="2">
        <f>IF(B5355="","",SUBTOTAL(3,$B$2:B5355))</f>
        <v>5354</v>
      </c>
      <c r="B5355" s="9" t="s">
        <v>50</v>
      </c>
      <c r="C5355" s="10" t="s">
        <v>52</v>
      </c>
      <c r="D5355" s="11">
        <v>61.728395061728399</v>
      </c>
      <c r="E5355" s="12">
        <f t="shared" si="83"/>
        <v>46793</v>
      </c>
    </row>
    <row r="5356" spans="1:5" x14ac:dyDescent="0.25">
      <c r="A5356" s="2">
        <f>IF(B5356="","",SUBTOTAL(3,$B$2:B5356))</f>
        <v>5355</v>
      </c>
      <c r="B5356" s="9" t="s">
        <v>50</v>
      </c>
      <c r="C5356" s="10" t="s">
        <v>52</v>
      </c>
      <c r="D5356" s="11">
        <v>61.728395061728399</v>
      </c>
      <c r="E5356" s="12">
        <f t="shared" si="83"/>
        <v>46794</v>
      </c>
    </row>
    <row r="5357" spans="1:5" x14ac:dyDescent="0.25">
      <c r="A5357" s="2">
        <f>IF(B5357="","",SUBTOTAL(3,$B$2:B5357))</f>
        <v>5356</v>
      </c>
      <c r="B5357" s="9" t="s">
        <v>50</v>
      </c>
      <c r="C5357" s="10" t="s">
        <v>54</v>
      </c>
      <c r="D5357" s="11">
        <v>87.780291005291005</v>
      </c>
      <c r="E5357" s="12">
        <f t="shared" si="83"/>
        <v>46795</v>
      </c>
    </row>
    <row r="5358" spans="1:5" x14ac:dyDescent="0.25">
      <c r="A5358" s="2">
        <f>IF(B5358="","",SUBTOTAL(3,$B$2:B5358))</f>
        <v>5357</v>
      </c>
      <c r="B5358" s="9" t="s">
        <v>55</v>
      </c>
      <c r="C5358" s="10" t="s">
        <v>49</v>
      </c>
      <c r="D5358" s="11">
        <v>308.75</v>
      </c>
      <c r="E5358" s="12">
        <f t="shared" si="83"/>
        <v>46796</v>
      </c>
    </row>
    <row r="5359" spans="1:5" x14ac:dyDescent="0.25">
      <c r="A5359" s="2">
        <f>IF(B5359="","",SUBTOTAL(3,$B$2:B5359))</f>
        <v>5358</v>
      </c>
      <c r="B5359" s="9" t="s">
        <v>50</v>
      </c>
      <c r="C5359" s="10" t="s">
        <v>52</v>
      </c>
      <c r="D5359" s="11">
        <v>110.22927689594357</v>
      </c>
      <c r="E5359" s="12">
        <f t="shared" si="83"/>
        <v>46797</v>
      </c>
    </row>
    <row r="5360" spans="1:5" x14ac:dyDescent="0.25">
      <c r="A5360" s="2">
        <f>IF(B5360="","",SUBTOTAL(3,$B$2:B5360))</f>
        <v>5359</v>
      </c>
      <c r="B5360" s="9" t="s">
        <v>48</v>
      </c>
      <c r="C5360" s="10" t="s">
        <v>52</v>
      </c>
      <c r="D5360" s="11">
        <v>46.210720887245841</v>
      </c>
      <c r="E5360" s="12">
        <f t="shared" si="83"/>
        <v>46798</v>
      </c>
    </row>
    <row r="5361" spans="1:5" x14ac:dyDescent="0.25">
      <c r="A5361" s="2">
        <f>IF(B5361="","",SUBTOTAL(3,$B$2:B5361))</f>
        <v>5360</v>
      </c>
      <c r="B5361" s="9" t="s">
        <v>48</v>
      </c>
      <c r="C5361" s="10" t="s">
        <v>52</v>
      </c>
      <c r="D5361" s="11">
        <v>616.14294516327789</v>
      </c>
      <c r="E5361" s="12">
        <f t="shared" si="83"/>
        <v>46799</v>
      </c>
    </row>
    <row r="5362" spans="1:5" x14ac:dyDescent="0.25">
      <c r="A5362" s="2">
        <f>IF(B5362="","",SUBTOTAL(3,$B$2:B5362))</f>
        <v>5361</v>
      </c>
      <c r="B5362" s="9" t="s">
        <v>48</v>
      </c>
      <c r="C5362" s="10" t="s">
        <v>52</v>
      </c>
      <c r="D5362" s="11">
        <v>385.08934072704869</v>
      </c>
      <c r="E5362" s="12">
        <f t="shared" si="83"/>
        <v>46800</v>
      </c>
    </row>
    <row r="5363" spans="1:5" x14ac:dyDescent="0.25">
      <c r="A5363" s="2">
        <f>IF(B5363="","",SUBTOTAL(3,$B$2:B5363))</f>
        <v>5362</v>
      </c>
      <c r="B5363" s="9" t="s">
        <v>48</v>
      </c>
      <c r="C5363" s="10" t="s">
        <v>49</v>
      </c>
      <c r="D5363" s="11">
        <v>6.1614294516327792</v>
      </c>
      <c r="E5363" s="12">
        <f t="shared" si="83"/>
        <v>46801</v>
      </c>
    </row>
    <row r="5364" spans="1:5" x14ac:dyDescent="0.25">
      <c r="A5364" s="2">
        <f>IF(B5364="","",SUBTOTAL(3,$B$2:B5364))</f>
        <v>5363</v>
      </c>
      <c r="B5364" s="9" t="s">
        <v>48</v>
      </c>
      <c r="C5364" s="10" t="s">
        <v>52</v>
      </c>
      <c r="D5364" s="11">
        <v>308.07147258163894</v>
      </c>
      <c r="E5364" s="12">
        <f t="shared" si="83"/>
        <v>46802</v>
      </c>
    </row>
    <row r="5365" spans="1:5" x14ac:dyDescent="0.25">
      <c r="A5365" s="2">
        <f>IF(B5365="","",SUBTOTAL(3,$B$2:B5365))</f>
        <v>5364</v>
      </c>
      <c r="B5365" s="9" t="s">
        <v>48</v>
      </c>
      <c r="C5365" s="10" t="s">
        <v>52</v>
      </c>
      <c r="D5365" s="11">
        <v>308.07147258163894</v>
      </c>
      <c r="E5365" s="12">
        <f t="shared" si="83"/>
        <v>46803</v>
      </c>
    </row>
    <row r="5366" spans="1:5" x14ac:dyDescent="0.25">
      <c r="A5366" s="2">
        <f>IF(B5366="","",SUBTOTAL(3,$B$2:B5366))</f>
        <v>5365</v>
      </c>
      <c r="B5366" s="9" t="s">
        <v>55</v>
      </c>
      <c r="C5366" s="10" t="s">
        <v>49</v>
      </c>
      <c r="D5366" s="11">
        <v>13.327684536418447</v>
      </c>
      <c r="E5366" s="12">
        <f t="shared" si="83"/>
        <v>46804</v>
      </c>
    </row>
    <row r="5367" spans="1:5" x14ac:dyDescent="0.25">
      <c r="A5367" s="2">
        <f>IF(B5367="","",SUBTOTAL(3,$B$2:B5367))</f>
        <v>5366</v>
      </c>
      <c r="B5367" s="9" t="s">
        <v>51</v>
      </c>
      <c r="C5367" s="10" t="s">
        <v>52</v>
      </c>
      <c r="D5367" s="11">
        <v>84.718839351900883</v>
      </c>
      <c r="E5367" s="12">
        <f t="shared" si="83"/>
        <v>46805</v>
      </c>
    </row>
    <row r="5368" spans="1:5" x14ac:dyDescent="0.25">
      <c r="A5368" s="2">
        <f>IF(B5368="","",SUBTOTAL(3,$B$2:B5368))</f>
        <v>5367</v>
      </c>
      <c r="B5368" s="9" t="s">
        <v>51</v>
      </c>
      <c r="C5368" s="10" t="s">
        <v>54</v>
      </c>
      <c r="D5368" s="11">
        <v>105.89854918987609</v>
      </c>
      <c r="E5368" s="12">
        <f t="shared" si="83"/>
        <v>46806</v>
      </c>
    </row>
    <row r="5369" spans="1:5" x14ac:dyDescent="0.25">
      <c r="A5369" s="2">
        <f>IF(B5369="","",SUBTOTAL(3,$B$2:B5369))</f>
        <v>5368</v>
      </c>
      <c r="B5369" s="9" t="s">
        <v>51</v>
      </c>
      <c r="C5369" s="10" t="s">
        <v>52</v>
      </c>
      <c r="D5369" s="11">
        <v>423.59419675950437</v>
      </c>
      <c r="E5369" s="12">
        <f t="shared" si="83"/>
        <v>46807</v>
      </c>
    </row>
    <row r="5370" spans="1:5" x14ac:dyDescent="0.25">
      <c r="A5370" s="2">
        <f>IF(B5370="","",SUBTOTAL(3,$B$2:B5370))</f>
        <v>5369</v>
      </c>
      <c r="B5370" s="9" t="s">
        <v>48</v>
      </c>
      <c r="C5370" s="10" t="s">
        <v>49</v>
      </c>
      <c r="D5370" s="11">
        <v>34.470872113064452</v>
      </c>
      <c r="E5370" s="12">
        <f t="shared" si="83"/>
        <v>46808</v>
      </c>
    </row>
    <row r="5371" spans="1:5" x14ac:dyDescent="0.25">
      <c r="A5371" s="2">
        <f>IF(B5371="","",SUBTOTAL(3,$B$2:B5371))</f>
        <v>5370</v>
      </c>
      <c r="B5371" s="9" t="s">
        <v>48</v>
      </c>
      <c r="C5371" s="10" t="s">
        <v>52</v>
      </c>
      <c r="D5371" s="11">
        <v>123.22858903265558</v>
      </c>
      <c r="E5371" s="12">
        <f t="shared" si="83"/>
        <v>46809</v>
      </c>
    </row>
    <row r="5372" spans="1:5" x14ac:dyDescent="0.25">
      <c r="A5372" s="2">
        <f>IF(B5372="","",SUBTOTAL(3,$B$2:B5372))</f>
        <v>5371</v>
      </c>
      <c r="B5372" s="9" t="s">
        <v>48</v>
      </c>
      <c r="C5372" s="10" t="s">
        <v>49</v>
      </c>
      <c r="D5372" s="11">
        <v>3.0807147258163896</v>
      </c>
      <c r="E5372" s="12">
        <f t="shared" si="83"/>
        <v>46810</v>
      </c>
    </row>
    <row r="5373" spans="1:5" x14ac:dyDescent="0.25">
      <c r="A5373" s="2">
        <f>IF(B5373="","",SUBTOTAL(3,$B$2:B5373))</f>
        <v>5372</v>
      </c>
      <c r="B5373" s="9" t="s">
        <v>48</v>
      </c>
      <c r="C5373" s="10" t="s">
        <v>49</v>
      </c>
      <c r="D5373" s="11">
        <v>34.470872113064452</v>
      </c>
      <c r="E5373" s="12">
        <f t="shared" si="83"/>
        <v>46811</v>
      </c>
    </row>
    <row r="5374" spans="1:5" x14ac:dyDescent="0.25">
      <c r="A5374" s="2">
        <f>IF(B5374="","",SUBTOTAL(3,$B$2:B5374))</f>
        <v>5373</v>
      </c>
      <c r="B5374" s="9" t="s">
        <v>48</v>
      </c>
      <c r="C5374" s="10" t="s">
        <v>49</v>
      </c>
      <c r="D5374" s="11">
        <v>27.576697690451567</v>
      </c>
      <c r="E5374" s="12">
        <f t="shared" si="83"/>
        <v>46812</v>
      </c>
    </row>
    <row r="5375" spans="1:5" x14ac:dyDescent="0.25">
      <c r="A5375" s="2">
        <f>IF(B5375="","",SUBTOTAL(3,$B$2:B5375))</f>
        <v>5374</v>
      </c>
      <c r="B5375" s="9" t="s">
        <v>55</v>
      </c>
      <c r="C5375" s="10" t="s">
        <v>52</v>
      </c>
      <c r="D5375" s="11">
        <v>12</v>
      </c>
      <c r="E5375" s="12">
        <f t="shared" si="83"/>
        <v>46813</v>
      </c>
    </row>
    <row r="5376" spans="1:5" x14ac:dyDescent="0.25">
      <c r="A5376" s="2">
        <f>IF(B5376="","",SUBTOTAL(3,$B$2:B5376))</f>
        <v>5375</v>
      </c>
      <c r="B5376" s="9" t="s">
        <v>50</v>
      </c>
      <c r="C5376" s="10" t="s">
        <v>49</v>
      </c>
      <c r="D5376" s="11">
        <v>11.022927689594356</v>
      </c>
      <c r="E5376" s="12">
        <f t="shared" si="83"/>
        <v>46814</v>
      </c>
    </row>
    <row r="5377" spans="1:5" x14ac:dyDescent="0.25">
      <c r="A5377" s="2">
        <f>IF(B5377="","",SUBTOTAL(3,$B$2:B5377))</f>
        <v>5376</v>
      </c>
      <c r="B5377" s="9" t="s">
        <v>55</v>
      </c>
      <c r="C5377" s="10" t="s">
        <v>54</v>
      </c>
      <c r="D5377" s="11">
        <v>168</v>
      </c>
      <c r="E5377" s="12">
        <f t="shared" si="83"/>
        <v>46815</v>
      </c>
    </row>
    <row r="5378" spans="1:5" x14ac:dyDescent="0.25">
      <c r="A5378" s="2">
        <f>IF(B5378="","",SUBTOTAL(3,$B$2:B5378))</f>
        <v>5377</v>
      </c>
      <c r="B5378" s="9" t="s">
        <v>51</v>
      </c>
      <c r="C5378" s="10" t="s">
        <v>52</v>
      </c>
      <c r="D5378" s="11">
        <v>26.474637297469023</v>
      </c>
      <c r="E5378" s="12">
        <f t="shared" si="83"/>
        <v>46816</v>
      </c>
    </row>
    <row r="5379" spans="1:5" x14ac:dyDescent="0.25">
      <c r="A5379" s="2">
        <f>IF(B5379="","",SUBTOTAL(3,$B$2:B5379))</f>
        <v>5378</v>
      </c>
      <c r="B5379" s="9" t="s">
        <v>53</v>
      </c>
      <c r="C5379" s="10" t="s">
        <v>49</v>
      </c>
      <c r="D5379" s="11">
        <v>91.585994669695125</v>
      </c>
      <c r="E5379" s="12">
        <f t="shared" si="83"/>
        <v>46817</v>
      </c>
    </row>
    <row r="5380" spans="1:5" x14ac:dyDescent="0.25">
      <c r="A5380" s="2">
        <f>IF(B5380="","",SUBTOTAL(3,$B$2:B5380))</f>
        <v>5379</v>
      </c>
      <c r="B5380" s="9" t="s">
        <v>53</v>
      </c>
      <c r="C5380" s="10" t="s">
        <v>54</v>
      </c>
      <c r="D5380" s="11">
        <v>6.4110196268786588</v>
      </c>
      <c r="E5380" s="12">
        <f t="shared" ref="E5380:E5443" si="84">E5379+1</f>
        <v>46818</v>
      </c>
    </row>
    <row r="5381" spans="1:5" x14ac:dyDescent="0.25">
      <c r="A5381" s="2">
        <f>IF(B5381="","",SUBTOTAL(3,$B$2:B5381))</f>
        <v>5380</v>
      </c>
      <c r="B5381" s="9" t="s">
        <v>50</v>
      </c>
      <c r="C5381" s="10" t="s">
        <v>54</v>
      </c>
      <c r="D5381" s="11">
        <v>15.4320987654321</v>
      </c>
      <c r="E5381" s="12">
        <f t="shared" si="84"/>
        <v>46819</v>
      </c>
    </row>
    <row r="5382" spans="1:5" x14ac:dyDescent="0.25">
      <c r="A5382" s="2">
        <f>IF(B5382="","",SUBTOTAL(3,$B$2:B5382))</f>
        <v>5381</v>
      </c>
      <c r="B5382" s="9" t="s">
        <v>51</v>
      </c>
      <c r="C5382" s="10" t="s">
        <v>52</v>
      </c>
      <c r="D5382" s="11">
        <v>105.89854918987609</v>
      </c>
      <c r="E5382" s="12">
        <f t="shared" si="84"/>
        <v>46820</v>
      </c>
    </row>
    <row r="5383" spans="1:5" x14ac:dyDescent="0.25">
      <c r="A5383" s="2">
        <f>IF(B5383="","",SUBTOTAL(3,$B$2:B5383))</f>
        <v>5382</v>
      </c>
      <c r="B5383" s="9" t="s">
        <v>51</v>
      </c>
      <c r="C5383" s="10" t="s">
        <v>52</v>
      </c>
      <c r="D5383" s="11">
        <v>74.128984432913256</v>
      </c>
      <c r="E5383" s="12">
        <f t="shared" si="84"/>
        <v>46821</v>
      </c>
    </row>
    <row r="5384" spans="1:5" x14ac:dyDescent="0.25">
      <c r="A5384" s="2">
        <f>IF(B5384="","",SUBTOTAL(3,$B$2:B5384))</f>
        <v>5383</v>
      </c>
      <c r="B5384" s="9" t="s">
        <v>51</v>
      </c>
      <c r="C5384" s="10" t="s">
        <v>52</v>
      </c>
      <c r="D5384" s="11">
        <v>111.1934766493699</v>
      </c>
      <c r="E5384" s="12">
        <f t="shared" si="84"/>
        <v>46822</v>
      </c>
    </row>
    <row r="5385" spans="1:5" x14ac:dyDescent="0.25">
      <c r="A5385" s="2">
        <f>IF(B5385="","",SUBTOTAL(3,$B$2:B5385))</f>
        <v>5384</v>
      </c>
      <c r="B5385" s="9" t="s">
        <v>51</v>
      </c>
      <c r="C5385" s="10" t="s">
        <v>52</v>
      </c>
      <c r="D5385" s="11">
        <v>42.359419675950441</v>
      </c>
      <c r="E5385" s="12">
        <f t="shared" si="84"/>
        <v>46823</v>
      </c>
    </row>
    <row r="5386" spans="1:5" x14ac:dyDescent="0.25">
      <c r="A5386" s="2">
        <f>IF(B5386="","",SUBTOTAL(3,$B$2:B5386))</f>
        <v>5385</v>
      </c>
      <c r="B5386" s="9" t="s">
        <v>48</v>
      </c>
      <c r="C5386" s="10" t="s">
        <v>49</v>
      </c>
      <c r="D5386" s="11">
        <v>15.403573629081947</v>
      </c>
      <c r="E5386" s="12">
        <f t="shared" si="84"/>
        <v>46824</v>
      </c>
    </row>
    <row r="5387" spans="1:5" x14ac:dyDescent="0.25">
      <c r="A5387" s="2">
        <f>IF(B5387="","",SUBTOTAL(3,$B$2:B5387))</f>
        <v>5386</v>
      </c>
      <c r="B5387" s="9" t="s">
        <v>48</v>
      </c>
      <c r="C5387" s="10" t="s">
        <v>49</v>
      </c>
      <c r="D5387" s="11">
        <v>462.10720887245844</v>
      </c>
      <c r="E5387" s="12">
        <f t="shared" si="84"/>
        <v>46825</v>
      </c>
    </row>
    <row r="5388" spans="1:5" x14ac:dyDescent="0.25">
      <c r="A5388" s="2">
        <f>IF(B5388="","",SUBTOTAL(3,$B$2:B5388))</f>
        <v>5387</v>
      </c>
      <c r="B5388" s="9" t="s">
        <v>48</v>
      </c>
      <c r="C5388" s="10" t="s">
        <v>49</v>
      </c>
      <c r="D5388" s="11">
        <v>308.07147258163894</v>
      </c>
      <c r="E5388" s="12">
        <f t="shared" si="84"/>
        <v>46826</v>
      </c>
    </row>
    <row r="5389" spans="1:5" x14ac:dyDescent="0.25">
      <c r="A5389" s="2">
        <f>IF(B5389="","",SUBTOTAL(3,$B$2:B5389))</f>
        <v>5388</v>
      </c>
      <c r="B5389" s="9" t="s">
        <v>50</v>
      </c>
      <c r="C5389" s="10" t="s">
        <v>49</v>
      </c>
      <c r="D5389" s="11">
        <v>34.310405643738981</v>
      </c>
      <c r="E5389" s="12">
        <f t="shared" si="84"/>
        <v>46827</v>
      </c>
    </row>
    <row r="5390" spans="1:5" x14ac:dyDescent="0.25">
      <c r="A5390" s="2">
        <f>IF(B5390="","",SUBTOTAL(3,$B$2:B5390))</f>
        <v>5389</v>
      </c>
      <c r="B5390" s="9" t="s">
        <v>50</v>
      </c>
      <c r="C5390" s="10" t="s">
        <v>49</v>
      </c>
      <c r="D5390" s="11">
        <v>119.04761904761905</v>
      </c>
      <c r="E5390" s="12">
        <f t="shared" si="84"/>
        <v>46828</v>
      </c>
    </row>
    <row r="5391" spans="1:5" x14ac:dyDescent="0.25">
      <c r="A5391" s="2">
        <f>IF(B5391="","",SUBTOTAL(3,$B$2:B5391))</f>
        <v>5390</v>
      </c>
      <c r="B5391" s="9" t="s">
        <v>48</v>
      </c>
      <c r="C5391" s="10" t="s">
        <v>49</v>
      </c>
      <c r="D5391" s="11">
        <v>154.03573629081947</v>
      </c>
      <c r="E5391" s="12">
        <f t="shared" si="84"/>
        <v>46829</v>
      </c>
    </row>
    <row r="5392" spans="1:5" x14ac:dyDescent="0.25">
      <c r="A5392" s="2">
        <f>IF(B5392="","",SUBTOTAL(3,$B$2:B5392))</f>
        <v>5391</v>
      </c>
      <c r="B5392" s="9" t="s">
        <v>51</v>
      </c>
      <c r="C5392" s="10" t="s">
        <v>49</v>
      </c>
      <c r="D5392" s="11">
        <v>423.59419675950437</v>
      </c>
      <c r="E5392" s="12">
        <f t="shared" si="84"/>
        <v>46830</v>
      </c>
    </row>
    <row r="5393" spans="1:5" x14ac:dyDescent="0.25">
      <c r="A5393" s="2">
        <f>IF(B5393="","",SUBTOTAL(3,$B$2:B5393))</f>
        <v>5392</v>
      </c>
      <c r="B5393" s="9" t="s">
        <v>50</v>
      </c>
      <c r="C5393" s="10" t="s">
        <v>52</v>
      </c>
      <c r="D5393" s="11">
        <v>6.6137566137566139</v>
      </c>
      <c r="E5393" s="12">
        <f t="shared" si="84"/>
        <v>46831</v>
      </c>
    </row>
    <row r="5394" spans="1:5" x14ac:dyDescent="0.25">
      <c r="A5394" s="2">
        <f>IF(B5394="","",SUBTOTAL(3,$B$2:B5394))</f>
        <v>5393</v>
      </c>
      <c r="B5394" s="9" t="s">
        <v>51</v>
      </c>
      <c r="C5394" s="10" t="s">
        <v>49</v>
      </c>
      <c r="D5394" s="11">
        <v>190.61738854177699</v>
      </c>
      <c r="E5394" s="12">
        <f t="shared" si="84"/>
        <v>46832</v>
      </c>
    </row>
    <row r="5395" spans="1:5" x14ac:dyDescent="0.25">
      <c r="A5395" s="2">
        <f>IF(B5395="","",SUBTOTAL(3,$B$2:B5395))</f>
        <v>5394</v>
      </c>
      <c r="B5395" s="9" t="s">
        <v>50</v>
      </c>
      <c r="C5395" s="10" t="s">
        <v>49</v>
      </c>
      <c r="D5395" s="11">
        <v>33.06878306878307</v>
      </c>
      <c r="E5395" s="12">
        <f t="shared" si="84"/>
        <v>46833</v>
      </c>
    </row>
    <row r="5396" spans="1:5" x14ac:dyDescent="0.25">
      <c r="A5396" s="2">
        <f>IF(B5396="","",SUBTOTAL(3,$B$2:B5396))</f>
        <v>5395</v>
      </c>
      <c r="B5396" s="9" t="s">
        <v>48</v>
      </c>
      <c r="C5396" s="10" t="s">
        <v>49</v>
      </c>
      <c r="D5396" s="11">
        <v>862.60012322858904</v>
      </c>
      <c r="E5396" s="12">
        <f t="shared" si="84"/>
        <v>46834</v>
      </c>
    </row>
    <row r="5397" spans="1:5" x14ac:dyDescent="0.25">
      <c r="A5397" s="2">
        <f>IF(B5397="","",SUBTOTAL(3,$B$2:B5397))</f>
        <v>5396</v>
      </c>
      <c r="B5397" s="9" t="s">
        <v>51</v>
      </c>
      <c r="C5397" s="10" t="s">
        <v>49</v>
      </c>
      <c r="D5397" s="11">
        <v>105.89854918987609</v>
      </c>
      <c r="E5397" s="12">
        <f t="shared" si="84"/>
        <v>46835</v>
      </c>
    </row>
    <row r="5398" spans="1:5" x14ac:dyDescent="0.25">
      <c r="A5398" s="2">
        <f>IF(B5398="","",SUBTOTAL(3,$B$2:B5398))</f>
        <v>5397</v>
      </c>
      <c r="B5398" s="9" t="s">
        <v>51</v>
      </c>
      <c r="C5398" s="10" t="s">
        <v>54</v>
      </c>
      <c r="D5398" s="11">
        <v>42.359419675950441</v>
      </c>
      <c r="E5398" s="12">
        <f t="shared" si="84"/>
        <v>46836</v>
      </c>
    </row>
    <row r="5399" spans="1:5" x14ac:dyDescent="0.25">
      <c r="A5399" s="2">
        <f>IF(B5399="","",SUBTOTAL(3,$B$2:B5399))</f>
        <v>5398</v>
      </c>
      <c r="B5399" s="9" t="s">
        <v>51</v>
      </c>
      <c r="C5399" s="10" t="s">
        <v>49</v>
      </c>
      <c r="D5399" s="11">
        <v>264.74637297469025</v>
      </c>
      <c r="E5399" s="12">
        <f t="shared" si="84"/>
        <v>46837</v>
      </c>
    </row>
    <row r="5400" spans="1:5" x14ac:dyDescent="0.25">
      <c r="A5400" s="2">
        <f>IF(B5400="","",SUBTOTAL(3,$B$2:B5400))</f>
        <v>5399</v>
      </c>
      <c r="B5400" s="9" t="s">
        <v>51</v>
      </c>
      <c r="C5400" s="10" t="s">
        <v>52</v>
      </c>
      <c r="D5400" s="11">
        <v>158.84782378481412</v>
      </c>
      <c r="E5400" s="12">
        <f t="shared" si="84"/>
        <v>46838</v>
      </c>
    </row>
    <row r="5401" spans="1:5" x14ac:dyDescent="0.25">
      <c r="A5401" s="2">
        <f>IF(B5401="","",SUBTOTAL(3,$B$2:B5401))</f>
        <v>5400</v>
      </c>
      <c r="B5401" s="9" t="s">
        <v>50</v>
      </c>
      <c r="C5401" s="10" t="s">
        <v>49</v>
      </c>
      <c r="D5401" s="11">
        <v>293.80264550264553</v>
      </c>
      <c r="E5401" s="12">
        <f t="shared" si="84"/>
        <v>46839</v>
      </c>
    </row>
    <row r="5402" spans="1:5" x14ac:dyDescent="0.25">
      <c r="A5402" s="2">
        <f>IF(B5402="","",SUBTOTAL(3,$B$2:B5402))</f>
        <v>5401</v>
      </c>
      <c r="B5402" s="9" t="s">
        <v>51</v>
      </c>
      <c r="C5402" s="10" t="s">
        <v>54</v>
      </c>
      <c r="D5402" s="11">
        <v>250</v>
      </c>
      <c r="E5402" s="12">
        <f t="shared" si="84"/>
        <v>46840</v>
      </c>
    </row>
    <row r="5403" spans="1:5" x14ac:dyDescent="0.25">
      <c r="A5403" s="2">
        <f>IF(B5403="","",SUBTOTAL(3,$B$2:B5403))</f>
        <v>5402</v>
      </c>
      <c r="B5403" s="9" t="s">
        <v>50</v>
      </c>
      <c r="C5403" s="10" t="s">
        <v>49</v>
      </c>
      <c r="D5403" s="11">
        <v>194.00352733686069</v>
      </c>
      <c r="E5403" s="12">
        <f t="shared" si="84"/>
        <v>46841</v>
      </c>
    </row>
    <row r="5404" spans="1:5" x14ac:dyDescent="0.25">
      <c r="A5404" s="2">
        <f>IF(B5404="","",SUBTOTAL(3,$B$2:B5404))</f>
        <v>5403</v>
      </c>
      <c r="B5404" s="9" t="s">
        <v>50</v>
      </c>
      <c r="C5404" s="10" t="s">
        <v>49</v>
      </c>
      <c r="D5404" s="11">
        <v>48.967107583774251</v>
      </c>
      <c r="E5404" s="12">
        <f t="shared" si="84"/>
        <v>46842</v>
      </c>
    </row>
    <row r="5405" spans="1:5" x14ac:dyDescent="0.25">
      <c r="A5405" s="2">
        <f>IF(B5405="","",SUBTOTAL(3,$B$2:B5405))</f>
        <v>5404</v>
      </c>
      <c r="B5405" s="9" t="s">
        <v>50</v>
      </c>
      <c r="C5405" s="10" t="s">
        <v>49</v>
      </c>
      <c r="D5405" s="11">
        <v>5.9744268077601408</v>
      </c>
      <c r="E5405" s="12">
        <f t="shared" si="84"/>
        <v>46843</v>
      </c>
    </row>
    <row r="5406" spans="1:5" x14ac:dyDescent="0.25">
      <c r="A5406" s="2">
        <f>IF(B5406="","",SUBTOTAL(3,$B$2:B5406))</f>
        <v>5405</v>
      </c>
      <c r="B5406" s="9" t="s">
        <v>50</v>
      </c>
      <c r="C5406" s="10" t="s">
        <v>54</v>
      </c>
      <c r="D5406" s="11">
        <v>231.41333774250441</v>
      </c>
      <c r="E5406" s="12">
        <f t="shared" si="84"/>
        <v>46844</v>
      </c>
    </row>
    <row r="5407" spans="1:5" x14ac:dyDescent="0.25">
      <c r="A5407" s="2">
        <f>IF(B5407="","",SUBTOTAL(3,$B$2:B5407))</f>
        <v>5406</v>
      </c>
      <c r="B5407" s="9" t="s">
        <v>50</v>
      </c>
      <c r="C5407" s="10" t="s">
        <v>52</v>
      </c>
      <c r="D5407" s="11">
        <v>66.137566137566139</v>
      </c>
      <c r="E5407" s="12">
        <f t="shared" si="84"/>
        <v>46845</v>
      </c>
    </row>
    <row r="5408" spans="1:5" x14ac:dyDescent="0.25">
      <c r="A5408" s="2">
        <f>IF(B5408="","",SUBTOTAL(3,$B$2:B5408))</f>
        <v>5407</v>
      </c>
      <c r="B5408" s="9" t="s">
        <v>50</v>
      </c>
      <c r="C5408" s="10" t="s">
        <v>52</v>
      </c>
      <c r="D5408" s="11">
        <v>66.137566137566139</v>
      </c>
      <c r="E5408" s="12">
        <f t="shared" si="84"/>
        <v>46846</v>
      </c>
    </row>
    <row r="5409" spans="1:5" x14ac:dyDescent="0.25">
      <c r="A5409" s="2">
        <f>IF(B5409="","",SUBTOTAL(3,$B$2:B5409))</f>
        <v>5408</v>
      </c>
      <c r="B5409" s="9" t="s">
        <v>50</v>
      </c>
      <c r="C5409" s="10" t="s">
        <v>52</v>
      </c>
      <c r="D5409" s="11">
        <v>66.137566137566139</v>
      </c>
      <c r="E5409" s="12">
        <f t="shared" si="84"/>
        <v>46847</v>
      </c>
    </row>
    <row r="5410" spans="1:5" x14ac:dyDescent="0.25">
      <c r="A5410" s="2">
        <f>IF(B5410="","",SUBTOTAL(3,$B$2:B5410))</f>
        <v>5409</v>
      </c>
      <c r="B5410" s="9" t="s">
        <v>50</v>
      </c>
      <c r="C5410" s="10" t="s">
        <v>52</v>
      </c>
      <c r="D5410" s="11">
        <v>66.137566137566139</v>
      </c>
      <c r="E5410" s="12">
        <f t="shared" si="84"/>
        <v>46848</v>
      </c>
    </row>
    <row r="5411" spans="1:5" x14ac:dyDescent="0.25">
      <c r="A5411" s="2">
        <f>IF(B5411="","",SUBTOTAL(3,$B$2:B5411))</f>
        <v>5410</v>
      </c>
      <c r="B5411" s="9" t="s">
        <v>50</v>
      </c>
      <c r="C5411" s="10" t="s">
        <v>52</v>
      </c>
      <c r="D5411" s="11">
        <v>66.137566137566139</v>
      </c>
      <c r="E5411" s="12">
        <f t="shared" si="84"/>
        <v>46849</v>
      </c>
    </row>
    <row r="5412" spans="1:5" x14ac:dyDescent="0.25">
      <c r="A5412" s="2">
        <f>IF(B5412="","",SUBTOTAL(3,$B$2:B5412))</f>
        <v>5411</v>
      </c>
      <c r="B5412" s="9" t="s">
        <v>48</v>
      </c>
      <c r="C5412" s="10" t="s">
        <v>49</v>
      </c>
      <c r="D5412" s="11">
        <v>46.210720887245841</v>
      </c>
      <c r="E5412" s="12">
        <f t="shared" si="84"/>
        <v>46850</v>
      </c>
    </row>
    <row r="5413" spans="1:5" x14ac:dyDescent="0.25">
      <c r="A5413" s="2">
        <f>IF(B5413="","",SUBTOTAL(3,$B$2:B5413))</f>
        <v>5412</v>
      </c>
      <c r="B5413" s="9" t="s">
        <v>48</v>
      </c>
      <c r="C5413" s="10" t="s">
        <v>49</v>
      </c>
      <c r="D5413" s="11">
        <v>17.046496987139133</v>
      </c>
      <c r="E5413" s="12">
        <f t="shared" si="84"/>
        <v>46851</v>
      </c>
    </row>
    <row r="5414" spans="1:5" x14ac:dyDescent="0.25">
      <c r="A5414" s="2">
        <f>IF(B5414="","",SUBTOTAL(3,$B$2:B5414))</f>
        <v>5413</v>
      </c>
      <c r="B5414" s="9" t="s">
        <v>50</v>
      </c>
      <c r="C5414" s="10" t="s">
        <v>49</v>
      </c>
      <c r="D5414" s="11">
        <v>110.22927689594357</v>
      </c>
      <c r="E5414" s="12">
        <f t="shared" si="84"/>
        <v>46852</v>
      </c>
    </row>
    <row r="5415" spans="1:5" x14ac:dyDescent="0.25">
      <c r="A5415" s="2">
        <f>IF(B5415="","",SUBTOTAL(3,$B$2:B5415))</f>
        <v>5414</v>
      </c>
      <c r="B5415" s="9" t="s">
        <v>53</v>
      </c>
      <c r="C5415" s="10" t="s">
        <v>49</v>
      </c>
      <c r="D5415" s="11">
        <v>183.17198933939025</v>
      </c>
      <c r="E5415" s="12">
        <f t="shared" si="84"/>
        <v>46853</v>
      </c>
    </row>
    <row r="5416" spans="1:5" x14ac:dyDescent="0.25">
      <c r="A5416" s="2">
        <f>IF(B5416="","",SUBTOTAL(3,$B$2:B5416))</f>
        <v>5415</v>
      </c>
      <c r="B5416" s="9" t="s">
        <v>48</v>
      </c>
      <c r="C5416" s="10" t="s">
        <v>52</v>
      </c>
      <c r="D5416" s="11">
        <v>44.968072668405433</v>
      </c>
      <c r="E5416" s="12">
        <f t="shared" si="84"/>
        <v>46854</v>
      </c>
    </row>
    <row r="5417" spans="1:5" x14ac:dyDescent="0.25">
      <c r="A5417" s="2">
        <f>IF(B5417="","",SUBTOTAL(3,$B$2:B5417))</f>
        <v>5416</v>
      </c>
      <c r="B5417" s="9" t="s">
        <v>55</v>
      </c>
      <c r="C5417" s="10" t="s">
        <v>49</v>
      </c>
      <c r="D5417" s="11">
        <v>11.544516929296641</v>
      </c>
      <c r="E5417" s="12">
        <f t="shared" si="84"/>
        <v>46855</v>
      </c>
    </row>
    <row r="5418" spans="1:5" x14ac:dyDescent="0.25">
      <c r="A5418" s="2">
        <f>IF(B5418="","",SUBTOTAL(3,$B$2:B5418))</f>
        <v>5417</v>
      </c>
      <c r="B5418" s="9" t="s">
        <v>48</v>
      </c>
      <c r="C5418" s="10" t="s">
        <v>52</v>
      </c>
      <c r="D5418" s="11">
        <v>80</v>
      </c>
      <c r="E5418" s="12">
        <f t="shared" si="84"/>
        <v>46856</v>
      </c>
    </row>
    <row r="5419" spans="1:5" x14ac:dyDescent="0.25">
      <c r="A5419" s="2">
        <f>IF(B5419="","",SUBTOTAL(3,$B$2:B5419))</f>
        <v>5418</v>
      </c>
      <c r="B5419" s="9" t="s">
        <v>50</v>
      </c>
      <c r="C5419" s="10" t="s">
        <v>52</v>
      </c>
      <c r="D5419" s="11">
        <v>66.137566137566139</v>
      </c>
      <c r="E5419" s="12">
        <f t="shared" si="84"/>
        <v>46857</v>
      </c>
    </row>
    <row r="5420" spans="1:5" x14ac:dyDescent="0.25">
      <c r="A5420" s="2">
        <f>IF(B5420="","",SUBTOTAL(3,$B$2:B5420))</f>
        <v>5419</v>
      </c>
      <c r="B5420" s="9" t="s">
        <v>50</v>
      </c>
      <c r="C5420" s="10" t="s">
        <v>54</v>
      </c>
      <c r="D5420" s="11">
        <v>70.546737213403873</v>
      </c>
      <c r="E5420" s="12">
        <f t="shared" si="84"/>
        <v>46858</v>
      </c>
    </row>
    <row r="5421" spans="1:5" x14ac:dyDescent="0.25">
      <c r="A5421" s="2">
        <f>IF(B5421="","",SUBTOTAL(3,$B$2:B5421))</f>
        <v>5420</v>
      </c>
      <c r="B5421" s="9" t="s">
        <v>48</v>
      </c>
      <c r="C5421" s="10" t="s">
        <v>52</v>
      </c>
      <c r="D5421" s="11">
        <v>75</v>
      </c>
      <c r="E5421" s="12">
        <f t="shared" si="84"/>
        <v>46859</v>
      </c>
    </row>
    <row r="5422" spans="1:5" x14ac:dyDescent="0.25">
      <c r="A5422" s="2">
        <f>IF(B5422="","",SUBTOTAL(3,$B$2:B5422))</f>
        <v>5421</v>
      </c>
      <c r="B5422" s="9" t="s">
        <v>48</v>
      </c>
      <c r="C5422" s="10" t="s">
        <v>52</v>
      </c>
      <c r="D5422" s="11">
        <v>15.403573629081947</v>
      </c>
      <c r="E5422" s="12">
        <f t="shared" si="84"/>
        <v>46860</v>
      </c>
    </row>
    <row r="5423" spans="1:5" x14ac:dyDescent="0.25">
      <c r="A5423" s="2">
        <f>IF(B5423="","",SUBTOTAL(3,$B$2:B5423))</f>
        <v>5422</v>
      </c>
      <c r="B5423" s="9" t="s">
        <v>53</v>
      </c>
      <c r="C5423" s="10" t="s">
        <v>49</v>
      </c>
      <c r="D5423" s="11">
        <v>109.90319360363415</v>
      </c>
      <c r="E5423" s="12">
        <f t="shared" si="84"/>
        <v>46861</v>
      </c>
    </row>
    <row r="5424" spans="1:5" x14ac:dyDescent="0.25">
      <c r="A5424" s="2">
        <f>IF(B5424="","",SUBTOTAL(3,$B$2:B5424))</f>
        <v>5423</v>
      </c>
      <c r="B5424" s="9" t="s">
        <v>50</v>
      </c>
      <c r="C5424" s="10" t="s">
        <v>52</v>
      </c>
      <c r="D5424" s="11">
        <v>66.137566137566139</v>
      </c>
      <c r="E5424" s="12">
        <f t="shared" si="84"/>
        <v>46862</v>
      </c>
    </row>
    <row r="5425" spans="1:5" x14ac:dyDescent="0.25">
      <c r="A5425" s="2">
        <f>IF(B5425="","",SUBTOTAL(3,$B$2:B5425))</f>
        <v>5424</v>
      </c>
      <c r="B5425" s="9" t="s">
        <v>50</v>
      </c>
      <c r="C5425" s="10" t="s">
        <v>52</v>
      </c>
      <c r="D5425" s="11">
        <v>66.137566137566139</v>
      </c>
      <c r="E5425" s="12">
        <f t="shared" si="84"/>
        <v>46863</v>
      </c>
    </row>
    <row r="5426" spans="1:5" x14ac:dyDescent="0.25">
      <c r="A5426" s="2">
        <f>IF(B5426="","",SUBTOTAL(3,$B$2:B5426))</f>
        <v>5425</v>
      </c>
      <c r="B5426" s="9" t="s">
        <v>50</v>
      </c>
      <c r="C5426" s="10" t="s">
        <v>52</v>
      </c>
      <c r="D5426" s="11">
        <v>66.137566137566139</v>
      </c>
      <c r="E5426" s="12">
        <f t="shared" si="84"/>
        <v>46864</v>
      </c>
    </row>
    <row r="5427" spans="1:5" x14ac:dyDescent="0.25">
      <c r="A5427" s="2">
        <f>IF(B5427="","",SUBTOTAL(3,$B$2:B5427))</f>
        <v>5426</v>
      </c>
      <c r="B5427" s="9" t="s">
        <v>50</v>
      </c>
      <c r="C5427" s="10" t="s">
        <v>52</v>
      </c>
      <c r="D5427" s="11">
        <v>66.137566137566139</v>
      </c>
      <c r="E5427" s="12">
        <f t="shared" si="84"/>
        <v>46865</v>
      </c>
    </row>
    <row r="5428" spans="1:5" x14ac:dyDescent="0.25">
      <c r="A5428" s="2">
        <f>IF(B5428="","",SUBTOTAL(3,$B$2:B5428))</f>
        <v>5427</v>
      </c>
      <c r="B5428" s="9" t="s">
        <v>50</v>
      </c>
      <c r="C5428" s="10" t="s">
        <v>52</v>
      </c>
      <c r="D5428" s="11">
        <v>44.091710758377424</v>
      </c>
      <c r="E5428" s="12">
        <f t="shared" si="84"/>
        <v>46866</v>
      </c>
    </row>
    <row r="5429" spans="1:5" x14ac:dyDescent="0.25">
      <c r="A5429" s="2">
        <f>IF(B5429="","",SUBTOTAL(3,$B$2:B5429))</f>
        <v>5428</v>
      </c>
      <c r="B5429" s="9" t="s">
        <v>48</v>
      </c>
      <c r="C5429" s="10" t="s">
        <v>49</v>
      </c>
      <c r="D5429" s="11">
        <v>123.22858903265558</v>
      </c>
      <c r="E5429" s="12">
        <f t="shared" si="84"/>
        <v>46867</v>
      </c>
    </row>
    <row r="5430" spans="1:5" x14ac:dyDescent="0.25">
      <c r="A5430" s="2">
        <f>IF(B5430="","",SUBTOTAL(3,$B$2:B5430))</f>
        <v>5429</v>
      </c>
      <c r="B5430" s="9" t="s">
        <v>51</v>
      </c>
      <c r="C5430" s="10" t="s">
        <v>52</v>
      </c>
      <c r="D5430" s="11">
        <v>40.515355319666149</v>
      </c>
      <c r="E5430" s="12">
        <f t="shared" si="84"/>
        <v>46868</v>
      </c>
    </row>
    <row r="5431" spans="1:5" x14ac:dyDescent="0.25">
      <c r="A5431" s="2">
        <f>IF(B5431="","",SUBTOTAL(3,$B$2:B5431))</f>
        <v>5430</v>
      </c>
      <c r="B5431" s="9" t="s">
        <v>51</v>
      </c>
      <c r="C5431" s="10" t="s">
        <v>49</v>
      </c>
      <c r="D5431" s="11">
        <v>84.718839351900883</v>
      </c>
      <c r="E5431" s="12">
        <f t="shared" si="84"/>
        <v>46869</v>
      </c>
    </row>
    <row r="5432" spans="1:5" x14ac:dyDescent="0.25">
      <c r="A5432" s="2">
        <f>IF(B5432="","",SUBTOTAL(3,$B$2:B5432))</f>
        <v>5431</v>
      </c>
      <c r="B5432" s="9" t="s">
        <v>48</v>
      </c>
      <c r="C5432" s="10" t="s">
        <v>54</v>
      </c>
      <c r="D5432" s="11">
        <v>37.917959324370905</v>
      </c>
      <c r="E5432" s="12">
        <f t="shared" si="84"/>
        <v>46870</v>
      </c>
    </row>
    <row r="5433" spans="1:5" x14ac:dyDescent="0.25">
      <c r="A5433" s="2">
        <f>IF(B5433="","",SUBTOTAL(3,$B$2:B5433))</f>
        <v>5432</v>
      </c>
      <c r="B5433" s="9" t="s">
        <v>51</v>
      </c>
      <c r="C5433" s="10" t="s">
        <v>54</v>
      </c>
      <c r="D5433" s="11">
        <v>423.59419675950437</v>
      </c>
      <c r="E5433" s="12">
        <f t="shared" si="84"/>
        <v>46871</v>
      </c>
    </row>
    <row r="5434" spans="1:5" x14ac:dyDescent="0.25">
      <c r="A5434" s="2">
        <f>IF(B5434="","",SUBTOTAL(3,$B$2:B5434))</f>
        <v>5433</v>
      </c>
      <c r="B5434" s="9" t="s">
        <v>48</v>
      </c>
      <c r="C5434" s="10" t="s">
        <v>52</v>
      </c>
      <c r="D5434" s="11">
        <v>100</v>
      </c>
      <c r="E5434" s="12">
        <f t="shared" si="84"/>
        <v>46872</v>
      </c>
    </row>
    <row r="5435" spans="1:5" x14ac:dyDescent="0.25">
      <c r="A5435" s="2">
        <f>IF(B5435="","",SUBTOTAL(3,$B$2:B5435))</f>
        <v>5434</v>
      </c>
      <c r="B5435" s="9" t="s">
        <v>50</v>
      </c>
      <c r="C5435" s="10" t="s">
        <v>49</v>
      </c>
      <c r="D5435" s="11">
        <v>220.45855379188714</v>
      </c>
      <c r="E5435" s="12">
        <f t="shared" si="84"/>
        <v>46873</v>
      </c>
    </row>
    <row r="5436" spans="1:5" x14ac:dyDescent="0.25">
      <c r="A5436" s="2">
        <f>IF(B5436="","",SUBTOTAL(3,$B$2:B5436))</f>
        <v>5435</v>
      </c>
      <c r="B5436" s="9" t="s">
        <v>50</v>
      </c>
      <c r="C5436" s="10" t="s">
        <v>49</v>
      </c>
      <c r="D5436" s="11">
        <v>48.08267702821869</v>
      </c>
      <c r="E5436" s="12">
        <f t="shared" si="84"/>
        <v>46874</v>
      </c>
    </row>
    <row r="5437" spans="1:5" x14ac:dyDescent="0.25">
      <c r="A5437" s="2">
        <f>IF(B5437="","",SUBTOTAL(3,$B$2:B5437))</f>
        <v>5436</v>
      </c>
      <c r="B5437" s="9" t="s">
        <v>48</v>
      </c>
      <c r="C5437" s="10" t="s">
        <v>54</v>
      </c>
      <c r="D5437" s="11">
        <v>41.495139607032058</v>
      </c>
      <c r="E5437" s="12">
        <f t="shared" si="84"/>
        <v>46875</v>
      </c>
    </row>
    <row r="5438" spans="1:5" x14ac:dyDescent="0.25">
      <c r="A5438" s="2">
        <f>IF(B5438="","",SUBTOTAL(3,$B$2:B5438))</f>
        <v>5437</v>
      </c>
      <c r="B5438" s="9" t="s">
        <v>48</v>
      </c>
      <c r="C5438" s="10" t="s">
        <v>54</v>
      </c>
      <c r="D5438" s="11">
        <v>79.532350913478112</v>
      </c>
      <c r="E5438" s="12">
        <f t="shared" si="84"/>
        <v>46876</v>
      </c>
    </row>
    <row r="5439" spans="1:5" x14ac:dyDescent="0.25">
      <c r="A5439" s="2">
        <f>IF(B5439="","",SUBTOTAL(3,$B$2:B5439))</f>
        <v>5438</v>
      </c>
      <c r="B5439" s="9" t="s">
        <v>50</v>
      </c>
      <c r="C5439" s="10" t="s">
        <v>54</v>
      </c>
      <c r="D5439" s="11">
        <v>72.162257495590836</v>
      </c>
      <c r="E5439" s="12">
        <f t="shared" si="84"/>
        <v>46877</v>
      </c>
    </row>
    <row r="5440" spans="1:5" x14ac:dyDescent="0.25">
      <c r="A5440" s="2">
        <f>IF(B5440="","",SUBTOTAL(3,$B$2:B5440))</f>
        <v>5439</v>
      </c>
      <c r="B5440" s="9" t="s">
        <v>48</v>
      </c>
      <c r="C5440" s="10" t="s">
        <v>52</v>
      </c>
      <c r="D5440" s="11">
        <v>308.07147258163894</v>
      </c>
      <c r="E5440" s="12">
        <f t="shared" si="84"/>
        <v>46878</v>
      </c>
    </row>
    <row r="5441" spans="1:5" x14ac:dyDescent="0.25">
      <c r="A5441" s="2">
        <f>IF(B5441="","",SUBTOTAL(3,$B$2:B5441))</f>
        <v>5440</v>
      </c>
      <c r="B5441" s="9" t="s">
        <v>48</v>
      </c>
      <c r="C5441" s="10" t="s">
        <v>52</v>
      </c>
      <c r="D5441" s="11">
        <v>344.70872113064462</v>
      </c>
      <c r="E5441" s="12">
        <f t="shared" si="84"/>
        <v>46879</v>
      </c>
    </row>
    <row r="5442" spans="1:5" x14ac:dyDescent="0.25">
      <c r="A5442" s="2">
        <f>IF(B5442="","",SUBTOTAL(3,$B$2:B5442))</f>
        <v>5441</v>
      </c>
      <c r="B5442" s="9" t="s">
        <v>51</v>
      </c>
      <c r="C5442" s="10" t="s">
        <v>49</v>
      </c>
      <c r="D5442" s="11">
        <v>317.69564756962825</v>
      </c>
      <c r="E5442" s="12">
        <f t="shared" si="84"/>
        <v>46880</v>
      </c>
    </row>
    <row r="5443" spans="1:5" x14ac:dyDescent="0.25">
      <c r="A5443" s="2">
        <f>IF(B5443="","",SUBTOTAL(3,$B$2:B5443))</f>
        <v>5442</v>
      </c>
      <c r="B5443" s="9" t="s">
        <v>48</v>
      </c>
      <c r="C5443" s="10" t="s">
        <v>49</v>
      </c>
      <c r="D5443" s="11">
        <v>38.508934072704868</v>
      </c>
      <c r="E5443" s="12">
        <f t="shared" si="84"/>
        <v>46881</v>
      </c>
    </row>
    <row r="5444" spans="1:5" x14ac:dyDescent="0.25">
      <c r="A5444" s="2">
        <f>IF(B5444="","",SUBTOTAL(3,$B$2:B5444))</f>
        <v>5443</v>
      </c>
      <c r="B5444" s="9" t="s">
        <v>48</v>
      </c>
      <c r="C5444" s="10" t="s">
        <v>49</v>
      </c>
      <c r="D5444" s="11">
        <v>25.696041524803107</v>
      </c>
      <c r="E5444" s="12">
        <f t="shared" ref="E5444:E5507" si="85">E5443+1</f>
        <v>46882</v>
      </c>
    </row>
    <row r="5445" spans="1:5" x14ac:dyDescent="0.25">
      <c r="A5445" s="2">
        <f>IF(B5445="","",SUBTOTAL(3,$B$2:B5445))</f>
        <v>5444</v>
      </c>
      <c r="B5445" s="9" t="s">
        <v>50</v>
      </c>
      <c r="C5445" s="10" t="s">
        <v>54</v>
      </c>
      <c r="D5445" s="11">
        <v>661.37566137566137</v>
      </c>
      <c r="E5445" s="12">
        <f t="shared" si="85"/>
        <v>46883</v>
      </c>
    </row>
    <row r="5446" spans="1:5" x14ac:dyDescent="0.25">
      <c r="A5446" s="2">
        <f>IF(B5446="","",SUBTOTAL(3,$B$2:B5446))</f>
        <v>5445</v>
      </c>
      <c r="B5446" s="9" t="s">
        <v>50</v>
      </c>
      <c r="C5446" s="10" t="s">
        <v>49</v>
      </c>
      <c r="D5446" s="11">
        <v>110.22927689594357</v>
      </c>
      <c r="E5446" s="12">
        <f t="shared" si="85"/>
        <v>46884</v>
      </c>
    </row>
    <row r="5447" spans="1:5" x14ac:dyDescent="0.25">
      <c r="A5447" s="2">
        <f>IF(B5447="","",SUBTOTAL(3,$B$2:B5447))</f>
        <v>5446</v>
      </c>
      <c r="B5447" s="9" t="s">
        <v>48</v>
      </c>
      <c r="C5447" s="10" t="s">
        <v>54</v>
      </c>
      <c r="D5447" s="11">
        <v>36.968576709796672</v>
      </c>
      <c r="E5447" s="12">
        <f t="shared" si="85"/>
        <v>46885</v>
      </c>
    </row>
    <row r="5448" spans="1:5" x14ac:dyDescent="0.25">
      <c r="A5448" s="2">
        <f>IF(B5448="","",SUBTOTAL(3,$B$2:B5448))</f>
        <v>5447</v>
      </c>
      <c r="B5448" s="9" t="s">
        <v>51</v>
      </c>
      <c r="C5448" s="10" t="s">
        <v>49</v>
      </c>
      <c r="D5448" s="11">
        <v>241.44869215291749</v>
      </c>
      <c r="E5448" s="12">
        <f t="shared" si="85"/>
        <v>46886</v>
      </c>
    </row>
    <row r="5449" spans="1:5" x14ac:dyDescent="0.25">
      <c r="A5449" s="2">
        <f>IF(B5449="","",SUBTOTAL(3,$B$2:B5449))</f>
        <v>5448</v>
      </c>
      <c r="B5449" s="9" t="s">
        <v>50</v>
      </c>
      <c r="C5449" s="10" t="s">
        <v>54</v>
      </c>
      <c r="D5449" s="11">
        <v>220.45855379188714</v>
      </c>
      <c r="E5449" s="12">
        <f t="shared" si="85"/>
        <v>46887</v>
      </c>
    </row>
    <row r="5450" spans="1:5" x14ac:dyDescent="0.25">
      <c r="A5450" s="2">
        <f>IF(B5450="","",SUBTOTAL(3,$B$2:B5450))</f>
        <v>5449</v>
      </c>
      <c r="B5450" s="9" t="s">
        <v>50</v>
      </c>
      <c r="C5450" s="10" t="s">
        <v>52</v>
      </c>
      <c r="D5450" s="11">
        <v>33.06878306878307</v>
      </c>
      <c r="E5450" s="12">
        <f t="shared" si="85"/>
        <v>46888</v>
      </c>
    </row>
    <row r="5451" spans="1:5" x14ac:dyDescent="0.25">
      <c r="A5451" s="2">
        <f>IF(B5451="","",SUBTOTAL(3,$B$2:B5451))</f>
        <v>5450</v>
      </c>
      <c r="B5451" s="9" t="s">
        <v>50</v>
      </c>
      <c r="C5451" s="10" t="s">
        <v>49</v>
      </c>
      <c r="D5451" s="11">
        <v>33.014219576719576</v>
      </c>
      <c r="E5451" s="12">
        <f t="shared" si="85"/>
        <v>46889</v>
      </c>
    </row>
    <row r="5452" spans="1:5" x14ac:dyDescent="0.25">
      <c r="A5452" s="2">
        <f>IF(B5452="","",SUBTOTAL(3,$B$2:B5452))</f>
        <v>5451</v>
      </c>
      <c r="B5452" s="9" t="s">
        <v>48</v>
      </c>
      <c r="C5452" s="10" t="s">
        <v>49</v>
      </c>
      <c r="D5452" s="11">
        <v>320.60428219346886</v>
      </c>
      <c r="E5452" s="12">
        <f t="shared" si="85"/>
        <v>46890</v>
      </c>
    </row>
    <row r="5453" spans="1:5" x14ac:dyDescent="0.25">
      <c r="A5453" s="2">
        <f>IF(B5453="","",SUBTOTAL(3,$B$2:B5453))</f>
        <v>5452</v>
      </c>
      <c r="B5453" s="9" t="s">
        <v>50</v>
      </c>
      <c r="C5453" s="10" t="s">
        <v>54</v>
      </c>
      <c r="D5453" s="11">
        <v>44.091710758377424</v>
      </c>
      <c r="E5453" s="12">
        <f t="shared" si="85"/>
        <v>46891</v>
      </c>
    </row>
    <row r="5454" spans="1:5" x14ac:dyDescent="0.25">
      <c r="A5454" s="2">
        <f>IF(B5454="","",SUBTOTAL(3,$B$2:B5454))</f>
        <v>5453</v>
      </c>
      <c r="B5454" s="9" t="s">
        <v>51</v>
      </c>
      <c r="C5454" s="10" t="s">
        <v>52</v>
      </c>
      <c r="D5454" s="11">
        <v>52.949274594938046</v>
      </c>
      <c r="E5454" s="12">
        <f t="shared" si="85"/>
        <v>46892</v>
      </c>
    </row>
    <row r="5455" spans="1:5" x14ac:dyDescent="0.25">
      <c r="A5455" s="2">
        <f>IF(B5455="","",SUBTOTAL(3,$B$2:B5455))</f>
        <v>5454</v>
      </c>
      <c r="B5455" s="9" t="s">
        <v>48</v>
      </c>
      <c r="C5455" s="10" t="s">
        <v>49</v>
      </c>
      <c r="D5455" s="11">
        <v>256.96041524803104</v>
      </c>
      <c r="E5455" s="12">
        <f t="shared" si="85"/>
        <v>46893</v>
      </c>
    </row>
    <row r="5456" spans="1:5" x14ac:dyDescent="0.25">
      <c r="A5456" s="2">
        <f>IF(B5456="","",SUBTOTAL(3,$B$2:B5456))</f>
        <v>5455</v>
      </c>
      <c r="B5456" s="9" t="s">
        <v>50</v>
      </c>
      <c r="C5456" s="10" t="s">
        <v>52</v>
      </c>
      <c r="D5456" s="11">
        <v>1102.2927689594355</v>
      </c>
      <c r="E5456" s="12">
        <f t="shared" si="85"/>
        <v>46894</v>
      </c>
    </row>
    <row r="5457" spans="1:5" x14ac:dyDescent="0.25">
      <c r="A5457" s="2">
        <f>IF(B5457="","",SUBTOTAL(3,$B$2:B5457))</f>
        <v>5456</v>
      </c>
      <c r="B5457" s="9" t="s">
        <v>48</v>
      </c>
      <c r="C5457" s="10" t="s">
        <v>56</v>
      </c>
      <c r="D5457" s="11">
        <v>256.96041524803104</v>
      </c>
      <c r="E5457" s="12">
        <f t="shared" si="85"/>
        <v>46895</v>
      </c>
    </row>
    <row r="5458" spans="1:5" x14ac:dyDescent="0.25">
      <c r="A5458" s="2">
        <f>IF(B5458="","",SUBTOTAL(3,$B$2:B5458))</f>
        <v>5457</v>
      </c>
      <c r="B5458" s="9" t="s">
        <v>50</v>
      </c>
      <c r="C5458" s="10" t="s">
        <v>49</v>
      </c>
      <c r="D5458" s="11">
        <v>61.728395061728399</v>
      </c>
      <c r="E5458" s="12">
        <f t="shared" si="85"/>
        <v>46896</v>
      </c>
    </row>
    <row r="5459" spans="1:5" x14ac:dyDescent="0.25">
      <c r="A5459" s="2">
        <f>IF(B5459="","",SUBTOTAL(3,$B$2:B5459))</f>
        <v>5458</v>
      </c>
      <c r="B5459" s="9" t="s">
        <v>55</v>
      </c>
      <c r="C5459" s="10" t="s">
        <v>52</v>
      </c>
      <c r="D5459" s="11">
        <v>6.2115989801075022</v>
      </c>
      <c r="E5459" s="12">
        <f t="shared" si="85"/>
        <v>46897</v>
      </c>
    </row>
    <row r="5460" spans="1:5" x14ac:dyDescent="0.25">
      <c r="A5460" s="2">
        <f>IF(B5460="","",SUBTOTAL(3,$B$2:B5460))</f>
        <v>5459</v>
      </c>
      <c r="B5460" s="9" t="s">
        <v>50</v>
      </c>
      <c r="C5460" s="10" t="s">
        <v>52</v>
      </c>
      <c r="D5460" s="11">
        <v>110.22927689594357</v>
      </c>
      <c r="E5460" s="12">
        <f t="shared" si="85"/>
        <v>46898</v>
      </c>
    </row>
    <row r="5461" spans="1:5" x14ac:dyDescent="0.25">
      <c r="A5461" s="2">
        <f>IF(B5461="","",SUBTOTAL(3,$B$2:B5461))</f>
        <v>5460</v>
      </c>
      <c r="B5461" s="9" t="s">
        <v>55</v>
      </c>
      <c r="C5461" s="10" t="s">
        <v>49</v>
      </c>
      <c r="D5461" s="11">
        <v>2.2749999999999999</v>
      </c>
      <c r="E5461" s="12">
        <f t="shared" si="85"/>
        <v>46899</v>
      </c>
    </row>
    <row r="5462" spans="1:5" x14ac:dyDescent="0.25">
      <c r="A5462" s="2">
        <f>IF(B5462="","",SUBTOTAL(3,$B$2:B5462))</f>
        <v>5461</v>
      </c>
      <c r="B5462" s="9" t="s">
        <v>50</v>
      </c>
      <c r="C5462" s="10" t="s">
        <v>52</v>
      </c>
      <c r="D5462" s="11">
        <v>66.137566137566139</v>
      </c>
      <c r="E5462" s="12">
        <f t="shared" si="85"/>
        <v>46900</v>
      </c>
    </row>
    <row r="5463" spans="1:5" x14ac:dyDescent="0.25">
      <c r="A5463" s="2">
        <f>IF(B5463="","",SUBTOTAL(3,$B$2:B5463))</f>
        <v>5462</v>
      </c>
      <c r="B5463" s="9" t="s">
        <v>55</v>
      </c>
      <c r="C5463" s="10" t="s">
        <v>52</v>
      </c>
      <c r="D5463" s="11">
        <v>100</v>
      </c>
      <c r="E5463" s="12">
        <f t="shared" si="85"/>
        <v>46901</v>
      </c>
    </row>
    <row r="5464" spans="1:5" x14ac:dyDescent="0.25">
      <c r="A5464" s="2">
        <f>IF(B5464="","",SUBTOTAL(3,$B$2:B5464))</f>
        <v>5463</v>
      </c>
      <c r="B5464" s="9" t="s">
        <v>48</v>
      </c>
      <c r="C5464" s="10" t="s">
        <v>52</v>
      </c>
      <c r="D5464" s="11">
        <v>61.614294516327789</v>
      </c>
      <c r="E5464" s="12">
        <f t="shared" si="85"/>
        <v>46902</v>
      </c>
    </row>
    <row r="5465" spans="1:5" x14ac:dyDescent="0.25">
      <c r="A5465" s="2">
        <f>IF(B5465="","",SUBTOTAL(3,$B$2:B5465))</f>
        <v>5464</v>
      </c>
      <c r="B5465" s="9" t="s">
        <v>55</v>
      </c>
      <c r="C5465" s="10" t="s">
        <v>49</v>
      </c>
      <c r="D5465" s="11">
        <v>42</v>
      </c>
      <c r="E5465" s="12">
        <f t="shared" si="85"/>
        <v>46903</v>
      </c>
    </row>
    <row r="5466" spans="1:5" x14ac:dyDescent="0.25">
      <c r="A5466" s="2">
        <f>IF(B5466="","",SUBTOTAL(3,$B$2:B5466))</f>
        <v>5465</v>
      </c>
      <c r="B5466" s="9" t="s">
        <v>55</v>
      </c>
      <c r="C5466" s="10" t="s">
        <v>49</v>
      </c>
      <c r="D5466" s="11">
        <v>42</v>
      </c>
      <c r="E5466" s="12">
        <f t="shared" si="85"/>
        <v>46904</v>
      </c>
    </row>
    <row r="5467" spans="1:5" x14ac:dyDescent="0.25">
      <c r="A5467" s="2">
        <f>IF(B5467="","",SUBTOTAL(3,$B$2:B5467))</f>
        <v>5466</v>
      </c>
      <c r="B5467" s="9" t="s">
        <v>51</v>
      </c>
      <c r="C5467" s="10" t="s">
        <v>49</v>
      </c>
      <c r="D5467" s="11">
        <v>317.69564756962825</v>
      </c>
      <c r="E5467" s="12">
        <f t="shared" si="85"/>
        <v>46905</v>
      </c>
    </row>
    <row r="5468" spans="1:5" x14ac:dyDescent="0.25">
      <c r="A5468" s="2">
        <f>IF(B5468="","",SUBTOTAL(3,$B$2:B5468))</f>
        <v>5467</v>
      </c>
      <c r="B5468" s="9" t="s">
        <v>55</v>
      </c>
      <c r="C5468" s="10" t="s">
        <v>52</v>
      </c>
      <c r="D5468" s="11">
        <v>2.2970551752653101</v>
      </c>
      <c r="E5468" s="12">
        <f t="shared" si="85"/>
        <v>46906</v>
      </c>
    </row>
    <row r="5469" spans="1:5" x14ac:dyDescent="0.25">
      <c r="A5469" s="2">
        <f>IF(B5469="","",SUBTOTAL(3,$B$2:B5469))</f>
        <v>5468</v>
      </c>
      <c r="B5469" s="9" t="s">
        <v>51</v>
      </c>
      <c r="C5469" s="10" t="s">
        <v>54</v>
      </c>
      <c r="D5469" s="11">
        <v>200</v>
      </c>
      <c r="E5469" s="12">
        <f t="shared" si="85"/>
        <v>46907</v>
      </c>
    </row>
    <row r="5470" spans="1:5" x14ac:dyDescent="0.25">
      <c r="A5470" s="2">
        <f>IF(B5470="","",SUBTOTAL(3,$B$2:B5470))</f>
        <v>5469</v>
      </c>
      <c r="B5470" s="9" t="s">
        <v>55</v>
      </c>
      <c r="C5470" s="10" t="s">
        <v>52</v>
      </c>
      <c r="D5470" s="11">
        <v>22.970551752653101</v>
      </c>
      <c r="E5470" s="12">
        <f t="shared" si="85"/>
        <v>46908</v>
      </c>
    </row>
    <row r="5471" spans="1:5" x14ac:dyDescent="0.25">
      <c r="A5471" s="2">
        <f>IF(B5471="","",SUBTOTAL(3,$B$2:B5471))</f>
        <v>5470</v>
      </c>
      <c r="B5471" s="9" t="s">
        <v>55</v>
      </c>
      <c r="C5471" s="10" t="s">
        <v>52</v>
      </c>
      <c r="D5471" s="11">
        <v>22.970551752653101</v>
      </c>
      <c r="E5471" s="12">
        <f t="shared" si="85"/>
        <v>46909</v>
      </c>
    </row>
    <row r="5472" spans="1:5" x14ac:dyDescent="0.25">
      <c r="A5472" s="2">
        <f>IF(B5472="","",SUBTOTAL(3,$B$2:B5472))</f>
        <v>5471</v>
      </c>
      <c r="B5472" s="9" t="s">
        <v>50</v>
      </c>
      <c r="C5472" s="10" t="s">
        <v>52</v>
      </c>
      <c r="D5472" s="11">
        <v>66.137566137566139</v>
      </c>
      <c r="E5472" s="12">
        <f t="shared" si="85"/>
        <v>46910</v>
      </c>
    </row>
    <row r="5473" spans="1:5" x14ac:dyDescent="0.25">
      <c r="A5473" s="2">
        <f>IF(B5473="","",SUBTOTAL(3,$B$2:B5473))</f>
        <v>5472</v>
      </c>
      <c r="B5473" s="9" t="s">
        <v>50</v>
      </c>
      <c r="C5473" s="10" t="s">
        <v>49</v>
      </c>
      <c r="D5473" s="11">
        <v>3.306878306878307</v>
      </c>
      <c r="E5473" s="12">
        <f t="shared" si="85"/>
        <v>46911</v>
      </c>
    </row>
    <row r="5474" spans="1:5" x14ac:dyDescent="0.25">
      <c r="A5474" s="2">
        <f>IF(B5474="","",SUBTOTAL(3,$B$2:B5474))</f>
        <v>5473</v>
      </c>
      <c r="B5474" s="9" t="s">
        <v>50</v>
      </c>
      <c r="C5474" s="10" t="s">
        <v>52</v>
      </c>
      <c r="D5474" s="11">
        <v>66.137566137566139</v>
      </c>
      <c r="E5474" s="12">
        <f t="shared" si="85"/>
        <v>46912</v>
      </c>
    </row>
    <row r="5475" spans="1:5" x14ac:dyDescent="0.25">
      <c r="A5475" s="2">
        <f>IF(B5475="","",SUBTOTAL(3,$B$2:B5475))</f>
        <v>5474</v>
      </c>
      <c r="B5475" s="9" t="s">
        <v>51</v>
      </c>
      <c r="C5475" s="10" t="s">
        <v>52</v>
      </c>
      <c r="D5475" s="11">
        <v>162.0614212786646</v>
      </c>
      <c r="E5475" s="12">
        <f t="shared" si="85"/>
        <v>46913</v>
      </c>
    </row>
    <row r="5476" spans="1:5" x14ac:dyDescent="0.25">
      <c r="A5476" s="2">
        <f>IF(B5476="","",SUBTOTAL(3,$B$2:B5476))</f>
        <v>5475</v>
      </c>
      <c r="B5476" s="9" t="s">
        <v>51</v>
      </c>
      <c r="C5476" s="10" t="s">
        <v>52</v>
      </c>
      <c r="D5476" s="11">
        <v>605.73970136609125</v>
      </c>
      <c r="E5476" s="12">
        <f t="shared" si="85"/>
        <v>46914</v>
      </c>
    </row>
    <row r="5477" spans="1:5" x14ac:dyDescent="0.25">
      <c r="A5477" s="2">
        <f>IF(B5477="","",SUBTOTAL(3,$B$2:B5477))</f>
        <v>5476</v>
      </c>
      <c r="B5477" s="9" t="s">
        <v>51</v>
      </c>
      <c r="C5477" s="10" t="s">
        <v>52</v>
      </c>
      <c r="D5477" s="11">
        <v>52.949274594938046</v>
      </c>
      <c r="E5477" s="12">
        <f t="shared" si="85"/>
        <v>46915</v>
      </c>
    </row>
    <row r="5478" spans="1:5" x14ac:dyDescent="0.25">
      <c r="A5478" s="2">
        <f>IF(B5478="","",SUBTOTAL(3,$B$2:B5478))</f>
        <v>5477</v>
      </c>
      <c r="B5478" s="9" t="s">
        <v>55</v>
      </c>
      <c r="C5478" s="10" t="s">
        <v>49</v>
      </c>
      <c r="D5478" s="11">
        <v>977.67638911520294</v>
      </c>
      <c r="E5478" s="12">
        <f t="shared" si="85"/>
        <v>46916</v>
      </c>
    </row>
    <row r="5479" spans="1:5" x14ac:dyDescent="0.25">
      <c r="A5479" s="2">
        <f>IF(B5479="","",SUBTOTAL(3,$B$2:B5479))</f>
        <v>5478</v>
      </c>
      <c r="B5479" s="9" t="s">
        <v>50</v>
      </c>
      <c r="C5479" s="10" t="s">
        <v>49</v>
      </c>
      <c r="D5479" s="11">
        <v>110.22927689594357</v>
      </c>
      <c r="E5479" s="12">
        <f t="shared" si="85"/>
        <v>46917</v>
      </c>
    </row>
    <row r="5480" spans="1:5" x14ac:dyDescent="0.25">
      <c r="A5480" s="2">
        <f>IF(B5480="","",SUBTOTAL(3,$B$2:B5480))</f>
        <v>5479</v>
      </c>
      <c r="B5480" s="9" t="s">
        <v>48</v>
      </c>
      <c r="C5480" s="10" t="s">
        <v>49</v>
      </c>
      <c r="D5480" s="11">
        <v>46.210720887245841</v>
      </c>
      <c r="E5480" s="12">
        <f t="shared" si="85"/>
        <v>46918</v>
      </c>
    </row>
    <row r="5481" spans="1:5" x14ac:dyDescent="0.25">
      <c r="A5481" s="2">
        <f>IF(B5481="","",SUBTOTAL(3,$B$2:B5481))</f>
        <v>5480</v>
      </c>
      <c r="B5481" s="9" t="s">
        <v>51</v>
      </c>
      <c r="C5481" s="10" t="s">
        <v>49</v>
      </c>
      <c r="D5481" s="11">
        <v>317.69564756962825</v>
      </c>
      <c r="E5481" s="12">
        <f t="shared" si="85"/>
        <v>46919</v>
      </c>
    </row>
    <row r="5482" spans="1:5" x14ac:dyDescent="0.25">
      <c r="A5482" s="2">
        <f>IF(B5482="","",SUBTOTAL(3,$B$2:B5482))</f>
        <v>5481</v>
      </c>
      <c r="B5482" s="9" t="s">
        <v>51</v>
      </c>
      <c r="C5482" s="10" t="s">
        <v>52</v>
      </c>
      <c r="D5482" s="11">
        <v>211.79709837975219</v>
      </c>
      <c r="E5482" s="12">
        <f t="shared" si="85"/>
        <v>46920</v>
      </c>
    </row>
    <row r="5483" spans="1:5" x14ac:dyDescent="0.25">
      <c r="A5483" s="2">
        <f>IF(B5483="","",SUBTOTAL(3,$B$2:B5483))</f>
        <v>5482</v>
      </c>
      <c r="B5483" s="9" t="s">
        <v>51</v>
      </c>
      <c r="C5483" s="10" t="s">
        <v>52</v>
      </c>
      <c r="D5483" s="11">
        <v>211.79709837975219</v>
      </c>
      <c r="E5483" s="12">
        <f t="shared" si="85"/>
        <v>46921</v>
      </c>
    </row>
    <row r="5484" spans="1:5" x14ac:dyDescent="0.25">
      <c r="A5484" s="2">
        <f>IF(B5484="","",SUBTOTAL(3,$B$2:B5484))</f>
        <v>5483</v>
      </c>
      <c r="B5484" s="9" t="s">
        <v>51</v>
      </c>
      <c r="C5484" s="10" t="s">
        <v>54</v>
      </c>
      <c r="D5484" s="11">
        <v>158.84782378481412</v>
      </c>
      <c r="E5484" s="12">
        <f t="shared" si="85"/>
        <v>46922</v>
      </c>
    </row>
    <row r="5485" spans="1:5" x14ac:dyDescent="0.25">
      <c r="A5485" s="2">
        <f>IF(B5485="","",SUBTOTAL(3,$B$2:B5485))</f>
        <v>5484</v>
      </c>
      <c r="B5485" s="9" t="s">
        <v>51</v>
      </c>
      <c r="C5485" s="10" t="s">
        <v>52</v>
      </c>
      <c r="D5485" s="11">
        <v>211.79709837975219</v>
      </c>
      <c r="E5485" s="12">
        <f t="shared" si="85"/>
        <v>46923</v>
      </c>
    </row>
    <row r="5486" spans="1:5" x14ac:dyDescent="0.25">
      <c r="A5486" s="2">
        <f>IF(B5486="","",SUBTOTAL(3,$B$2:B5486))</f>
        <v>5485</v>
      </c>
      <c r="B5486" s="9" t="s">
        <v>50</v>
      </c>
      <c r="C5486" s="10" t="s">
        <v>49</v>
      </c>
      <c r="D5486" s="11">
        <v>50</v>
      </c>
      <c r="E5486" s="12">
        <f t="shared" si="85"/>
        <v>46924</v>
      </c>
    </row>
    <row r="5487" spans="1:5" x14ac:dyDescent="0.25">
      <c r="A5487" s="2">
        <f>IF(B5487="","",SUBTOTAL(3,$B$2:B5487))</f>
        <v>5486</v>
      </c>
      <c r="B5487" s="9" t="s">
        <v>55</v>
      </c>
      <c r="C5487" s="10" t="s">
        <v>52</v>
      </c>
      <c r="D5487" s="11">
        <v>16.294606485253382</v>
      </c>
      <c r="E5487" s="12">
        <f t="shared" si="85"/>
        <v>46925</v>
      </c>
    </row>
    <row r="5488" spans="1:5" x14ac:dyDescent="0.25">
      <c r="A5488" s="2">
        <f>IF(B5488="","",SUBTOTAL(3,$B$2:B5488))</f>
        <v>5487</v>
      </c>
      <c r="B5488" s="9" t="s">
        <v>55</v>
      </c>
      <c r="C5488" s="10" t="s">
        <v>49</v>
      </c>
      <c r="D5488" s="11">
        <v>30.875</v>
      </c>
      <c r="E5488" s="12">
        <f t="shared" si="85"/>
        <v>46926</v>
      </c>
    </row>
    <row r="5489" spans="1:5" x14ac:dyDescent="0.25">
      <c r="A5489" s="2">
        <f>IF(B5489="","",SUBTOTAL(3,$B$2:B5489))</f>
        <v>5488</v>
      </c>
      <c r="B5489" s="9" t="s">
        <v>50</v>
      </c>
      <c r="C5489" s="10" t="s">
        <v>49</v>
      </c>
      <c r="D5489" s="11">
        <v>10.308862433862434</v>
      </c>
      <c r="E5489" s="12">
        <f t="shared" si="85"/>
        <v>46927</v>
      </c>
    </row>
    <row r="5490" spans="1:5" x14ac:dyDescent="0.25">
      <c r="A5490" s="2">
        <f>IF(B5490="","",SUBTOTAL(3,$B$2:B5490))</f>
        <v>5489</v>
      </c>
      <c r="B5490" s="9" t="s">
        <v>51</v>
      </c>
      <c r="C5490" s="10" t="s">
        <v>52</v>
      </c>
      <c r="D5490" s="11">
        <v>211.79709837975219</v>
      </c>
      <c r="E5490" s="12">
        <f t="shared" si="85"/>
        <v>46928</v>
      </c>
    </row>
    <row r="5491" spans="1:5" x14ac:dyDescent="0.25">
      <c r="A5491" s="2">
        <f>IF(B5491="","",SUBTOTAL(3,$B$2:B5491))</f>
        <v>5490</v>
      </c>
      <c r="B5491" s="9" t="s">
        <v>53</v>
      </c>
      <c r="C5491" s="10" t="s">
        <v>49</v>
      </c>
      <c r="D5491" s="11">
        <v>54.951596801817075</v>
      </c>
      <c r="E5491" s="12">
        <f t="shared" si="85"/>
        <v>46929</v>
      </c>
    </row>
    <row r="5492" spans="1:5" x14ac:dyDescent="0.25">
      <c r="A5492" s="2">
        <f>IF(B5492="","",SUBTOTAL(3,$B$2:B5492))</f>
        <v>5491</v>
      </c>
      <c r="B5492" s="9" t="s">
        <v>48</v>
      </c>
      <c r="C5492" s="10" t="s">
        <v>49</v>
      </c>
      <c r="D5492" s="11">
        <v>30.742487119859188</v>
      </c>
      <c r="E5492" s="12">
        <f t="shared" si="85"/>
        <v>46930</v>
      </c>
    </row>
    <row r="5493" spans="1:5" x14ac:dyDescent="0.25">
      <c r="A5493" s="2">
        <f>IF(B5493="","",SUBTOTAL(3,$B$2:B5493))</f>
        <v>5492</v>
      </c>
      <c r="B5493" s="9" t="s">
        <v>50</v>
      </c>
      <c r="C5493" s="10" t="s">
        <v>49</v>
      </c>
      <c r="D5493" s="11">
        <v>63.668430335097</v>
      </c>
      <c r="E5493" s="12">
        <f t="shared" si="85"/>
        <v>46931</v>
      </c>
    </row>
    <row r="5494" spans="1:5" x14ac:dyDescent="0.25">
      <c r="A5494" s="2">
        <f>IF(B5494="","",SUBTOTAL(3,$B$2:B5494))</f>
        <v>5493</v>
      </c>
      <c r="B5494" s="9" t="s">
        <v>50</v>
      </c>
      <c r="C5494" s="10" t="s">
        <v>49</v>
      </c>
      <c r="D5494" s="11">
        <v>220.45855379188714</v>
      </c>
      <c r="E5494" s="12">
        <f t="shared" si="85"/>
        <v>46932</v>
      </c>
    </row>
    <row r="5495" spans="1:5" x14ac:dyDescent="0.25">
      <c r="A5495" s="2">
        <f>IF(B5495="","",SUBTOTAL(3,$B$2:B5495))</f>
        <v>5494</v>
      </c>
      <c r="B5495" s="9" t="s">
        <v>55</v>
      </c>
      <c r="C5495" s="10" t="s">
        <v>49</v>
      </c>
      <c r="D5495" s="11">
        <v>46.606485253381138</v>
      </c>
      <c r="E5495" s="12">
        <f t="shared" si="85"/>
        <v>46933</v>
      </c>
    </row>
    <row r="5496" spans="1:5" x14ac:dyDescent="0.25">
      <c r="A5496" s="2">
        <f>IF(B5496="","",SUBTOTAL(3,$B$2:B5496))</f>
        <v>5495</v>
      </c>
      <c r="B5496" s="9" t="s">
        <v>48</v>
      </c>
      <c r="C5496" s="10" t="s">
        <v>49</v>
      </c>
      <c r="D5496" s="11">
        <v>62.047569803516026</v>
      </c>
      <c r="E5496" s="12">
        <f t="shared" si="85"/>
        <v>46934</v>
      </c>
    </row>
    <row r="5497" spans="1:5" x14ac:dyDescent="0.25">
      <c r="A5497" s="2">
        <f>IF(B5497="","",SUBTOTAL(3,$B$2:B5497))</f>
        <v>5496</v>
      </c>
      <c r="B5497" s="9" t="s">
        <v>48</v>
      </c>
      <c r="C5497" s="10" t="s">
        <v>52</v>
      </c>
      <c r="D5497" s="11">
        <v>154.03573629081947</v>
      </c>
      <c r="E5497" s="12">
        <f t="shared" si="85"/>
        <v>46935</v>
      </c>
    </row>
    <row r="5498" spans="1:5" x14ac:dyDescent="0.25">
      <c r="A5498" s="2">
        <f>IF(B5498="","",SUBTOTAL(3,$B$2:B5498))</f>
        <v>5497</v>
      </c>
      <c r="B5498" s="9" t="s">
        <v>48</v>
      </c>
      <c r="C5498" s="10" t="s">
        <v>54</v>
      </c>
      <c r="D5498" s="11">
        <v>38.54406228720466</v>
      </c>
      <c r="E5498" s="12">
        <f t="shared" si="85"/>
        <v>46936</v>
      </c>
    </row>
    <row r="5499" spans="1:5" x14ac:dyDescent="0.25">
      <c r="A5499" s="2">
        <f>IF(B5499="","",SUBTOTAL(3,$B$2:B5499))</f>
        <v>5498</v>
      </c>
      <c r="B5499" s="9" t="s">
        <v>50</v>
      </c>
      <c r="C5499" s="10" t="s">
        <v>52</v>
      </c>
      <c r="D5499" s="11">
        <v>88.183421516754848</v>
      </c>
      <c r="E5499" s="12">
        <f t="shared" si="85"/>
        <v>46937</v>
      </c>
    </row>
    <row r="5500" spans="1:5" x14ac:dyDescent="0.25">
      <c r="A5500" s="2">
        <f>IF(B5500="","",SUBTOTAL(3,$B$2:B5500))</f>
        <v>5499</v>
      </c>
      <c r="B5500" s="9" t="s">
        <v>50</v>
      </c>
      <c r="C5500" s="10" t="s">
        <v>52</v>
      </c>
      <c r="D5500" s="11">
        <v>33.06878306878307</v>
      </c>
      <c r="E5500" s="12">
        <f t="shared" si="85"/>
        <v>46938</v>
      </c>
    </row>
    <row r="5501" spans="1:5" x14ac:dyDescent="0.25">
      <c r="A5501" s="2">
        <f>IF(B5501="","",SUBTOTAL(3,$B$2:B5501))</f>
        <v>5500</v>
      </c>
      <c r="B5501" s="9" t="s">
        <v>50</v>
      </c>
      <c r="C5501" s="10" t="s">
        <v>49</v>
      </c>
      <c r="D5501" s="11">
        <v>92.592592592592595</v>
      </c>
      <c r="E5501" s="12">
        <f t="shared" si="85"/>
        <v>46939</v>
      </c>
    </row>
    <row r="5502" spans="1:5" x14ac:dyDescent="0.25">
      <c r="A5502" s="2">
        <f>IF(B5502="","",SUBTOTAL(3,$B$2:B5502))</f>
        <v>5501</v>
      </c>
      <c r="B5502" s="9" t="s">
        <v>51</v>
      </c>
      <c r="C5502" s="10" t="s">
        <v>52</v>
      </c>
      <c r="D5502" s="11">
        <v>423.59419675950437</v>
      </c>
      <c r="E5502" s="12">
        <f t="shared" si="85"/>
        <v>46940</v>
      </c>
    </row>
    <row r="5503" spans="1:5" x14ac:dyDescent="0.25">
      <c r="A5503" s="2">
        <f>IF(B5503="","",SUBTOTAL(3,$B$2:B5503))</f>
        <v>5502</v>
      </c>
      <c r="B5503" s="9" t="s">
        <v>48</v>
      </c>
      <c r="C5503" s="10" t="s">
        <v>49</v>
      </c>
      <c r="D5503" s="11">
        <v>15.403573629081947</v>
      </c>
      <c r="E5503" s="12">
        <f t="shared" si="85"/>
        <v>46941</v>
      </c>
    </row>
    <row r="5504" spans="1:5" x14ac:dyDescent="0.25">
      <c r="A5504" s="2">
        <f>IF(B5504="","",SUBTOTAL(3,$B$2:B5504))</f>
        <v>5503</v>
      </c>
      <c r="B5504" s="9" t="s">
        <v>48</v>
      </c>
      <c r="C5504" s="10" t="s">
        <v>49</v>
      </c>
      <c r="D5504" s="11">
        <v>18.484288354898336</v>
      </c>
      <c r="E5504" s="12">
        <f t="shared" si="85"/>
        <v>46942</v>
      </c>
    </row>
    <row r="5505" spans="1:5" x14ac:dyDescent="0.25">
      <c r="A5505" s="2">
        <f>IF(B5505="","",SUBTOTAL(3,$B$2:B5505))</f>
        <v>5504</v>
      </c>
      <c r="B5505" s="9" t="s">
        <v>51</v>
      </c>
      <c r="C5505" s="10" t="s">
        <v>49</v>
      </c>
      <c r="D5505" s="11">
        <v>31.769564756962826</v>
      </c>
      <c r="E5505" s="12">
        <f t="shared" si="85"/>
        <v>46943</v>
      </c>
    </row>
    <row r="5506" spans="1:5" x14ac:dyDescent="0.25">
      <c r="A5506" s="2">
        <f>IF(B5506="","",SUBTOTAL(3,$B$2:B5506))</f>
        <v>5505</v>
      </c>
      <c r="B5506" s="9" t="s">
        <v>48</v>
      </c>
      <c r="C5506" s="10" t="s">
        <v>52</v>
      </c>
      <c r="D5506" s="11">
        <v>308.07147258163894</v>
      </c>
      <c r="E5506" s="12">
        <f t="shared" si="85"/>
        <v>46944</v>
      </c>
    </row>
    <row r="5507" spans="1:5" x14ac:dyDescent="0.25">
      <c r="A5507" s="2">
        <f>IF(B5507="","",SUBTOTAL(3,$B$2:B5507))</f>
        <v>5506</v>
      </c>
      <c r="B5507" s="9" t="s">
        <v>53</v>
      </c>
      <c r="C5507" s="10" t="s">
        <v>49</v>
      </c>
      <c r="D5507" s="11">
        <v>73.2687957357561</v>
      </c>
      <c r="E5507" s="12">
        <f t="shared" si="85"/>
        <v>46945</v>
      </c>
    </row>
    <row r="5508" spans="1:5" x14ac:dyDescent="0.25">
      <c r="A5508" s="2">
        <f>IF(B5508="","",SUBTOTAL(3,$B$2:B5508))</f>
        <v>5507</v>
      </c>
      <c r="B5508" s="9" t="s">
        <v>48</v>
      </c>
      <c r="C5508" s="10" t="s">
        <v>49</v>
      </c>
      <c r="D5508" s="11">
        <v>23.105360443622921</v>
      </c>
      <c r="E5508" s="12">
        <f t="shared" ref="E5508:E5571" si="86">E5507+1</f>
        <v>46946</v>
      </c>
    </row>
    <row r="5509" spans="1:5" x14ac:dyDescent="0.25">
      <c r="A5509" s="2">
        <f>IF(B5509="","",SUBTOTAL(3,$B$2:B5509))</f>
        <v>5508</v>
      </c>
      <c r="B5509" s="9" t="s">
        <v>50</v>
      </c>
      <c r="C5509" s="10" t="s">
        <v>54</v>
      </c>
      <c r="D5509" s="11">
        <v>72.751322751322746</v>
      </c>
      <c r="E5509" s="12">
        <f t="shared" si="86"/>
        <v>46947</v>
      </c>
    </row>
    <row r="5510" spans="1:5" x14ac:dyDescent="0.25">
      <c r="A5510" s="2">
        <f>IF(B5510="","",SUBTOTAL(3,$B$2:B5510))</f>
        <v>5509</v>
      </c>
      <c r="B5510" s="9" t="s">
        <v>50</v>
      </c>
      <c r="C5510" s="10" t="s">
        <v>57</v>
      </c>
      <c r="D5510" s="11">
        <v>110.22927689594357</v>
      </c>
      <c r="E5510" s="12">
        <f t="shared" si="86"/>
        <v>46948</v>
      </c>
    </row>
    <row r="5511" spans="1:5" x14ac:dyDescent="0.25">
      <c r="A5511" s="2">
        <f>IF(B5511="","",SUBTOTAL(3,$B$2:B5511))</f>
        <v>5510</v>
      </c>
      <c r="B5511" s="9" t="s">
        <v>48</v>
      </c>
      <c r="C5511" s="10" t="s">
        <v>49</v>
      </c>
      <c r="D5511" s="11">
        <v>123.22858903265558</v>
      </c>
      <c r="E5511" s="12">
        <f t="shared" si="86"/>
        <v>46949</v>
      </c>
    </row>
    <row r="5512" spans="1:5" x14ac:dyDescent="0.25">
      <c r="A5512" s="2">
        <f>IF(B5512="","",SUBTOTAL(3,$B$2:B5512))</f>
        <v>5511</v>
      </c>
      <c r="B5512" s="9" t="s">
        <v>50</v>
      </c>
      <c r="C5512" s="10" t="s">
        <v>49</v>
      </c>
      <c r="D5512" s="11">
        <v>99.206349206349202</v>
      </c>
      <c r="E5512" s="12">
        <f t="shared" si="86"/>
        <v>46950</v>
      </c>
    </row>
    <row r="5513" spans="1:5" x14ac:dyDescent="0.25">
      <c r="A5513" s="2">
        <f>IF(B5513="","",SUBTOTAL(3,$B$2:B5513))</f>
        <v>5512</v>
      </c>
      <c r="B5513" s="9" t="s">
        <v>50</v>
      </c>
      <c r="C5513" s="10" t="s">
        <v>49</v>
      </c>
      <c r="D5513" s="11">
        <v>11.022927689594356</v>
      </c>
      <c r="E5513" s="12">
        <f t="shared" si="86"/>
        <v>46951</v>
      </c>
    </row>
    <row r="5514" spans="1:5" x14ac:dyDescent="0.25">
      <c r="A5514" s="2">
        <f>IF(B5514="","",SUBTOTAL(3,$B$2:B5514))</f>
        <v>5513</v>
      </c>
      <c r="B5514" s="9" t="s">
        <v>48</v>
      </c>
      <c r="C5514" s="10" t="s">
        <v>49</v>
      </c>
      <c r="D5514" s="11">
        <v>3.4689656058484193</v>
      </c>
      <c r="E5514" s="12">
        <f t="shared" si="86"/>
        <v>46952</v>
      </c>
    </row>
    <row r="5515" spans="1:5" x14ac:dyDescent="0.25">
      <c r="A5515" s="2">
        <f>IF(B5515="","",SUBTOTAL(3,$B$2:B5515))</f>
        <v>5514</v>
      </c>
      <c r="B5515" s="9" t="s">
        <v>48</v>
      </c>
      <c r="C5515" s="10" t="s">
        <v>49</v>
      </c>
      <c r="D5515" s="11">
        <v>138.63216266173754</v>
      </c>
      <c r="E5515" s="12">
        <f t="shared" si="86"/>
        <v>46953</v>
      </c>
    </row>
    <row r="5516" spans="1:5" x14ac:dyDescent="0.25">
      <c r="A5516" s="2">
        <f>IF(B5516="","",SUBTOTAL(3,$B$2:B5516))</f>
        <v>5515</v>
      </c>
      <c r="B5516" s="9" t="s">
        <v>48</v>
      </c>
      <c r="C5516" s="10" t="s">
        <v>49</v>
      </c>
      <c r="D5516" s="11">
        <v>77.017868145409736</v>
      </c>
      <c r="E5516" s="12">
        <f t="shared" si="86"/>
        <v>46954</v>
      </c>
    </row>
    <row r="5517" spans="1:5" x14ac:dyDescent="0.25">
      <c r="A5517" s="2">
        <f>IF(B5517="","",SUBTOTAL(3,$B$2:B5517))</f>
        <v>5516</v>
      </c>
      <c r="B5517" s="9" t="s">
        <v>48</v>
      </c>
      <c r="C5517" s="10" t="s">
        <v>49</v>
      </c>
      <c r="D5517" s="11">
        <v>123.22858903265558</v>
      </c>
      <c r="E5517" s="12">
        <f t="shared" si="86"/>
        <v>46955</v>
      </c>
    </row>
    <row r="5518" spans="1:5" x14ac:dyDescent="0.25">
      <c r="A5518" s="2">
        <f>IF(B5518="","",SUBTOTAL(3,$B$2:B5518))</f>
        <v>5517</v>
      </c>
      <c r="B5518" s="9" t="s">
        <v>48</v>
      </c>
      <c r="C5518" s="10" t="s">
        <v>49</v>
      </c>
      <c r="D5518" s="11">
        <v>77.017868145409736</v>
      </c>
      <c r="E5518" s="12">
        <f t="shared" si="86"/>
        <v>46956</v>
      </c>
    </row>
    <row r="5519" spans="1:5" x14ac:dyDescent="0.25">
      <c r="A5519" s="2">
        <f>IF(B5519="","",SUBTOTAL(3,$B$2:B5519))</f>
        <v>5518</v>
      </c>
      <c r="B5519" s="9" t="s">
        <v>50</v>
      </c>
      <c r="C5519" s="10" t="s">
        <v>54</v>
      </c>
      <c r="D5519" s="11">
        <v>220.45855379188714</v>
      </c>
      <c r="E5519" s="12">
        <f t="shared" si="86"/>
        <v>46957</v>
      </c>
    </row>
    <row r="5520" spans="1:5" x14ac:dyDescent="0.25">
      <c r="A5520" s="2">
        <f>IF(B5520="","",SUBTOTAL(3,$B$2:B5520))</f>
        <v>5519</v>
      </c>
      <c r="B5520" s="9" t="s">
        <v>50</v>
      </c>
      <c r="C5520" s="10" t="s">
        <v>49</v>
      </c>
      <c r="D5520" s="11">
        <v>146.90145502645501</v>
      </c>
      <c r="E5520" s="12">
        <f t="shared" si="86"/>
        <v>46958</v>
      </c>
    </row>
    <row r="5521" spans="1:5" x14ac:dyDescent="0.25">
      <c r="A5521" s="2">
        <f>IF(B5521="","",SUBTOTAL(3,$B$2:B5521))</f>
        <v>5520</v>
      </c>
      <c r="B5521" s="9" t="s">
        <v>48</v>
      </c>
      <c r="C5521" s="10" t="s">
        <v>49</v>
      </c>
      <c r="D5521" s="11">
        <v>77.017868145409736</v>
      </c>
      <c r="E5521" s="12">
        <f t="shared" si="86"/>
        <v>46959</v>
      </c>
    </row>
    <row r="5522" spans="1:5" x14ac:dyDescent="0.25">
      <c r="A5522" s="2">
        <f>IF(B5522="","",SUBTOTAL(3,$B$2:B5522))</f>
        <v>5521</v>
      </c>
      <c r="B5522" s="9" t="s">
        <v>48</v>
      </c>
      <c r="C5522" s="10" t="s">
        <v>49</v>
      </c>
      <c r="D5522" s="11">
        <v>6.4240103812007767</v>
      </c>
      <c r="E5522" s="12">
        <f t="shared" si="86"/>
        <v>46960</v>
      </c>
    </row>
    <row r="5523" spans="1:5" x14ac:dyDescent="0.25">
      <c r="A5523" s="2">
        <f>IF(B5523="","",SUBTOTAL(3,$B$2:B5523))</f>
        <v>5522</v>
      </c>
      <c r="B5523" s="9" t="s">
        <v>55</v>
      </c>
      <c r="C5523" s="10" t="s">
        <v>52</v>
      </c>
      <c r="D5523" s="11">
        <v>88.183421516754848</v>
      </c>
      <c r="E5523" s="12">
        <f t="shared" si="86"/>
        <v>46961</v>
      </c>
    </row>
    <row r="5524" spans="1:5" x14ac:dyDescent="0.25">
      <c r="A5524" s="2">
        <f>IF(B5524="","",SUBTOTAL(3,$B$2:B5524))</f>
        <v>5523</v>
      </c>
      <c r="B5524" s="9" t="s">
        <v>55</v>
      </c>
      <c r="C5524" s="10" t="s">
        <v>52</v>
      </c>
      <c r="D5524" s="11">
        <v>220.45855379188714</v>
      </c>
      <c r="E5524" s="12">
        <f t="shared" si="86"/>
        <v>46962</v>
      </c>
    </row>
    <row r="5525" spans="1:5" x14ac:dyDescent="0.25">
      <c r="A5525" s="2">
        <f>IF(B5525="","",SUBTOTAL(3,$B$2:B5525))</f>
        <v>5524</v>
      </c>
      <c r="B5525" s="9" t="s">
        <v>55</v>
      </c>
      <c r="C5525" s="10" t="s">
        <v>52</v>
      </c>
      <c r="D5525" s="11">
        <v>176.3668430335097</v>
      </c>
      <c r="E5525" s="12">
        <f t="shared" si="86"/>
        <v>46963</v>
      </c>
    </row>
    <row r="5526" spans="1:5" x14ac:dyDescent="0.25">
      <c r="A5526" s="2">
        <f>IF(B5526="","",SUBTOTAL(3,$B$2:B5526))</f>
        <v>5525</v>
      </c>
      <c r="B5526" s="9" t="s">
        <v>50</v>
      </c>
      <c r="C5526" s="10" t="s">
        <v>49</v>
      </c>
      <c r="D5526" s="11">
        <v>220.45855379188714</v>
      </c>
      <c r="E5526" s="12">
        <f t="shared" si="86"/>
        <v>46964</v>
      </c>
    </row>
    <row r="5527" spans="1:5" x14ac:dyDescent="0.25">
      <c r="A5527" s="2">
        <f>IF(B5527="","",SUBTOTAL(3,$B$2:B5527))</f>
        <v>5526</v>
      </c>
      <c r="B5527" s="9" t="s">
        <v>50</v>
      </c>
      <c r="C5527" s="10" t="s">
        <v>49</v>
      </c>
      <c r="D5527" s="11">
        <v>17.636684303350968</v>
      </c>
      <c r="E5527" s="12">
        <f t="shared" si="86"/>
        <v>46965</v>
      </c>
    </row>
    <row r="5528" spans="1:5" x14ac:dyDescent="0.25">
      <c r="A5528" s="2">
        <f>IF(B5528="","",SUBTOTAL(3,$B$2:B5528))</f>
        <v>5527</v>
      </c>
      <c r="B5528" s="9" t="s">
        <v>50</v>
      </c>
      <c r="C5528" s="10" t="s">
        <v>49</v>
      </c>
      <c r="D5528" s="11">
        <v>293.80257936507934</v>
      </c>
      <c r="E5528" s="12">
        <f t="shared" si="86"/>
        <v>46966</v>
      </c>
    </row>
    <row r="5529" spans="1:5" x14ac:dyDescent="0.25">
      <c r="A5529" s="2">
        <f>IF(B5529="","",SUBTOTAL(3,$B$2:B5529))</f>
        <v>5528</v>
      </c>
      <c r="B5529" s="9" t="s">
        <v>48</v>
      </c>
      <c r="C5529" s="10" t="s">
        <v>52</v>
      </c>
      <c r="D5529" s="11">
        <v>20.682523267838675</v>
      </c>
      <c r="E5529" s="12">
        <f t="shared" si="86"/>
        <v>46967</v>
      </c>
    </row>
    <row r="5530" spans="1:5" x14ac:dyDescent="0.25">
      <c r="A5530" s="2">
        <f>IF(B5530="","",SUBTOTAL(3,$B$2:B5530))</f>
        <v>5529</v>
      </c>
      <c r="B5530" s="9" t="s">
        <v>48</v>
      </c>
      <c r="C5530" s="10" t="s">
        <v>52</v>
      </c>
      <c r="D5530" s="11">
        <v>61.614294516327789</v>
      </c>
      <c r="E5530" s="12">
        <f t="shared" si="86"/>
        <v>46968</v>
      </c>
    </row>
    <row r="5531" spans="1:5" x14ac:dyDescent="0.25">
      <c r="A5531" s="2">
        <f>IF(B5531="","",SUBTOTAL(3,$B$2:B5531))</f>
        <v>5530</v>
      </c>
      <c r="B5531" s="9" t="s">
        <v>50</v>
      </c>
      <c r="C5531" s="10" t="s">
        <v>49</v>
      </c>
      <c r="D5531" s="11">
        <v>165.34391534391534</v>
      </c>
      <c r="E5531" s="12">
        <f t="shared" si="86"/>
        <v>46969</v>
      </c>
    </row>
    <row r="5532" spans="1:5" x14ac:dyDescent="0.25">
      <c r="A5532" s="2">
        <f>IF(B5532="","",SUBTOTAL(3,$B$2:B5532))</f>
        <v>5531</v>
      </c>
      <c r="B5532" s="9" t="s">
        <v>55</v>
      </c>
      <c r="C5532" s="10" t="s">
        <v>52</v>
      </c>
      <c r="D5532" s="11">
        <v>32.589212970506765</v>
      </c>
      <c r="E5532" s="12">
        <f t="shared" si="86"/>
        <v>46970</v>
      </c>
    </row>
    <row r="5533" spans="1:5" x14ac:dyDescent="0.25">
      <c r="A5533" s="2">
        <f>IF(B5533="","",SUBTOTAL(3,$B$2:B5533))</f>
        <v>5532</v>
      </c>
      <c r="B5533" s="9" t="s">
        <v>48</v>
      </c>
      <c r="C5533" s="10" t="s">
        <v>49</v>
      </c>
      <c r="D5533" s="11">
        <v>770.17868145409739</v>
      </c>
      <c r="E5533" s="12">
        <f t="shared" si="86"/>
        <v>46971</v>
      </c>
    </row>
    <row r="5534" spans="1:5" x14ac:dyDescent="0.25">
      <c r="A5534" s="2">
        <f>IF(B5534="","",SUBTOTAL(3,$B$2:B5534))</f>
        <v>5533</v>
      </c>
      <c r="B5534" s="9" t="s">
        <v>50</v>
      </c>
      <c r="C5534" s="10" t="s">
        <v>52</v>
      </c>
      <c r="D5534" s="11">
        <v>55.114638447971785</v>
      </c>
      <c r="E5534" s="12">
        <f t="shared" si="86"/>
        <v>46972</v>
      </c>
    </row>
    <row r="5535" spans="1:5" x14ac:dyDescent="0.25">
      <c r="A5535" s="2">
        <f>IF(B5535="","",SUBTOTAL(3,$B$2:B5535))</f>
        <v>5534</v>
      </c>
      <c r="B5535" s="9" t="s">
        <v>55</v>
      </c>
      <c r="C5535" s="10" t="s">
        <v>52</v>
      </c>
      <c r="D5535" s="11">
        <v>690.98494968971477</v>
      </c>
      <c r="E5535" s="12">
        <f t="shared" si="86"/>
        <v>46973</v>
      </c>
    </row>
    <row r="5536" spans="1:5" x14ac:dyDescent="0.25">
      <c r="A5536" s="2">
        <f>IF(B5536="","",SUBTOTAL(3,$B$2:B5536))</f>
        <v>5535</v>
      </c>
      <c r="B5536" s="9" t="s">
        <v>55</v>
      </c>
      <c r="C5536" s="10" t="s">
        <v>57</v>
      </c>
      <c r="D5536" s="11">
        <v>98.712135669959252</v>
      </c>
      <c r="E5536" s="12">
        <f t="shared" si="86"/>
        <v>46974</v>
      </c>
    </row>
    <row r="5537" spans="1:5" x14ac:dyDescent="0.25">
      <c r="A5537" s="2">
        <f>IF(B5537="","",SUBTOTAL(3,$B$2:B5537))</f>
        <v>5536</v>
      </c>
      <c r="B5537" s="9" t="s">
        <v>48</v>
      </c>
      <c r="C5537" s="10" t="s">
        <v>54</v>
      </c>
      <c r="D5537" s="11">
        <v>64.72126218955971</v>
      </c>
      <c r="E5537" s="12">
        <f t="shared" si="86"/>
        <v>46975</v>
      </c>
    </row>
    <row r="5538" spans="1:5" x14ac:dyDescent="0.25">
      <c r="A5538" s="2">
        <f>IF(B5538="","",SUBTOTAL(3,$B$2:B5538))</f>
        <v>5537</v>
      </c>
      <c r="B5538" s="9" t="s">
        <v>55</v>
      </c>
      <c r="C5538" s="10" t="s">
        <v>57</v>
      </c>
      <c r="D5538" s="11">
        <v>32.904045223319756</v>
      </c>
      <c r="E5538" s="12">
        <f t="shared" si="86"/>
        <v>46976</v>
      </c>
    </row>
    <row r="5539" spans="1:5" x14ac:dyDescent="0.25">
      <c r="A5539" s="2">
        <f>IF(B5539="","",SUBTOTAL(3,$B$2:B5539))</f>
        <v>5538</v>
      </c>
      <c r="B5539" s="9" t="s">
        <v>55</v>
      </c>
      <c r="C5539" s="10" t="s">
        <v>52</v>
      </c>
      <c r="D5539" s="11">
        <v>5.8660583346912167</v>
      </c>
      <c r="E5539" s="12">
        <f t="shared" si="86"/>
        <v>46977</v>
      </c>
    </row>
    <row r="5540" spans="1:5" x14ac:dyDescent="0.25">
      <c r="A5540" s="2">
        <f>IF(B5540="","",SUBTOTAL(3,$B$2:B5540))</f>
        <v>5539</v>
      </c>
      <c r="B5540" s="9" t="s">
        <v>55</v>
      </c>
      <c r="C5540" s="10" t="s">
        <v>52</v>
      </c>
      <c r="D5540" s="11">
        <v>493.56067834979632</v>
      </c>
      <c r="E5540" s="12">
        <f t="shared" si="86"/>
        <v>46978</v>
      </c>
    </row>
    <row r="5541" spans="1:5" x14ac:dyDescent="0.25">
      <c r="A5541" s="2">
        <f>IF(B5541="","",SUBTOTAL(3,$B$2:B5541))</f>
        <v>5540</v>
      </c>
      <c r="B5541" s="9" t="s">
        <v>48</v>
      </c>
      <c r="C5541" s="10" t="s">
        <v>54</v>
      </c>
      <c r="D5541" s="11">
        <v>3.2120051906003884</v>
      </c>
      <c r="E5541" s="12">
        <f t="shared" si="86"/>
        <v>46979</v>
      </c>
    </row>
    <row r="5542" spans="1:5" x14ac:dyDescent="0.25">
      <c r="A5542" s="2">
        <f>IF(B5542="","",SUBTOTAL(3,$B$2:B5542))</f>
        <v>5541</v>
      </c>
      <c r="B5542" s="9" t="s">
        <v>55</v>
      </c>
      <c r="C5542" s="10" t="s">
        <v>52</v>
      </c>
      <c r="D5542" s="11">
        <v>5.7437500000000004</v>
      </c>
      <c r="E5542" s="12">
        <f t="shared" si="86"/>
        <v>46980</v>
      </c>
    </row>
    <row r="5543" spans="1:5" x14ac:dyDescent="0.25">
      <c r="A5543" s="2">
        <f>IF(B5543="","",SUBTOTAL(3,$B$2:B5543))</f>
        <v>5542</v>
      </c>
      <c r="B5543" s="9" t="s">
        <v>50</v>
      </c>
      <c r="C5543" s="10" t="s">
        <v>49</v>
      </c>
      <c r="D5543" s="11">
        <v>110.22927689594357</v>
      </c>
      <c r="E5543" s="12">
        <f t="shared" si="86"/>
        <v>46981</v>
      </c>
    </row>
    <row r="5544" spans="1:5" x14ac:dyDescent="0.25">
      <c r="A5544" s="2">
        <f>IF(B5544="","",SUBTOTAL(3,$B$2:B5544))</f>
        <v>5543</v>
      </c>
      <c r="B5544" s="9" t="s">
        <v>50</v>
      </c>
      <c r="C5544" s="10" t="s">
        <v>52</v>
      </c>
      <c r="D5544" s="11">
        <v>220.45855379188714</v>
      </c>
      <c r="E5544" s="12">
        <f t="shared" si="86"/>
        <v>46982</v>
      </c>
    </row>
    <row r="5545" spans="1:5" x14ac:dyDescent="0.25">
      <c r="A5545" s="2">
        <f>IF(B5545="","",SUBTOTAL(3,$B$2:B5545))</f>
        <v>5544</v>
      </c>
      <c r="B5545" s="9" t="s">
        <v>50</v>
      </c>
      <c r="C5545" s="10" t="s">
        <v>52</v>
      </c>
      <c r="D5545" s="11">
        <v>132.27513227513228</v>
      </c>
      <c r="E5545" s="12">
        <f t="shared" si="86"/>
        <v>46983</v>
      </c>
    </row>
    <row r="5546" spans="1:5" x14ac:dyDescent="0.25">
      <c r="A5546" s="2">
        <f>IF(B5546="","",SUBTOTAL(3,$B$2:B5546))</f>
        <v>5545</v>
      </c>
      <c r="B5546" s="9" t="s">
        <v>50</v>
      </c>
      <c r="C5546" s="10" t="s">
        <v>49</v>
      </c>
      <c r="D5546" s="11">
        <v>33.06878306878307</v>
      </c>
      <c r="E5546" s="12">
        <f t="shared" si="86"/>
        <v>46984</v>
      </c>
    </row>
    <row r="5547" spans="1:5" x14ac:dyDescent="0.25">
      <c r="A5547" s="2">
        <f>IF(B5547="","",SUBTOTAL(3,$B$2:B5547))</f>
        <v>5546</v>
      </c>
      <c r="B5547" s="9" t="s">
        <v>48</v>
      </c>
      <c r="C5547" s="10" t="s">
        <v>49</v>
      </c>
      <c r="D5547" s="11">
        <v>41.365046535677351</v>
      </c>
      <c r="E5547" s="12">
        <f t="shared" si="86"/>
        <v>46985</v>
      </c>
    </row>
    <row r="5548" spans="1:5" x14ac:dyDescent="0.25">
      <c r="A5548" s="2">
        <f>IF(B5548="","",SUBTOTAL(3,$B$2:B5548))</f>
        <v>5547</v>
      </c>
      <c r="B5548" s="9" t="s">
        <v>50</v>
      </c>
      <c r="C5548" s="10" t="s">
        <v>54</v>
      </c>
      <c r="D5548" s="11">
        <v>33.06878306878307</v>
      </c>
      <c r="E5548" s="12">
        <f t="shared" si="86"/>
        <v>46986</v>
      </c>
    </row>
    <row r="5549" spans="1:5" x14ac:dyDescent="0.25">
      <c r="A5549" s="2">
        <f>IF(B5549="","",SUBTOTAL(3,$B$2:B5549))</f>
        <v>5548</v>
      </c>
      <c r="B5549" s="9" t="s">
        <v>50</v>
      </c>
      <c r="C5549" s="10" t="s">
        <v>52</v>
      </c>
      <c r="D5549" s="11">
        <v>17.636684303350968</v>
      </c>
      <c r="E5549" s="12">
        <f t="shared" si="86"/>
        <v>46987</v>
      </c>
    </row>
    <row r="5550" spans="1:5" x14ac:dyDescent="0.25">
      <c r="A5550" s="2">
        <f>IF(B5550="","",SUBTOTAL(3,$B$2:B5550))</f>
        <v>5549</v>
      </c>
      <c r="B5550" s="9" t="s">
        <v>48</v>
      </c>
      <c r="C5550" s="10" t="s">
        <v>52</v>
      </c>
      <c r="D5550" s="11">
        <v>231.05360443622922</v>
      </c>
      <c r="E5550" s="12">
        <f t="shared" si="86"/>
        <v>46988</v>
      </c>
    </row>
    <row r="5551" spans="1:5" x14ac:dyDescent="0.25">
      <c r="A5551" s="2">
        <f>IF(B5551="","",SUBTOTAL(3,$B$2:B5551))</f>
        <v>5550</v>
      </c>
      <c r="B5551" s="9" t="s">
        <v>50</v>
      </c>
      <c r="C5551" s="10" t="s">
        <v>54</v>
      </c>
      <c r="D5551" s="11">
        <v>22.045855379188712</v>
      </c>
      <c r="E5551" s="12">
        <f t="shared" si="86"/>
        <v>46989</v>
      </c>
    </row>
    <row r="5552" spans="1:5" x14ac:dyDescent="0.25">
      <c r="A5552" s="2">
        <f>IF(B5552="","",SUBTOTAL(3,$B$2:B5552))</f>
        <v>5551</v>
      </c>
      <c r="B5552" s="9" t="s">
        <v>48</v>
      </c>
      <c r="C5552" s="10" t="s">
        <v>49</v>
      </c>
      <c r="D5552" s="11">
        <v>9.0593963999845819</v>
      </c>
      <c r="E5552" s="12">
        <f t="shared" si="86"/>
        <v>46990</v>
      </c>
    </row>
    <row r="5553" spans="1:5" x14ac:dyDescent="0.25">
      <c r="A5553" s="2">
        <f>IF(B5553="","",SUBTOTAL(3,$B$2:B5553))</f>
        <v>5552</v>
      </c>
      <c r="B5553" s="9" t="s">
        <v>53</v>
      </c>
      <c r="C5553" s="10" t="s">
        <v>49</v>
      </c>
      <c r="D5553" s="11">
        <v>91.585994669695125</v>
      </c>
      <c r="E5553" s="12">
        <f t="shared" si="86"/>
        <v>46991</v>
      </c>
    </row>
    <row r="5554" spans="1:5" x14ac:dyDescent="0.25">
      <c r="A5554" s="2">
        <f>IF(B5554="","",SUBTOTAL(3,$B$2:B5554))</f>
        <v>5553</v>
      </c>
      <c r="B5554" s="9" t="s">
        <v>50</v>
      </c>
      <c r="C5554" s="10" t="s">
        <v>49</v>
      </c>
      <c r="D5554" s="11">
        <v>22.045855379188712</v>
      </c>
      <c r="E5554" s="12">
        <f t="shared" si="86"/>
        <v>46992</v>
      </c>
    </row>
    <row r="5555" spans="1:5" x14ac:dyDescent="0.25">
      <c r="A5555" s="2">
        <f>IF(B5555="","",SUBTOTAL(3,$B$2:B5555))</f>
        <v>5554</v>
      </c>
      <c r="B5555" s="9" t="s">
        <v>48</v>
      </c>
      <c r="C5555" s="10" t="s">
        <v>54</v>
      </c>
      <c r="D5555" s="11">
        <v>186.72812823164426</v>
      </c>
      <c r="E5555" s="12">
        <f t="shared" si="86"/>
        <v>46993</v>
      </c>
    </row>
    <row r="5556" spans="1:5" x14ac:dyDescent="0.25">
      <c r="A5556" s="2">
        <f>IF(B5556="","",SUBTOTAL(3,$B$2:B5556))</f>
        <v>5555</v>
      </c>
      <c r="B5556" s="9" t="s">
        <v>48</v>
      </c>
      <c r="C5556" s="10" t="s">
        <v>49</v>
      </c>
      <c r="D5556" s="11">
        <v>8.993614533681086</v>
      </c>
      <c r="E5556" s="12">
        <f t="shared" si="86"/>
        <v>46994</v>
      </c>
    </row>
    <row r="5557" spans="1:5" x14ac:dyDescent="0.25">
      <c r="A5557" s="2">
        <f>IF(B5557="","",SUBTOTAL(3,$B$2:B5557))</f>
        <v>5556</v>
      </c>
      <c r="B5557" s="9" t="s">
        <v>48</v>
      </c>
      <c r="C5557" s="10" t="s">
        <v>49</v>
      </c>
      <c r="D5557" s="11">
        <v>46.210720887245841</v>
      </c>
      <c r="E5557" s="12">
        <f t="shared" si="86"/>
        <v>46995</v>
      </c>
    </row>
    <row r="5558" spans="1:5" x14ac:dyDescent="0.25">
      <c r="A5558" s="2">
        <f>IF(B5558="","",SUBTOTAL(3,$B$2:B5558))</f>
        <v>5557</v>
      </c>
      <c r="B5558" s="9" t="s">
        <v>53</v>
      </c>
      <c r="C5558" s="10" t="s">
        <v>54</v>
      </c>
      <c r="D5558" s="11">
        <v>0.36634397867878049</v>
      </c>
      <c r="E5558" s="12">
        <f t="shared" si="86"/>
        <v>46996</v>
      </c>
    </row>
    <row r="5559" spans="1:5" x14ac:dyDescent="0.25">
      <c r="A5559" s="2">
        <f>IF(B5559="","",SUBTOTAL(3,$B$2:B5559))</f>
        <v>5558</v>
      </c>
      <c r="B5559" s="9" t="s">
        <v>48</v>
      </c>
      <c r="C5559" s="10" t="s">
        <v>54</v>
      </c>
      <c r="D5559" s="11">
        <v>41.365046535677351</v>
      </c>
      <c r="E5559" s="12">
        <f t="shared" si="86"/>
        <v>46997</v>
      </c>
    </row>
    <row r="5560" spans="1:5" x14ac:dyDescent="0.25">
      <c r="A5560" s="2">
        <f>IF(B5560="","",SUBTOTAL(3,$B$2:B5560))</f>
        <v>5559</v>
      </c>
      <c r="B5560" s="9" t="s">
        <v>50</v>
      </c>
      <c r="C5560" s="10" t="s">
        <v>49</v>
      </c>
      <c r="D5560" s="11">
        <v>88.183421516754848</v>
      </c>
      <c r="E5560" s="12">
        <f t="shared" si="86"/>
        <v>46998</v>
      </c>
    </row>
    <row r="5561" spans="1:5" x14ac:dyDescent="0.25">
      <c r="A5561" s="2">
        <f>IF(B5561="","",SUBTOTAL(3,$B$2:B5561))</f>
        <v>5560</v>
      </c>
      <c r="B5561" s="9" t="s">
        <v>48</v>
      </c>
      <c r="C5561" s="10" t="s">
        <v>49</v>
      </c>
      <c r="D5561" s="11">
        <v>1.5403573629081948E-3</v>
      </c>
      <c r="E5561" s="12">
        <f t="shared" si="86"/>
        <v>46999</v>
      </c>
    </row>
    <row r="5562" spans="1:5" x14ac:dyDescent="0.25">
      <c r="A5562" s="2">
        <f>IF(B5562="","",SUBTOTAL(3,$B$2:B5562))</f>
        <v>5561</v>
      </c>
      <c r="B5562" s="9" t="s">
        <v>48</v>
      </c>
      <c r="C5562" s="10" t="s">
        <v>49</v>
      </c>
      <c r="D5562" s="11">
        <v>92.421441774491683</v>
      </c>
      <c r="E5562" s="12">
        <f t="shared" si="86"/>
        <v>47000</v>
      </c>
    </row>
    <row r="5563" spans="1:5" x14ac:dyDescent="0.25">
      <c r="A5563" s="2">
        <f>IF(B5563="","",SUBTOTAL(3,$B$2:B5563))</f>
        <v>5562</v>
      </c>
      <c r="B5563" s="9" t="s">
        <v>55</v>
      </c>
      <c r="C5563" s="10" t="s">
        <v>52</v>
      </c>
      <c r="D5563" s="11">
        <v>17</v>
      </c>
      <c r="E5563" s="12">
        <f t="shared" si="86"/>
        <v>47001</v>
      </c>
    </row>
    <row r="5564" spans="1:5" x14ac:dyDescent="0.25">
      <c r="A5564" s="2">
        <f>IF(B5564="","",SUBTOTAL(3,$B$2:B5564))</f>
        <v>5563</v>
      </c>
      <c r="B5564" s="9" t="s">
        <v>50</v>
      </c>
      <c r="C5564" s="10" t="s">
        <v>49</v>
      </c>
      <c r="D5564" s="11">
        <v>198.4126984126984</v>
      </c>
      <c r="E5564" s="12">
        <f t="shared" si="86"/>
        <v>47002</v>
      </c>
    </row>
    <row r="5565" spans="1:5" x14ac:dyDescent="0.25">
      <c r="A5565" s="2">
        <f>IF(B5565="","",SUBTOTAL(3,$B$2:B5565))</f>
        <v>5564</v>
      </c>
      <c r="B5565" s="9" t="s">
        <v>51</v>
      </c>
      <c r="C5565" s="10" t="s">
        <v>49</v>
      </c>
      <c r="D5565" s="11">
        <v>21.179709837975221</v>
      </c>
      <c r="E5565" s="12">
        <f t="shared" si="86"/>
        <v>47003</v>
      </c>
    </row>
    <row r="5566" spans="1:5" x14ac:dyDescent="0.25">
      <c r="A5566" s="2">
        <f>IF(B5566="","",SUBTOTAL(3,$B$2:B5566))</f>
        <v>5565</v>
      </c>
      <c r="B5566" s="9" t="s">
        <v>50</v>
      </c>
      <c r="C5566" s="10" t="s">
        <v>52</v>
      </c>
      <c r="D5566" s="11">
        <v>8.8183421516754841</v>
      </c>
      <c r="E5566" s="12">
        <f t="shared" si="86"/>
        <v>47004</v>
      </c>
    </row>
    <row r="5567" spans="1:5" x14ac:dyDescent="0.25">
      <c r="A5567" s="2">
        <f>IF(B5567="","",SUBTOTAL(3,$B$2:B5567))</f>
        <v>5566</v>
      </c>
      <c r="B5567" s="9" t="s">
        <v>48</v>
      </c>
      <c r="C5567" s="10" t="s">
        <v>49</v>
      </c>
      <c r="D5567" s="11">
        <v>43.130006161429456</v>
      </c>
      <c r="E5567" s="12">
        <f t="shared" si="86"/>
        <v>47005</v>
      </c>
    </row>
    <row r="5568" spans="1:5" x14ac:dyDescent="0.25">
      <c r="A5568" s="2">
        <f>IF(B5568="","",SUBTOTAL(3,$B$2:B5568))</f>
        <v>5567</v>
      </c>
      <c r="B5568" s="9" t="s">
        <v>50</v>
      </c>
      <c r="C5568" s="10" t="s">
        <v>52</v>
      </c>
      <c r="D5568" s="11">
        <v>110.22927689594357</v>
      </c>
      <c r="E5568" s="12">
        <f t="shared" si="86"/>
        <v>47006</v>
      </c>
    </row>
    <row r="5569" spans="1:5" x14ac:dyDescent="0.25">
      <c r="A5569" s="2">
        <f>IF(B5569="","",SUBTOTAL(3,$B$2:B5569))</f>
        <v>5568</v>
      </c>
      <c r="B5569" s="9" t="s">
        <v>48</v>
      </c>
      <c r="C5569" s="10" t="s">
        <v>49</v>
      </c>
      <c r="D5569" s="11">
        <v>77.017868145409736</v>
      </c>
      <c r="E5569" s="12">
        <f t="shared" si="86"/>
        <v>47007</v>
      </c>
    </row>
    <row r="5570" spans="1:5" x14ac:dyDescent="0.25">
      <c r="A5570" s="2">
        <f>IF(B5570="","",SUBTOTAL(3,$B$2:B5570))</f>
        <v>5569</v>
      </c>
      <c r="B5570" s="9" t="s">
        <v>51</v>
      </c>
      <c r="C5570" s="10" t="s">
        <v>52</v>
      </c>
      <c r="D5570" s="11">
        <v>1058.985491898761</v>
      </c>
      <c r="E5570" s="12">
        <f t="shared" si="86"/>
        <v>47008</v>
      </c>
    </row>
    <row r="5571" spans="1:5" x14ac:dyDescent="0.25">
      <c r="A5571" s="2">
        <f>IF(B5571="","",SUBTOTAL(3,$B$2:B5571))</f>
        <v>5570</v>
      </c>
      <c r="B5571" s="9" t="s">
        <v>51</v>
      </c>
      <c r="C5571" s="10" t="s">
        <v>52</v>
      </c>
      <c r="D5571" s="11">
        <v>105.89854918987609</v>
      </c>
      <c r="E5571" s="12">
        <f t="shared" si="86"/>
        <v>47009</v>
      </c>
    </row>
    <row r="5572" spans="1:5" x14ac:dyDescent="0.25">
      <c r="A5572" s="2">
        <f>IF(B5572="","",SUBTOTAL(3,$B$2:B5572))</f>
        <v>5571</v>
      </c>
      <c r="B5572" s="9" t="s">
        <v>55</v>
      </c>
      <c r="C5572" s="10" t="s">
        <v>49</v>
      </c>
      <c r="D5572" s="11">
        <v>16.294606485253382</v>
      </c>
      <c r="E5572" s="12">
        <f t="shared" ref="E5572:E5635" si="87">E5571+1</f>
        <v>47010</v>
      </c>
    </row>
    <row r="5573" spans="1:5" x14ac:dyDescent="0.25">
      <c r="A5573" s="2">
        <f>IF(B5573="","",SUBTOTAL(3,$B$2:B5573))</f>
        <v>5572</v>
      </c>
      <c r="B5573" s="9" t="s">
        <v>55</v>
      </c>
      <c r="C5573" s="10" t="s">
        <v>54</v>
      </c>
      <c r="D5573" s="11">
        <v>24.873432259842879</v>
      </c>
      <c r="E5573" s="12">
        <f t="shared" si="87"/>
        <v>47011</v>
      </c>
    </row>
    <row r="5574" spans="1:5" x14ac:dyDescent="0.25">
      <c r="A5574" s="2">
        <f>IF(B5574="","",SUBTOTAL(3,$B$2:B5574))</f>
        <v>5573</v>
      </c>
      <c r="B5574" s="9" t="s">
        <v>50</v>
      </c>
      <c r="C5574" s="10" t="s">
        <v>49</v>
      </c>
      <c r="D5574" s="11">
        <v>198.12610229276896</v>
      </c>
      <c r="E5574" s="12">
        <f t="shared" si="87"/>
        <v>47012</v>
      </c>
    </row>
    <row r="5575" spans="1:5" x14ac:dyDescent="0.25">
      <c r="A5575" s="2">
        <f>IF(B5575="","",SUBTOTAL(3,$B$2:B5575))</f>
        <v>5574</v>
      </c>
      <c r="B5575" s="9" t="s">
        <v>48</v>
      </c>
      <c r="C5575" s="10" t="s">
        <v>49</v>
      </c>
      <c r="D5575" s="11">
        <v>26.186075169439309</v>
      </c>
      <c r="E5575" s="12">
        <f t="shared" si="87"/>
        <v>47013</v>
      </c>
    </row>
    <row r="5576" spans="1:5" x14ac:dyDescent="0.25">
      <c r="A5576" s="2">
        <f>IF(B5576="","",SUBTOTAL(3,$B$2:B5576))</f>
        <v>5575</v>
      </c>
      <c r="B5576" s="9" t="s">
        <v>53</v>
      </c>
      <c r="C5576" s="10" t="s">
        <v>49</v>
      </c>
      <c r="D5576" s="11">
        <v>183.17198933939025</v>
      </c>
      <c r="E5576" s="12">
        <f t="shared" si="87"/>
        <v>47014</v>
      </c>
    </row>
    <row r="5577" spans="1:5" x14ac:dyDescent="0.25">
      <c r="A5577" s="2">
        <f>IF(B5577="","",SUBTOTAL(3,$B$2:B5577))</f>
        <v>5576</v>
      </c>
      <c r="B5577" s="9" t="s">
        <v>48</v>
      </c>
      <c r="C5577" s="10" t="s">
        <v>49</v>
      </c>
      <c r="D5577" s="11">
        <v>25.696041524803107</v>
      </c>
      <c r="E5577" s="12">
        <f t="shared" si="87"/>
        <v>47015</v>
      </c>
    </row>
    <row r="5578" spans="1:5" x14ac:dyDescent="0.25">
      <c r="A5578" s="2">
        <f>IF(B5578="","",SUBTOTAL(3,$B$2:B5578))</f>
        <v>5577</v>
      </c>
      <c r="B5578" s="9" t="s">
        <v>53</v>
      </c>
      <c r="C5578" s="10" t="s">
        <v>49</v>
      </c>
      <c r="D5578" s="11">
        <v>137.37899200454268</v>
      </c>
      <c r="E5578" s="12">
        <f t="shared" si="87"/>
        <v>47016</v>
      </c>
    </row>
    <row r="5579" spans="1:5" x14ac:dyDescent="0.25">
      <c r="A5579" s="2">
        <f>IF(B5579="","",SUBTOTAL(3,$B$2:B5579))</f>
        <v>5578</v>
      </c>
      <c r="B5579" s="9" t="s">
        <v>50</v>
      </c>
      <c r="C5579" s="10" t="s">
        <v>52</v>
      </c>
      <c r="D5579" s="11">
        <v>35.273368606701936</v>
      </c>
      <c r="E5579" s="12">
        <f t="shared" si="87"/>
        <v>47017</v>
      </c>
    </row>
    <row r="5580" spans="1:5" x14ac:dyDescent="0.25">
      <c r="A5580" s="2">
        <f>IF(B5580="","",SUBTOTAL(3,$B$2:B5580))</f>
        <v>5579</v>
      </c>
      <c r="B5580" s="9" t="s">
        <v>48</v>
      </c>
      <c r="C5580" s="10" t="s">
        <v>52</v>
      </c>
      <c r="D5580" s="11">
        <v>385.08934072704869</v>
      </c>
      <c r="E5580" s="12">
        <f t="shared" si="87"/>
        <v>47018</v>
      </c>
    </row>
    <row r="5581" spans="1:5" x14ac:dyDescent="0.25">
      <c r="A5581" s="2">
        <f>IF(B5581="","",SUBTOTAL(3,$B$2:B5581))</f>
        <v>5580</v>
      </c>
      <c r="B5581" s="9" t="s">
        <v>53</v>
      </c>
      <c r="C5581" s="10" t="s">
        <v>54</v>
      </c>
      <c r="D5581" s="11">
        <v>109.90319360363415</v>
      </c>
      <c r="E5581" s="12">
        <f t="shared" si="87"/>
        <v>47019</v>
      </c>
    </row>
    <row r="5582" spans="1:5" x14ac:dyDescent="0.25">
      <c r="A5582" s="2">
        <f>IF(B5582="","",SUBTOTAL(3,$B$2:B5582))</f>
        <v>5581</v>
      </c>
      <c r="B5582" s="9" t="s">
        <v>53</v>
      </c>
      <c r="C5582" s="10" t="s">
        <v>54</v>
      </c>
      <c r="D5582" s="11">
        <v>476.24717228241462</v>
      </c>
      <c r="E5582" s="12">
        <f t="shared" si="87"/>
        <v>47020</v>
      </c>
    </row>
    <row r="5583" spans="1:5" x14ac:dyDescent="0.25">
      <c r="A5583" s="2">
        <f>IF(B5583="","",SUBTOTAL(3,$B$2:B5583))</f>
        <v>5582</v>
      </c>
      <c r="B5583" s="9" t="s">
        <v>50</v>
      </c>
      <c r="C5583" s="10" t="s">
        <v>49</v>
      </c>
      <c r="D5583" s="11">
        <v>66.137566137566139</v>
      </c>
      <c r="E5583" s="12">
        <f t="shared" si="87"/>
        <v>47021</v>
      </c>
    </row>
    <row r="5584" spans="1:5" x14ac:dyDescent="0.25">
      <c r="A5584" s="2">
        <f>IF(B5584="","",SUBTOTAL(3,$B$2:B5584))</f>
        <v>5583</v>
      </c>
      <c r="B5584" s="9" t="s">
        <v>48</v>
      </c>
      <c r="C5584" s="10" t="s">
        <v>49</v>
      </c>
      <c r="D5584" s="11">
        <v>15.403573629081947</v>
      </c>
      <c r="E5584" s="12">
        <f t="shared" si="87"/>
        <v>47022</v>
      </c>
    </row>
    <row r="5585" spans="1:5" x14ac:dyDescent="0.25">
      <c r="A5585" s="2">
        <f>IF(B5585="","",SUBTOTAL(3,$B$2:B5585))</f>
        <v>5584</v>
      </c>
      <c r="B5585" s="9" t="s">
        <v>48</v>
      </c>
      <c r="C5585" s="10" t="s">
        <v>54</v>
      </c>
      <c r="D5585" s="11">
        <v>15.403573629081947</v>
      </c>
      <c r="E5585" s="12">
        <f t="shared" si="87"/>
        <v>47023</v>
      </c>
    </row>
    <row r="5586" spans="1:5" x14ac:dyDescent="0.25">
      <c r="A5586" s="2">
        <f>IF(B5586="","",SUBTOTAL(3,$B$2:B5586))</f>
        <v>5585</v>
      </c>
      <c r="B5586" s="9" t="s">
        <v>50</v>
      </c>
      <c r="C5586" s="10" t="s">
        <v>49</v>
      </c>
      <c r="D5586" s="11">
        <v>44.091710758377424</v>
      </c>
      <c r="E5586" s="12">
        <f t="shared" si="87"/>
        <v>47024</v>
      </c>
    </row>
    <row r="5587" spans="1:5" x14ac:dyDescent="0.25">
      <c r="A5587" s="2">
        <f>IF(B5587="","",SUBTOTAL(3,$B$2:B5587))</f>
        <v>5586</v>
      </c>
      <c r="B5587" s="9" t="s">
        <v>55</v>
      </c>
      <c r="C5587" s="10" t="s">
        <v>56</v>
      </c>
      <c r="D5587" s="11">
        <v>98.712135669959252</v>
      </c>
      <c r="E5587" s="12">
        <f t="shared" si="87"/>
        <v>47025</v>
      </c>
    </row>
    <row r="5588" spans="1:5" x14ac:dyDescent="0.25">
      <c r="A5588" s="2">
        <f>IF(B5588="","",SUBTOTAL(3,$B$2:B5588))</f>
        <v>5587</v>
      </c>
      <c r="B5588" s="9" t="s">
        <v>48</v>
      </c>
      <c r="C5588" s="10" t="s">
        <v>54</v>
      </c>
      <c r="D5588" s="11">
        <v>12.322858903265558</v>
      </c>
      <c r="E5588" s="12">
        <f t="shared" si="87"/>
        <v>47026</v>
      </c>
    </row>
    <row r="5589" spans="1:5" x14ac:dyDescent="0.25">
      <c r="A5589" s="2">
        <f>IF(B5589="","",SUBTOTAL(3,$B$2:B5589))</f>
        <v>5588</v>
      </c>
      <c r="B5589" s="9" t="s">
        <v>48</v>
      </c>
      <c r="C5589" s="10" t="s">
        <v>54</v>
      </c>
      <c r="D5589" s="11">
        <v>154.03573629081947</v>
      </c>
      <c r="E5589" s="12">
        <f t="shared" si="87"/>
        <v>47027</v>
      </c>
    </row>
    <row r="5590" spans="1:5" x14ac:dyDescent="0.25">
      <c r="A5590" s="2">
        <f>IF(B5590="","",SUBTOTAL(3,$B$2:B5590))</f>
        <v>5589</v>
      </c>
      <c r="B5590" s="9" t="s">
        <v>55</v>
      </c>
      <c r="C5590" s="10" t="s">
        <v>49</v>
      </c>
      <c r="D5590" s="11">
        <v>25</v>
      </c>
      <c r="E5590" s="12">
        <f t="shared" si="87"/>
        <v>47028</v>
      </c>
    </row>
    <row r="5591" spans="1:5" x14ac:dyDescent="0.25">
      <c r="A5591" s="2">
        <f>IF(B5591="","",SUBTOTAL(3,$B$2:B5591))</f>
        <v>5590</v>
      </c>
      <c r="B5591" s="9" t="s">
        <v>48</v>
      </c>
      <c r="C5591" s="10" t="s">
        <v>54</v>
      </c>
      <c r="D5591" s="11">
        <v>110.65370561875216</v>
      </c>
      <c r="E5591" s="12">
        <f t="shared" si="87"/>
        <v>47029</v>
      </c>
    </row>
    <row r="5592" spans="1:5" x14ac:dyDescent="0.25">
      <c r="A5592" s="2">
        <f>IF(B5592="","",SUBTOTAL(3,$B$2:B5592))</f>
        <v>5591</v>
      </c>
      <c r="B5592" s="9" t="s">
        <v>48</v>
      </c>
      <c r="C5592" s="10" t="s">
        <v>54</v>
      </c>
      <c r="D5592" s="11">
        <v>30.807147258163894</v>
      </c>
      <c r="E5592" s="12">
        <f t="shared" si="87"/>
        <v>47030</v>
      </c>
    </row>
    <row r="5593" spans="1:5" x14ac:dyDescent="0.25">
      <c r="A5593" s="2">
        <f>IF(B5593="","",SUBTOTAL(3,$B$2:B5593))</f>
        <v>5592</v>
      </c>
      <c r="B5593" s="9" t="s">
        <v>48</v>
      </c>
      <c r="C5593" s="10" t="s">
        <v>52</v>
      </c>
      <c r="D5593" s="11">
        <v>93.148150527411261</v>
      </c>
      <c r="E5593" s="12">
        <f t="shared" si="87"/>
        <v>47031</v>
      </c>
    </row>
    <row r="5594" spans="1:5" x14ac:dyDescent="0.25">
      <c r="A5594" s="2">
        <f>IF(B5594="","",SUBTOTAL(3,$B$2:B5594))</f>
        <v>5593</v>
      </c>
      <c r="B5594" s="9" t="s">
        <v>48</v>
      </c>
      <c r="C5594" s="10" t="s">
        <v>52</v>
      </c>
      <c r="D5594" s="11">
        <v>231.05360443622922</v>
      </c>
      <c r="E5594" s="12">
        <f t="shared" si="87"/>
        <v>47032</v>
      </c>
    </row>
    <row r="5595" spans="1:5" x14ac:dyDescent="0.25">
      <c r="A5595" s="2">
        <f>IF(B5595="","",SUBTOTAL(3,$B$2:B5595))</f>
        <v>5594</v>
      </c>
      <c r="B5595" s="9" t="s">
        <v>50</v>
      </c>
      <c r="C5595" s="10" t="s">
        <v>52</v>
      </c>
      <c r="D5595" s="11">
        <v>44.091710758377424</v>
      </c>
      <c r="E5595" s="12">
        <f t="shared" si="87"/>
        <v>47033</v>
      </c>
    </row>
    <row r="5596" spans="1:5" x14ac:dyDescent="0.25">
      <c r="A5596" s="2">
        <f>IF(B5596="","",SUBTOTAL(3,$B$2:B5596))</f>
        <v>5595</v>
      </c>
      <c r="B5596" s="9" t="s">
        <v>51</v>
      </c>
      <c r="C5596" s="10" t="s">
        <v>54</v>
      </c>
      <c r="D5596" s="11">
        <v>0</v>
      </c>
      <c r="E5596" s="12">
        <f t="shared" si="87"/>
        <v>47034</v>
      </c>
    </row>
    <row r="5597" spans="1:5" x14ac:dyDescent="0.25">
      <c r="A5597" s="2">
        <f>IF(B5597="","",SUBTOTAL(3,$B$2:B5597))</f>
        <v>5596</v>
      </c>
      <c r="B5597" s="9" t="s">
        <v>55</v>
      </c>
      <c r="C5597" s="10" t="s">
        <v>56</v>
      </c>
      <c r="D5597" s="11">
        <v>16.294606485253382</v>
      </c>
      <c r="E5597" s="12">
        <f t="shared" si="87"/>
        <v>47035</v>
      </c>
    </row>
    <row r="5598" spans="1:5" x14ac:dyDescent="0.25">
      <c r="A5598" s="2">
        <f>IF(B5598="","",SUBTOTAL(3,$B$2:B5598))</f>
        <v>5597</v>
      </c>
      <c r="B5598" s="9" t="s">
        <v>48</v>
      </c>
      <c r="C5598" s="10" t="s">
        <v>52</v>
      </c>
      <c r="D5598" s="11">
        <v>77.017868145409736</v>
      </c>
      <c r="E5598" s="12">
        <f t="shared" si="87"/>
        <v>47036</v>
      </c>
    </row>
    <row r="5599" spans="1:5" x14ac:dyDescent="0.25">
      <c r="A5599" s="2">
        <f>IF(B5599="","",SUBTOTAL(3,$B$2:B5599))</f>
        <v>5598</v>
      </c>
      <c r="B5599" s="9" t="s">
        <v>50</v>
      </c>
      <c r="C5599" s="10" t="s">
        <v>52</v>
      </c>
      <c r="D5599" s="11">
        <v>154.32098765432099</v>
      </c>
      <c r="E5599" s="12">
        <f t="shared" si="87"/>
        <v>47037</v>
      </c>
    </row>
    <row r="5600" spans="1:5" x14ac:dyDescent="0.25">
      <c r="A5600" s="2">
        <f>IF(B5600="","",SUBTOTAL(3,$B$2:B5600))</f>
        <v>5599</v>
      </c>
      <c r="B5600" s="9" t="s">
        <v>48</v>
      </c>
      <c r="C5600" s="10" t="s">
        <v>49</v>
      </c>
      <c r="D5600" s="11">
        <v>61.614294516327789</v>
      </c>
      <c r="E5600" s="12">
        <f t="shared" si="87"/>
        <v>47038</v>
      </c>
    </row>
    <row r="5601" spans="1:5" x14ac:dyDescent="0.25">
      <c r="A5601" s="2">
        <f>IF(B5601="","",SUBTOTAL(3,$B$2:B5601))</f>
        <v>5600</v>
      </c>
      <c r="B5601" s="9" t="s">
        <v>48</v>
      </c>
      <c r="C5601" s="10" t="s">
        <v>49</v>
      </c>
      <c r="D5601" s="11">
        <v>61.614294516327789</v>
      </c>
      <c r="E5601" s="12">
        <f t="shared" si="87"/>
        <v>47039</v>
      </c>
    </row>
    <row r="5602" spans="1:5" x14ac:dyDescent="0.25">
      <c r="A5602" s="2">
        <f>IF(B5602="","",SUBTOTAL(3,$B$2:B5602))</f>
        <v>5601</v>
      </c>
      <c r="B5602" s="9" t="s">
        <v>48</v>
      </c>
      <c r="C5602" s="10" t="s">
        <v>49</v>
      </c>
      <c r="D5602" s="11">
        <v>61.614294516327789</v>
      </c>
      <c r="E5602" s="12">
        <f t="shared" si="87"/>
        <v>47040</v>
      </c>
    </row>
    <row r="5603" spans="1:5" x14ac:dyDescent="0.25">
      <c r="A5603" s="2">
        <f>IF(B5603="","",SUBTOTAL(3,$B$2:B5603))</f>
        <v>5602</v>
      </c>
      <c r="B5603" s="9" t="s">
        <v>48</v>
      </c>
      <c r="C5603" s="10" t="s">
        <v>49</v>
      </c>
      <c r="D5603" s="11">
        <v>46.210720887245841</v>
      </c>
      <c r="E5603" s="12">
        <f t="shared" si="87"/>
        <v>47041</v>
      </c>
    </row>
    <row r="5604" spans="1:5" x14ac:dyDescent="0.25">
      <c r="A5604" s="2">
        <f>IF(B5604="","",SUBTOTAL(3,$B$2:B5604))</f>
        <v>5603</v>
      </c>
      <c r="B5604" s="9" t="s">
        <v>48</v>
      </c>
      <c r="C5604" s="10" t="s">
        <v>52</v>
      </c>
      <c r="D5604" s="11">
        <v>462.10720887245844</v>
      </c>
      <c r="E5604" s="12">
        <f t="shared" si="87"/>
        <v>47042</v>
      </c>
    </row>
    <row r="5605" spans="1:5" x14ac:dyDescent="0.25">
      <c r="A5605" s="2">
        <f>IF(B5605="","",SUBTOTAL(3,$B$2:B5605))</f>
        <v>5604</v>
      </c>
      <c r="B5605" s="9" t="s">
        <v>48</v>
      </c>
      <c r="C5605" s="10" t="s">
        <v>54</v>
      </c>
      <c r="D5605" s="11">
        <v>92.421441774491683</v>
      </c>
      <c r="E5605" s="12">
        <f t="shared" si="87"/>
        <v>47043</v>
      </c>
    </row>
    <row r="5606" spans="1:5" x14ac:dyDescent="0.25">
      <c r="A5606" s="2">
        <f>IF(B5606="","",SUBTOTAL(3,$B$2:B5606))</f>
        <v>5605</v>
      </c>
      <c r="B5606" s="9" t="s">
        <v>48</v>
      </c>
      <c r="C5606" s="10" t="s">
        <v>52</v>
      </c>
      <c r="D5606" s="11">
        <v>105.51447935921134</v>
      </c>
      <c r="E5606" s="12">
        <f t="shared" si="87"/>
        <v>47044</v>
      </c>
    </row>
    <row r="5607" spans="1:5" x14ac:dyDescent="0.25">
      <c r="A5607" s="2">
        <f>IF(B5607="","",SUBTOTAL(3,$B$2:B5607))</f>
        <v>5606</v>
      </c>
      <c r="B5607" s="9" t="s">
        <v>55</v>
      </c>
      <c r="C5607" s="10" t="s">
        <v>49</v>
      </c>
      <c r="D5607" s="11">
        <v>29.942681153220978</v>
      </c>
      <c r="E5607" s="12">
        <f t="shared" si="87"/>
        <v>47045</v>
      </c>
    </row>
    <row r="5608" spans="1:5" x14ac:dyDescent="0.25">
      <c r="A5608" s="2">
        <f>IF(B5608="","",SUBTOTAL(3,$B$2:B5608))</f>
        <v>5607</v>
      </c>
      <c r="B5608" s="9" t="s">
        <v>48</v>
      </c>
      <c r="C5608" s="10" t="s">
        <v>54</v>
      </c>
      <c r="D5608" s="11">
        <v>154.03573629081947</v>
      </c>
      <c r="E5608" s="12">
        <f t="shared" si="87"/>
        <v>47046</v>
      </c>
    </row>
    <row r="5609" spans="1:5" x14ac:dyDescent="0.25">
      <c r="A5609" s="2">
        <f>IF(B5609="","",SUBTOTAL(3,$B$2:B5609))</f>
        <v>5608</v>
      </c>
      <c r="B5609" s="9" t="s">
        <v>48</v>
      </c>
      <c r="C5609" s="10" t="s">
        <v>49</v>
      </c>
      <c r="D5609" s="11">
        <v>26.186075169439309</v>
      </c>
      <c r="E5609" s="12">
        <f t="shared" si="87"/>
        <v>47047</v>
      </c>
    </row>
    <row r="5610" spans="1:5" x14ac:dyDescent="0.25">
      <c r="A5610" s="2">
        <f>IF(B5610="","",SUBTOTAL(3,$B$2:B5610))</f>
        <v>5609</v>
      </c>
      <c r="B5610" s="9" t="s">
        <v>48</v>
      </c>
      <c r="C5610" s="10" t="s">
        <v>54</v>
      </c>
      <c r="D5610" s="11">
        <v>46.210720887245841</v>
      </c>
      <c r="E5610" s="12">
        <f t="shared" si="87"/>
        <v>47048</v>
      </c>
    </row>
    <row r="5611" spans="1:5" x14ac:dyDescent="0.25">
      <c r="A5611" s="2">
        <f>IF(B5611="","",SUBTOTAL(3,$B$2:B5611))</f>
        <v>5610</v>
      </c>
      <c r="B5611" s="9" t="s">
        <v>53</v>
      </c>
      <c r="C5611" s="10" t="s">
        <v>49</v>
      </c>
      <c r="D5611" s="11">
        <v>59.530896535301828</v>
      </c>
      <c r="E5611" s="12">
        <f t="shared" si="87"/>
        <v>47049</v>
      </c>
    </row>
    <row r="5612" spans="1:5" x14ac:dyDescent="0.25">
      <c r="A5612" s="2">
        <f>IF(B5612="","",SUBTOTAL(3,$B$2:B5612))</f>
        <v>5611</v>
      </c>
      <c r="B5612" s="9" t="s">
        <v>55</v>
      </c>
      <c r="C5612" s="10" t="s">
        <v>49</v>
      </c>
      <c r="D5612" s="11">
        <v>459.41103505306194</v>
      </c>
      <c r="E5612" s="12">
        <f t="shared" si="87"/>
        <v>47050</v>
      </c>
    </row>
    <row r="5613" spans="1:5" x14ac:dyDescent="0.25">
      <c r="A5613" s="2">
        <f>IF(B5613="","",SUBTOTAL(3,$B$2:B5613))</f>
        <v>5612</v>
      </c>
      <c r="B5613" s="9" t="s">
        <v>50</v>
      </c>
      <c r="C5613" s="10" t="s">
        <v>52</v>
      </c>
      <c r="D5613" s="11">
        <v>28.926366843033509</v>
      </c>
      <c r="E5613" s="12">
        <f t="shared" si="87"/>
        <v>47051</v>
      </c>
    </row>
    <row r="5614" spans="1:5" x14ac:dyDescent="0.25">
      <c r="A5614" s="2">
        <f>IF(B5614="","",SUBTOTAL(3,$B$2:B5614))</f>
        <v>5613</v>
      </c>
      <c r="B5614" s="9" t="s">
        <v>50</v>
      </c>
      <c r="C5614" s="10" t="s">
        <v>57</v>
      </c>
      <c r="D5614" s="11">
        <v>195.87742504409172</v>
      </c>
      <c r="E5614" s="12">
        <f t="shared" si="87"/>
        <v>47052</v>
      </c>
    </row>
    <row r="5615" spans="1:5" x14ac:dyDescent="0.25">
      <c r="A5615" s="2">
        <f>IF(B5615="","",SUBTOTAL(3,$B$2:B5615))</f>
        <v>5614</v>
      </c>
      <c r="B5615" s="9" t="s">
        <v>53</v>
      </c>
      <c r="C5615" s="10" t="s">
        <v>49</v>
      </c>
      <c r="D5615" s="11">
        <v>91.585994669695125</v>
      </c>
      <c r="E5615" s="12">
        <f t="shared" si="87"/>
        <v>47053</v>
      </c>
    </row>
    <row r="5616" spans="1:5" x14ac:dyDescent="0.25">
      <c r="A5616" s="2">
        <f>IF(B5616="","",SUBTOTAL(3,$B$2:B5616))</f>
        <v>5615</v>
      </c>
      <c r="B5616" s="9" t="s">
        <v>48</v>
      </c>
      <c r="C5616" s="10" t="s">
        <v>49</v>
      </c>
      <c r="D5616" s="11">
        <v>46.210720887245841</v>
      </c>
      <c r="E5616" s="12">
        <f t="shared" si="87"/>
        <v>47054</v>
      </c>
    </row>
    <row r="5617" spans="1:5" x14ac:dyDescent="0.25">
      <c r="A5617" s="2">
        <f>IF(B5617="","",SUBTOTAL(3,$B$2:B5617))</f>
        <v>5616</v>
      </c>
      <c r="B5617" s="9" t="s">
        <v>48</v>
      </c>
      <c r="C5617" s="10" t="s">
        <v>54</v>
      </c>
      <c r="D5617" s="11">
        <v>5</v>
      </c>
      <c r="E5617" s="12">
        <f t="shared" si="87"/>
        <v>47055</v>
      </c>
    </row>
    <row r="5618" spans="1:5" x14ac:dyDescent="0.25">
      <c r="A5618" s="2">
        <f>IF(B5618="","",SUBTOTAL(3,$B$2:B5618))</f>
        <v>5617</v>
      </c>
      <c r="B5618" s="9" t="s">
        <v>48</v>
      </c>
      <c r="C5618" s="10" t="s">
        <v>56</v>
      </c>
      <c r="D5618" s="11">
        <v>24.129610479145121</v>
      </c>
      <c r="E5618" s="12">
        <f t="shared" si="87"/>
        <v>47056</v>
      </c>
    </row>
    <row r="5619" spans="1:5" x14ac:dyDescent="0.25">
      <c r="A5619" s="2">
        <f>IF(B5619="","",SUBTOTAL(3,$B$2:B5619))</f>
        <v>5618</v>
      </c>
      <c r="B5619" s="9" t="s">
        <v>48</v>
      </c>
      <c r="C5619" s="10" t="s">
        <v>54</v>
      </c>
      <c r="D5619" s="11">
        <v>46.210720887245841</v>
      </c>
      <c r="E5619" s="12">
        <f t="shared" si="87"/>
        <v>47057</v>
      </c>
    </row>
    <row r="5620" spans="1:5" x14ac:dyDescent="0.25">
      <c r="A5620" s="2">
        <f>IF(B5620="","",SUBTOTAL(3,$B$2:B5620))</f>
        <v>5619</v>
      </c>
      <c r="B5620" s="9" t="s">
        <v>48</v>
      </c>
      <c r="C5620" s="10" t="s">
        <v>49</v>
      </c>
      <c r="D5620" s="11">
        <v>17.235436056532226</v>
      </c>
      <c r="E5620" s="12">
        <f t="shared" si="87"/>
        <v>47058</v>
      </c>
    </row>
    <row r="5621" spans="1:5" x14ac:dyDescent="0.25">
      <c r="A5621" s="2">
        <f>IF(B5621="","",SUBTOTAL(3,$B$2:B5621))</f>
        <v>5620</v>
      </c>
      <c r="B5621" s="9" t="s">
        <v>48</v>
      </c>
      <c r="C5621" s="10" t="s">
        <v>49</v>
      </c>
      <c r="D5621" s="11">
        <v>30.807147258163894</v>
      </c>
      <c r="E5621" s="12">
        <f t="shared" si="87"/>
        <v>47059</v>
      </c>
    </row>
    <row r="5622" spans="1:5" x14ac:dyDescent="0.25">
      <c r="A5622" s="2">
        <f>IF(B5622="","",SUBTOTAL(3,$B$2:B5622))</f>
        <v>5621</v>
      </c>
      <c r="B5622" s="9" t="s">
        <v>48</v>
      </c>
      <c r="C5622" s="10" t="s">
        <v>49</v>
      </c>
      <c r="D5622" s="11">
        <v>27.576697690451567</v>
      </c>
      <c r="E5622" s="12">
        <f t="shared" si="87"/>
        <v>47060</v>
      </c>
    </row>
    <row r="5623" spans="1:5" x14ac:dyDescent="0.25">
      <c r="A5623" s="2">
        <f>IF(B5623="","",SUBTOTAL(3,$B$2:B5623))</f>
        <v>5622</v>
      </c>
      <c r="B5623" s="9" t="s">
        <v>48</v>
      </c>
      <c r="C5623" s="10" t="s">
        <v>49</v>
      </c>
      <c r="D5623" s="11">
        <v>15.403573629081947</v>
      </c>
      <c r="E5623" s="12">
        <f t="shared" si="87"/>
        <v>47061</v>
      </c>
    </row>
    <row r="5624" spans="1:5" x14ac:dyDescent="0.25">
      <c r="A5624" s="2">
        <f>IF(B5624="","",SUBTOTAL(3,$B$2:B5624))</f>
        <v>5623</v>
      </c>
      <c r="B5624" s="9" t="s">
        <v>48</v>
      </c>
      <c r="C5624" s="10" t="s">
        <v>54</v>
      </c>
      <c r="D5624" s="11">
        <v>77.017868145409736</v>
      </c>
      <c r="E5624" s="12">
        <f t="shared" si="87"/>
        <v>47062</v>
      </c>
    </row>
    <row r="5625" spans="1:5" x14ac:dyDescent="0.25">
      <c r="A5625" s="2">
        <f>IF(B5625="","",SUBTOTAL(3,$B$2:B5625))</f>
        <v>5624</v>
      </c>
      <c r="B5625" s="9" t="s">
        <v>50</v>
      </c>
      <c r="C5625" s="10" t="s">
        <v>54</v>
      </c>
      <c r="D5625" s="11">
        <v>881.83421516754856</v>
      </c>
      <c r="E5625" s="12">
        <f t="shared" si="87"/>
        <v>47063</v>
      </c>
    </row>
    <row r="5626" spans="1:5" x14ac:dyDescent="0.25">
      <c r="A5626" s="2">
        <f>IF(B5626="","",SUBTOTAL(3,$B$2:B5626))</f>
        <v>5625</v>
      </c>
      <c r="B5626" s="9" t="s">
        <v>48</v>
      </c>
      <c r="C5626" s="10" t="s">
        <v>49</v>
      </c>
      <c r="D5626" s="11">
        <v>1.5403573629081948</v>
      </c>
      <c r="E5626" s="12">
        <f t="shared" si="87"/>
        <v>47064</v>
      </c>
    </row>
    <row r="5627" spans="1:5" x14ac:dyDescent="0.25">
      <c r="A5627" s="2">
        <f>IF(B5627="","",SUBTOTAL(3,$B$2:B5627))</f>
        <v>5626</v>
      </c>
      <c r="B5627" s="9" t="s">
        <v>48</v>
      </c>
      <c r="C5627" s="10" t="s">
        <v>54</v>
      </c>
      <c r="D5627" s="11">
        <v>1.5403573629081948</v>
      </c>
      <c r="E5627" s="12">
        <f t="shared" si="87"/>
        <v>47065</v>
      </c>
    </row>
    <row r="5628" spans="1:5" x14ac:dyDescent="0.25">
      <c r="A5628" s="2">
        <f>IF(B5628="","",SUBTOTAL(3,$B$2:B5628))</f>
        <v>5627</v>
      </c>
      <c r="B5628" s="9" t="s">
        <v>48</v>
      </c>
      <c r="C5628" s="10" t="s">
        <v>49</v>
      </c>
      <c r="D5628" s="11">
        <v>1.5403573629081948</v>
      </c>
      <c r="E5628" s="12">
        <f t="shared" si="87"/>
        <v>47066</v>
      </c>
    </row>
    <row r="5629" spans="1:5" x14ac:dyDescent="0.25">
      <c r="A5629" s="2">
        <f>IF(B5629="","",SUBTOTAL(3,$B$2:B5629))</f>
        <v>5628</v>
      </c>
      <c r="B5629" s="9" t="s">
        <v>50</v>
      </c>
      <c r="C5629" s="10" t="s">
        <v>52</v>
      </c>
      <c r="D5629" s="11">
        <v>44.091710758377424</v>
      </c>
      <c r="E5629" s="12">
        <f t="shared" si="87"/>
        <v>47067</v>
      </c>
    </row>
    <row r="5630" spans="1:5" x14ac:dyDescent="0.25">
      <c r="A5630" s="2">
        <f>IF(B5630="","",SUBTOTAL(3,$B$2:B5630))</f>
        <v>5629</v>
      </c>
      <c r="B5630" s="9" t="s">
        <v>50</v>
      </c>
      <c r="C5630" s="10" t="s">
        <v>52</v>
      </c>
      <c r="D5630" s="11">
        <v>15.4320987654321</v>
      </c>
      <c r="E5630" s="12">
        <f t="shared" si="87"/>
        <v>47068</v>
      </c>
    </row>
    <row r="5631" spans="1:5" x14ac:dyDescent="0.25">
      <c r="A5631" s="2">
        <f>IF(B5631="","",SUBTOTAL(3,$B$2:B5631))</f>
        <v>5630</v>
      </c>
      <c r="B5631" s="9" t="s">
        <v>50</v>
      </c>
      <c r="C5631" s="10" t="s">
        <v>49</v>
      </c>
      <c r="D5631" s="11">
        <v>318.56261022927686</v>
      </c>
      <c r="E5631" s="12">
        <f t="shared" si="87"/>
        <v>47069</v>
      </c>
    </row>
    <row r="5632" spans="1:5" x14ac:dyDescent="0.25">
      <c r="A5632" s="2">
        <f>IF(B5632="","",SUBTOTAL(3,$B$2:B5632))</f>
        <v>5631</v>
      </c>
      <c r="B5632" s="9" t="s">
        <v>48</v>
      </c>
      <c r="C5632" s="10" t="s">
        <v>54</v>
      </c>
      <c r="D5632" s="11">
        <v>1.5403573629081948</v>
      </c>
      <c r="E5632" s="12">
        <f t="shared" si="87"/>
        <v>47070</v>
      </c>
    </row>
    <row r="5633" spans="1:5" x14ac:dyDescent="0.25">
      <c r="A5633" s="2">
        <f>IF(B5633="","",SUBTOTAL(3,$B$2:B5633))</f>
        <v>5632</v>
      </c>
      <c r="B5633" s="9" t="s">
        <v>55</v>
      </c>
      <c r="C5633" s="10" t="s">
        <v>52</v>
      </c>
      <c r="D5633" s="11">
        <v>57.426379381632742</v>
      </c>
      <c r="E5633" s="12">
        <f t="shared" si="87"/>
        <v>47071</v>
      </c>
    </row>
    <row r="5634" spans="1:5" x14ac:dyDescent="0.25">
      <c r="A5634" s="2">
        <f>IF(B5634="","",SUBTOTAL(3,$B$2:B5634))</f>
        <v>5633</v>
      </c>
      <c r="B5634" s="9" t="s">
        <v>50</v>
      </c>
      <c r="C5634" s="10" t="s">
        <v>49</v>
      </c>
      <c r="D5634" s="11">
        <v>48.967107583774251</v>
      </c>
      <c r="E5634" s="12">
        <f t="shared" si="87"/>
        <v>47072</v>
      </c>
    </row>
    <row r="5635" spans="1:5" x14ac:dyDescent="0.25">
      <c r="A5635" s="2">
        <f>IF(B5635="","",SUBTOTAL(3,$B$2:B5635))</f>
        <v>5634</v>
      </c>
      <c r="B5635" s="9" t="s">
        <v>55</v>
      </c>
      <c r="C5635" s="10" t="s">
        <v>52</v>
      </c>
      <c r="D5635" s="11">
        <v>50</v>
      </c>
      <c r="E5635" s="12">
        <f t="shared" si="87"/>
        <v>47073</v>
      </c>
    </row>
    <row r="5636" spans="1:5" x14ac:dyDescent="0.25">
      <c r="A5636" s="2">
        <f>IF(B5636="","",SUBTOTAL(3,$B$2:B5636))</f>
        <v>5635</v>
      </c>
      <c r="B5636" s="9" t="s">
        <v>48</v>
      </c>
      <c r="C5636" s="10" t="s">
        <v>49</v>
      </c>
      <c r="D5636" s="11">
        <v>517.06308169596684</v>
      </c>
      <c r="E5636" s="12">
        <f t="shared" ref="E5636:E5699" si="88">E5635+1</f>
        <v>47074</v>
      </c>
    </row>
    <row r="5637" spans="1:5" x14ac:dyDescent="0.25">
      <c r="A5637" s="2">
        <f>IF(B5637="","",SUBTOTAL(3,$B$2:B5637))</f>
        <v>5636</v>
      </c>
      <c r="B5637" s="9" t="s">
        <v>55</v>
      </c>
      <c r="C5637" s="10" t="s">
        <v>54</v>
      </c>
      <c r="D5637" s="11">
        <v>84.101678344467985</v>
      </c>
      <c r="E5637" s="12">
        <f t="shared" si="88"/>
        <v>47075</v>
      </c>
    </row>
    <row r="5638" spans="1:5" x14ac:dyDescent="0.25">
      <c r="A5638" s="2">
        <f>IF(B5638="","",SUBTOTAL(3,$B$2:B5638))</f>
        <v>5637</v>
      </c>
      <c r="B5638" s="9" t="s">
        <v>50</v>
      </c>
      <c r="C5638" s="10" t="s">
        <v>52</v>
      </c>
      <c r="D5638" s="11">
        <v>99.206349206349202</v>
      </c>
      <c r="E5638" s="12">
        <f t="shared" si="88"/>
        <v>47076</v>
      </c>
    </row>
    <row r="5639" spans="1:5" x14ac:dyDescent="0.25">
      <c r="A5639" s="2">
        <f>IF(B5639="","",SUBTOTAL(3,$B$2:B5639))</f>
        <v>5638</v>
      </c>
      <c r="B5639" s="9" t="s">
        <v>51</v>
      </c>
      <c r="C5639" s="10" t="s">
        <v>49</v>
      </c>
      <c r="D5639" s="11">
        <v>21.179709837975221</v>
      </c>
      <c r="E5639" s="12">
        <f t="shared" si="88"/>
        <v>47077</v>
      </c>
    </row>
    <row r="5640" spans="1:5" x14ac:dyDescent="0.25">
      <c r="A5640" s="2">
        <f>IF(B5640="","",SUBTOTAL(3,$B$2:B5640))</f>
        <v>5639</v>
      </c>
      <c r="B5640" s="9" t="s">
        <v>50</v>
      </c>
      <c r="C5640" s="10" t="s">
        <v>52</v>
      </c>
      <c r="D5640" s="11">
        <v>220.45855379188714</v>
      </c>
      <c r="E5640" s="12">
        <f t="shared" si="88"/>
        <v>47078</v>
      </c>
    </row>
    <row r="5641" spans="1:5" x14ac:dyDescent="0.25">
      <c r="A5641" s="2">
        <f>IF(B5641="","",SUBTOTAL(3,$B$2:B5641))</f>
        <v>5640</v>
      </c>
      <c r="B5641" s="9" t="s">
        <v>50</v>
      </c>
      <c r="C5641" s="10" t="s">
        <v>49</v>
      </c>
      <c r="D5641" s="11">
        <v>16.420414462081126</v>
      </c>
      <c r="E5641" s="12">
        <f t="shared" si="88"/>
        <v>47079</v>
      </c>
    </row>
    <row r="5642" spans="1:5" x14ac:dyDescent="0.25">
      <c r="A5642" s="2">
        <f>IF(B5642="","",SUBTOTAL(3,$B$2:B5642))</f>
        <v>5641</v>
      </c>
      <c r="B5642" s="9" t="s">
        <v>51</v>
      </c>
      <c r="C5642" s="10" t="s">
        <v>54</v>
      </c>
      <c r="D5642" s="11">
        <v>0</v>
      </c>
      <c r="E5642" s="12">
        <f t="shared" si="88"/>
        <v>47080</v>
      </c>
    </row>
    <row r="5643" spans="1:5" x14ac:dyDescent="0.25">
      <c r="A5643" s="2">
        <f>IF(B5643="","",SUBTOTAL(3,$B$2:B5643))</f>
        <v>5642</v>
      </c>
      <c r="B5643" s="9" t="s">
        <v>50</v>
      </c>
      <c r="C5643" s="10" t="s">
        <v>49</v>
      </c>
      <c r="D5643" s="11">
        <v>48.500881834215171</v>
      </c>
      <c r="E5643" s="12">
        <f t="shared" si="88"/>
        <v>47081</v>
      </c>
    </row>
    <row r="5644" spans="1:5" x14ac:dyDescent="0.25">
      <c r="A5644" s="2">
        <f>IF(B5644="","",SUBTOTAL(3,$B$2:B5644))</f>
        <v>5643</v>
      </c>
      <c r="B5644" s="9" t="s">
        <v>55</v>
      </c>
      <c r="C5644" s="10" t="s">
        <v>49</v>
      </c>
      <c r="D5644" s="11">
        <v>121.69499999999999</v>
      </c>
      <c r="E5644" s="12">
        <f t="shared" si="88"/>
        <v>47082</v>
      </c>
    </row>
    <row r="5645" spans="1:5" x14ac:dyDescent="0.25">
      <c r="A5645" s="2">
        <f>IF(B5645="","",SUBTOTAL(3,$B$2:B5645))</f>
        <v>5644</v>
      </c>
      <c r="B5645" s="9" t="s">
        <v>51</v>
      </c>
      <c r="C5645" s="10" t="s">
        <v>52</v>
      </c>
      <c r="D5645" s="11">
        <v>158.84782378481412</v>
      </c>
      <c r="E5645" s="12">
        <f t="shared" si="88"/>
        <v>47083</v>
      </c>
    </row>
    <row r="5646" spans="1:5" x14ac:dyDescent="0.25">
      <c r="A5646" s="2">
        <f>IF(B5646="","",SUBTOTAL(3,$B$2:B5646))</f>
        <v>5645</v>
      </c>
      <c r="B5646" s="9" t="s">
        <v>55</v>
      </c>
      <c r="C5646" s="10" t="s">
        <v>56</v>
      </c>
      <c r="D5646" s="11">
        <v>45.941103505306202</v>
      </c>
      <c r="E5646" s="12">
        <f t="shared" si="88"/>
        <v>47084</v>
      </c>
    </row>
    <row r="5647" spans="1:5" x14ac:dyDescent="0.25">
      <c r="A5647" s="2">
        <f>IF(B5647="","",SUBTOTAL(3,$B$2:B5647))</f>
        <v>5646</v>
      </c>
      <c r="B5647" s="9" t="s">
        <v>55</v>
      </c>
      <c r="C5647" s="10" t="s">
        <v>49</v>
      </c>
      <c r="D5647" s="11">
        <v>22.970551752653101</v>
      </c>
      <c r="E5647" s="12">
        <f t="shared" si="88"/>
        <v>47085</v>
      </c>
    </row>
    <row r="5648" spans="1:5" x14ac:dyDescent="0.25">
      <c r="A5648" s="2">
        <f>IF(B5648="","",SUBTOTAL(3,$B$2:B5648))</f>
        <v>5647</v>
      </c>
      <c r="B5648" s="9" t="s">
        <v>55</v>
      </c>
      <c r="C5648" s="10" t="s">
        <v>56</v>
      </c>
      <c r="D5648" s="11">
        <v>18.881793540680846</v>
      </c>
      <c r="E5648" s="12">
        <f t="shared" si="88"/>
        <v>47086</v>
      </c>
    </row>
    <row r="5649" spans="1:5" x14ac:dyDescent="0.25">
      <c r="A5649" s="2">
        <f>IF(B5649="","",SUBTOTAL(3,$B$2:B5649))</f>
        <v>5648</v>
      </c>
      <c r="B5649" s="9" t="s">
        <v>51</v>
      </c>
      <c r="C5649" s="10" t="s">
        <v>52</v>
      </c>
      <c r="D5649" s="11">
        <v>21.179709837975221</v>
      </c>
      <c r="E5649" s="12">
        <f t="shared" si="88"/>
        <v>47087</v>
      </c>
    </row>
    <row r="5650" spans="1:5" x14ac:dyDescent="0.25">
      <c r="A5650" s="2">
        <f>IF(B5650="","",SUBTOTAL(3,$B$2:B5650))</f>
        <v>5649</v>
      </c>
      <c r="B5650" s="9" t="s">
        <v>50</v>
      </c>
      <c r="C5650" s="10" t="s">
        <v>57</v>
      </c>
      <c r="D5650" s="11">
        <v>66.137566137566139</v>
      </c>
      <c r="E5650" s="12">
        <f t="shared" si="88"/>
        <v>47088</v>
      </c>
    </row>
    <row r="5651" spans="1:5" x14ac:dyDescent="0.25">
      <c r="A5651" s="2">
        <f>IF(B5651="","",SUBTOTAL(3,$B$2:B5651))</f>
        <v>5650</v>
      </c>
      <c r="B5651" s="9" t="s">
        <v>50</v>
      </c>
      <c r="C5651" s="10" t="s">
        <v>54</v>
      </c>
      <c r="D5651" s="11">
        <v>0.3306878306878307</v>
      </c>
      <c r="E5651" s="12">
        <f t="shared" si="88"/>
        <v>47089</v>
      </c>
    </row>
    <row r="5652" spans="1:5" x14ac:dyDescent="0.25">
      <c r="A5652" s="2">
        <f>IF(B5652="","",SUBTOTAL(3,$B$2:B5652))</f>
        <v>5651</v>
      </c>
      <c r="B5652" s="9" t="s">
        <v>50</v>
      </c>
      <c r="C5652" s="10" t="s">
        <v>54</v>
      </c>
      <c r="D5652" s="11">
        <v>661.37566137566137</v>
      </c>
      <c r="E5652" s="12">
        <f t="shared" si="88"/>
        <v>47090</v>
      </c>
    </row>
    <row r="5653" spans="1:5" x14ac:dyDescent="0.25">
      <c r="A5653" s="2">
        <f>IF(B5653="","",SUBTOTAL(3,$B$2:B5653))</f>
        <v>5652</v>
      </c>
      <c r="B5653" s="9" t="s">
        <v>50</v>
      </c>
      <c r="C5653" s="10" t="s">
        <v>49</v>
      </c>
      <c r="D5653" s="11">
        <v>5.511463844797178</v>
      </c>
      <c r="E5653" s="12">
        <f t="shared" si="88"/>
        <v>47091</v>
      </c>
    </row>
    <row r="5654" spans="1:5" x14ac:dyDescent="0.25">
      <c r="A5654" s="2">
        <f>IF(B5654="","",SUBTOTAL(3,$B$2:B5654))</f>
        <v>5653</v>
      </c>
      <c r="B5654" s="9" t="s">
        <v>55</v>
      </c>
      <c r="C5654" s="10" t="s">
        <v>56</v>
      </c>
      <c r="D5654" s="11">
        <v>39.484854267983707</v>
      </c>
      <c r="E5654" s="12">
        <f t="shared" si="88"/>
        <v>47092</v>
      </c>
    </row>
    <row r="5655" spans="1:5" x14ac:dyDescent="0.25">
      <c r="A5655" s="2">
        <f>IF(B5655="","",SUBTOTAL(3,$B$2:B5655))</f>
        <v>5654</v>
      </c>
      <c r="B5655" s="9" t="s">
        <v>55</v>
      </c>
      <c r="C5655" s="10" t="s">
        <v>56</v>
      </c>
      <c r="D5655" s="11">
        <v>14.80682035049389</v>
      </c>
      <c r="E5655" s="12">
        <f t="shared" si="88"/>
        <v>47093</v>
      </c>
    </row>
    <row r="5656" spans="1:5" x14ac:dyDescent="0.25">
      <c r="A5656" s="2">
        <f>IF(B5656="","",SUBTOTAL(3,$B$2:B5656))</f>
        <v>5655</v>
      </c>
      <c r="B5656" s="9" t="s">
        <v>55</v>
      </c>
      <c r="C5656" s="10" t="s">
        <v>56</v>
      </c>
      <c r="D5656" s="11">
        <v>34.54924748448574</v>
      </c>
      <c r="E5656" s="12">
        <f t="shared" si="88"/>
        <v>47094</v>
      </c>
    </row>
    <row r="5657" spans="1:5" x14ac:dyDescent="0.25">
      <c r="A5657" s="2">
        <f>IF(B5657="","",SUBTOTAL(3,$B$2:B5657))</f>
        <v>5656</v>
      </c>
      <c r="B5657" s="9" t="s">
        <v>55</v>
      </c>
      <c r="C5657" s="10" t="s">
        <v>52</v>
      </c>
      <c r="D5657" s="11">
        <v>100</v>
      </c>
      <c r="E5657" s="12">
        <f t="shared" si="88"/>
        <v>47095</v>
      </c>
    </row>
    <row r="5658" spans="1:5" x14ac:dyDescent="0.25">
      <c r="A5658" s="2">
        <f>IF(B5658="","",SUBTOTAL(3,$B$2:B5658))</f>
        <v>5657</v>
      </c>
      <c r="B5658" s="9" t="s">
        <v>55</v>
      </c>
      <c r="C5658" s="10" t="s">
        <v>52</v>
      </c>
      <c r="D5658" s="11">
        <v>125</v>
      </c>
      <c r="E5658" s="12">
        <f t="shared" si="88"/>
        <v>47096</v>
      </c>
    </row>
    <row r="5659" spans="1:5" x14ac:dyDescent="0.25">
      <c r="A5659" s="2">
        <f>IF(B5659="","",SUBTOTAL(3,$B$2:B5659))</f>
        <v>5658</v>
      </c>
      <c r="B5659" s="9" t="s">
        <v>50</v>
      </c>
      <c r="C5659" s="10" t="s">
        <v>54</v>
      </c>
      <c r="D5659" s="11">
        <v>66.137566137566139</v>
      </c>
      <c r="E5659" s="12">
        <f t="shared" si="88"/>
        <v>47097</v>
      </c>
    </row>
    <row r="5660" spans="1:5" x14ac:dyDescent="0.25">
      <c r="A5660" s="2">
        <f>IF(B5660="","",SUBTOTAL(3,$B$2:B5660))</f>
        <v>5659</v>
      </c>
      <c r="B5660" s="9" t="s">
        <v>50</v>
      </c>
      <c r="C5660" s="10" t="s">
        <v>52</v>
      </c>
      <c r="D5660" s="11">
        <v>44.091710758377424</v>
      </c>
      <c r="E5660" s="12">
        <f t="shared" si="88"/>
        <v>47098</v>
      </c>
    </row>
    <row r="5661" spans="1:5" x14ac:dyDescent="0.25">
      <c r="A5661" s="2">
        <f>IF(B5661="","",SUBTOTAL(3,$B$2:B5661))</f>
        <v>5660</v>
      </c>
      <c r="B5661" s="9" t="s">
        <v>55</v>
      </c>
      <c r="C5661" s="10" t="s">
        <v>49</v>
      </c>
      <c r="D5661" s="11">
        <v>22.75</v>
      </c>
      <c r="E5661" s="12">
        <f t="shared" si="88"/>
        <v>47099</v>
      </c>
    </row>
    <row r="5662" spans="1:5" x14ac:dyDescent="0.25">
      <c r="A5662" s="2">
        <f>IF(B5662="","",SUBTOTAL(3,$B$2:B5662))</f>
        <v>5661</v>
      </c>
      <c r="B5662" s="9" t="s">
        <v>50</v>
      </c>
      <c r="C5662" s="10" t="s">
        <v>49</v>
      </c>
      <c r="D5662" s="11">
        <v>17.636684303350968</v>
      </c>
      <c r="E5662" s="12">
        <f t="shared" si="88"/>
        <v>47100</v>
      </c>
    </row>
    <row r="5663" spans="1:5" x14ac:dyDescent="0.25">
      <c r="A5663" s="2">
        <f>IF(B5663="","",SUBTOTAL(3,$B$2:B5663))</f>
        <v>5662</v>
      </c>
      <c r="B5663" s="9" t="s">
        <v>53</v>
      </c>
      <c r="C5663" s="10" t="s">
        <v>54</v>
      </c>
      <c r="D5663" s="11">
        <v>59.530896535301828</v>
      </c>
      <c r="E5663" s="12">
        <f t="shared" si="88"/>
        <v>47101</v>
      </c>
    </row>
    <row r="5664" spans="1:5" x14ac:dyDescent="0.25">
      <c r="A5664" s="2">
        <f>IF(B5664="","",SUBTOTAL(3,$B$2:B5664))</f>
        <v>5663</v>
      </c>
      <c r="B5664" s="9" t="s">
        <v>50</v>
      </c>
      <c r="C5664" s="10" t="s">
        <v>52</v>
      </c>
      <c r="D5664" s="11">
        <v>66.137566137566139</v>
      </c>
      <c r="E5664" s="12">
        <f t="shared" si="88"/>
        <v>47102</v>
      </c>
    </row>
    <row r="5665" spans="1:5" x14ac:dyDescent="0.25">
      <c r="A5665" s="2">
        <f>IF(B5665="","",SUBTOTAL(3,$B$2:B5665))</f>
        <v>5664</v>
      </c>
      <c r="B5665" s="9" t="s">
        <v>50</v>
      </c>
      <c r="C5665" s="10" t="s">
        <v>52</v>
      </c>
      <c r="D5665" s="11">
        <v>1102.2927689594355</v>
      </c>
      <c r="E5665" s="12">
        <f t="shared" si="88"/>
        <v>47103</v>
      </c>
    </row>
    <row r="5666" spans="1:5" x14ac:dyDescent="0.25">
      <c r="A5666" s="2">
        <f>IF(B5666="","",SUBTOTAL(3,$B$2:B5666))</f>
        <v>5665</v>
      </c>
      <c r="B5666" s="9" t="s">
        <v>50</v>
      </c>
      <c r="C5666" s="10" t="s">
        <v>52</v>
      </c>
      <c r="D5666" s="11">
        <v>66.137566137566139</v>
      </c>
      <c r="E5666" s="12">
        <f t="shared" si="88"/>
        <v>47104</v>
      </c>
    </row>
    <row r="5667" spans="1:5" x14ac:dyDescent="0.25">
      <c r="A5667" s="2">
        <f>IF(B5667="","",SUBTOTAL(3,$B$2:B5667))</f>
        <v>5666</v>
      </c>
      <c r="B5667" s="9" t="s">
        <v>53</v>
      </c>
      <c r="C5667" s="10" t="s">
        <v>49</v>
      </c>
      <c r="D5667" s="11">
        <v>73.2687957357561</v>
      </c>
      <c r="E5667" s="12">
        <f t="shared" si="88"/>
        <v>47105</v>
      </c>
    </row>
    <row r="5668" spans="1:5" x14ac:dyDescent="0.25">
      <c r="A5668" s="2">
        <f>IF(B5668="","",SUBTOTAL(3,$B$2:B5668))</f>
        <v>5667</v>
      </c>
      <c r="B5668" s="9" t="s">
        <v>50</v>
      </c>
      <c r="C5668" s="10" t="s">
        <v>52</v>
      </c>
      <c r="D5668" s="11">
        <v>66.137566137566139</v>
      </c>
      <c r="E5668" s="12">
        <f t="shared" si="88"/>
        <v>47106</v>
      </c>
    </row>
    <row r="5669" spans="1:5" x14ac:dyDescent="0.25">
      <c r="A5669" s="2">
        <f>IF(B5669="","",SUBTOTAL(3,$B$2:B5669))</f>
        <v>5668</v>
      </c>
      <c r="B5669" s="9" t="s">
        <v>51</v>
      </c>
      <c r="C5669" s="10" t="s">
        <v>49</v>
      </c>
      <c r="D5669" s="11">
        <v>40.515355319666149</v>
      </c>
      <c r="E5669" s="12">
        <f t="shared" si="88"/>
        <v>47107</v>
      </c>
    </row>
    <row r="5670" spans="1:5" x14ac:dyDescent="0.25">
      <c r="A5670" s="2">
        <f>IF(B5670="","",SUBTOTAL(3,$B$2:B5670))</f>
        <v>5669</v>
      </c>
      <c r="B5670" s="9" t="s">
        <v>55</v>
      </c>
      <c r="C5670" s="10" t="s">
        <v>52</v>
      </c>
      <c r="D5670" s="11">
        <v>22.970551752653101</v>
      </c>
      <c r="E5670" s="12">
        <f t="shared" si="88"/>
        <v>47108</v>
      </c>
    </row>
    <row r="5671" spans="1:5" x14ac:dyDescent="0.25">
      <c r="A5671" s="2">
        <f>IF(B5671="","",SUBTOTAL(3,$B$2:B5671))</f>
        <v>5670</v>
      </c>
      <c r="B5671" s="9" t="s">
        <v>48</v>
      </c>
      <c r="C5671" s="10" t="s">
        <v>52</v>
      </c>
      <c r="D5671" s="11">
        <v>86.177180282661155</v>
      </c>
      <c r="E5671" s="12">
        <f t="shared" si="88"/>
        <v>47109</v>
      </c>
    </row>
    <row r="5672" spans="1:5" x14ac:dyDescent="0.25">
      <c r="A5672" s="2">
        <f>IF(B5672="","",SUBTOTAL(3,$B$2:B5672))</f>
        <v>5671</v>
      </c>
      <c r="B5672" s="9" t="s">
        <v>48</v>
      </c>
      <c r="C5672" s="10" t="s">
        <v>52</v>
      </c>
      <c r="D5672" s="11">
        <v>86.177180282661155</v>
      </c>
      <c r="E5672" s="12">
        <f t="shared" si="88"/>
        <v>47110</v>
      </c>
    </row>
    <row r="5673" spans="1:5" x14ac:dyDescent="0.25">
      <c r="A5673" s="2">
        <f>IF(B5673="","",SUBTOTAL(3,$B$2:B5673))</f>
        <v>5672</v>
      </c>
      <c r="B5673" s="9" t="s">
        <v>48</v>
      </c>
      <c r="C5673" s="10" t="s">
        <v>52</v>
      </c>
      <c r="D5673" s="11">
        <v>159.17221195317313</v>
      </c>
      <c r="E5673" s="12">
        <f t="shared" si="88"/>
        <v>47111</v>
      </c>
    </row>
    <row r="5674" spans="1:5" x14ac:dyDescent="0.25">
      <c r="A5674" s="2">
        <f>IF(B5674="","",SUBTOTAL(3,$B$2:B5674))</f>
        <v>5673</v>
      </c>
      <c r="B5674" s="9" t="s">
        <v>51</v>
      </c>
      <c r="C5674" s="10" t="s">
        <v>52</v>
      </c>
      <c r="D5674" s="11">
        <v>158.84782378481412</v>
      </c>
      <c r="E5674" s="12">
        <f t="shared" si="88"/>
        <v>47112</v>
      </c>
    </row>
    <row r="5675" spans="1:5" x14ac:dyDescent="0.25">
      <c r="A5675" s="2">
        <f>IF(B5675="","",SUBTOTAL(3,$B$2:B5675))</f>
        <v>5674</v>
      </c>
      <c r="B5675" s="9" t="s">
        <v>51</v>
      </c>
      <c r="C5675" s="10" t="s">
        <v>54</v>
      </c>
      <c r="D5675" s="11">
        <v>158.84782378481412</v>
      </c>
      <c r="E5675" s="12">
        <f t="shared" si="88"/>
        <v>47113</v>
      </c>
    </row>
    <row r="5676" spans="1:5" x14ac:dyDescent="0.25">
      <c r="A5676" s="2">
        <f>IF(B5676="","",SUBTOTAL(3,$B$2:B5676))</f>
        <v>5675</v>
      </c>
      <c r="B5676" s="9" t="s">
        <v>51</v>
      </c>
      <c r="C5676" s="10" t="s">
        <v>49</v>
      </c>
      <c r="D5676" s="11">
        <v>423.59419675950437</v>
      </c>
      <c r="E5676" s="12">
        <f t="shared" si="88"/>
        <v>47114</v>
      </c>
    </row>
    <row r="5677" spans="1:5" x14ac:dyDescent="0.25">
      <c r="A5677" s="2">
        <f>IF(B5677="","",SUBTOTAL(3,$B$2:B5677))</f>
        <v>5676</v>
      </c>
      <c r="B5677" s="9" t="s">
        <v>48</v>
      </c>
      <c r="C5677" s="10" t="s">
        <v>54</v>
      </c>
      <c r="D5677" s="11">
        <v>23.126437372322794</v>
      </c>
      <c r="E5677" s="12">
        <f t="shared" si="88"/>
        <v>47115</v>
      </c>
    </row>
    <row r="5678" spans="1:5" x14ac:dyDescent="0.25">
      <c r="A5678" s="2">
        <f>IF(B5678="","",SUBTOTAL(3,$B$2:B5678))</f>
        <v>5677</v>
      </c>
      <c r="B5678" s="9" t="s">
        <v>50</v>
      </c>
      <c r="C5678" s="10" t="s">
        <v>54</v>
      </c>
      <c r="D5678" s="11">
        <v>257.93650793650795</v>
      </c>
      <c r="E5678" s="12">
        <f t="shared" si="88"/>
        <v>47116</v>
      </c>
    </row>
    <row r="5679" spans="1:5" x14ac:dyDescent="0.25">
      <c r="A5679" s="2">
        <f>IF(B5679="","",SUBTOTAL(3,$B$2:B5679))</f>
        <v>5678</v>
      </c>
      <c r="B5679" s="9" t="s">
        <v>50</v>
      </c>
      <c r="C5679" s="10" t="s">
        <v>54</v>
      </c>
      <c r="D5679" s="11">
        <v>39.682539682539684</v>
      </c>
      <c r="E5679" s="12">
        <f t="shared" si="88"/>
        <v>47117</v>
      </c>
    </row>
    <row r="5680" spans="1:5" x14ac:dyDescent="0.25">
      <c r="A5680" s="2">
        <f>IF(B5680="","",SUBTOTAL(3,$B$2:B5680))</f>
        <v>5679</v>
      </c>
      <c r="B5680" s="9" t="s">
        <v>48</v>
      </c>
      <c r="C5680" s="10" t="s">
        <v>54</v>
      </c>
      <c r="D5680" s="11">
        <v>89.936145336810867</v>
      </c>
      <c r="E5680" s="12">
        <f t="shared" si="88"/>
        <v>47118</v>
      </c>
    </row>
    <row r="5681" spans="1:5" x14ac:dyDescent="0.25">
      <c r="A5681" s="2">
        <f>IF(B5681="","",SUBTOTAL(3,$B$2:B5681))</f>
        <v>5680</v>
      </c>
      <c r="B5681" s="9" t="s">
        <v>51</v>
      </c>
      <c r="C5681" s="10" t="s">
        <v>52</v>
      </c>
      <c r="D5681" s="11">
        <v>17.050482132728305</v>
      </c>
      <c r="E5681" s="12">
        <f t="shared" si="88"/>
        <v>47119</v>
      </c>
    </row>
    <row r="5682" spans="1:5" x14ac:dyDescent="0.25">
      <c r="A5682" s="2">
        <f>IF(B5682="","",SUBTOTAL(3,$B$2:B5682))</f>
        <v>5681</v>
      </c>
      <c r="B5682" s="9" t="s">
        <v>55</v>
      </c>
      <c r="C5682" s="10" t="s">
        <v>49</v>
      </c>
      <c r="D5682" s="11">
        <v>100</v>
      </c>
      <c r="E5682" s="12">
        <f t="shared" si="88"/>
        <v>47120</v>
      </c>
    </row>
    <row r="5683" spans="1:5" x14ac:dyDescent="0.25">
      <c r="A5683" s="2">
        <f>IF(B5683="","",SUBTOTAL(3,$B$2:B5683))</f>
        <v>5682</v>
      </c>
      <c r="B5683" s="9" t="s">
        <v>50</v>
      </c>
      <c r="C5683" s="10" t="s">
        <v>49</v>
      </c>
      <c r="D5683" s="11">
        <v>42.482363315696645</v>
      </c>
      <c r="E5683" s="12">
        <f t="shared" si="88"/>
        <v>47121</v>
      </c>
    </row>
    <row r="5684" spans="1:5" x14ac:dyDescent="0.25">
      <c r="A5684" s="2">
        <f>IF(B5684="","",SUBTOTAL(3,$B$2:B5684))</f>
        <v>5683</v>
      </c>
      <c r="B5684" s="9" t="s">
        <v>55</v>
      </c>
      <c r="C5684" s="10" t="s">
        <v>49</v>
      </c>
      <c r="D5684" s="11">
        <v>184</v>
      </c>
      <c r="E5684" s="12">
        <f t="shared" si="88"/>
        <v>47122</v>
      </c>
    </row>
    <row r="5685" spans="1:5" x14ac:dyDescent="0.25">
      <c r="A5685" s="2">
        <f>IF(B5685="","",SUBTOTAL(3,$B$2:B5685))</f>
        <v>5684</v>
      </c>
      <c r="B5685" s="9" t="s">
        <v>50</v>
      </c>
      <c r="C5685" s="10" t="s">
        <v>49</v>
      </c>
      <c r="D5685" s="11">
        <v>195.868430335097</v>
      </c>
      <c r="E5685" s="12">
        <f t="shared" si="88"/>
        <v>47123</v>
      </c>
    </row>
    <row r="5686" spans="1:5" x14ac:dyDescent="0.25">
      <c r="A5686" s="2">
        <f>IF(B5686="","",SUBTOTAL(3,$B$2:B5686))</f>
        <v>5685</v>
      </c>
      <c r="B5686" s="9" t="s">
        <v>50</v>
      </c>
      <c r="C5686" s="10" t="s">
        <v>52</v>
      </c>
      <c r="D5686" s="11">
        <v>19.841269841269842</v>
      </c>
      <c r="E5686" s="12">
        <f t="shared" si="88"/>
        <v>47124</v>
      </c>
    </row>
    <row r="5687" spans="1:5" x14ac:dyDescent="0.25">
      <c r="A5687" s="2">
        <f>IF(B5687="","",SUBTOTAL(3,$B$2:B5687))</f>
        <v>5686</v>
      </c>
      <c r="B5687" s="9" t="s">
        <v>53</v>
      </c>
      <c r="C5687" s="10" t="s">
        <v>49</v>
      </c>
      <c r="D5687" s="11">
        <v>14.653759147151218</v>
      </c>
      <c r="E5687" s="12">
        <f t="shared" si="88"/>
        <v>47125</v>
      </c>
    </row>
    <row r="5688" spans="1:5" x14ac:dyDescent="0.25">
      <c r="A5688" s="2">
        <f>IF(B5688="","",SUBTOTAL(3,$B$2:B5688))</f>
        <v>5687</v>
      </c>
      <c r="B5688" s="9" t="s">
        <v>48</v>
      </c>
      <c r="C5688" s="10" t="s">
        <v>49</v>
      </c>
      <c r="D5688" s="11">
        <v>462.10720887245844</v>
      </c>
      <c r="E5688" s="12">
        <f t="shared" si="88"/>
        <v>47126</v>
      </c>
    </row>
    <row r="5689" spans="1:5" x14ac:dyDescent="0.25">
      <c r="A5689" s="2">
        <f>IF(B5689="","",SUBTOTAL(3,$B$2:B5689))</f>
        <v>5688</v>
      </c>
      <c r="B5689" s="9" t="s">
        <v>50</v>
      </c>
      <c r="C5689" s="10" t="s">
        <v>52</v>
      </c>
      <c r="D5689" s="11">
        <v>33.06878306878307</v>
      </c>
      <c r="E5689" s="12">
        <f t="shared" si="88"/>
        <v>47127</v>
      </c>
    </row>
    <row r="5690" spans="1:5" x14ac:dyDescent="0.25">
      <c r="A5690" s="2">
        <f>IF(B5690="","",SUBTOTAL(3,$B$2:B5690))</f>
        <v>5689</v>
      </c>
      <c r="B5690" s="9" t="s">
        <v>50</v>
      </c>
      <c r="C5690" s="10" t="s">
        <v>52</v>
      </c>
      <c r="D5690" s="11">
        <v>66.137566137566139</v>
      </c>
      <c r="E5690" s="12">
        <f t="shared" si="88"/>
        <v>47128</v>
      </c>
    </row>
    <row r="5691" spans="1:5" x14ac:dyDescent="0.25">
      <c r="A5691" s="2">
        <f>IF(B5691="","",SUBTOTAL(3,$B$2:B5691))</f>
        <v>5690</v>
      </c>
      <c r="B5691" s="9" t="s">
        <v>50</v>
      </c>
      <c r="C5691" s="10" t="s">
        <v>52</v>
      </c>
      <c r="D5691" s="11">
        <v>66.137566137566139</v>
      </c>
      <c r="E5691" s="12">
        <f t="shared" si="88"/>
        <v>47129</v>
      </c>
    </row>
    <row r="5692" spans="1:5" x14ac:dyDescent="0.25">
      <c r="A5692" s="2">
        <f>IF(B5692="","",SUBTOTAL(3,$B$2:B5692))</f>
        <v>5691</v>
      </c>
      <c r="B5692" s="9" t="s">
        <v>50</v>
      </c>
      <c r="C5692" s="10" t="s">
        <v>49</v>
      </c>
      <c r="D5692" s="11">
        <v>194.00352733686069</v>
      </c>
      <c r="E5692" s="12">
        <f t="shared" si="88"/>
        <v>47130</v>
      </c>
    </row>
    <row r="5693" spans="1:5" x14ac:dyDescent="0.25">
      <c r="A5693" s="2">
        <f>IF(B5693="","",SUBTOTAL(3,$B$2:B5693))</f>
        <v>5692</v>
      </c>
      <c r="B5693" s="9" t="s">
        <v>48</v>
      </c>
      <c r="C5693" s="10" t="s">
        <v>49</v>
      </c>
      <c r="D5693" s="11">
        <v>30.807147258163894</v>
      </c>
      <c r="E5693" s="12">
        <f t="shared" si="88"/>
        <v>47131</v>
      </c>
    </row>
    <row r="5694" spans="1:5" x14ac:dyDescent="0.25">
      <c r="A5694" s="2">
        <f>IF(B5694="","",SUBTOTAL(3,$B$2:B5694))</f>
        <v>5693</v>
      </c>
      <c r="B5694" s="9" t="s">
        <v>48</v>
      </c>
      <c r="C5694" s="10" t="s">
        <v>49</v>
      </c>
      <c r="D5694" s="11">
        <v>44.968072668405433</v>
      </c>
      <c r="E5694" s="12">
        <f t="shared" si="88"/>
        <v>47132</v>
      </c>
    </row>
    <row r="5695" spans="1:5" x14ac:dyDescent="0.25">
      <c r="A5695" s="2">
        <f>IF(B5695="","",SUBTOTAL(3,$B$2:B5695))</f>
        <v>5694</v>
      </c>
      <c r="B5695" s="9" t="s">
        <v>48</v>
      </c>
      <c r="C5695" s="10" t="s">
        <v>52</v>
      </c>
      <c r="D5695" s="11">
        <v>77.017868145409736</v>
      </c>
      <c r="E5695" s="12">
        <f t="shared" si="88"/>
        <v>47133</v>
      </c>
    </row>
    <row r="5696" spans="1:5" x14ac:dyDescent="0.25">
      <c r="A5696" s="2">
        <f>IF(B5696="","",SUBTOTAL(3,$B$2:B5696))</f>
        <v>5695</v>
      </c>
      <c r="B5696" s="9" t="s">
        <v>48</v>
      </c>
      <c r="C5696" s="10" t="s">
        <v>49</v>
      </c>
      <c r="D5696" s="11">
        <v>25.853154084798344</v>
      </c>
      <c r="E5696" s="12">
        <f t="shared" si="88"/>
        <v>47134</v>
      </c>
    </row>
    <row r="5697" spans="1:5" x14ac:dyDescent="0.25">
      <c r="A5697" s="2">
        <f>IF(B5697="","",SUBTOTAL(3,$B$2:B5697))</f>
        <v>5696</v>
      </c>
      <c r="B5697" s="9" t="s">
        <v>51</v>
      </c>
      <c r="C5697" s="10" t="s">
        <v>52</v>
      </c>
      <c r="D5697" s="11">
        <v>81.030710639332298</v>
      </c>
      <c r="E5697" s="12">
        <f t="shared" si="88"/>
        <v>47135</v>
      </c>
    </row>
    <row r="5698" spans="1:5" x14ac:dyDescent="0.25">
      <c r="A5698" s="2">
        <f>IF(B5698="","",SUBTOTAL(3,$B$2:B5698))</f>
        <v>5697</v>
      </c>
      <c r="B5698" s="9" t="s">
        <v>50</v>
      </c>
      <c r="C5698" s="10" t="s">
        <v>52</v>
      </c>
      <c r="D5698" s="11">
        <v>0</v>
      </c>
      <c r="E5698" s="12">
        <f t="shared" si="88"/>
        <v>47136</v>
      </c>
    </row>
    <row r="5699" spans="1:5" x14ac:dyDescent="0.25">
      <c r="A5699" s="2">
        <f>IF(B5699="","",SUBTOTAL(3,$B$2:B5699))</f>
        <v>5698</v>
      </c>
      <c r="B5699" s="9" t="s">
        <v>48</v>
      </c>
      <c r="C5699" s="10" t="s">
        <v>52</v>
      </c>
      <c r="D5699" s="11">
        <v>158.27171903881703</v>
      </c>
      <c r="E5699" s="12">
        <f t="shared" si="88"/>
        <v>47137</v>
      </c>
    </row>
    <row r="5700" spans="1:5" x14ac:dyDescent="0.25">
      <c r="A5700" s="2">
        <f>IF(B5700="","",SUBTOTAL(3,$B$2:B5700))</f>
        <v>5699</v>
      </c>
      <c r="B5700" s="9" t="s">
        <v>48</v>
      </c>
      <c r="C5700" s="10" t="s">
        <v>49</v>
      </c>
      <c r="D5700" s="11">
        <v>30.807147258163894</v>
      </c>
      <c r="E5700" s="12">
        <f t="shared" ref="E5700:E5763" si="89">E5699+1</f>
        <v>47138</v>
      </c>
    </row>
    <row r="5701" spans="1:5" x14ac:dyDescent="0.25">
      <c r="A5701" s="2">
        <f>IF(B5701="","",SUBTOTAL(3,$B$2:B5701))</f>
        <v>5700</v>
      </c>
      <c r="B5701" s="9" t="s">
        <v>50</v>
      </c>
      <c r="C5701" s="10" t="s">
        <v>49</v>
      </c>
      <c r="D5701" s="11">
        <v>55.114638447971785</v>
      </c>
      <c r="E5701" s="12">
        <f t="shared" si="89"/>
        <v>47139</v>
      </c>
    </row>
    <row r="5702" spans="1:5" x14ac:dyDescent="0.25">
      <c r="A5702" s="2">
        <f>IF(B5702="","",SUBTOTAL(3,$B$2:B5702))</f>
        <v>5701</v>
      </c>
      <c r="B5702" s="9" t="s">
        <v>48</v>
      </c>
      <c r="C5702" s="10" t="s">
        <v>52</v>
      </c>
      <c r="D5702" s="11">
        <v>131.04981177649583</v>
      </c>
      <c r="E5702" s="12">
        <f t="shared" si="89"/>
        <v>47140</v>
      </c>
    </row>
    <row r="5703" spans="1:5" x14ac:dyDescent="0.25">
      <c r="A5703" s="2">
        <f>IF(B5703="","",SUBTOTAL(3,$B$2:B5703))</f>
        <v>5702</v>
      </c>
      <c r="B5703" s="9" t="s">
        <v>48</v>
      </c>
      <c r="C5703" s="10" t="s">
        <v>49</v>
      </c>
      <c r="D5703" s="11">
        <v>172.35436056532231</v>
      </c>
      <c r="E5703" s="12">
        <f t="shared" si="89"/>
        <v>47141</v>
      </c>
    </row>
    <row r="5704" spans="1:5" x14ac:dyDescent="0.25">
      <c r="A5704" s="2">
        <f>IF(B5704="","",SUBTOTAL(3,$B$2:B5704))</f>
        <v>5703</v>
      </c>
      <c r="B5704" s="9" t="s">
        <v>50</v>
      </c>
      <c r="C5704" s="10" t="s">
        <v>49</v>
      </c>
      <c r="D5704" s="11">
        <v>88.183421516754848</v>
      </c>
      <c r="E5704" s="12">
        <f t="shared" si="89"/>
        <v>47142</v>
      </c>
    </row>
    <row r="5705" spans="1:5" x14ac:dyDescent="0.25">
      <c r="A5705" s="2">
        <f>IF(B5705="","",SUBTOTAL(3,$B$2:B5705))</f>
        <v>5704</v>
      </c>
      <c r="B5705" s="9" t="s">
        <v>55</v>
      </c>
      <c r="C5705" s="10" t="s">
        <v>52</v>
      </c>
      <c r="D5705" s="11">
        <v>52.961001444390952</v>
      </c>
      <c r="E5705" s="12">
        <f t="shared" si="89"/>
        <v>47143</v>
      </c>
    </row>
    <row r="5706" spans="1:5" x14ac:dyDescent="0.25">
      <c r="A5706" s="2">
        <f>IF(B5706="","",SUBTOTAL(3,$B$2:B5706))</f>
        <v>5705</v>
      </c>
      <c r="B5706" s="9" t="s">
        <v>48</v>
      </c>
      <c r="C5706" s="10" t="s">
        <v>52</v>
      </c>
      <c r="D5706" s="11">
        <v>105.51447935921134</v>
      </c>
      <c r="E5706" s="12">
        <f t="shared" si="89"/>
        <v>47144</v>
      </c>
    </row>
    <row r="5707" spans="1:5" x14ac:dyDescent="0.25">
      <c r="A5707" s="2">
        <f>IF(B5707="","",SUBTOTAL(3,$B$2:B5707))</f>
        <v>5706</v>
      </c>
      <c r="B5707" s="9" t="s">
        <v>55</v>
      </c>
      <c r="C5707" s="10" t="s">
        <v>49</v>
      </c>
      <c r="D5707" s="11">
        <v>110.4</v>
      </c>
      <c r="E5707" s="12">
        <f t="shared" si="89"/>
        <v>47145</v>
      </c>
    </row>
    <row r="5708" spans="1:5" x14ac:dyDescent="0.25">
      <c r="A5708" s="2">
        <f>IF(B5708="","",SUBTOTAL(3,$B$2:B5708))</f>
        <v>5707</v>
      </c>
      <c r="B5708" s="9" t="s">
        <v>48</v>
      </c>
      <c r="C5708" s="10" t="s">
        <v>49</v>
      </c>
      <c r="D5708" s="11">
        <v>20.948860135551449</v>
      </c>
      <c r="E5708" s="12">
        <f t="shared" si="89"/>
        <v>47146</v>
      </c>
    </row>
    <row r="5709" spans="1:5" x14ac:dyDescent="0.25">
      <c r="A5709" s="2">
        <f>IF(B5709="","",SUBTOTAL(3,$B$2:B5709))</f>
        <v>5708</v>
      </c>
      <c r="B5709" s="9" t="s">
        <v>50</v>
      </c>
      <c r="C5709" s="10" t="s">
        <v>54</v>
      </c>
      <c r="D5709" s="11">
        <v>110.22927689594357</v>
      </c>
      <c r="E5709" s="12">
        <f t="shared" si="89"/>
        <v>47147</v>
      </c>
    </row>
    <row r="5710" spans="1:5" x14ac:dyDescent="0.25">
      <c r="A5710" s="2">
        <f>IF(B5710="","",SUBTOTAL(3,$B$2:B5710))</f>
        <v>5709</v>
      </c>
      <c r="B5710" s="9" t="s">
        <v>50</v>
      </c>
      <c r="C5710" s="10" t="s">
        <v>49</v>
      </c>
      <c r="D5710" s="11">
        <v>661.37566137566137</v>
      </c>
      <c r="E5710" s="12">
        <f t="shared" si="89"/>
        <v>47148</v>
      </c>
    </row>
    <row r="5711" spans="1:5" x14ac:dyDescent="0.25">
      <c r="A5711" s="2">
        <f>IF(B5711="","",SUBTOTAL(3,$B$2:B5711))</f>
        <v>5710</v>
      </c>
      <c r="B5711" s="9" t="s">
        <v>55</v>
      </c>
      <c r="C5711" s="10" t="s">
        <v>52</v>
      </c>
      <c r="D5711" s="11">
        <v>80.243941582410528</v>
      </c>
      <c r="E5711" s="12">
        <f t="shared" si="89"/>
        <v>47149</v>
      </c>
    </row>
    <row r="5712" spans="1:5" x14ac:dyDescent="0.25">
      <c r="A5712" s="2">
        <f>IF(B5712="","",SUBTOTAL(3,$B$2:B5712))</f>
        <v>5711</v>
      </c>
      <c r="B5712" s="9" t="s">
        <v>48</v>
      </c>
      <c r="C5712" s="10" t="s">
        <v>49</v>
      </c>
      <c r="D5712" s="11">
        <v>55.153395380903135</v>
      </c>
      <c r="E5712" s="12">
        <f t="shared" si="89"/>
        <v>47150</v>
      </c>
    </row>
    <row r="5713" spans="1:5" x14ac:dyDescent="0.25">
      <c r="A5713" s="2">
        <f>IF(B5713="","",SUBTOTAL(3,$B$2:B5713))</f>
        <v>5712</v>
      </c>
      <c r="B5713" s="9" t="s">
        <v>48</v>
      </c>
      <c r="C5713" s="10" t="s">
        <v>49</v>
      </c>
      <c r="D5713" s="11">
        <v>18.958979662185452</v>
      </c>
      <c r="E5713" s="12">
        <f t="shared" si="89"/>
        <v>47151</v>
      </c>
    </row>
    <row r="5714" spans="1:5" x14ac:dyDescent="0.25">
      <c r="A5714" s="2">
        <f>IF(B5714="","",SUBTOTAL(3,$B$2:B5714))</f>
        <v>5713</v>
      </c>
      <c r="B5714" s="9" t="s">
        <v>55</v>
      </c>
      <c r="C5714" s="10" t="s">
        <v>52</v>
      </c>
      <c r="D5714" s="11">
        <v>9.65</v>
      </c>
      <c r="E5714" s="12">
        <f t="shared" si="89"/>
        <v>47152</v>
      </c>
    </row>
    <row r="5715" spans="1:5" x14ac:dyDescent="0.25">
      <c r="A5715" s="2">
        <f>IF(B5715="","",SUBTOTAL(3,$B$2:B5715))</f>
        <v>5714</v>
      </c>
      <c r="B5715" s="9" t="s">
        <v>51</v>
      </c>
      <c r="C5715" s="10" t="s">
        <v>56</v>
      </c>
      <c r="D5715" s="11">
        <v>1058.985491898761</v>
      </c>
      <c r="E5715" s="12">
        <f t="shared" si="89"/>
        <v>47153</v>
      </c>
    </row>
    <row r="5716" spans="1:5" x14ac:dyDescent="0.25">
      <c r="A5716" s="2">
        <f>IF(B5716="","",SUBTOTAL(3,$B$2:B5716))</f>
        <v>5715</v>
      </c>
      <c r="B5716" s="9" t="s">
        <v>48</v>
      </c>
      <c r="C5716" s="10" t="s">
        <v>49</v>
      </c>
      <c r="D5716" s="11">
        <v>92.421441774491683</v>
      </c>
      <c r="E5716" s="12">
        <f t="shared" si="89"/>
        <v>47154</v>
      </c>
    </row>
    <row r="5717" spans="1:5" x14ac:dyDescent="0.25">
      <c r="A5717" s="2">
        <f>IF(B5717="","",SUBTOTAL(3,$B$2:B5717))</f>
        <v>5716</v>
      </c>
      <c r="B5717" s="9" t="s">
        <v>53</v>
      </c>
      <c r="C5717" s="10" t="s">
        <v>54</v>
      </c>
      <c r="D5717" s="11">
        <v>64.110196268786581</v>
      </c>
      <c r="E5717" s="12">
        <f t="shared" si="89"/>
        <v>47155</v>
      </c>
    </row>
    <row r="5718" spans="1:5" x14ac:dyDescent="0.25">
      <c r="A5718" s="2">
        <f>IF(B5718="","",SUBTOTAL(3,$B$2:B5718))</f>
        <v>5717</v>
      </c>
      <c r="B5718" s="9" t="s">
        <v>55</v>
      </c>
      <c r="C5718" s="10" t="s">
        <v>49</v>
      </c>
      <c r="D5718" s="11">
        <v>654.89066319048402</v>
      </c>
      <c r="E5718" s="12">
        <f t="shared" si="89"/>
        <v>47156</v>
      </c>
    </row>
    <row r="5719" spans="1:5" x14ac:dyDescent="0.25">
      <c r="A5719" s="2">
        <f>IF(B5719="","",SUBTOTAL(3,$B$2:B5719))</f>
        <v>5718</v>
      </c>
      <c r="B5719" s="9" t="s">
        <v>48</v>
      </c>
      <c r="C5719" s="10" t="s">
        <v>54</v>
      </c>
      <c r="D5719" s="11">
        <v>23.105360443622921</v>
      </c>
      <c r="E5719" s="12">
        <f t="shared" si="89"/>
        <v>47157</v>
      </c>
    </row>
    <row r="5720" spans="1:5" x14ac:dyDescent="0.25">
      <c r="A5720" s="2">
        <f>IF(B5720="","",SUBTOTAL(3,$B$2:B5720))</f>
        <v>5719</v>
      </c>
      <c r="B5720" s="9" t="s">
        <v>48</v>
      </c>
      <c r="C5720" s="10" t="s">
        <v>49</v>
      </c>
      <c r="D5720" s="11">
        <v>231.05360443622922</v>
      </c>
      <c r="E5720" s="12">
        <f t="shared" si="89"/>
        <v>47158</v>
      </c>
    </row>
    <row r="5721" spans="1:5" x14ac:dyDescent="0.25">
      <c r="A5721" s="2">
        <f>IF(B5721="","",SUBTOTAL(3,$B$2:B5721))</f>
        <v>5720</v>
      </c>
      <c r="B5721" s="9" t="s">
        <v>55</v>
      </c>
      <c r="C5721" s="10" t="s">
        <v>49</v>
      </c>
      <c r="D5721" s="11">
        <v>150</v>
      </c>
      <c r="E5721" s="12">
        <f t="shared" si="89"/>
        <v>47159</v>
      </c>
    </row>
    <row r="5722" spans="1:5" x14ac:dyDescent="0.25">
      <c r="A5722" s="2">
        <f>IF(B5722="","",SUBTOTAL(3,$B$2:B5722))</f>
        <v>5721</v>
      </c>
      <c r="B5722" s="9" t="s">
        <v>50</v>
      </c>
      <c r="C5722" s="10" t="s">
        <v>52</v>
      </c>
      <c r="D5722" s="11">
        <v>33.06878306878307</v>
      </c>
      <c r="E5722" s="12">
        <f t="shared" si="89"/>
        <v>47160</v>
      </c>
    </row>
    <row r="5723" spans="1:5" x14ac:dyDescent="0.25">
      <c r="A5723" s="2">
        <f>IF(B5723="","",SUBTOTAL(3,$B$2:B5723))</f>
        <v>5722</v>
      </c>
      <c r="B5723" s="9" t="s">
        <v>48</v>
      </c>
      <c r="C5723" s="10" t="s">
        <v>52</v>
      </c>
      <c r="D5723" s="11">
        <v>73.860135551447939</v>
      </c>
      <c r="E5723" s="12">
        <f t="shared" si="89"/>
        <v>47161</v>
      </c>
    </row>
    <row r="5724" spans="1:5" x14ac:dyDescent="0.25">
      <c r="A5724" s="2">
        <f>IF(B5724="","",SUBTOTAL(3,$B$2:B5724))</f>
        <v>5723</v>
      </c>
      <c r="B5724" s="9" t="s">
        <v>48</v>
      </c>
      <c r="C5724" s="10" t="s">
        <v>54</v>
      </c>
      <c r="D5724" s="11">
        <v>46.210720887245841</v>
      </c>
      <c r="E5724" s="12">
        <f t="shared" si="89"/>
        <v>47162</v>
      </c>
    </row>
    <row r="5725" spans="1:5" x14ac:dyDescent="0.25">
      <c r="A5725" s="2">
        <f>IF(B5725="","",SUBTOTAL(3,$B$2:B5725))</f>
        <v>5724</v>
      </c>
      <c r="B5725" s="9" t="s">
        <v>48</v>
      </c>
      <c r="C5725" s="10" t="s">
        <v>49</v>
      </c>
      <c r="D5725" s="11">
        <v>154.03573629081947</v>
      </c>
      <c r="E5725" s="12">
        <f t="shared" si="89"/>
        <v>47163</v>
      </c>
    </row>
    <row r="5726" spans="1:5" x14ac:dyDescent="0.25">
      <c r="A5726" s="2">
        <f>IF(B5726="","",SUBTOTAL(3,$B$2:B5726))</f>
        <v>5725</v>
      </c>
      <c r="B5726" s="9" t="s">
        <v>50</v>
      </c>
      <c r="C5726" s="10" t="s">
        <v>49</v>
      </c>
      <c r="D5726" s="11">
        <v>133</v>
      </c>
      <c r="E5726" s="12">
        <f t="shared" si="89"/>
        <v>47164</v>
      </c>
    </row>
    <row r="5727" spans="1:5" x14ac:dyDescent="0.25">
      <c r="A5727" s="2">
        <f>IF(B5727="","",SUBTOTAL(3,$B$2:B5727))</f>
        <v>5726</v>
      </c>
      <c r="B5727" s="9" t="s">
        <v>48</v>
      </c>
      <c r="C5727" s="10" t="s">
        <v>54</v>
      </c>
      <c r="D5727" s="11">
        <v>115.63218686161397</v>
      </c>
      <c r="E5727" s="12">
        <f t="shared" si="89"/>
        <v>47165</v>
      </c>
    </row>
    <row r="5728" spans="1:5" x14ac:dyDescent="0.25">
      <c r="A5728" s="2">
        <f>IF(B5728="","",SUBTOTAL(3,$B$2:B5728))</f>
        <v>5727</v>
      </c>
      <c r="B5728" s="9" t="s">
        <v>50</v>
      </c>
      <c r="C5728" s="10" t="s">
        <v>49</v>
      </c>
      <c r="D5728" s="11">
        <v>440.91710758377428</v>
      </c>
      <c r="E5728" s="12">
        <f t="shared" si="89"/>
        <v>47166</v>
      </c>
    </row>
    <row r="5729" spans="1:5" x14ac:dyDescent="0.25">
      <c r="A5729" s="2">
        <f>IF(B5729="","",SUBTOTAL(3,$B$2:B5729))</f>
        <v>5728</v>
      </c>
      <c r="B5729" s="9" t="s">
        <v>55</v>
      </c>
      <c r="C5729" s="10" t="s">
        <v>49</v>
      </c>
      <c r="D5729" s="11">
        <v>211.82988430829397</v>
      </c>
      <c r="E5729" s="12">
        <f t="shared" si="89"/>
        <v>47167</v>
      </c>
    </row>
    <row r="5730" spans="1:5" x14ac:dyDescent="0.25">
      <c r="A5730" s="2">
        <f>IF(B5730="","",SUBTOTAL(3,$B$2:B5730))</f>
        <v>5729</v>
      </c>
      <c r="B5730" s="9" t="s">
        <v>55</v>
      </c>
      <c r="C5730" s="10" t="s">
        <v>52</v>
      </c>
      <c r="D5730" s="11">
        <v>15</v>
      </c>
      <c r="E5730" s="12">
        <f t="shared" si="89"/>
        <v>47168</v>
      </c>
    </row>
    <row r="5731" spans="1:5" x14ac:dyDescent="0.25">
      <c r="A5731" s="2">
        <f>IF(B5731="","",SUBTOTAL(3,$B$2:B5731))</f>
        <v>5730</v>
      </c>
      <c r="B5731" s="9" t="s">
        <v>48</v>
      </c>
      <c r="C5731" s="10" t="s">
        <v>52</v>
      </c>
      <c r="D5731" s="11">
        <v>154.03573629081947</v>
      </c>
      <c r="E5731" s="12">
        <f t="shared" si="89"/>
        <v>47169</v>
      </c>
    </row>
    <row r="5732" spans="1:5" x14ac:dyDescent="0.25">
      <c r="A5732" s="2">
        <f>IF(B5732="","",SUBTOTAL(3,$B$2:B5732))</f>
        <v>5731</v>
      </c>
      <c r="B5732" s="9" t="s">
        <v>48</v>
      </c>
      <c r="C5732" s="10" t="s">
        <v>49</v>
      </c>
      <c r="D5732" s="11">
        <v>46.210720887245841</v>
      </c>
      <c r="E5732" s="12">
        <f t="shared" si="89"/>
        <v>47170</v>
      </c>
    </row>
    <row r="5733" spans="1:5" x14ac:dyDescent="0.25">
      <c r="A5733" s="2">
        <f>IF(B5733="","",SUBTOTAL(3,$B$2:B5733))</f>
        <v>5732</v>
      </c>
      <c r="B5733" s="9" t="s">
        <v>48</v>
      </c>
      <c r="C5733" s="10" t="s">
        <v>54</v>
      </c>
      <c r="D5733" s="11">
        <v>30.807147258163894</v>
      </c>
      <c r="E5733" s="12">
        <f t="shared" si="89"/>
        <v>47171</v>
      </c>
    </row>
    <row r="5734" spans="1:5" x14ac:dyDescent="0.25">
      <c r="A5734" s="2">
        <f>IF(B5734="","",SUBTOTAL(3,$B$2:B5734))</f>
        <v>5733</v>
      </c>
      <c r="B5734" s="9" t="s">
        <v>48</v>
      </c>
      <c r="C5734" s="10" t="s">
        <v>49</v>
      </c>
      <c r="D5734" s="11">
        <v>15.403573629081947</v>
      </c>
      <c r="E5734" s="12">
        <f t="shared" si="89"/>
        <v>47172</v>
      </c>
    </row>
    <row r="5735" spans="1:5" x14ac:dyDescent="0.25">
      <c r="A5735" s="2">
        <f>IF(B5735="","",SUBTOTAL(3,$B$2:B5735))</f>
        <v>5734</v>
      </c>
      <c r="B5735" s="9" t="s">
        <v>48</v>
      </c>
      <c r="C5735" s="10" t="s">
        <v>49</v>
      </c>
      <c r="D5735" s="11">
        <v>26.186075169439309</v>
      </c>
      <c r="E5735" s="12">
        <f t="shared" si="89"/>
        <v>47173</v>
      </c>
    </row>
    <row r="5736" spans="1:5" x14ac:dyDescent="0.25">
      <c r="A5736" s="2">
        <f>IF(B5736="","",SUBTOTAL(3,$B$2:B5736))</f>
        <v>5735</v>
      </c>
      <c r="B5736" s="9" t="s">
        <v>53</v>
      </c>
      <c r="C5736" s="10" t="s">
        <v>49</v>
      </c>
      <c r="D5736" s="11">
        <v>118.14593312390672</v>
      </c>
      <c r="E5736" s="12">
        <f t="shared" si="89"/>
        <v>47174</v>
      </c>
    </row>
    <row r="5737" spans="1:5" x14ac:dyDescent="0.25">
      <c r="A5737" s="2">
        <f>IF(B5737="","",SUBTOTAL(3,$B$2:B5737))</f>
        <v>5736</v>
      </c>
      <c r="B5737" s="9" t="s">
        <v>48</v>
      </c>
      <c r="C5737" s="10" t="s">
        <v>49</v>
      </c>
      <c r="D5737" s="11">
        <v>770.17868145409739</v>
      </c>
      <c r="E5737" s="12">
        <f t="shared" si="89"/>
        <v>47175</v>
      </c>
    </row>
    <row r="5738" spans="1:5" x14ac:dyDescent="0.25">
      <c r="A5738" s="2">
        <f>IF(B5738="","",SUBTOTAL(3,$B$2:B5738))</f>
        <v>5737</v>
      </c>
      <c r="B5738" s="9" t="s">
        <v>48</v>
      </c>
      <c r="C5738" s="10" t="s">
        <v>49</v>
      </c>
      <c r="D5738" s="11">
        <v>30.807147258163894</v>
      </c>
      <c r="E5738" s="12">
        <f t="shared" si="89"/>
        <v>47176</v>
      </c>
    </row>
    <row r="5739" spans="1:5" x14ac:dyDescent="0.25">
      <c r="A5739" s="2">
        <f>IF(B5739="","",SUBTOTAL(3,$B$2:B5739))</f>
        <v>5738</v>
      </c>
      <c r="B5739" s="9" t="s">
        <v>50</v>
      </c>
      <c r="C5739" s="10" t="s">
        <v>49</v>
      </c>
      <c r="D5739" s="11">
        <v>195.868430335097</v>
      </c>
      <c r="E5739" s="12">
        <f t="shared" si="89"/>
        <v>47177</v>
      </c>
    </row>
    <row r="5740" spans="1:5" x14ac:dyDescent="0.25">
      <c r="A5740" s="2">
        <f>IF(B5740="","",SUBTOTAL(3,$B$2:B5740))</f>
        <v>5739</v>
      </c>
      <c r="B5740" s="9" t="s">
        <v>50</v>
      </c>
      <c r="C5740" s="10" t="s">
        <v>52</v>
      </c>
      <c r="D5740" s="11">
        <v>39.682539682539684</v>
      </c>
      <c r="E5740" s="12">
        <f t="shared" si="89"/>
        <v>47178</v>
      </c>
    </row>
    <row r="5741" spans="1:5" x14ac:dyDescent="0.25">
      <c r="A5741" s="2">
        <f>IF(B5741="","",SUBTOTAL(3,$B$2:B5741))</f>
        <v>5740</v>
      </c>
      <c r="B5741" s="9" t="s">
        <v>48</v>
      </c>
      <c r="C5741" s="10" t="s">
        <v>52</v>
      </c>
      <c r="D5741" s="11">
        <v>123.22858903265558</v>
      </c>
      <c r="E5741" s="12">
        <f t="shared" si="89"/>
        <v>47179</v>
      </c>
    </row>
    <row r="5742" spans="1:5" x14ac:dyDescent="0.25">
      <c r="A5742" s="2">
        <f>IF(B5742="","",SUBTOTAL(3,$B$2:B5742))</f>
        <v>5741</v>
      </c>
      <c r="B5742" s="9" t="s">
        <v>48</v>
      </c>
      <c r="C5742" s="10" t="s">
        <v>52</v>
      </c>
      <c r="D5742" s="11">
        <v>308.07147258163894</v>
      </c>
      <c r="E5742" s="12">
        <f t="shared" si="89"/>
        <v>47180</v>
      </c>
    </row>
    <row r="5743" spans="1:5" x14ac:dyDescent="0.25">
      <c r="A5743" s="2">
        <f>IF(B5743="","",SUBTOTAL(3,$B$2:B5743))</f>
        <v>5742</v>
      </c>
      <c r="B5743" s="9" t="s">
        <v>48</v>
      </c>
      <c r="C5743" s="10" t="s">
        <v>52</v>
      </c>
      <c r="D5743" s="11">
        <v>154.03573629081947</v>
      </c>
      <c r="E5743" s="12">
        <f t="shared" si="89"/>
        <v>47181</v>
      </c>
    </row>
    <row r="5744" spans="1:5" x14ac:dyDescent="0.25">
      <c r="A5744" s="2">
        <f>IF(B5744="","",SUBTOTAL(3,$B$2:B5744))</f>
        <v>5743</v>
      </c>
      <c r="B5744" s="9" t="s">
        <v>48</v>
      </c>
      <c r="C5744" s="10" t="s">
        <v>52</v>
      </c>
      <c r="D5744" s="11">
        <v>154.03573629081947</v>
      </c>
      <c r="E5744" s="12">
        <f t="shared" si="89"/>
        <v>47182</v>
      </c>
    </row>
    <row r="5745" spans="1:5" x14ac:dyDescent="0.25">
      <c r="A5745" s="2">
        <f>IF(B5745="","",SUBTOTAL(3,$B$2:B5745))</f>
        <v>5744</v>
      </c>
      <c r="B5745" s="9" t="s">
        <v>48</v>
      </c>
      <c r="C5745" s="10" t="s">
        <v>52</v>
      </c>
      <c r="D5745" s="11">
        <v>92.421441774491683</v>
      </c>
      <c r="E5745" s="12">
        <f t="shared" si="89"/>
        <v>47183</v>
      </c>
    </row>
    <row r="5746" spans="1:5" x14ac:dyDescent="0.25">
      <c r="A5746" s="2">
        <f>IF(B5746="","",SUBTOTAL(3,$B$2:B5746))</f>
        <v>5745</v>
      </c>
      <c r="B5746" s="9" t="s">
        <v>48</v>
      </c>
      <c r="C5746" s="10" t="s">
        <v>52</v>
      </c>
      <c r="D5746" s="11">
        <v>770.17868145409739</v>
      </c>
      <c r="E5746" s="12">
        <f t="shared" si="89"/>
        <v>47184</v>
      </c>
    </row>
    <row r="5747" spans="1:5" x14ac:dyDescent="0.25">
      <c r="A5747" s="2">
        <f>IF(B5747="","",SUBTOTAL(3,$B$2:B5747))</f>
        <v>5746</v>
      </c>
      <c r="B5747" s="9" t="s">
        <v>48</v>
      </c>
      <c r="C5747" s="10" t="s">
        <v>52</v>
      </c>
      <c r="D5747" s="11">
        <v>385.08934072704869</v>
      </c>
      <c r="E5747" s="12">
        <f t="shared" si="89"/>
        <v>47185</v>
      </c>
    </row>
    <row r="5748" spans="1:5" x14ac:dyDescent="0.25">
      <c r="A5748" s="2">
        <f>IF(B5748="","",SUBTOTAL(3,$B$2:B5748))</f>
        <v>5747</v>
      </c>
      <c r="B5748" s="9" t="s">
        <v>51</v>
      </c>
      <c r="C5748" s="10" t="s">
        <v>54</v>
      </c>
      <c r="D5748" s="11">
        <v>100</v>
      </c>
      <c r="E5748" s="12">
        <f t="shared" si="89"/>
        <v>47186</v>
      </c>
    </row>
    <row r="5749" spans="1:5" x14ac:dyDescent="0.25">
      <c r="A5749" s="2">
        <f>IF(B5749="","",SUBTOTAL(3,$B$2:B5749))</f>
        <v>5748</v>
      </c>
      <c r="B5749" s="9" t="s">
        <v>51</v>
      </c>
      <c r="C5749" s="10" t="s">
        <v>54</v>
      </c>
      <c r="D5749" s="11">
        <v>264.74637297469025</v>
      </c>
      <c r="E5749" s="12">
        <f t="shared" si="89"/>
        <v>47187</v>
      </c>
    </row>
    <row r="5750" spans="1:5" x14ac:dyDescent="0.25">
      <c r="A5750" s="2">
        <f>IF(B5750="","",SUBTOTAL(3,$B$2:B5750))</f>
        <v>5749</v>
      </c>
      <c r="B5750" s="9" t="s">
        <v>55</v>
      </c>
      <c r="C5750" s="10" t="s">
        <v>49</v>
      </c>
      <c r="D5750" s="11">
        <v>21.828254847645432</v>
      </c>
      <c r="E5750" s="12">
        <f t="shared" si="89"/>
        <v>47188</v>
      </c>
    </row>
    <row r="5751" spans="1:5" x14ac:dyDescent="0.25">
      <c r="A5751" s="2">
        <f>IF(B5751="","",SUBTOTAL(3,$B$2:B5751))</f>
        <v>5750</v>
      </c>
      <c r="B5751" s="9" t="s">
        <v>55</v>
      </c>
      <c r="C5751" s="10" t="s">
        <v>49</v>
      </c>
      <c r="D5751" s="11">
        <v>54.574221932540333</v>
      </c>
      <c r="E5751" s="12">
        <f t="shared" si="89"/>
        <v>47189</v>
      </c>
    </row>
    <row r="5752" spans="1:5" x14ac:dyDescent="0.25">
      <c r="A5752" s="2">
        <f>IF(B5752="","",SUBTOTAL(3,$B$2:B5752))</f>
        <v>5751</v>
      </c>
      <c r="B5752" s="9" t="s">
        <v>50</v>
      </c>
      <c r="C5752" s="10" t="s">
        <v>49</v>
      </c>
      <c r="D5752" s="11">
        <v>154.32098765432099</v>
      </c>
      <c r="E5752" s="12">
        <f t="shared" si="89"/>
        <v>47190</v>
      </c>
    </row>
    <row r="5753" spans="1:5" x14ac:dyDescent="0.25">
      <c r="A5753" s="2">
        <f>IF(B5753="","",SUBTOTAL(3,$B$2:B5753))</f>
        <v>5752</v>
      </c>
      <c r="B5753" s="9" t="s">
        <v>55</v>
      </c>
      <c r="C5753" s="10" t="s">
        <v>54</v>
      </c>
      <c r="D5753" s="11">
        <v>20.106240834283852</v>
      </c>
      <c r="E5753" s="12">
        <f t="shared" si="89"/>
        <v>47191</v>
      </c>
    </row>
    <row r="5754" spans="1:5" x14ac:dyDescent="0.25">
      <c r="A5754" s="2">
        <f>IF(B5754="","",SUBTOTAL(3,$B$2:B5754))</f>
        <v>5753</v>
      </c>
      <c r="B5754" s="9" t="s">
        <v>55</v>
      </c>
      <c r="C5754" s="10" t="s">
        <v>52</v>
      </c>
      <c r="D5754" s="11">
        <v>250</v>
      </c>
      <c r="E5754" s="12">
        <f t="shared" si="89"/>
        <v>47192</v>
      </c>
    </row>
    <row r="5755" spans="1:5" x14ac:dyDescent="0.25">
      <c r="A5755" s="2">
        <f>IF(B5755="","",SUBTOTAL(3,$B$2:B5755))</f>
        <v>5754</v>
      </c>
      <c r="B5755" s="9" t="s">
        <v>48</v>
      </c>
      <c r="C5755" s="10" t="s">
        <v>49</v>
      </c>
      <c r="D5755" s="11">
        <v>46.210720887245841</v>
      </c>
      <c r="E5755" s="12">
        <f t="shared" si="89"/>
        <v>47193</v>
      </c>
    </row>
    <row r="5756" spans="1:5" x14ac:dyDescent="0.25">
      <c r="A5756" s="2">
        <f>IF(B5756="","",SUBTOTAL(3,$B$2:B5756))</f>
        <v>5755</v>
      </c>
      <c r="B5756" s="9" t="s">
        <v>50</v>
      </c>
      <c r="C5756" s="10" t="s">
        <v>49</v>
      </c>
      <c r="D5756" s="11">
        <v>61.970899470899475</v>
      </c>
      <c r="E5756" s="12">
        <f t="shared" si="89"/>
        <v>47194</v>
      </c>
    </row>
    <row r="5757" spans="1:5" x14ac:dyDescent="0.25">
      <c r="A5757" s="2">
        <f>IF(B5757="","",SUBTOTAL(3,$B$2:B5757))</f>
        <v>5756</v>
      </c>
      <c r="B5757" s="9" t="s">
        <v>48</v>
      </c>
      <c r="C5757" s="10" t="s">
        <v>54</v>
      </c>
      <c r="D5757" s="11">
        <v>65</v>
      </c>
      <c r="E5757" s="12">
        <f t="shared" si="89"/>
        <v>47195</v>
      </c>
    </row>
    <row r="5758" spans="1:5" x14ac:dyDescent="0.25">
      <c r="A5758" s="2">
        <f>IF(B5758="","",SUBTOTAL(3,$B$2:B5758))</f>
        <v>5757</v>
      </c>
      <c r="B5758" s="9" t="s">
        <v>50</v>
      </c>
      <c r="C5758" s="10" t="s">
        <v>49</v>
      </c>
      <c r="D5758" s="11">
        <v>5.7319223985890657</v>
      </c>
      <c r="E5758" s="12">
        <f t="shared" si="89"/>
        <v>47196</v>
      </c>
    </row>
    <row r="5759" spans="1:5" x14ac:dyDescent="0.25">
      <c r="A5759" s="2">
        <f>IF(B5759="","",SUBTOTAL(3,$B$2:B5759))</f>
        <v>5758</v>
      </c>
      <c r="B5759" s="9" t="s">
        <v>50</v>
      </c>
      <c r="C5759" s="10" t="s">
        <v>54</v>
      </c>
      <c r="D5759" s="11">
        <v>440.91710758377428</v>
      </c>
      <c r="E5759" s="12">
        <f t="shared" si="89"/>
        <v>47197</v>
      </c>
    </row>
    <row r="5760" spans="1:5" x14ac:dyDescent="0.25">
      <c r="A5760" s="2">
        <f>IF(B5760="","",SUBTOTAL(3,$B$2:B5760))</f>
        <v>5759</v>
      </c>
      <c r="B5760" s="9" t="s">
        <v>51</v>
      </c>
      <c r="C5760" s="10" t="s">
        <v>49</v>
      </c>
      <c r="D5760" s="11">
        <v>73.069998941014504</v>
      </c>
      <c r="E5760" s="12">
        <f t="shared" si="89"/>
        <v>47198</v>
      </c>
    </row>
    <row r="5761" spans="1:5" x14ac:dyDescent="0.25">
      <c r="A5761" s="2">
        <f>IF(B5761="","",SUBTOTAL(3,$B$2:B5761))</f>
        <v>5760</v>
      </c>
      <c r="B5761" s="9" t="s">
        <v>48</v>
      </c>
      <c r="C5761" s="10" t="s">
        <v>49</v>
      </c>
      <c r="D5761" s="11">
        <v>14.999537892791128</v>
      </c>
      <c r="E5761" s="12">
        <f t="shared" si="89"/>
        <v>47199</v>
      </c>
    </row>
    <row r="5762" spans="1:5" x14ac:dyDescent="0.25">
      <c r="A5762" s="2">
        <f>IF(B5762="","",SUBTOTAL(3,$B$2:B5762))</f>
        <v>5761</v>
      </c>
      <c r="B5762" s="9" t="s">
        <v>53</v>
      </c>
      <c r="C5762" s="10" t="s">
        <v>54</v>
      </c>
      <c r="D5762" s="11">
        <v>10.990319360363413</v>
      </c>
      <c r="E5762" s="12">
        <f t="shared" si="89"/>
        <v>47200</v>
      </c>
    </row>
    <row r="5763" spans="1:5" x14ac:dyDescent="0.25">
      <c r="A5763" s="2">
        <f>IF(B5763="","",SUBTOTAL(3,$B$2:B5763))</f>
        <v>5762</v>
      </c>
      <c r="B5763" s="9" t="s">
        <v>53</v>
      </c>
      <c r="C5763" s="10" t="s">
        <v>54</v>
      </c>
      <c r="D5763" s="11">
        <v>21.980638720726827</v>
      </c>
      <c r="E5763" s="12">
        <f t="shared" si="89"/>
        <v>47201</v>
      </c>
    </row>
    <row r="5764" spans="1:5" x14ac:dyDescent="0.25">
      <c r="A5764" s="2">
        <f>IF(B5764="","",SUBTOTAL(3,$B$2:B5764))</f>
        <v>5763</v>
      </c>
      <c r="B5764" s="9" t="s">
        <v>50</v>
      </c>
      <c r="C5764" s="10" t="s">
        <v>52</v>
      </c>
      <c r="D5764" s="11">
        <v>66.137566137566139</v>
      </c>
      <c r="E5764" s="12">
        <f t="shared" ref="E5764:E5827" si="90">E5763+1</f>
        <v>47202</v>
      </c>
    </row>
    <row r="5765" spans="1:5" x14ac:dyDescent="0.25">
      <c r="A5765" s="2">
        <f>IF(B5765="","",SUBTOTAL(3,$B$2:B5765))</f>
        <v>5764</v>
      </c>
      <c r="B5765" s="9" t="s">
        <v>48</v>
      </c>
      <c r="C5765" s="10" t="s">
        <v>49</v>
      </c>
      <c r="D5765" s="11">
        <v>154.03573629081947</v>
      </c>
      <c r="E5765" s="12">
        <f t="shared" si="90"/>
        <v>47203</v>
      </c>
    </row>
    <row r="5766" spans="1:5" x14ac:dyDescent="0.25">
      <c r="A5766" s="2">
        <f>IF(B5766="","",SUBTOTAL(3,$B$2:B5766))</f>
        <v>5765</v>
      </c>
      <c r="B5766" s="9" t="s">
        <v>50</v>
      </c>
      <c r="C5766" s="10" t="s">
        <v>52</v>
      </c>
      <c r="D5766" s="11">
        <v>33.06878306878307</v>
      </c>
      <c r="E5766" s="12">
        <f t="shared" si="90"/>
        <v>47204</v>
      </c>
    </row>
    <row r="5767" spans="1:5" x14ac:dyDescent="0.25">
      <c r="A5767" s="2">
        <f>IF(B5767="","",SUBTOTAL(3,$B$2:B5767))</f>
        <v>5766</v>
      </c>
      <c r="B5767" s="9" t="s">
        <v>50</v>
      </c>
      <c r="C5767" s="10" t="s">
        <v>52</v>
      </c>
      <c r="D5767" s="11">
        <v>66.137566137566139</v>
      </c>
      <c r="E5767" s="12">
        <f t="shared" si="90"/>
        <v>47205</v>
      </c>
    </row>
    <row r="5768" spans="1:5" x14ac:dyDescent="0.25">
      <c r="A5768" s="2">
        <f>IF(B5768="","",SUBTOTAL(3,$B$2:B5768))</f>
        <v>5767</v>
      </c>
      <c r="B5768" s="9" t="s">
        <v>53</v>
      </c>
      <c r="C5768" s="10" t="s">
        <v>49</v>
      </c>
      <c r="D5768" s="11">
        <v>1831.7198933939023</v>
      </c>
      <c r="E5768" s="12">
        <f t="shared" si="90"/>
        <v>47206</v>
      </c>
    </row>
    <row r="5769" spans="1:5" x14ac:dyDescent="0.25">
      <c r="A5769" s="2">
        <f>IF(B5769="","",SUBTOTAL(3,$B$2:B5769))</f>
        <v>5768</v>
      </c>
      <c r="B5769" s="9" t="s">
        <v>55</v>
      </c>
      <c r="C5769" s="10" t="s">
        <v>52</v>
      </c>
      <c r="D5769" s="11">
        <v>197.4242713399185</v>
      </c>
      <c r="E5769" s="12">
        <f t="shared" si="90"/>
        <v>47207</v>
      </c>
    </row>
    <row r="5770" spans="1:5" x14ac:dyDescent="0.25">
      <c r="A5770" s="2">
        <f>IF(B5770="","",SUBTOTAL(3,$B$2:B5770))</f>
        <v>5769</v>
      </c>
      <c r="B5770" s="9" t="s">
        <v>55</v>
      </c>
      <c r="C5770" s="10" t="s">
        <v>52</v>
      </c>
      <c r="D5770" s="11">
        <v>197.4242713399185</v>
      </c>
      <c r="E5770" s="12">
        <f t="shared" si="90"/>
        <v>47208</v>
      </c>
    </row>
    <row r="5771" spans="1:5" x14ac:dyDescent="0.25">
      <c r="A5771" s="2">
        <f>IF(B5771="","",SUBTOTAL(3,$B$2:B5771))</f>
        <v>5770</v>
      </c>
      <c r="B5771" s="9" t="s">
        <v>48</v>
      </c>
      <c r="C5771" s="10" t="s">
        <v>49</v>
      </c>
      <c r="D5771" s="11">
        <v>19.840572216477074</v>
      </c>
      <c r="E5771" s="12">
        <f t="shared" si="90"/>
        <v>47209</v>
      </c>
    </row>
    <row r="5772" spans="1:5" x14ac:dyDescent="0.25">
      <c r="A5772" s="2">
        <f>IF(B5772="","",SUBTOTAL(3,$B$2:B5772))</f>
        <v>5771</v>
      </c>
      <c r="B5772" s="9" t="s">
        <v>48</v>
      </c>
      <c r="C5772" s="10" t="s">
        <v>49</v>
      </c>
      <c r="D5772" s="11">
        <v>23.859703550499827</v>
      </c>
      <c r="E5772" s="12">
        <f t="shared" si="90"/>
        <v>47210</v>
      </c>
    </row>
    <row r="5773" spans="1:5" x14ac:dyDescent="0.25">
      <c r="A5773" s="2">
        <f>IF(B5773="","",SUBTOTAL(3,$B$2:B5773))</f>
        <v>5772</v>
      </c>
      <c r="B5773" s="9" t="s">
        <v>48</v>
      </c>
      <c r="C5773" s="10" t="s">
        <v>52</v>
      </c>
      <c r="D5773" s="11">
        <v>6.4240103812007767</v>
      </c>
      <c r="E5773" s="12">
        <f t="shared" si="90"/>
        <v>47211</v>
      </c>
    </row>
    <row r="5774" spans="1:5" x14ac:dyDescent="0.25">
      <c r="A5774" s="2">
        <f>IF(B5774="","",SUBTOTAL(3,$B$2:B5774))</f>
        <v>5773</v>
      </c>
      <c r="B5774" s="9" t="s">
        <v>55</v>
      </c>
      <c r="C5774" s="10" t="s">
        <v>52</v>
      </c>
      <c r="D5774" s="11">
        <v>50</v>
      </c>
      <c r="E5774" s="12">
        <f t="shared" si="90"/>
        <v>47212</v>
      </c>
    </row>
    <row r="5775" spans="1:5" x14ac:dyDescent="0.25">
      <c r="A5775" s="2">
        <f>IF(B5775="","",SUBTOTAL(3,$B$2:B5775))</f>
        <v>5774</v>
      </c>
      <c r="B5775" s="9" t="s">
        <v>51</v>
      </c>
      <c r="C5775" s="10" t="s">
        <v>52</v>
      </c>
      <c r="D5775" s="11">
        <v>79.423911892407062</v>
      </c>
      <c r="E5775" s="12">
        <f t="shared" si="90"/>
        <v>47213</v>
      </c>
    </row>
    <row r="5776" spans="1:5" x14ac:dyDescent="0.25">
      <c r="A5776" s="2">
        <f>IF(B5776="","",SUBTOTAL(3,$B$2:B5776))</f>
        <v>5775</v>
      </c>
      <c r="B5776" s="9" t="s">
        <v>55</v>
      </c>
      <c r="C5776" s="10" t="s">
        <v>52</v>
      </c>
      <c r="D5776" s="11">
        <v>822.60113058299385</v>
      </c>
      <c r="E5776" s="12">
        <f t="shared" si="90"/>
        <v>47214</v>
      </c>
    </row>
    <row r="5777" spans="1:5" x14ac:dyDescent="0.25">
      <c r="A5777" s="2">
        <f>IF(B5777="","",SUBTOTAL(3,$B$2:B5777))</f>
        <v>5776</v>
      </c>
      <c r="B5777" s="9" t="s">
        <v>51</v>
      </c>
      <c r="C5777" s="10" t="s">
        <v>52</v>
      </c>
      <c r="D5777" s="11">
        <v>211.79709837975219</v>
      </c>
      <c r="E5777" s="12">
        <f t="shared" si="90"/>
        <v>47215</v>
      </c>
    </row>
    <row r="5778" spans="1:5" x14ac:dyDescent="0.25">
      <c r="A5778" s="2">
        <f>IF(B5778="","",SUBTOTAL(3,$B$2:B5778))</f>
        <v>5777</v>
      </c>
      <c r="B5778" s="9" t="s">
        <v>55</v>
      </c>
      <c r="C5778" s="10" t="s">
        <v>52</v>
      </c>
      <c r="D5778" s="11">
        <v>32.904045223319756</v>
      </c>
      <c r="E5778" s="12">
        <f t="shared" si="90"/>
        <v>47216</v>
      </c>
    </row>
    <row r="5779" spans="1:5" x14ac:dyDescent="0.25">
      <c r="A5779" s="2">
        <f>IF(B5779="","",SUBTOTAL(3,$B$2:B5779))</f>
        <v>5778</v>
      </c>
      <c r="B5779" s="9" t="s">
        <v>51</v>
      </c>
      <c r="C5779" s="10" t="s">
        <v>49</v>
      </c>
      <c r="D5779" s="11">
        <v>40.515355319666149</v>
      </c>
      <c r="E5779" s="12">
        <f t="shared" si="90"/>
        <v>47217</v>
      </c>
    </row>
    <row r="5780" spans="1:5" x14ac:dyDescent="0.25">
      <c r="A5780" s="2">
        <f>IF(B5780="","",SUBTOTAL(3,$B$2:B5780))</f>
        <v>5779</v>
      </c>
      <c r="B5780" s="9" t="s">
        <v>55</v>
      </c>
      <c r="C5780" s="10" t="s">
        <v>52</v>
      </c>
      <c r="D5780" s="11">
        <v>16.048788316482106</v>
      </c>
      <c r="E5780" s="12">
        <f t="shared" si="90"/>
        <v>47218</v>
      </c>
    </row>
    <row r="5781" spans="1:5" x14ac:dyDescent="0.25">
      <c r="A5781" s="2">
        <f>IF(B5781="","",SUBTOTAL(3,$B$2:B5781))</f>
        <v>5780</v>
      </c>
      <c r="B5781" s="9" t="s">
        <v>55</v>
      </c>
      <c r="C5781" s="10" t="s">
        <v>49</v>
      </c>
      <c r="D5781" s="11">
        <v>53.261593612514268</v>
      </c>
      <c r="E5781" s="12">
        <f t="shared" si="90"/>
        <v>47219</v>
      </c>
    </row>
    <row r="5782" spans="1:5" x14ac:dyDescent="0.25">
      <c r="A5782" s="2">
        <f>IF(B5782="","",SUBTOTAL(3,$B$2:B5782))</f>
        <v>5781</v>
      </c>
      <c r="B5782" s="9" t="s">
        <v>55</v>
      </c>
      <c r="C5782" s="10" t="s">
        <v>49</v>
      </c>
      <c r="D5782" s="11">
        <v>26.630796806257134</v>
      </c>
      <c r="E5782" s="12">
        <f t="shared" si="90"/>
        <v>47220</v>
      </c>
    </row>
    <row r="5783" spans="1:5" x14ac:dyDescent="0.25">
      <c r="A5783" s="2">
        <f>IF(B5783="","",SUBTOTAL(3,$B$2:B5783))</f>
        <v>5782</v>
      </c>
      <c r="B5783" s="9" t="s">
        <v>55</v>
      </c>
      <c r="C5783" s="10" t="s">
        <v>49</v>
      </c>
      <c r="D5783" s="11">
        <v>38.590526944457203</v>
      </c>
      <c r="E5783" s="12">
        <f t="shared" si="90"/>
        <v>47221</v>
      </c>
    </row>
    <row r="5784" spans="1:5" x14ac:dyDescent="0.25">
      <c r="A5784" s="2">
        <f>IF(B5784="","",SUBTOTAL(3,$B$2:B5784))</f>
        <v>5783</v>
      </c>
      <c r="B5784" s="9" t="s">
        <v>48</v>
      </c>
      <c r="C5784" s="10" t="s">
        <v>49</v>
      </c>
      <c r="D5784" s="11">
        <v>61.614294516327789</v>
      </c>
      <c r="E5784" s="12">
        <f t="shared" si="90"/>
        <v>47222</v>
      </c>
    </row>
    <row r="5785" spans="1:5" x14ac:dyDescent="0.25">
      <c r="A5785" s="2">
        <f>IF(B5785="","",SUBTOTAL(3,$B$2:B5785))</f>
        <v>5784</v>
      </c>
      <c r="B5785" s="9" t="s">
        <v>53</v>
      </c>
      <c r="C5785" s="10" t="s">
        <v>49</v>
      </c>
      <c r="D5785" s="11">
        <v>155.69619093848172</v>
      </c>
      <c r="E5785" s="12">
        <f t="shared" si="90"/>
        <v>47223</v>
      </c>
    </row>
    <row r="5786" spans="1:5" x14ac:dyDescent="0.25">
      <c r="A5786" s="2">
        <f>IF(B5786="","",SUBTOTAL(3,$B$2:B5786))</f>
        <v>5785</v>
      </c>
      <c r="B5786" s="9" t="s">
        <v>51</v>
      </c>
      <c r="C5786" s="10" t="s">
        <v>54</v>
      </c>
      <c r="D5786" s="11">
        <v>100</v>
      </c>
      <c r="E5786" s="12">
        <f t="shared" si="90"/>
        <v>47224</v>
      </c>
    </row>
    <row r="5787" spans="1:5" x14ac:dyDescent="0.25">
      <c r="A5787" s="2">
        <f>IF(B5787="","",SUBTOTAL(3,$B$2:B5787))</f>
        <v>5786</v>
      </c>
      <c r="B5787" s="9" t="s">
        <v>55</v>
      </c>
      <c r="C5787" s="10" t="s">
        <v>54</v>
      </c>
      <c r="D5787" s="11">
        <v>130.35685188202706</v>
      </c>
      <c r="E5787" s="12">
        <f t="shared" si="90"/>
        <v>47225</v>
      </c>
    </row>
    <row r="5788" spans="1:5" x14ac:dyDescent="0.25">
      <c r="A5788" s="2">
        <f>IF(B5788="","",SUBTOTAL(3,$B$2:B5788))</f>
        <v>5787</v>
      </c>
      <c r="B5788" s="9" t="s">
        <v>48</v>
      </c>
      <c r="C5788" s="10" t="s">
        <v>56</v>
      </c>
      <c r="D5788" s="11">
        <v>25.696041524803107</v>
      </c>
      <c r="E5788" s="12">
        <f t="shared" si="90"/>
        <v>47226</v>
      </c>
    </row>
    <row r="5789" spans="1:5" x14ac:dyDescent="0.25">
      <c r="A5789" s="2">
        <f>IF(B5789="","",SUBTOTAL(3,$B$2:B5789))</f>
        <v>5788</v>
      </c>
      <c r="B5789" s="9" t="s">
        <v>48</v>
      </c>
      <c r="C5789" s="10" t="s">
        <v>52</v>
      </c>
      <c r="D5789" s="11">
        <v>105.51447935921134</v>
      </c>
      <c r="E5789" s="12">
        <f t="shared" si="90"/>
        <v>47227</v>
      </c>
    </row>
    <row r="5790" spans="1:5" x14ac:dyDescent="0.25">
      <c r="A5790" s="2">
        <f>IF(B5790="","",SUBTOTAL(3,$B$2:B5790))</f>
        <v>5789</v>
      </c>
      <c r="B5790" s="9" t="s">
        <v>48</v>
      </c>
      <c r="C5790" s="10" t="s">
        <v>54</v>
      </c>
      <c r="D5790" s="11">
        <v>243.37646333949476</v>
      </c>
      <c r="E5790" s="12">
        <f t="shared" si="90"/>
        <v>47228</v>
      </c>
    </row>
    <row r="5791" spans="1:5" x14ac:dyDescent="0.25">
      <c r="A5791" s="2">
        <f>IF(B5791="","",SUBTOTAL(3,$B$2:B5791))</f>
        <v>5790</v>
      </c>
      <c r="B5791" s="9" t="s">
        <v>50</v>
      </c>
      <c r="C5791" s="10" t="s">
        <v>52</v>
      </c>
      <c r="D5791" s="11">
        <v>110.22927689594357</v>
      </c>
      <c r="E5791" s="12">
        <f t="shared" si="90"/>
        <v>47229</v>
      </c>
    </row>
    <row r="5792" spans="1:5" x14ac:dyDescent="0.25">
      <c r="A5792" s="2">
        <f>IF(B5792="","",SUBTOTAL(3,$B$2:B5792))</f>
        <v>5791</v>
      </c>
      <c r="B5792" s="9" t="s">
        <v>48</v>
      </c>
      <c r="C5792" s="10" t="s">
        <v>54</v>
      </c>
      <c r="D5792" s="11">
        <v>33.838000000000001</v>
      </c>
      <c r="E5792" s="12">
        <f t="shared" si="90"/>
        <v>47230</v>
      </c>
    </row>
    <row r="5793" spans="1:5" x14ac:dyDescent="0.25">
      <c r="A5793" s="2">
        <f>IF(B5793="","",SUBTOTAL(3,$B$2:B5793))</f>
        <v>5792</v>
      </c>
      <c r="B5793" s="9" t="s">
        <v>50</v>
      </c>
      <c r="C5793" s="10" t="s">
        <v>49</v>
      </c>
      <c r="D5793" s="11">
        <v>11.022927689594356</v>
      </c>
      <c r="E5793" s="12">
        <f t="shared" si="90"/>
        <v>47231</v>
      </c>
    </row>
    <row r="5794" spans="1:5" x14ac:dyDescent="0.25">
      <c r="A5794" s="2">
        <f>IF(B5794="","",SUBTOTAL(3,$B$2:B5794))</f>
        <v>5793</v>
      </c>
      <c r="B5794" s="9" t="s">
        <v>50</v>
      </c>
      <c r="C5794" s="10" t="s">
        <v>52</v>
      </c>
      <c r="D5794" s="11">
        <v>66.137566137566139</v>
      </c>
      <c r="E5794" s="12">
        <f t="shared" si="90"/>
        <v>47232</v>
      </c>
    </row>
    <row r="5795" spans="1:5" x14ac:dyDescent="0.25">
      <c r="A5795" s="2">
        <f>IF(B5795="","",SUBTOTAL(3,$B$2:B5795))</f>
        <v>5794</v>
      </c>
      <c r="B5795" s="9" t="s">
        <v>48</v>
      </c>
      <c r="C5795" s="10" t="s">
        <v>49</v>
      </c>
      <c r="D5795" s="11">
        <v>49.291435613062234</v>
      </c>
      <c r="E5795" s="12">
        <f t="shared" si="90"/>
        <v>47233</v>
      </c>
    </row>
    <row r="5796" spans="1:5" x14ac:dyDescent="0.25">
      <c r="A5796" s="2">
        <f>IF(B5796="","",SUBTOTAL(3,$B$2:B5796))</f>
        <v>5795</v>
      </c>
      <c r="B5796" s="9" t="s">
        <v>48</v>
      </c>
      <c r="C5796" s="10" t="s">
        <v>52</v>
      </c>
      <c r="D5796" s="11">
        <v>231.05360443622922</v>
      </c>
      <c r="E5796" s="12">
        <f t="shared" si="90"/>
        <v>47234</v>
      </c>
    </row>
    <row r="5797" spans="1:5" x14ac:dyDescent="0.25">
      <c r="A5797" s="2">
        <f>IF(B5797="","",SUBTOTAL(3,$B$2:B5797))</f>
        <v>5796</v>
      </c>
      <c r="B5797" s="9" t="s">
        <v>55</v>
      </c>
      <c r="C5797" s="10" t="s">
        <v>49</v>
      </c>
      <c r="D5797" s="11">
        <v>74.062590274434285</v>
      </c>
      <c r="E5797" s="12">
        <f t="shared" si="90"/>
        <v>47235</v>
      </c>
    </row>
    <row r="5798" spans="1:5" x14ac:dyDescent="0.25">
      <c r="A5798" s="2">
        <f>IF(B5798="","",SUBTOTAL(3,$B$2:B5798))</f>
        <v>5797</v>
      </c>
      <c r="B5798" s="9" t="s">
        <v>55</v>
      </c>
      <c r="C5798" s="10" t="s">
        <v>49</v>
      </c>
      <c r="D5798" s="11">
        <v>10.814535765149079</v>
      </c>
      <c r="E5798" s="12">
        <f t="shared" si="90"/>
        <v>47236</v>
      </c>
    </row>
    <row r="5799" spans="1:5" x14ac:dyDescent="0.25">
      <c r="A5799" s="2">
        <f>IF(B5799="","",SUBTOTAL(3,$B$2:B5799))</f>
        <v>5798</v>
      </c>
      <c r="B5799" s="9" t="s">
        <v>55</v>
      </c>
      <c r="C5799" s="10" t="s">
        <v>49</v>
      </c>
      <c r="D5799" s="11">
        <v>200</v>
      </c>
      <c r="E5799" s="12">
        <f t="shared" si="90"/>
        <v>47237</v>
      </c>
    </row>
    <row r="5800" spans="1:5" x14ac:dyDescent="0.25">
      <c r="A5800" s="2">
        <f>IF(B5800="","",SUBTOTAL(3,$B$2:B5800))</f>
        <v>5799</v>
      </c>
      <c r="B5800" s="9" t="s">
        <v>50</v>
      </c>
      <c r="C5800" s="10" t="s">
        <v>56</v>
      </c>
      <c r="D5800" s="11">
        <v>70.546737213403873</v>
      </c>
      <c r="E5800" s="12">
        <f t="shared" si="90"/>
        <v>47238</v>
      </c>
    </row>
    <row r="5801" spans="1:5" x14ac:dyDescent="0.25">
      <c r="A5801" s="2">
        <f>IF(B5801="","",SUBTOTAL(3,$B$2:B5801))</f>
        <v>5800</v>
      </c>
      <c r="B5801" s="9" t="s">
        <v>55</v>
      </c>
      <c r="C5801" s="10" t="s">
        <v>52</v>
      </c>
      <c r="D5801" s="11">
        <v>200</v>
      </c>
      <c r="E5801" s="12">
        <f t="shared" si="90"/>
        <v>47239</v>
      </c>
    </row>
    <row r="5802" spans="1:5" x14ac:dyDescent="0.25">
      <c r="A5802" s="2">
        <f>IF(B5802="","",SUBTOTAL(3,$B$2:B5802))</f>
        <v>5801</v>
      </c>
      <c r="B5802" s="9" t="s">
        <v>48</v>
      </c>
      <c r="C5802" s="10" t="s">
        <v>52</v>
      </c>
      <c r="D5802" s="11">
        <v>103.41261633919338</v>
      </c>
      <c r="E5802" s="12">
        <f t="shared" si="90"/>
        <v>47240</v>
      </c>
    </row>
    <row r="5803" spans="1:5" x14ac:dyDescent="0.25">
      <c r="A5803" s="2">
        <f>IF(B5803="","",SUBTOTAL(3,$B$2:B5803))</f>
        <v>5802</v>
      </c>
      <c r="B5803" s="9" t="s">
        <v>48</v>
      </c>
      <c r="C5803" s="10" t="s">
        <v>52</v>
      </c>
      <c r="D5803" s="11">
        <v>103.41261633919338</v>
      </c>
      <c r="E5803" s="12">
        <f t="shared" si="90"/>
        <v>47241</v>
      </c>
    </row>
    <row r="5804" spans="1:5" x14ac:dyDescent="0.25">
      <c r="A5804" s="2">
        <f>IF(B5804="","",SUBTOTAL(3,$B$2:B5804))</f>
        <v>5803</v>
      </c>
      <c r="B5804" s="9" t="s">
        <v>50</v>
      </c>
      <c r="C5804" s="10" t="s">
        <v>49</v>
      </c>
      <c r="D5804" s="11">
        <v>220.45855379188714</v>
      </c>
      <c r="E5804" s="12">
        <f t="shared" si="90"/>
        <v>47242</v>
      </c>
    </row>
    <row r="5805" spans="1:5" x14ac:dyDescent="0.25">
      <c r="A5805" s="2">
        <f>IF(B5805="","",SUBTOTAL(3,$B$2:B5805))</f>
        <v>5804</v>
      </c>
      <c r="B5805" s="9" t="s">
        <v>48</v>
      </c>
      <c r="C5805" s="10" t="s">
        <v>49</v>
      </c>
      <c r="D5805" s="11">
        <v>69.316081330868769</v>
      </c>
      <c r="E5805" s="12">
        <f t="shared" si="90"/>
        <v>47243</v>
      </c>
    </row>
    <row r="5806" spans="1:5" x14ac:dyDescent="0.25">
      <c r="A5806" s="2">
        <f>IF(B5806="","",SUBTOTAL(3,$B$2:B5806))</f>
        <v>5805</v>
      </c>
      <c r="B5806" s="9" t="s">
        <v>48</v>
      </c>
      <c r="C5806" s="10" t="s">
        <v>54</v>
      </c>
      <c r="D5806" s="11">
        <v>137.88348845225781</v>
      </c>
      <c r="E5806" s="12">
        <f t="shared" si="90"/>
        <v>47244</v>
      </c>
    </row>
    <row r="5807" spans="1:5" x14ac:dyDescent="0.25">
      <c r="A5807" s="2">
        <f>IF(B5807="","",SUBTOTAL(3,$B$2:B5807))</f>
        <v>5806</v>
      </c>
      <c r="B5807" s="9" t="s">
        <v>48</v>
      </c>
      <c r="C5807" s="10" t="s">
        <v>49</v>
      </c>
      <c r="D5807" s="11">
        <v>17.235436056532226</v>
      </c>
      <c r="E5807" s="12">
        <f t="shared" si="90"/>
        <v>47245</v>
      </c>
    </row>
    <row r="5808" spans="1:5" x14ac:dyDescent="0.25">
      <c r="A5808" s="2">
        <f>IF(B5808="","",SUBTOTAL(3,$B$2:B5808))</f>
        <v>5807</v>
      </c>
      <c r="B5808" s="9" t="s">
        <v>50</v>
      </c>
      <c r="C5808" s="10" t="s">
        <v>49</v>
      </c>
      <c r="D5808" s="11">
        <v>1984.1269841269841</v>
      </c>
      <c r="E5808" s="12">
        <f t="shared" si="90"/>
        <v>47246</v>
      </c>
    </row>
    <row r="5809" spans="1:5" x14ac:dyDescent="0.25">
      <c r="A5809" s="2">
        <f>IF(B5809="","",SUBTOTAL(3,$B$2:B5809))</f>
        <v>5808</v>
      </c>
      <c r="B5809" s="9" t="s">
        <v>48</v>
      </c>
      <c r="C5809" s="10" t="s">
        <v>49</v>
      </c>
      <c r="D5809" s="11">
        <v>46.210720887245841</v>
      </c>
      <c r="E5809" s="12">
        <f t="shared" si="90"/>
        <v>47247</v>
      </c>
    </row>
    <row r="5810" spans="1:5" x14ac:dyDescent="0.25">
      <c r="A5810" s="2">
        <f>IF(B5810="","",SUBTOTAL(3,$B$2:B5810))</f>
        <v>5809</v>
      </c>
      <c r="B5810" s="9" t="s">
        <v>48</v>
      </c>
      <c r="C5810" s="10" t="s">
        <v>56</v>
      </c>
      <c r="D5810" s="11">
        <v>19.27203114360233</v>
      </c>
      <c r="E5810" s="12">
        <f t="shared" si="90"/>
        <v>47248</v>
      </c>
    </row>
    <row r="5811" spans="1:5" x14ac:dyDescent="0.25">
      <c r="A5811" s="2">
        <f>IF(B5811="","",SUBTOTAL(3,$B$2:B5811))</f>
        <v>5810</v>
      </c>
      <c r="B5811" s="9" t="s">
        <v>48</v>
      </c>
      <c r="C5811" s="10" t="s">
        <v>49</v>
      </c>
      <c r="D5811" s="11">
        <v>123.22858903265558</v>
      </c>
      <c r="E5811" s="12">
        <f t="shared" si="90"/>
        <v>47249</v>
      </c>
    </row>
    <row r="5812" spans="1:5" x14ac:dyDescent="0.25">
      <c r="A5812" s="2">
        <f>IF(B5812="","",SUBTOTAL(3,$B$2:B5812))</f>
        <v>5811</v>
      </c>
      <c r="B5812" s="9" t="s">
        <v>55</v>
      </c>
      <c r="C5812" s="10" t="s">
        <v>49</v>
      </c>
      <c r="D5812" s="11">
        <v>48.883819455760147</v>
      </c>
      <c r="E5812" s="12">
        <f t="shared" si="90"/>
        <v>47250</v>
      </c>
    </row>
    <row r="5813" spans="1:5" x14ac:dyDescent="0.25">
      <c r="A5813" s="2">
        <f>IF(B5813="","",SUBTOTAL(3,$B$2:B5813))</f>
        <v>5812</v>
      </c>
      <c r="B5813" s="9" t="s">
        <v>55</v>
      </c>
      <c r="C5813" s="10" t="s">
        <v>56</v>
      </c>
      <c r="D5813" s="11">
        <v>19.553527782304059</v>
      </c>
      <c r="E5813" s="12">
        <f t="shared" si="90"/>
        <v>47251</v>
      </c>
    </row>
    <row r="5814" spans="1:5" x14ac:dyDescent="0.25">
      <c r="A5814" s="2">
        <f>IF(B5814="","",SUBTOTAL(3,$B$2:B5814))</f>
        <v>5813</v>
      </c>
      <c r="B5814" s="9" t="s">
        <v>48</v>
      </c>
      <c r="C5814" s="10" t="s">
        <v>49</v>
      </c>
      <c r="D5814" s="11">
        <v>40.611367837338264</v>
      </c>
      <c r="E5814" s="12">
        <f t="shared" si="90"/>
        <v>47252</v>
      </c>
    </row>
    <row r="5815" spans="1:5" x14ac:dyDescent="0.25">
      <c r="A5815" s="2">
        <f>IF(B5815="","",SUBTOTAL(3,$B$2:B5815))</f>
        <v>5814</v>
      </c>
      <c r="B5815" s="9" t="s">
        <v>48</v>
      </c>
      <c r="C5815" s="10" t="s">
        <v>49</v>
      </c>
      <c r="D5815" s="11">
        <v>15.403573629081947</v>
      </c>
      <c r="E5815" s="12">
        <f t="shared" si="90"/>
        <v>47253</v>
      </c>
    </row>
    <row r="5816" spans="1:5" x14ac:dyDescent="0.25">
      <c r="A5816" s="2">
        <f>IF(B5816="","",SUBTOTAL(3,$B$2:B5816))</f>
        <v>5815</v>
      </c>
      <c r="B5816" s="9" t="s">
        <v>48</v>
      </c>
      <c r="C5816" s="10" t="s">
        <v>49</v>
      </c>
      <c r="D5816" s="11">
        <v>15.403573629081947</v>
      </c>
      <c r="E5816" s="12">
        <f t="shared" si="90"/>
        <v>47254</v>
      </c>
    </row>
    <row r="5817" spans="1:5" x14ac:dyDescent="0.25">
      <c r="A5817" s="2">
        <f>IF(B5817="","",SUBTOTAL(3,$B$2:B5817))</f>
        <v>5816</v>
      </c>
      <c r="B5817" s="9" t="s">
        <v>48</v>
      </c>
      <c r="C5817" s="10" t="s">
        <v>54</v>
      </c>
      <c r="D5817" s="11">
        <v>69.316081330868769</v>
      </c>
      <c r="E5817" s="12">
        <f t="shared" si="90"/>
        <v>47255</v>
      </c>
    </row>
    <row r="5818" spans="1:5" x14ac:dyDescent="0.25">
      <c r="A5818" s="2">
        <f>IF(B5818="","",SUBTOTAL(3,$B$2:B5818))</f>
        <v>5817</v>
      </c>
      <c r="B5818" s="9" t="s">
        <v>48</v>
      </c>
      <c r="C5818" s="10" t="s">
        <v>49</v>
      </c>
      <c r="D5818" s="11">
        <v>46.210720887245841</v>
      </c>
      <c r="E5818" s="12">
        <f t="shared" si="90"/>
        <v>47256</v>
      </c>
    </row>
    <row r="5819" spans="1:5" x14ac:dyDescent="0.25">
      <c r="A5819" s="2">
        <f>IF(B5819="","",SUBTOTAL(3,$B$2:B5819))</f>
        <v>5818</v>
      </c>
      <c r="B5819" s="9" t="s">
        <v>48</v>
      </c>
      <c r="C5819" s="10" t="s">
        <v>49</v>
      </c>
      <c r="D5819" s="11">
        <v>15.403573629081947</v>
      </c>
      <c r="E5819" s="12">
        <f t="shared" si="90"/>
        <v>47257</v>
      </c>
    </row>
    <row r="5820" spans="1:5" x14ac:dyDescent="0.25">
      <c r="A5820" s="2">
        <f>IF(B5820="","",SUBTOTAL(3,$B$2:B5820))</f>
        <v>5819</v>
      </c>
      <c r="B5820" s="9" t="s">
        <v>55</v>
      </c>
      <c r="C5820" s="10" t="s">
        <v>52</v>
      </c>
      <c r="D5820" s="11">
        <v>45.95</v>
      </c>
      <c r="E5820" s="12">
        <f t="shared" si="90"/>
        <v>47258</v>
      </c>
    </row>
    <row r="5821" spans="1:5" x14ac:dyDescent="0.25">
      <c r="A5821" s="2">
        <f>IF(B5821="","",SUBTOTAL(3,$B$2:B5821))</f>
        <v>5820</v>
      </c>
      <c r="B5821" s="9" t="s">
        <v>53</v>
      </c>
      <c r="C5821" s="10" t="s">
        <v>49</v>
      </c>
      <c r="D5821" s="11">
        <v>91.585994669695125</v>
      </c>
      <c r="E5821" s="12">
        <f t="shared" si="90"/>
        <v>47259</v>
      </c>
    </row>
    <row r="5822" spans="1:5" x14ac:dyDescent="0.25">
      <c r="A5822" s="2">
        <f>IF(B5822="","",SUBTOTAL(3,$B$2:B5822))</f>
        <v>5821</v>
      </c>
      <c r="B5822" s="9" t="s">
        <v>55</v>
      </c>
      <c r="C5822" s="10" t="s">
        <v>49</v>
      </c>
      <c r="D5822" s="11">
        <v>100</v>
      </c>
      <c r="E5822" s="12">
        <f t="shared" si="90"/>
        <v>47260</v>
      </c>
    </row>
    <row r="5823" spans="1:5" x14ac:dyDescent="0.25">
      <c r="A5823" s="2">
        <f>IF(B5823="","",SUBTOTAL(3,$B$2:B5823))</f>
        <v>5822</v>
      </c>
      <c r="B5823" s="9" t="s">
        <v>48</v>
      </c>
      <c r="C5823" s="10" t="s">
        <v>49</v>
      </c>
      <c r="D5823" s="11">
        <v>86.16477076870045</v>
      </c>
      <c r="E5823" s="12">
        <f t="shared" si="90"/>
        <v>47261</v>
      </c>
    </row>
    <row r="5824" spans="1:5" x14ac:dyDescent="0.25">
      <c r="A5824" s="2">
        <f>IF(B5824="","",SUBTOTAL(3,$B$2:B5824))</f>
        <v>5823</v>
      </c>
      <c r="B5824" s="9" t="s">
        <v>51</v>
      </c>
      <c r="C5824" s="10" t="s">
        <v>52</v>
      </c>
      <c r="D5824" s="11">
        <v>84.718839351900883</v>
      </c>
      <c r="E5824" s="12">
        <f t="shared" si="90"/>
        <v>47262</v>
      </c>
    </row>
    <row r="5825" spans="1:5" x14ac:dyDescent="0.25">
      <c r="A5825" s="2">
        <f>IF(B5825="","",SUBTOTAL(3,$B$2:B5825))</f>
        <v>5824</v>
      </c>
      <c r="B5825" s="9" t="s">
        <v>55</v>
      </c>
      <c r="C5825" s="10" t="s">
        <v>52</v>
      </c>
      <c r="D5825" s="11">
        <v>24.846395920430009</v>
      </c>
      <c r="E5825" s="12">
        <f t="shared" si="90"/>
        <v>47263</v>
      </c>
    </row>
    <row r="5826" spans="1:5" x14ac:dyDescent="0.25">
      <c r="A5826" s="2">
        <f>IF(B5826="","",SUBTOTAL(3,$B$2:B5826))</f>
        <v>5825</v>
      </c>
      <c r="B5826" s="9" t="s">
        <v>55</v>
      </c>
      <c r="C5826" s="10" t="s">
        <v>52</v>
      </c>
      <c r="D5826" s="11">
        <v>65.808090446639511</v>
      </c>
      <c r="E5826" s="12">
        <f t="shared" si="90"/>
        <v>47264</v>
      </c>
    </row>
    <row r="5827" spans="1:5" x14ac:dyDescent="0.25">
      <c r="A5827" s="2">
        <f>IF(B5827="","",SUBTOTAL(3,$B$2:B5827))</f>
        <v>5826</v>
      </c>
      <c r="B5827" s="9" t="s">
        <v>48</v>
      </c>
      <c r="C5827" s="10" t="s">
        <v>52</v>
      </c>
      <c r="D5827" s="11">
        <v>68.941744226128904</v>
      </c>
      <c r="E5827" s="12">
        <f t="shared" si="90"/>
        <v>47265</v>
      </c>
    </row>
    <row r="5828" spans="1:5" x14ac:dyDescent="0.25">
      <c r="A5828" s="2">
        <f>IF(B5828="","",SUBTOTAL(3,$B$2:B5828))</f>
        <v>5827</v>
      </c>
      <c r="B5828" s="9" t="s">
        <v>50</v>
      </c>
      <c r="C5828" s="10" t="s">
        <v>52</v>
      </c>
      <c r="D5828" s="11">
        <v>35.714285714285715</v>
      </c>
      <c r="E5828" s="12">
        <f t="shared" ref="E5828:E5891" si="91">E5827+1</f>
        <v>47266</v>
      </c>
    </row>
    <row r="5829" spans="1:5" x14ac:dyDescent="0.25">
      <c r="A5829" s="2">
        <f>IF(B5829="","",SUBTOTAL(3,$B$2:B5829))</f>
        <v>5828</v>
      </c>
      <c r="B5829" s="9" t="s">
        <v>50</v>
      </c>
      <c r="C5829" s="10" t="s">
        <v>52</v>
      </c>
      <c r="D5829" s="11">
        <v>33.06878306878307</v>
      </c>
      <c r="E5829" s="12">
        <f t="shared" si="91"/>
        <v>47267</v>
      </c>
    </row>
    <row r="5830" spans="1:5" x14ac:dyDescent="0.25">
      <c r="A5830" s="2">
        <f>IF(B5830="","",SUBTOTAL(3,$B$2:B5830))</f>
        <v>5829</v>
      </c>
      <c r="B5830" s="9" t="s">
        <v>50</v>
      </c>
      <c r="C5830" s="10" t="s">
        <v>49</v>
      </c>
      <c r="D5830" s="11">
        <v>661.37566137566137</v>
      </c>
      <c r="E5830" s="12">
        <f t="shared" si="91"/>
        <v>47268</v>
      </c>
    </row>
    <row r="5831" spans="1:5" x14ac:dyDescent="0.25">
      <c r="A5831" s="2">
        <f>IF(B5831="","",SUBTOTAL(3,$B$2:B5831))</f>
        <v>5830</v>
      </c>
      <c r="B5831" s="9" t="s">
        <v>48</v>
      </c>
      <c r="C5831" s="10" t="s">
        <v>49</v>
      </c>
      <c r="D5831" s="11">
        <v>138.63216266173754</v>
      </c>
      <c r="E5831" s="12">
        <f t="shared" si="91"/>
        <v>47269</v>
      </c>
    </row>
    <row r="5832" spans="1:5" x14ac:dyDescent="0.25">
      <c r="A5832" s="2">
        <f>IF(B5832="","",SUBTOTAL(3,$B$2:B5832))</f>
        <v>5831</v>
      </c>
      <c r="B5832" s="9" t="s">
        <v>48</v>
      </c>
      <c r="C5832" s="10" t="s">
        <v>52</v>
      </c>
      <c r="D5832" s="11">
        <v>5.1706308169596689</v>
      </c>
      <c r="E5832" s="12">
        <f t="shared" si="91"/>
        <v>47270</v>
      </c>
    </row>
    <row r="5833" spans="1:5" x14ac:dyDescent="0.25">
      <c r="A5833" s="2">
        <f>IF(B5833="","",SUBTOTAL(3,$B$2:B5833))</f>
        <v>5832</v>
      </c>
      <c r="B5833" s="9" t="s">
        <v>48</v>
      </c>
      <c r="C5833" s="10" t="s">
        <v>52</v>
      </c>
      <c r="D5833" s="11">
        <v>62.047569803516026</v>
      </c>
      <c r="E5833" s="12">
        <f t="shared" si="91"/>
        <v>47271</v>
      </c>
    </row>
    <row r="5834" spans="1:5" x14ac:dyDescent="0.25">
      <c r="A5834" s="2">
        <f>IF(B5834="","",SUBTOTAL(3,$B$2:B5834))</f>
        <v>5833</v>
      </c>
      <c r="B5834" s="9" t="s">
        <v>48</v>
      </c>
      <c r="C5834" s="10" t="s">
        <v>52</v>
      </c>
      <c r="D5834" s="11">
        <v>41.365046535677351</v>
      </c>
      <c r="E5834" s="12">
        <f t="shared" si="91"/>
        <v>47272</v>
      </c>
    </row>
    <row r="5835" spans="1:5" x14ac:dyDescent="0.25">
      <c r="A5835" s="2">
        <f>IF(B5835="","",SUBTOTAL(3,$B$2:B5835))</f>
        <v>5834</v>
      </c>
      <c r="B5835" s="9" t="s">
        <v>48</v>
      </c>
      <c r="C5835" s="10" t="s">
        <v>52</v>
      </c>
      <c r="D5835" s="11">
        <v>33.092037228541876</v>
      </c>
      <c r="E5835" s="12">
        <f t="shared" si="91"/>
        <v>47273</v>
      </c>
    </row>
    <row r="5836" spans="1:5" x14ac:dyDescent="0.25">
      <c r="A5836" s="2">
        <f>IF(B5836="","",SUBTOTAL(3,$B$2:B5836))</f>
        <v>5835</v>
      </c>
      <c r="B5836" s="9" t="s">
        <v>48</v>
      </c>
      <c r="C5836" s="10" t="s">
        <v>52</v>
      </c>
      <c r="D5836" s="11">
        <v>64.11582213029989</v>
      </c>
      <c r="E5836" s="12">
        <f t="shared" si="91"/>
        <v>47274</v>
      </c>
    </row>
    <row r="5837" spans="1:5" x14ac:dyDescent="0.25">
      <c r="A5837" s="2">
        <f>IF(B5837="","",SUBTOTAL(3,$B$2:B5837))</f>
        <v>5836</v>
      </c>
      <c r="B5837" s="9" t="s">
        <v>48</v>
      </c>
      <c r="C5837" s="10" t="s">
        <v>52</v>
      </c>
      <c r="D5837" s="11">
        <v>63.771113409169253</v>
      </c>
      <c r="E5837" s="12">
        <f t="shared" si="91"/>
        <v>47275</v>
      </c>
    </row>
    <row r="5838" spans="1:5" x14ac:dyDescent="0.25">
      <c r="A5838" s="2">
        <f>IF(B5838="","",SUBTOTAL(3,$B$2:B5838))</f>
        <v>5837</v>
      </c>
      <c r="B5838" s="9" t="s">
        <v>48</v>
      </c>
      <c r="C5838" s="10" t="s">
        <v>52</v>
      </c>
      <c r="D5838" s="11">
        <v>51.706308169596689</v>
      </c>
      <c r="E5838" s="12">
        <f t="shared" si="91"/>
        <v>47276</v>
      </c>
    </row>
    <row r="5839" spans="1:5" x14ac:dyDescent="0.25">
      <c r="A5839" s="2">
        <f>IF(B5839="","",SUBTOTAL(3,$B$2:B5839))</f>
        <v>5838</v>
      </c>
      <c r="B5839" s="9" t="s">
        <v>55</v>
      </c>
      <c r="C5839" s="10" t="s">
        <v>52</v>
      </c>
      <c r="D5839" s="11">
        <v>11.243278474824834</v>
      </c>
      <c r="E5839" s="12">
        <f t="shared" si="91"/>
        <v>47277</v>
      </c>
    </row>
    <row r="5840" spans="1:5" x14ac:dyDescent="0.25">
      <c r="A5840" s="2">
        <f>IF(B5840="","",SUBTOTAL(3,$B$2:B5840))</f>
        <v>5839</v>
      </c>
      <c r="B5840" s="9" t="s">
        <v>48</v>
      </c>
      <c r="C5840" s="10" t="s">
        <v>56</v>
      </c>
      <c r="D5840" s="11">
        <v>30.835249829763725</v>
      </c>
      <c r="E5840" s="12">
        <f t="shared" si="91"/>
        <v>47278</v>
      </c>
    </row>
    <row r="5841" spans="1:5" x14ac:dyDescent="0.25">
      <c r="A5841" s="2">
        <f>IF(B5841="","",SUBTOTAL(3,$B$2:B5841))</f>
        <v>5840</v>
      </c>
      <c r="B5841" s="9" t="s">
        <v>48</v>
      </c>
      <c r="C5841" s="10" t="s">
        <v>52</v>
      </c>
      <c r="D5841" s="11">
        <v>32.747328507411233</v>
      </c>
      <c r="E5841" s="12">
        <f t="shared" si="91"/>
        <v>47279</v>
      </c>
    </row>
    <row r="5842" spans="1:5" x14ac:dyDescent="0.25">
      <c r="A5842" s="2">
        <f>IF(B5842="","",SUBTOTAL(3,$B$2:B5842))</f>
        <v>5841</v>
      </c>
      <c r="B5842" s="9" t="s">
        <v>53</v>
      </c>
      <c r="C5842" s="10" t="s">
        <v>56</v>
      </c>
      <c r="D5842" s="11">
        <v>228.96498667423779</v>
      </c>
      <c r="E5842" s="12">
        <f t="shared" si="91"/>
        <v>47280</v>
      </c>
    </row>
    <row r="5843" spans="1:5" x14ac:dyDescent="0.25">
      <c r="A5843" s="2">
        <f>IF(B5843="","",SUBTOTAL(3,$B$2:B5843))</f>
        <v>5842</v>
      </c>
      <c r="B5843" s="9" t="s">
        <v>48</v>
      </c>
      <c r="C5843" s="10" t="s">
        <v>49</v>
      </c>
      <c r="D5843" s="11">
        <v>51.706308169596689</v>
      </c>
      <c r="E5843" s="12">
        <f t="shared" si="91"/>
        <v>47281</v>
      </c>
    </row>
    <row r="5844" spans="1:5" x14ac:dyDescent="0.25">
      <c r="A5844" s="2">
        <f>IF(B5844="","",SUBTOTAL(3,$B$2:B5844))</f>
        <v>5843</v>
      </c>
      <c r="B5844" s="9" t="s">
        <v>48</v>
      </c>
      <c r="C5844" s="10" t="s">
        <v>54</v>
      </c>
      <c r="D5844" s="11">
        <v>41.365046535677351</v>
      </c>
      <c r="E5844" s="12">
        <f t="shared" si="91"/>
        <v>47282</v>
      </c>
    </row>
    <row r="5845" spans="1:5" x14ac:dyDescent="0.25">
      <c r="A5845" s="2">
        <f>IF(B5845="","",SUBTOTAL(3,$B$2:B5845))</f>
        <v>5844</v>
      </c>
      <c r="B5845" s="9" t="s">
        <v>48</v>
      </c>
      <c r="C5845" s="10" t="s">
        <v>54</v>
      </c>
      <c r="D5845" s="11">
        <v>62.047569803516026</v>
      </c>
      <c r="E5845" s="12">
        <f t="shared" si="91"/>
        <v>47283</v>
      </c>
    </row>
    <row r="5846" spans="1:5" x14ac:dyDescent="0.25">
      <c r="A5846" s="2">
        <f>IF(B5846="","",SUBTOTAL(3,$B$2:B5846))</f>
        <v>5845</v>
      </c>
      <c r="B5846" s="9" t="s">
        <v>48</v>
      </c>
      <c r="C5846" s="10" t="s">
        <v>56</v>
      </c>
      <c r="D5846" s="11">
        <v>68.941744226128904</v>
      </c>
      <c r="E5846" s="12">
        <f t="shared" si="91"/>
        <v>47284</v>
      </c>
    </row>
    <row r="5847" spans="1:5" x14ac:dyDescent="0.25">
      <c r="A5847" s="2">
        <f>IF(B5847="","",SUBTOTAL(3,$B$2:B5847))</f>
        <v>5846</v>
      </c>
      <c r="B5847" s="9" t="s">
        <v>48</v>
      </c>
      <c r="C5847" s="10" t="s">
        <v>52</v>
      </c>
      <c r="D5847" s="11">
        <v>41.365046535677351</v>
      </c>
      <c r="E5847" s="12">
        <f t="shared" si="91"/>
        <v>47285</v>
      </c>
    </row>
    <row r="5848" spans="1:5" x14ac:dyDescent="0.25">
      <c r="A5848" s="2">
        <f>IF(B5848="","",SUBTOTAL(3,$B$2:B5848))</f>
        <v>5847</v>
      </c>
      <c r="B5848" s="9" t="s">
        <v>48</v>
      </c>
      <c r="C5848" s="10" t="s">
        <v>52</v>
      </c>
      <c r="D5848" s="11">
        <v>31.023784901758013</v>
      </c>
      <c r="E5848" s="12">
        <f t="shared" si="91"/>
        <v>47286</v>
      </c>
    </row>
    <row r="5849" spans="1:5" x14ac:dyDescent="0.25">
      <c r="A5849" s="2">
        <f>IF(B5849="","",SUBTOTAL(3,$B$2:B5849))</f>
        <v>5848</v>
      </c>
      <c r="B5849" s="9" t="s">
        <v>48</v>
      </c>
      <c r="C5849" s="10" t="s">
        <v>52</v>
      </c>
      <c r="D5849" s="11">
        <v>62.047569803516026</v>
      </c>
      <c r="E5849" s="12">
        <f t="shared" si="91"/>
        <v>47287</v>
      </c>
    </row>
    <row r="5850" spans="1:5" x14ac:dyDescent="0.25">
      <c r="A5850" s="2">
        <f>IF(B5850="","",SUBTOTAL(3,$B$2:B5850))</f>
        <v>5849</v>
      </c>
      <c r="B5850" s="9" t="s">
        <v>48</v>
      </c>
      <c r="C5850" s="10" t="s">
        <v>57</v>
      </c>
      <c r="D5850" s="11">
        <v>154.03573629081947</v>
      </c>
      <c r="E5850" s="12">
        <f t="shared" si="91"/>
        <v>47288</v>
      </c>
    </row>
    <row r="5851" spans="1:5" x14ac:dyDescent="0.25">
      <c r="A5851" s="2">
        <f>IF(B5851="","",SUBTOTAL(3,$B$2:B5851))</f>
        <v>5850</v>
      </c>
      <c r="B5851" s="9" t="s">
        <v>48</v>
      </c>
      <c r="C5851" s="10" t="s">
        <v>49</v>
      </c>
      <c r="D5851" s="11">
        <v>770.17868145409739</v>
      </c>
      <c r="E5851" s="12">
        <f t="shared" si="91"/>
        <v>47289</v>
      </c>
    </row>
    <row r="5852" spans="1:5" x14ac:dyDescent="0.25">
      <c r="A5852" s="2">
        <f>IF(B5852="","",SUBTOTAL(3,$B$2:B5852))</f>
        <v>5851</v>
      </c>
      <c r="B5852" s="9" t="s">
        <v>50</v>
      </c>
      <c r="C5852" s="10" t="s">
        <v>49</v>
      </c>
      <c r="D5852" s="11">
        <v>1.5873015873015872</v>
      </c>
      <c r="E5852" s="12">
        <f t="shared" si="91"/>
        <v>47290</v>
      </c>
    </row>
    <row r="5853" spans="1:5" x14ac:dyDescent="0.25">
      <c r="A5853" s="2">
        <f>IF(B5853="","",SUBTOTAL(3,$B$2:B5853))</f>
        <v>5852</v>
      </c>
      <c r="B5853" s="9" t="s">
        <v>48</v>
      </c>
      <c r="C5853" s="10" t="s">
        <v>56</v>
      </c>
      <c r="D5853" s="11">
        <v>103.41261633919338</v>
      </c>
      <c r="E5853" s="12">
        <f t="shared" si="91"/>
        <v>47291</v>
      </c>
    </row>
    <row r="5854" spans="1:5" x14ac:dyDescent="0.25">
      <c r="A5854" s="2">
        <f>IF(B5854="","",SUBTOTAL(3,$B$2:B5854))</f>
        <v>5853</v>
      </c>
      <c r="B5854" s="9" t="s">
        <v>48</v>
      </c>
      <c r="C5854" s="10" t="s">
        <v>49</v>
      </c>
      <c r="D5854" s="11">
        <v>241.29610479145123</v>
      </c>
      <c r="E5854" s="12">
        <f t="shared" si="91"/>
        <v>47292</v>
      </c>
    </row>
    <row r="5855" spans="1:5" x14ac:dyDescent="0.25">
      <c r="A5855" s="2">
        <f>IF(B5855="","",SUBTOTAL(3,$B$2:B5855))</f>
        <v>5854</v>
      </c>
      <c r="B5855" s="9" t="s">
        <v>48</v>
      </c>
      <c r="C5855" s="10" t="s">
        <v>52</v>
      </c>
      <c r="D5855" s="11">
        <v>51.706308169596689</v>
      </c>
      <c r="E5855" s="12">
        <f t="shared" si="91"/>
        <v>47293</v>
      </c>
    </row>
    <row r="5856" spans="1:5" x14ac:dyDescent="0.25">
      <c r="A5856" s="2">
        <f>IF(B5856="","",SUBTOTAL(3,$B$2:B5856))</f>
        <v>5855</v>
      </c>
      <c r="B5856" s="9" t="s">
        <v>50</v>
      </c>
      <c r="C5856" s="10" t="s">
        <v>52</v>
      </c>
      <c r="D5856" s="11">
        <v>70</v>
      </c>
      <c r="E5856" s="12">
        <f t="shared" si="91"/>
        <v>47294</v>
      </c>
    </row>
    <row r="5857" spans="1:5" x14ac:dyDescent="0.25">
      <c r="A5857" s="2">
        <f>IF(B5857="","",SUBTOTAL(3,$B$2:B5857))</f>
        <v>5856</v>
      </c>
      <c r="B5857" s="9" t="s">
        <v>51</v>
      </c>
      <c r="C5857" s="10" t="s">
        <v>52</v>
      </c>
      <c r="D5857" s="11">
        <v>741.28984432913273</v>
      </c>
      <c r="E5857" s="12">
        <f t="shared" si="91"/>
        <v>47295</v>
      </c>
    </row>
    <row r="5858" spans="1:5" x14ac:dyDescent="0.25">
      <c r="A5858" s="2">
        <f>IF(B5858="","",SUBTOTAL(3,$B$2:B5858))</f>
        <v>5857</v>
      </c>
      <c r="B5858" s="9" t="s">
        <v>51</v>
      </c>
      <c r="C5858" s="10" t="s">
        <v>52</v>
      </c>
      <c r="D5858" s="11">
        <v>434.18405167849198</v>
      </c>
      <c r="E5858" s="12">
        <f t="shared" si="91"/>
        <v>47296</v>
      </c>
    </row>
    <row r="5859" spans="1:5" x14ac:dyDescent="0.25">
      <c r="A5859" s="2">
        <f>IF(B5859="","",SUBTOTAL(3,$B$2:B5859))</f>
        <v>5858</v>
      </c>
      <c r="B5859" s="9" t="s">
        <v>48</v>
      </c>
      <c r="C5859" s="10" t="s">
        <v>49</v>
      </c>
      <c r="D5859" s="11">
        <v>46.210720887245841</v>
      </c>
      <c r="E5859" s="12">
        <f t="shared" si="91"/>
        <v>47297</v>
      </c>
    </row>
    <row r="5860" spans="1:5" x14ac:dyDescent="0.25">
      <c r="A5860" s="2">
        <f>IF(B5860="","",SUBTOTAL(3,$B$2:B5860))</f>
        <v>5859</v>
      </c>
      <c r="B5860" s="9" t="s">
        <v>48</v>
      </c>
      <c r="C5860" s="10" t="s">
        <v>49</v>
      </c>
      <c r="D5860" s="11">
        <v>77.017868145409736</v>
      </c>
      <c r="E5860" s="12">
        <f t="shared" si="91"/>
        <v>47298</v>
      </c>
    </row>
    <row r="5861" spans="1:5" x14ac:dyDescent="0.25">
      <c r="A5861" s="2">
        <f>IF(B5861="","",SUBTOTAL(3,$B$2:B5861))</f>
        <v>5860</v>
      </c>
      <c r="B5861" s="9" t="s">
        <v>48</v>
      </c>
      <c r="C5861" s="10" t="s">
        <v>49</v>
      </c>
      <c r="D5861" s="11">
        <v>30.807147258163894</v>
      </c>
      <c r="E5861" s="12">
        <f t="shared" si="91"/>
        <v>47299</v>
      </c>
    </row>
    <row r="5862" spans="1:5" x14ac:dyDescent="0.25">
      <c r="A5862" s="2">
        <f>IF(B5862="","",SUBTOTAL(3,$B$2:B5862))</f>
        <v>5861</v>
      </c>
      <c r="B5862" s="9" t="s">
        <v>48</v>
      </c>
      <c r="C5862" s="10" t="s">
        <v>54</v>
      </c>
      <c r="D5862" s="11">
        <v>9.2421441774491679</v>
      </c>
      <c r="E5862" s="12">
        <f t="shared" si="91"/>
        <v>47300</v>
      </c>
    </row>
    <row r="5863" spans="1:5" x14ac:dyDescent="0.25">
      <c r="A5863" s="2">
        <f>IF(B5863="","",SUBTOTAL(3,$B$2:B5863))</f>
        <v>5862</v>
      </c>
      <c r="B5863" s="9" t="s">
        <v>55</v>
      </c>
      <c r="C5863" s="10" t="s">
        <v>54</v>
      </c>
      <c r="D5863" s="11">
        <v>260.71370376405412</v>
      </c>
      <c r="E5863" s="12">
        <f t="shared" si="91"/>
        <v>47301</v>
      </c>
    </row>
    <row r="5864" spans="1:5" x14ac:dyDescent="0.25">
      <c r="A5864" s="2">
        <f>IF(B5864="","",SUBTOTAL(3,$B$2:B5864))</f>
        <v>5863</v>
      </c>
      <c r="B5864" s="9" t="s">
        <v>55</v>
      </c>
      <c r="C5864" s="10" t="s">
        <v>56</v>
      </c>
      <c r="D5864" s="11">
        <v>1629.4606485253382</v>
      </c>
      <c r="E5864" s="12">
        <f t="shared" si="91"/>
        <v>47302</v>
      </c>
    </row>
    <row r="5865" spans="1:5" x14ac:dyDescent="0.25">
      <c r="A5865" s="2">
        <f>IF(B5865="","",SUBTOTAL(3,$B$2:B5865))</f>
        <v>5864</v>
      </c>
      <c r="B5865" s="9" t="s">
        <v>53</v>
      </c>
      <c r="C5865" s="10" t="s">
        <v>52</v>
      </c>
      <c r="D5865" s="11">
        <v>91.585994669695125</v>
      </c>
      <c r="E5865" s="12">
        <f t="shared" si="91"/>
        <v>47303</v>
      </c>
    </row>
    <row r="5866" spans="1:5" x14ac:dyDescent="0.25">
      <c r="A5866" s="2">
        <f>IF(B5866="","",SUBTOTAL(3,$B$2:B5866))</f>
        <v>5865</v>
      </c>
      <c r="B5866" s="9" t="s">
        <v>53</v>
      </c>
      <c r="C5866" s="10" t="s">
        <v>52</v>
      </c>
      <c r="D5866" s="11">
        <v>91.585994669695125</v>
      </c>
      <c r="E5866" s="12">
        <f t="shared" si="91"/>
        <v>47304</v>
      </c>
    </row>
    <row r="5867" spans="1:5" x14ac:dyDescent="0.25">
      <c r="A5867" s="2">
        <f>IF(B5867="","",SUBTOTAL(3,$B$2:B5867))</f>
        <v>5866</v>
      </c>
      <c r="B5867" s="9" t="s">
        <v>53</v>
      </c>
      <c r="C5867" s="10" t="s">
        <v>49</v>
      </c>
      <c r="D5867" s="11">
        <v>59.530896535301828</v>
      </c>
      <c r="E5867" s="12">
        <f t="shared" si="91"/>
        <v>47305</v>
      </c>
    </row>
    <row r="5868" spans="1:5" x14ac:dyDescent="0.25">
      <c r="A5868" s="2">
        <f>IF(B5868="","",SUBTOTAL(3,$B$2:B5868))</f>
        <v>5867</v>
      </c>
      <c r="B5868" s="9" t="s">
        <v>53</v>
      </c>
      <c r="C5868" s="10" t="s">
        <v>49</v>
      </c>
      <c r="D5868" s="11">
        <v>195.07816864645059</v>
      </c>
      <c r="E5868" s="12">
        <f t="shared" si="91"/>
        <v>47306</v>
      </c>
    </row>
    <row r="5869" spans="1:5" x14ac:dyDescent="0.25">
      <c r="A5869" s="2">
        <f>IF(B5869="","",SUBTOTAL(3,$B$2:B5869))</f>
        <v>5868</v>
      </c>
      <c r="B5869" s="9" t="s">
        <v>53</v>
      </c>
      <c r="C5869" s="10" t="s">
        <v>49</v>
      </c>
      <c r="D5869" s="11">
        <v>195.07816864645059</v>
      </c>
      <c r="E5869" s="12">
        <f t="shared" si="91"/>
        <v>47307</v>
      </c>
    </row>
    <row r="5870" spans="1:5" x14ac:dyDescent="0.25">
      <c r="A5870" s="2">
        <f>IF(B5870="","",SUBTOTAL(3,$B$2:B5870))</f>
        <v>5869</v>
      </c>
      <c r="B5870" s="9" t="s">
        <v>53</v>
      </c>
      <c r="C5870" s="10" t="s">
        <v>49</v>
      </c>
      <c r="D5870" s="11">
        <v>164.85479040545121</v>
      </c>
      <c r="E5870" s="12">
        <f t="shared" si="91"/>
        <v>47308</v>
      </c>
    </row>
    <row r="5871" spans="1:5" x14ac:dyDescent="0.25">
      <c r="A5871" s="2">
        <f>IF(B5871="","",SUBTOTAL(3,$B$2:B5871))</f>
        <v>5870</v>
      </c>
      <c r="B5871" s="9" t="s">
        <v>53</v>
      </c>
      <c r="C5871" s="10" t="s">
        <v>49</v>
      </c>
      <c r="D5871" s="11">
        <v>47.624717228241458</v>
      </c>
      <c r="E5871" s="12">
        <f t="shared" si="91"/>
        <v>47309</v>
      </c>
    </row>
    <row r="5872" spans="1:5" x14ac:dyDescent="0.25">
      <c r="A5872" s="2">
        <f>IF(B5872="","",SUBTOTAL(3,$B$2:B5872))</f>
        <v>5871</v>
      </c>
      <c r="B5872" s="9" t="s">
        <v>55</v>
      </c>
      <c r="C5872" s="10" t="s">
        <v>54</v>
      </c>
      <c r="D5872" s="11">
        <v>325.89212970506765</v>
      </c>
      <c r="E5872" s="12">
        <f t="shared" si="91"/>
        <v>47310</v>
      </c>
    </row>
    <row r="5873" spans="1:5" x14ac:dyDescent="0.25">
      <c r="A5873" s="2">
        <f>IF(B5873="","",SUBTOTAL(3,$B$2:B5873))</f>
        <v>5872</v>
      </c>
      <c r="B5873" s="9" t="s">
        <v>55</v>
      </c>
      <c r="C5873" s="10" t="s">
        <v>49</v>
      </c>
      <c r="D5873" s="11">
        <v>350</v>
      </c>
      <c r="E5873" s="12">
        <f t="shared" si="91"/>
        <v>47311</v>
      </c>
    </row>
    <row r="5874" spans="1:5" x14ac:dyDescent="0.25">
      <c r="A5874" s="2">
        <f>IF(B5874="","",SUBTOTAL(3,$B$2:B5874))</f>
        <v>5873</v>
      </c>
      <c r="B5874" s="9" t="s">
        <v>50</v>
      </c>
      <c r="C5874" s="10" t="s">
        <v>49</v>
      </c>
      <c r="D5874" s="11">
        <v>88.183421516754848</v>
      </c>
      <c r="E5874" s="12">
        <f t="shared" si="91"/>
        <v>47312</v>
      </c>
    </row>
    <row r="5875" spans="1:5" x14ac:dyDescent="0.25">
      <c r="A5875" s="2">
        <f>IF(B5875="","",SUBTOTAL(3,$B$2:B5875))</f>
        <v>5874</v>
      </c>
      <c r="B5875" s="9" t="s">
        <v>48</v>
      </c>
      <c r="C5875" s="10" t="s">
        <v>49</v>
      </c>
      <c r="D5875" s="11">
        <v>51.931186000796579</v>
      </c>
      <c r="E5875" s="12">
        <f t="shared" si="91"/>
        <v>47313</v>
      </c>
    </row>
    <row r="5876" spans="1:5" x14ac:dyDescent="0.25">
      <c r="A5876" s="2">
        <f>IF(B5876="","",SUBTOTAL(3,$B$2:B5876))</f>
        <v>5875</v>
      </c>
      <c r="B5876" s="9" t="s">
        <v>51</v>
      </c>
      <c r="C5876" s="10" t="s">
        <v>52</v>
      </c>
      <c r="D5876" s="11">
        <v>52.949274594938046</v>
      </c>
      <c r="E5876" s="12">
        <f t="shared" si="91"/>
        <v>47314</v>
      </c>
    </row>
    <row r="5877" spans="1:5" x14ac:dyDescent="0.25">
      <c r="A5877" s="2">
        <f>IF(B5877="","",SUBTOTAL(3,$B$2:B5877))</f>
        <v>5876</v>
      </c>
      <c r="B5877" s="9" t="s">
        <v>50</v>
      </c>
      <c r="C5877" s="10" t="s">
        <v>54</v>
      </c>
      <c r="D5877" s="11">
        <v>49.372134038800709</v>
      </c>
      <c r="E5877" s="12">
        <f t="shared" si="91"/>
        <v>47315</v>
      </c>
    </row>
    <row r="5878" spans="1:5" x14ac:dyDescent="0.25">
      <c r="A5878" s="2">
        <f>IF(B5878="","",SUBTOTAL(3,$B$2:B5878))</f>
        <v>5877</v>
      </c>
      <c r="B5878" s="9" t="s">
        <v>48</v>
      </c>
      <c r="C5878" s="10" t="s">
        <v>49</v>
      </c>
      <c r="D5878" s="11">
        <v>231.05360443622922</v>
      </c>
      <c r="E5878" s="12">
        <f t="shared" si="91"/>
        <v>47316</v>
      </c>
    </row>
    <row r="5879" spans="1:5" x14ac:dyDescent="0.25">
      <c r="A5879" s="2">
        <f>IF(B5879="","",SUBTOTAL(3,$B$2:B5879))</f>
        <v>5878</v>
      </c>
      <c r="B5879" s="9" t="s">
        <v>48</v>
      </c>
      <c r="C5879" s="10" t="s">
        <v>49</v>
      </c>
      <c r="D5879" s="11">
        <v>30.807147258163894</v>
      </c>
      <c r="E5879" s="12">
        <f t="shared" si="91"/>
        <v>47317</v>
      </c>
    </row>
    <row r="5880" spans="1:5" x14ac:dyDescent="0.25">
      <c r="A5880" s="2">
        <f>IF(B5880="","",SUBTOTAL(3,$B$2:B5880))</f>
        <v>5879</v>
      </c>
      <c r="B5880" s="9" t="s">
        <v>51</v>
      </c>
      <c r="C5880" s="10" t="s">
        <v>54</v>
      </c>
      <c r="D5880" s="11">
        <v>5.6721497447532618</v>
      </c>
      <c r="E5880" s="12">
        <f t="shared" si="91"/>
        <v>47318</v>
      </c>
    </row>
    <row r="5881" spans="1:5" x14ac:dyDescent="0.25">
      <c r="A5881" s="2">
        <f>IF(B5881="","",SUBTOTAL(3,$B$2:B5881))</f>
        <v>5880</v>
      </c>
      <c r="B5881" s="9" t="s">
        <v>51</v>
      </c>
      <c r="C5881" s="10" t="s">
        <v>54</v>
      </c>
      <c r="D5881" s="11">
        <v>42.359419675950441</v>
      </c>
      <c r="E5881" s="12">
        <f t="shared" si="91"/>
        <v>47319</v>
      </c>
    </row>
    <row r="5882" spans="1:5" x14ac:dyDescent="0.25">
      <c r="A5882" s="2">
        <f>IF(B5882="","",SUBTOTAL(3,$B$2:B5882))</f>
        <v>5881</v>
      </c>
      <c r="B5882" s="9" t="s">
        <v>51</v>
      </c>
      <c r="C5882" s="10" t="s">
        <v>52</v>
      </c>
      <c r="D5882" s="11">
        <v>21.179709837975221</v>
      </c>
      <c r="E5882" s="12">
        <f t="shared" si="91"/>
        <v>47320</v>
      </c>
    </row>
    <row r="5883" spans="1:5" x14ac:dyDescent="0.25">
      <c r="A5883" s="2">
        <f>IF(B5883="","",SUBTOTAL(3,$B$2:B5883))</f>
        <v>5882</v>
      </c>
      <c r="B5883" s="9" t="s">
        <v>51</v>
      </c>
      <c r="C5883" s="10" t="s">
        <v>52</v>
      </c>
      <c r="D5883" s="11">
        <v>21.179709837975221</v>
      </c>
      <c r="E5883" s="12">
        <f t="shared" si="91"/>
        <v>47321</v>
      </c>
    </row>
    <row r="5884" spans="1:5" x14ac:dyDescent="0.25">
      <c r="A5884" s="2">
        <f>IF(B5884="","",SUBTOTAL(3,$B$2:B5884))</f>
        <v>5883</v>
      </c>
      <c r="B5884" s="9" t="s">
        <v>48</v>
      </c>
      <c r="C5884" s="10" t="s">
        <v>52</v>
      </c>
      <c r="D5884" s="11">
        <v>19.27203114360233</v>
      </c>
      <c r="E5884" s="12">
        <f t="shared" si="91"/>
        <v>47322</v>
      </c>
    </row>
    <row r="5885" spans="1:5" x14ac:dyDescent="0.25">
      <c r="A5885" s="2">
        <f>IF(B5885="","",SUBTOTAL(3,$B$2:B5885))</f>
        <v>5884</v>
      </c>
      <c r="B5885" s="9" t="s">
        <v>51</v>
      </c>
      <c r="C5885" s="10" t="s">
        <v>52</v>
      </c>
      <c r="D5885" s="11">
        <v>52.949274594938046</v>
      </c>
      <c r="E5885" s="12">
        <f t="shared" si="91"/>
        <v>47323</v>
      </c>
    </row>
    <row r="5886" spans="1:5" x14ac:dyDescent="0.25">
      <c r="A5886" s="2">
        <f>IF(B5886="","",SUBTOTAL(3,$B$2:B5886))</f>
        <v>5885</v>
      </c>
      <c r="B5886" s="9" t="s">
        <v>51</v>
      </c>
      <c r="C5886" s="10" t="s">
        <v>49</v>
      </c>
      <c r="D5886" s="11">
        <v>105.89854918987609</v>
      </c>
      <c r="E5886" s="12">
        <f t="shared" si="91"/>
        <v>47324</v>
      </c>
    </row>
    <row r="5887" spans="1:5" x14ac:dyDescent="0.25">
      <c r="A5887" s="2">
        <f>IF(B5887="","",SUBTOTAL(3,$B$2:B5887))</f>
        <v>5886</v>
      </c>
      <c r="B5887" s="9" t="s">
        <v>48</v>
      </c>
      <c r="C5887" s="10" t="s">
        <v>52</v>
      </c>
      <c r="D5887" s="11">
        <v>103.41261633919338</v>
      </c>
      <c r="E5887" s="12">
        <f t="shared" si="91"/>
        <v>47325</v>
      </c>
    </row>
    <row r="5888" spans="1:5" x14ac:dyDescent="0.25">
      <c r="A5888" s="2">
        <f>IF(B5888="","",SUBTOTAL(3,$B$2:B5888))</f>
        <v>5887</v>
      </c>
      <c r="B5888" s="9" t="s">
        <v>48</v>
      </c>
      <c r="C5888" s="10" t="s">
        <v>52</v>
      </c>
      <c r="D5888" s="11">
        <v>103.41261633919338</v>
      </c>
      <c r="E5888" s="12">
        <f t="shared" si="91"/>
        <v>47326</v>
      </c>
    </row>
    <row r="5889" spans="1:5" x14ac:dyDescent="0.25">
      <c r="A5889" s="2">
        <f>IF(B5889="","",SUBTOTAL(3,$B$2:B5889))</f>
        <v>5888</v>
      </c>
      <c r="B5889" s="9" t="s">
        <v>48</v>
      </c>
      <c r="C5889" s="10" t="s">
        <v>52</v>
      </c>
      <c r="D5889" s="11">
        <v>137.88348845225781</v>
      </c>
      <c r="E5889" s="12">
        <f t="shared" si="91"/>
        <v>47327</v>
      </c>
    </row>
    <row r="5890" spans="1:5" x14ac:dyDescent="0.25">
      <c r="A5890" s="2">
        <f>IF(B5890="","",SUBTOTAL(3,$B$2:B5890))</f>
        <v>5889</v>
      </c>
      <c r="B5890" s="9" t="s">
        <v>55</v>
      </c>
      <c r="C5890" s="10" t="s">
        <v>57</v>
      </c>
      <c r="D5890" s="11">
        <v>19553.52778230406</v>
      </c>
      <c r="E5890" s="12">
        <f t="shared" si="91"/>
        <v>47328</v>
      </c>
    </row>
    <row r="5891" spans="1:5" x14ac:dyDescent="0.25">
      <c r="A5891" s="2">
        <f>IF(B5891="","",SUBTOTAL(3,$B$2:B5891))</f>
        <v>5890</v>
      </c>
      <c r="B5891" s="9" t="s">
        <v>51</v>
      </c>
      <c r="C5891" s="10" t="s">
        <v>54</v>
      </c>
      <c r="D5891" s="11">
        <v>84.718839351900883</v>
      </c>
      <c r="E5891" s="12">
        <f t="shared" si="91"/>
        <v>47329</v>
      </c>
    </row>
    <row r="5892" spans="1:5" x14ac:dyDescent="0.25">
      <c r="A5892" s="2">
        <f>IF(B5892="","",SUBTOTAL(3,$B$2:B5892))</f>
        <v>5891</v>
      </c>
      <c r="B5892" s="9" t="s">
        <v>48</v>
      </c>
      <c r="C5892" s="10" t="s">
        <v>49</v>
      </c>
      <c r="D5892" s="11">
        <v>385.08934072704869</v>
      </c>
      <c r="E5892" s="12">
        <f t="shared" ref="E5892:E5955" si="92">E5891+1</f>
        <v>47330</v>
      </c>
    </row>
    <row r="5893" spans="1:5" x14ac:dyDescent="0.25">
      <c r="A5893" s="2">
        <f>IF(B5893="","",SUBTOTAL(3,$B$2:B5893))</f>
        <v>5892</v>
      </c>
      <c r="B5893" s="9" t="s">
        <v>50</v>
      </c>
      <c r="C5893" s="10" t="s">
        <v>52</v>
      </c>
      <c r="D5893" s="11">
        <v>8.9285714285714288</v>
      </c>
      <c r="E5893" s="12">
        <f t="shared" si="92"/>
        <v>47331</v>
      </c>
    </row>
    <row r="5894" spans="1:5" x14ac:dyDescent="0.25">
      <c r="A5894" s="2">
        <f>IF(B5894="","",SUBTOTAL(3,$B$2:B5894))</f>
        <v>5893</v>
      </c>
      <c r="B5894" s="9" t="s">
        <v>55</v>
      </c>
      <c r="C5894" s="10" t="s">
        <v>56</v>
      </c>
      <c r="D5894" s="11">
        <v>97.767638911520294</v>
      </c>
      <c r="E5894" s="12">
        <f t="shared" si="92"/>
        <v>47332</v>
      </c>
    </row>
    <row r="5895" spans="1:5" x14ac:dyDescent="0.25">
      <c r="A5895" s="2">
        <f>IF(B5895="","",SUBTOTAL(3,$B$2:B5895))</f>
        <v>5894</v>
      </c>
      <c r="B5895" s="9" t="s">
        <v>51</v>
      </c>
      <c r="C5895" s="10" t="s">
        <v>52</v>
      </c>
      <c r="D5895" s="11">
        <v>211.79709837975219</v>
      </c>
      <c r="E5895" s="12">
        <f t="shared" si="92"/>
        <v>47333</v>
      </c>
    </row>
    <row r="5896" spans="1:5" x14ac:dyDescent="0.25">
      <c r="A5896" s="2">
        <f>IF(B5896="","",SUBTOTAL(3,$B$2:B5896))</f>
        <v>5895</v>
      </c>
      <c r="B5896" s="9" t="s">
        <v>51</v>
      </c>
      <c r="C5896" s="10" t="s">
        <v>52</v>
      </c>
      <c r="D5896" s="11">
        <v>0.21179709837975219</v>
      </c>
      <c r="E5896" s="12">
        <f t="shared" si="92"/>
        <v>47334</v>
      </c>
    </row>
    <row r="5897" spans="1:5" x14ac:dyDescent="0.25">
      <c r="A5897" s="2">
        <f>IF(B5897="","",SUBTOTAL(3,$B$2:B5897))</f>
        <v>5896</v>
      </c>
      <c r="B5897" s="9" t="s">
        <v>48</v>
      </c>
      <c r="C5897" s="10" t="s">
        <v>52</v>
      </c>
      <c r="D5897" s="11">
        <v>86.177180282661155</v>
      </c>
      <c r="E5897" s="12">
        <f t="shared" si="92"/>
        <v>47335</v>
      </c>
    </row>
    <row r="5898" spans="1:5" x14ac:dyDescent="0.25">
      <c r="A5898" s="2">
        <f>IF(B5898="","",SUBTOTAL(3,$B$2:B5898))</f>
        <v>5897</v>
      </c>
      <c r="B5898" s="9" t="s">
        <v>48</v>
      </c>
      <c r="C5898" s="10" t="s">
        <v>56</v>
      </c>
      <c r="D5898" s="11">
        <v>2.412961047914512</v>
      </c>
      <c r="E5898" s="12">
        <f t="shared" si="92"/>
        <v>47336</v>
      </c>
    </row>
    <row r="5899" spans="1:5" x14ac:dyDescent="0.25">
      <c r="A5899" s="2">
        <f>IF(B5899="","",SUBTOTAL(3,$B$2:B5899))</f>
        <v>5898</v>
      </c>
      <c r="B5899" s="9" t="s">
        <v>48</v>
      </c>
      <c r="C5899" s="10" t="s">
        <v>49</v>
      </c>
      <c r="D5899" s="11">
        <v>46.210720887245841</v>
      </c>
      <c r="E5899" s="12">
        <f t="shared" si="92"/>
        <v>47337</v>
      </c>
    </row>
    <row r="5900" spans="1:5" x14ac:dyDescent="0.25">
      <c r="A5900" s="2">
        <f>IF(B5900="","",SUBTOTAL(3,$B$2:B5900))</f>
        <v>5899</v>
      </c>
      <c r="B5900" s="9" t="s">
        <v>48</v>
      </c>
      <c r="C5900" s="10" t="s">
        <v>52</v>
      </c>
      <c r="D5900" s="11">
        <v>86.177180282661155</v>
      </c>
      <c r="E5900" s="12">
        <f t="shared" si="92"/>
        <v>47338</v>
      </c>
    </row>
    <row r="5901" spans="1:5" x14ac:dyDescent="0.25">
      <c r="A5901" s="2">
        <f>IF(B5901="","",SUBTOTAL(3,$B$2:B5901))</f>
        <v>5900</v>
      </c>
      <c r="B5901" s="9" t="s">
        <v>51</v>
      </c>
      <c r="C5901" s="10" t="s">
        <v>57</v>
      </c>
      <c r="D5901" s="11">
        <v>1000</v>
      </c>
      <c r="E5901" s="12">
        <f t="shared" si="92"/>
        <v>47339</v>
      </c>
    </row>
    <row r="5902" spans="1:5" x14ac:dyDescent="0.25">
      <c r="A5902" s="2">
        <f>IF(B5902="","",SUBTOTAL(3,$B$2:B5902))</f>
        <v>5901</v>
      </c>
      <c r="B5902" s="9" t="s">
        <v>50</v>
      </c>
      <c r="C5902" s="10" t="s">
        <v>49</v>
      </c>
      <c r="D5902" s="11">
        <v>18.04052028218695</v>
      </c>
      <c r="E5902" s="12">
        <f t="shared" si="92"/>
        <v>47340</v>
      </c>
    </row>
    <row r="5903" spans="1:5" x14ac:dyDescent="0.25">
      <c r="A5903" s="2">
        <f>IF(B5903="","",SUBTOTAL(3,$B$2:B5903))</f>
        <v>5902</v>
      </c>
      <c r="B5903" s="9" t="s">
        <v>55</v>
      </c>
      <c r="C5903" s="10" t="s">
        <v>49</v>
      </c>
      <c r="D5903" s="11">
        <v>195.53527782304059</v>
      </c>
      <c r="E5903" s="12">
        <f t="shared" si="92"/>
        <v>47341</v>
      </c>
    </row>
    <row r="5904" spans="1:5" x14ac:dyDescent="0.25">
      <c r="A5904" s="2">
        <f>IF(B5904="","",SUBTOTAL(3,$B$2:B5904))</f>
        <v>5903</v>
      </c>
      <c r="B5904" s="9" t="s">
        <v>51</v>
      </c>
      <c r="C5904" s="10" t="s">
        <v>52</v>
      </c>
      <c r="D5904" s="11">
        <v>51.475166790214971</v>
      </c>
      <c r="E5904" s="12">
        <f t="shared" si="92"/>
        <v>47342</v>
      </c>
    </row>
    <row r="5905" spans="1:5" x14ac:dyDescent="0.25">
      <c r="A5905" s="2">
        <f>IF(B5905="","",SUBTOTAL(3,$B$2:B5905))</f>
        <v>5904</v>
      </c>
      <c r="B5905" s="9" t="s">
        <v>48</v>
      </c>
      <c r="C5905" s="10" t="s">
        <v>49</v>
      </c>
      <c r="D5905" s="11">
        <v>246.45717806531115</v>
      </c>
      <c r="E5905" s="12">
        <f t="shared" si="92"/>
        <v>47343</v>
      </c>
    </row>
    <row r="5906" spans="1:5" x14ac:dyDescent="0.25">
      <c r="A5906" s="2">
        <f>IF(B5906="","",SUBTOTAL(3,$B$2:B5906))</f>
        <v>5905</v>
      </c>
      <c r="B5906" s="9" t="s">
        <v>48</v>
      </c>
      <c r="C5906" s="10" t="s">
        <v>49</v>
      </c>
      <c r="D5906" s="11">
        <v>154.03573629081947</v>
      </c>
      <c r="E5906" s="12">
        <f t="shared" si="92"/>
        <v>47344</v>
      </c>
    </row>
    <row r="5907" spans="1:5" x14ac:dyDescent="0.25">
      <c r="A5907" s="2">
        <f>IF(B5907="","",SUBTOTAL(3,$B$2:B5907))</f>
        <v>5906</v>
      </c>
      <c r="B5907" s="9" t="s">
        <v>51</v>
      </c>
      <c r="C5907" s="10" t="s">
        <v>49</v>
      </c>
      <c r="D5907" s="11">
        <v>1058.985491898761</v>
      </c>
      <c r="E5907" s="12">
        <f t="shared" si="92"/>
        <v>47345</v>
      </c>
    </row>
    <row r="5908" spans="1:5" x14ac:dyDescent="0.25">
      <c r="A5908" s="2">
        <f>IF(B5908="","",SUBTOTAL(3,$B$2:B5908))</f>
        <v>5907</v>
      </c>
      <c r="B5908" s="9" t="s">
        <v>48</v>
      </c>
      <c r="C5908" s="10" t="s">
        <v>49</v>
      </c>
      <c r="D5908" s="11">
        <v>107.82501540357363</v>
      </c>
      <c r="E5908" s="12">
        <f t="shared" si="92"/>
        <v>47346</v>
      </c>
    </row>
    <row r="5909" spans="1:5" x14ac:dyDescent="0.25">
      <c r="A5909" s="2">
        <f>IF(B5909="","",SUBTOTAL(3,$B$2:B5909))</f>
        <v>5908</v>
      </c>
      <c r="B5909" s="9" t="s">
        <v>48</v>
      </c>
      <c r="C5909" s="10" t="s">
        <v>54</v>
      </c>
      <c r="D5909" s="11">
        <v>81.084411583487366</v>
      </c>
      <c r="E5909" s="12">
        <f t="shared" si="92"/>
        <v>47347</v>
      </c>
    </row>
    <row r="5910" spans="1:5" x14ac:dyDescent="0.25">
      <c r="A5910" s="2">
        <f>IF(B5910="","",SUBTOTAL(3,$B$2:B5910))</f>
        <v>5909</v>
      </c>
      <c r="B5910" s="9" t="s">
        <v>48</v>
      </c>
      <c r="C5910" s="10" t="s">
        <v>57</v>
      </c>
      <c r="D5910" s="11">
        <v>141.89772027110291</v>
      </c>
      <c r="E5910" s="12">
        <f t="shared" si="92"/>
        <v>47348</v>
      </c>
    </row>
    <row r="5911" spans="1:5" x14ac:dyDescent="0.25">
      <c r="A5911" s="2">
        <f>IF(B5911="","",SUBTOTAL(3,$B$2:B5911))</f>
        <v>5910</v>
      </c>
      <c r="B5911" s="9" t="s">
        <v>48</v>
      </c>
      <c r="C5911" s="10" t="s">
        <v>57</v>
      </c>
      <c r="D5911" s="11">
        <v>121.62661737523106</v>
      </c>
      <c r="E5911" s="12">
        <f t="shared" si="92"/>
        <v>47349</v>
      </c>
    </row>
    <row r="5912" spans="1:5" x14ac:dyDescent="0.25">
      <c r="A5912" s="2">
        <f>IF(B5912="","",SUBTOTAL(3,$B$2:B5912))</f>
        <v>5911</v>
      </c>
      <c r="B5912" s="9" t="s">
        <v>48</v>
      </c>
      <c r="C5912" s="10" t="s">
        <v>49</v>
      </c>
      <c r="D5912" s="11">
        <v>38.508934072704868</v>
      </c>
      <c r="E5912" s="12">
        <f t="shared" si="92"/>
        <v>47350</v>
      </c>
    </row>
    <row r="5913" spans="1:5" x14ac:dyDescent="0.25">
      <c r="A5913" s="2">
        <f>IF(B5913="","",SUBTOTAL(3,$B$2:B5913))</f>
        <v>5912</v>
      </c>
      <c r="B5913" s="9" t="s">
        <v>48</v>
      </c>
      <c r="C5913" s="10" t="s">
        <v>52</v>
      </c>
      <c r="D5913" s="11">
        <v>172.35436056532231</v>
      </c>
      <c r="E5913" s="12">
        <f t="shared" si="92"/>
        <v>47351</v>
      </c>
    </row>
    <row r="5914" spans="1:5" x14ac:dyDescent="0.25">
      <c r="A5914" s="2">
        <f>IF(B5914="","",SUBTOTAL(3,$B$2:B5914))</f>
        <v>5913</v>
      </c>
      <c r="B5914" s="9" t="s">
        <v>50</v>
      </c>
      <c r="C5914" s="10" t="s">
        <v>49</v>
      </c>
      <c r="D5914" s="11">
        <v>61.728395061728399</v>
      </c>
      <c r="E5914" s="12">
        <f t="shared" si="92"/>
        <v>47352</v>
      </c>
    </row>
    <row r="5915" spans="1:5" x14ac:dyDescent="0.25">
      <c r="A5915" s="2">
        <f>IF(B5915="","",SUBTOTAL(3,$B$2:B5915))</f>
        <v>5914</v>
      </c>
      <c r="B5915" s="9" t="s">
        <v>50</v>
      </c>
      <c r="C5915" s="10" t="s">
        <v>56</v>
      </c>
      <c r="D5915" s="11">
        <v>220.45855379188714</v>
      </c>
      <c r="E5915" s="12">
        <f t="shared" si="92"/>
        <v>47353</v>
      </c>
    </row>
    <row r="5916" spans="1:5" x14ac:dyDescent="0.25">
      <c r="A5916" s="2">
        <f>IF(B5916="","",SUBTOTAL(3,$B$2:B5916))</f>
        <v>5915</v>
      </c>
      <c r="B5916" s="9" t="s">
        <v>50</v>
      </c>
      <c r="C5916" s="10" t="s">
        <v>56</v>
      </c>
      <c r="D5916" s="11">
        <v>220.45855379188714</v>
      </c>
      <c r="E5916" s="12">
        <f t="shared" si="92"/>
        <v>47354</v>
      </c>
    </row>
    <row r="5917" spans="1:5" x14ac:dyDescent="0.25">
      <c r="A5917" s="2">
        <f>IF(B5917="","",SUBTOTAL(3,$B$2:B5917))</f>
        <v>5916</v>
      </c>
      <c r="B5917" s="9" t="s">
        <v>50</v>
      </c>
      <c r="C5917" s="10" t="s">
        <v>56</v>
      </c>
      <c r="D5917" s="11">
        <v>220.45855379188714</v>
      </c>
      <c r="E5917" s="12">
        <f t="shared" si="92"/>
        <v>47355</v>
      </c>
    </row>
    <row r="5918" spans="1:5" x14ac:dyDescent="0.25">
      <c r="A5918" s="2">
        <f>IF(B5918="","",SUBTOTAL(3,$B$2:B5918))</f>
        <v>5917</v>
      </c>
      <c r="B5918" s="9" t="s">
        <v>55</v>
      </c>
      <c r="C5918" s="10" t="s">
        <v>56</v>
      </c>
      <c r="D5918" s="11">
        <v>16.294606485253382</v>
      </c>
      <c r="E5918" s="12">
        <f t="shared" si="92"/>
        <v>47356</v>
      </c>
    </row>
    <row r="5919" spans="1:5" x14ac:dyDescent="0.25">
      <c r="A5919" s="2">
        <f>IF(B5919="","",SUBTOTAL(3,$B$2:B5919))</f>
        <v>5918</v>
      </c>
      <c r="B5919" s="9" t="s">
        <v>55</v>
      </c>
      <c r="C5919" s="10" t="s">
        <v>54</v>
      </c>
      <c r="D5919" s="11">
        <v>300.21151284053843</v>
      </c>
      <c r="E5919" s="12">
        <f t="shared" si="92"/>
        <v>47357</v>
      </c>
    </row>
    <row r="5920" spans="1:5" x14ac:dyDescent="0.25">
      <c r="A5920" s="2">
        <f>IF(B5920="","",SUBTOTAL(3,$B$2:B5920))</f>
        <v>5919</v>
      </c>
      <c r="B5920" s="9" t="s">
        <v>50</v>
      </c>
      <c r="C5920" s="10" t="s">
        <v>49</v>
      </c>
      <c r="D5920" s="11">
        <v>220.45855379188714</v>
      </c>
      <c r="E5920" s="12">
        <f t="shared" si="92"/>
        <v>47358</v>
      </c>
    </row>
    <row r="5921" spans="1:5" x14ac:dyDescent="0.25">
      <c r="A5921" s="2">
        <f>IF(B5921="","",SUBTOTAL(3,$B$2:B5921))</f>
        <v>5920</v>
      </c>
      <c r="B5921" s="9" t="s">
        <v>48</v>
      </c>
      <c r="C5921" s="10" t="s">
        <v>56</v>
      </c>
      <c r="D5921" s="11">
        <v>17.235436056532226</v>
      </c>
      <c r="E5921" s="12">
        <f t="shared" si="92"/>
        <v>47359</v>
      </c>
    </row>
    <row r="5922" spans="1:5" x14ac:dyDescent="0.25">
      <c r="A5922" s="2">
        <f>IF(B5922="","",SUBTOTAL(3,$B$2:B5922))</f>
        <v>5921</v>
      </c>
      <c r="B5922" s="9" t="s">
        <v>51</v>
      </c>
      <c r="C5922" s="10" t="s">
        <v>49</v>
      </c>
      <c r="D5922" s="11">
        <v>254.15651805570261</v>
      </c>
      <c r="E5922" s="12">
        <f t="shared" si="92"/>
        <v>47360</v>
      </c>
    </row>
    <row r="5923" spans="1:5" x14ac:dyDescent="0.25">
      <c r="A5923" s="2">
        <f>IF(B5923="","",SUBTOTAL(3,$B$2:B5923))</f>
        <v>5922</v>
      </c>
      <c r="B5923" s="9" t="s">
        <v>50</v>
      </c>
      <c r="C5923" s="10" t="s">
        <v>52</v>
      </c>
      <c r="D5923" s="11">
        <v>66.137566137566139</v>
      </c>
      <c r="E5923" s="12">
        <f t="shared" si="92"/>
        <v>47361</v>
      </c>
    </row>
    <row r="5924" spans="1:5" x14ac:dyDescent="0.25">
      <c r="A5924" s="2">
        <f>IF(B5924="","",SUBTOTAL(3,$B$2:B5924))</f>
        <v>5923</v>
      </c>
      <c r="B5924" s="9" t="s">
        <v>53</v>
      </c>
      <c r="C5924" s="10" t="s">
        <v>49</v>
      </c>
      <c r="D5924" s="11">
        <v>109.90319360363415</v>
      </c>
      <c r="E5924" s="12">
        <f t="shared" si="92"/>
        <v>47362</v>
      </c>
    </row>
    <row r="5925" spans="1:5" x14ac:dyDescent="0.25">
      <c r="A5925" s="2">
        <f>IF(B5925="","",SUBTOTAL(3,$B$2:B5925))</f>
        <v>5924</v>
      </c>
      <c r="B5925" s="9" t="s">
        <v>53</v>
      </c>
      <c r="C5925" s="10" t="s">
        <v>49</v>
      </c>
      <c r="D5925" s="11">
        <v>109.90319360363415</v>
      </c>
      <c r="E5925" s="12">
        <f t="shared" si="92"/>
        <v>47363</v>
      </c>
    </row>
    <row r="5926" spans="1:5" x14ac:dyDescent="0.25">
      <c r="A5926" s="2">
        <f>IF(B5926="","",SUBTOTAL(3,$B$2:B5926))</f>
        <v>5925</v>
      </c>
      <c r="B5926" s="9" t="s">
        <v>53</v>
      </c>
      <c r="C5926" s="10" t="s">
        <v>49</v>
      </c>
      <c r="D5926" s="11">
        <v>137.37899200454268</v>
      </c>
      <c r="E5926" s="12">
        <f t="shared" si="92"/>
        <v>47364</v>
      </c>
    </row>
    <row r="5927" spans="1:5" x14ac:dyDescent="0.25">
      <c r="A5927" s="2">
        <f>IF(B5927="","",SUBTOTAL(3,$B$2:B5927))</f>
        <v>5926</v>
      </c>
      <c r="B5927" s="9" t="s">
        <v>53</v>
      </c>
      <c r="C5927" s="10" t="s">
        <v>49</v>
      </c>
      <c r="D5927" s="11">
        <v>91.585994669695125</v>
      </c>
      <c r="E5927" s="12">
        <f t="shared" si="92"/>
        <v>47365</v>
      </c>
    </row>
    <row r="5928" spans="1:5" x14ac:dyDescent="0.25">
      <c r="A5928" s="2">
        <f>IF(B5928="","",SUBTOTAL(3,$B$2:B5928))</f>
        <v>5927</v>
      </c>
      <c r="B5928" s="9" t="s">
        <v>55</v>
      </c>
      <c r="C5928" s="10" t="s">
        <v>52</v>
      </c>
      <c r="D5928" s="11">
        <v>75</v>
      </c>
      <c r="E5928" s="12">
        <f t="shared" si="92"/>
        <v>47366</v>
      </c>
    </row>
    <row r="5929" spans="1:5" x14ac:dyDescent="0.25">
      <c r="A5929" s="2">
        <f>IF(B5929="","",SUBTOTAL(3,$B$2:B5929))</f>
        <v>5928</v>
      </c>
      <c r="B5929" s="9" t="s">
        <v>50</v>
      </c>
      <c r="C5929" s="10" t="s">
        <v>49</v>
      </c>
      <c r="D5929" s="11">
        <v>44.091710758377424</v>
      </c>
      <c r="E5929" s="12">
        <f t="shared" si="92"/>
        <v>47367</v>
      </c>
    </row>
    <row r="5930" spans="1:5" x14ac:dyDescent="0.25">
      <c r="A5930" s="2">
        <f>IF(B5930="","",SUBTOTAL(3,$B$2:B5930))</f>
        <v>5929</v>
      </c>
      <c r="B5930" s="9" t="s">
        <v>55</v>
      </c>
      <c r="C5930" s="10" t="s">
        <v>56</v>
      </c>
      <c r="D5930" s="11">
        <v>65.178425941013529</v>
      </c>
      <c r="E5930" s="12">
        <f t="shared" si="92"/>
        <v>47368</v>
      </c>
    </row>
    <row r="5931" spans="1:5" x14ac:dyDescent="0.25">
      <c r="A5931" s="2">
        <f>IF(B5931="","",SUBTOTAL(3,$B$2:B5931))</f>
        <v>5930</v>
      </c>
      <c r="B5931" s="9" t="s">
        <v>48</v>
      </c>
      <c r="C5931" s="10" t="s">
        <v>52</v>
      </c>
      <c r="D5931" s="11">
        <v>51.706308169596689</v>
      </c>
      <c r="E5931" s="12">
        <f t="shared" si="92"/>
        <v>47369</v>
      </c>
    </row>
    <row r="5932" spans="1:5" x14ac:dyDescent="0.25">
      <c r="A5932" s="2">
        <f>IF(B5932="","",SUBTOTAL(3,$B$2:B5932))</f>
        <v>5931</v>
      </c>
      <c r="B5932" s="9" t="s">
        <v>48</v>
      </c>
      <c r="C5932" s="10" t="s">
        <v>52</v>
      </c>
      <c r="D5932" s="11">
        <v>63.771113409169253</v>
      </c>
      <c r="E5932" s="12">
        <f t="shared" si="92"/>
        <v>47370</v>
      </c>
    </row>
    <row r="5933" spans="1:5" x14ac:dyDescent="0.25">
      <c r="A5933" s="2">
        <f>IF(B5933="","",SUBTOTAL(3,$B$2:B5933))</f>
        <v>5932</v>
      </c>
      <c r="B5933" s="9" t="s">
        <v>48</v>
      </c>
      <c r="C5933" s="10" t="s">
        <v>52</v>
      </c>
      <c r="D5933" s="11">
        <v>33.781454670803171</v>
      </c>
      <c r="E5933" s="12">
        <f t="shared" si="92"/>
        <v>47371</v>
      </c>
    </row>
    <row r="5934" spans="1:5" x14ac:dyDescent="0.25">
      <c r="A5934" s="2">
        <f>IF(B5934="","",SUBTOTAL(3,$B$2:B5934))</f>
        <v>5933</v>
      </c>
      <c r="B5934" s="9" t="s">
        <v>48</v>
      </c>
      <c r="C5934" s="10" t="s">
        <v>52</v>
      </c>
      <c r="D5934" s="11">
        <v>41.365046535677351</v>
      </c>
      <c r="E5934" s="12">
        <f t="shared" si="92"/>
        <v>47372</v>
      </c>
    </row>
    <row r="5935" spans="1:5" x14ac:dyDescent="0.25">
      <c r="A5935" s="2">
        <f>IF(B5935="","",SUBTOTAL(3,$B$2:B5935))</f>
        <v>5934</v>
      </c>
      <c r="B5935" s="9" t="s">
        <v>48</v>
      </c>
      <c r="C5935" s="10" t="s">
        <v>52</v>
      </c>
      <c r="D5935" s="11">
        <v>103.41261633919338</v>
      </c>
      <c r="E5935" s="12">
        <f t="shared" si="92"/>
        <v>47373</v>
      </c>
    </row>
    <row r="5936" spans="1:5" x14ac:dyDescent="0.25">
      <c r="A5936" s="2">
        <f>IF(B5936="","",SUBTOTAL(3,$B$2:B5936))</f>
        <v>5935</v>
      </c>
      <c r="B5936" s="9" t="s">
        <v>48</v>
      </c>
      <c r="C5936" s="10" t="s">
        <v>52</v>
      </c>
      <c r="D5936" s="11">
        <v>68.941744226128904</v>
      </c>
      <c r="E5936" s="12">
        <f t="shared" si="92"/>
        <v>47374</v>
      </c>
    </row>
    <row r="5937" spans="1:5" x14ac:dyDescent="0.25">
      <c r="A5937" s="2">
        <f>IF(B5937="","",SUBTOTAL(3,$B$2:B5937))</f>
        <v>5936</v>
      </c>
      <c r="B5937" s="9" t="s">
        <v>48</v>
      </c>
      <c r="C5937" s="10" t="s">
        <v>52</v>
      </c>
      <c r="D5937" s="11">
        <v>103.41261633919338</v>
      </c>
      <c r="E5937" s="12">
        <f t="shared" si="92"/>
        <v>47375</v>
      </c>
    </row>
    <row r="5938" spans="1:5" x14ac:dyDescent="0.25">
      <c r="A5938" s="2">
        <f>IF(B5938="","",SUBTOTAL(3,$B$2:B5938))</f>
        <v>5937</v>
      </c>
      <c r="B5938" s="9" t="s">
        <v>48</v>
      </c>
      <c r="C5938" s="10" t="s">
        <v>52</v>
      </c>
      <c r="D5938" s="11">
        <v>103.41261633919338</v>
      </c>
      <c r="E5938" s="12">
        <f t="shared" si="92"/>
        <v>47376</v>
      </c>
    </row>
    <row r="5939" spans="1:5" x14ac:dyDescent="0.25">
      <c r="A5939" s="2">
        <f>IF(B5939="","",SUBTOTAL(3,$B$2:B5939))</f>
        <v>5938</v>
      </c>
      <c r="B5939" s="9" t="s">
        <v>48</v>
      </c>
      <c r="C5939" s="10" t="s">
        <v>52</v>
      </c>
      <c r="D5939" s="11">
        <v>103.41261633919338</v>
      </c>
      <c r="E5939" s="12">
        <f t="shared" si="92"/>
        <v>47377</v>
      </c>
    </row>
    <row r="5940" spans="1:5" x14ac:dyDescent="0.25">
      <c r="A5940" s="2">
        <f>IF(B5940="","",SUBTOTAL(3,$B$2:B5940))</f>
        <v>5939</v>
      </c>
      <c r="B5940" s="9" t="s">
        <v>48</v>
      </c>
      <c r="C5940" s="10" t="s">
        <v>52</v>
      </c>
      <c r="D5940" s="11">
        <v>103.41261633919338</v>
      </c>
      <c r="E5940" s="12">
        <f t="shared" si="92"/>
        <v>47378</v>
      </c>
    </row>
    <row r="5941" spans="1:5" x14ac:dyDescent="0.25">
      <c r="A5941" s="2">
        <f>IF(B5941="","",SUBTOTAL(3,$B$2:B5941))</f>
        <v>5940</v>
      </c>
      <c r="B5941" s="9" t="s">
        <v>48</v>
      </c>
      <c r="C5941" s="10" t="s">
        <v>52</v>
      </c>
      <c r="D5941" s="11">
        <v>103.41261633919338</v>
      </c>
      <c r="E5941" s="12">
        <f t="shared" si="92"/>
        <v>47379</v>
      </c>
    </row>
    <row r="5942" spans="1:5" x14ac:dyDescent="0.25">
      <c r="A5942" s="2">
        <f>IF(B5942="","",SUBTOTAL(3,$B$2:B5942))</f>
        <v>5941</v>
      </c>
      <c r="B5942" s="9" t="s">
        <v>48</v>
      </c>
      <c r="C5942" s="10" t="s">
        <v>52</v>
      </c>
      <c r="D5942" s="11">
        <v>103.41261633919338</v>
      </c>
      <c r="E5942" s="12">
        <f t="shared" si="92"/>
        <v>47380</v>
      </c>
    </row>
    <row r="5943" spans="1:5" x14ac:dyDescent="0.25">
      <c r="A5943" s="2">
        <f>IF(B5943="","",SUBTOTAL(3,$B$2:B5943))</f>
        <v>5942</v>
      </c>
      <c r="B5943" s="9" t="s">
        <v>48</v>
      </c>
      <c r="C5943" s="10" t="s">
        <v>52</v>
      </c>
      <c r="D5943" s="11">
        <v>103.41261633919338</v>
      </c>
      <c r="E5943" s="12">
        <f t="shared" si="92"/>
        <v>47381</v>
      </c>
    </row>
    <row r="5944" spans="1:5" x14ac:dyDescent="0.25">
      <c r="A5944" s="2">
        <f>IF(B5944="","",SUBTOTAL(3,$B$2:B5944))</f>
        <v>5943</v>
      </c>
      <c r="B5944" s="9" t="s">
        <v>48</v>
      </c>
      <c r="C5944" s="10" t="s">
        <v>54</v>
      </c>
      <c r="D5944" s="11">
        <v>18.958979662185452</v>
      </c>
      <c r="E5944" s="12">
        <f t="shared" si="92"/>
        <v>47382</v>
      </c>
    </row>
    <row r="5945" spans="1:5" x14ac:dyDescent="0.25">
      <c r="A5945" s="2">
        <f>IF(B5945="","",SUBTOTAL(3,$B$2:B5945))</f>
        <v>5944</v>
      </c>
      <c r="B5945" s="9" t="s">
        <v>55</v>
      </c>
      <c r="C5945" s="10" t="s">
        <v>49</v>
      </c>
      <c r="D5945" s="11">
        <v>95</v>
      </c>
      <c r="E5945" s="12">
        <f t="shared" si="92"/>
        <v>47383</v>
      </c>
    </row>
    <row r="5946" spans="1:5" x14ac:dyDescent="0.25">
      <c r="A5946" s="2">
        <f>IF(B5946="","",SUBTOTAL(3,$B$2:B5946))</f>
        <v>5945</v>
      </c>
      <c r="B5946" s="9" t="s">
        <v>55</v>
      </c>
      <c r="C5946" s="10" t="s">
        <v>54</v>
      </c>
      <c r="D5946" s="11">
        <v>100</v>
      </c>
      <c r="E5946" s="12">
        <f t="shared" si="92"/>
        <v>47384</v>
      </c>
    </row>
    <row r="5947" spans="1:5" x14ac:dyDescent="0.25">
      <c r="A5947" s="2">
        <f>IF(B5947="","",SUBTOTAL(3,$B$2:B5947))</f>
        <v>5946</v>
      </c>
      <c r="B5947" s="9" t="s">
        <v>50</v>
      </c>
      <c r="C5947" s="10" t="s">
        <v>52</v>
      </c>
      <c r="D5947" s="11">
        <v>33.06878306878307</v>
      </c>
      <c r="E5947" s="12">
        <f t="shared" si="92"/>
        <v>47385</v>
      </c>
    </row>
    <row r="5948" spans="1:5" x14ac:dyDescent="0.25">
      <c r="A5948" s="2">
        <f>IF(B5948="","",SUBTOTAL(3,$B$2:B5948))</f>
        <v>5947</v>
      </c>
      <c r="B5948" s="9" t="s">
        <v>50</v>
      </c>
      <c r="C5948" s="10" t="s">
        <v>49</v>
      </c>
      <c r="D5948" s="11">
        <v>66.137566137566139</v>
      </c>
      <c r="E5948" s="12">
        <f t="shared" si="92"/>
        <v>47386</v>
      </c>
    </row>
    <row r="5949" spans="1:5" x14ac:dyDescent="0.25">
      <c r="A5949" s="2">
        <f>IF(B5949="","",SUBTOTAL(3,$B$2:B5949))</f>
        <v>5948</v>
      </c>
      <c r="B5949" s="9" t="s">
        <v>50</v>
      </c>
      <c r="C5949" s="10" t="s">
        <v>52</v>
      </c>
      <c r="D5949" s="11">
        <v>16.666666666666668</v>
      </c>
      <c r="E5949" s="12">
        <f t="shared" si="92"/>
        <v>47387</v>
      </c>
    </row>
    <row r="5950" spans="1:5" x14ac:dyDescent="0.25">
      <c r="A5950" s="2">
        <f>IF(B5950="","",SUBTOTAL(3,$B$2:B5950))</f>
        <v>5949</v>
      </c>
      <c r="B5950" s="9" t="s">
        <v>55</v>
      </c>
      <c r="C5950" s="10" t="s">
        <v>49</v>
      </c>
      <c r="D5950" s="11">
        <v>488.83819455760147</v>
      </c>
      <c r="E5950" s="12">
        <f t="shared" si="92"/>
        <v>47388</v>
      </c>
    </row>
    <row r="5951" spans="1:5" x14ac:dyDescent="0.25">
      <c r="A5951" s="2">
        <f>IF(B5951="","",SUBTOTAL(3,$B$2:B5951))</f>
        <v>5950</v>
      </c>
      <c r="B5951" s="9" t="s">
        <v>48</v>
      </c>
      <c r="C5951" s="10" t="s">
        <v>56</v>
      </c>
      <c r="D5951" s="11">
        <v>25.696041524803107</v>
      </c>
      <c r="E5951" s="12">
        <f t="shared" si="92"/>
        <v>47389</v>
      </c>
    </row>
    <row r="5952" spans="1:5" x14ac:dyDescent="0.25">
      <c r="A5952" s="2">
        <f>IF(B5952="","",SUBTOTAL(3,$B$2:B5952))</f>
        <v>5951</v>
      </c>
      <c r="B5952" s="9" t="s">
        <v>53</v>
      </c>
      <c r="C5952" s="10" t="s">
        <v>49</v>
      </c>
      <c r="D5952" s="11">
        <v>228.96498667423779</v>
      </c>
      <c r="E5952" s="12">
        <f t="shared" si="92"/>
        <v>47390</v>
      </c>
    </row>
    <row r="5953" spans="1:5" x14ac:dyDescent="0.25">
      <c r="A5953" s="2">
        <f>IF(B5953="","",SUBTOTAL(3,$B$2:B5953))</f>
        <v>5952</v>
      </c>
      <c r="B5953" s="9" t="s">
        <v>53</v>
      </c>
      <c r="C5953" s="10" t="s">
        <v>54</v>
      </c>
      <c r="D5953" s="11">
        <v>109.90319360363415</v>
      </c>
      <c r="E5953" s="12">
        <f t="shared" si="92"/>
        <v>47391</v>
      </c>
    </row>
    <row r="5954" spans="1:5" x14ac:dyDescent="0.25">
      <c r="A5954" s="2">
        <f>IF(B5954="","",SUBTOTAL(3,$B$2:B5954))</f>
        <v>5953</v>
      </c>
      <c r="B5954" s="9" t="s">
        <v>50</v>
      </c>
      <c r="C5954" s="10" t="s">
        <v>49</v>
      </c>
      <c r="D5954" s="11">
        <v>293.80264550264553</v>
      </c>
      <c r="E5954" s="12">
        <f t="shared" si="92"/>
        <v>47392</v>
      </c>
    </row>
    <row r="5955" spans="1:5" x14ac:dyDescent="0.25">
      <c r="A5955" s="2">
        <f>IF(B5955="","",SUBTOTAL(3,$B$2:B5955))</f>
        <v>5954</v>
      </c>
      <c r="B5955" s="9" t="s">
        <v>48</v>
      </c>
      <c r="C5955" s="10" t="s">
        <v>54</v>
      </c>
      <c r="D5955" s="11">
        <v>101.3555144793592</v>
      </c>
      <c r="E5955" s="12">
        <f t="shared" si="92"/>
        <v>47393</v>
      </c>
    </row>
    <row r="5956" spans="1:5" x14ac:dyDescent="0.25">
      <c r="A5956" s="2">
        <f>IF(B5956="","",SUBTOTAL(3,$B$2:B5956))</f>
        <v>5955</v>
      </c>
      <c r="B5956" s="9" t="s">
        <v>48</v>
      </c>
      <c r="C5956" s="10" t="s">
        <v>54</v>
      </c>
      <c r="D5956" s="11">
        <v>62.769562538508936</v>
      </c>
      <c r="E5956" s="12">
        <f t="shared" ref="E5956:E6019" si="93">E5955+1</f>
        <v>47394</v>
      </c>
    </row>
    <row r="5957" spans="1:5" x14ac:dyDescent="0.25">
      <c r="A5957" s="2">
        <f>IF(B5957="","",SUBTOTAL(3,$B$2:B5957))</f>
        <v>5956</v>
      </c>
      <c r="B5957" s="9" t="s">
        <v>48</v>
      </c>
      <c r="C5957" s="10" t="s">
        <v>54</v>
      </c>
      <c r="D5957" s="11">
        <v>39.664202094886015</v>
      </c>
      <c r="E5957" s="12">
        <f t="shared" si="93"/>
        <v>47395</v>
      </c>
    </row>
    <row r="5958" spans="1:5" x14ac:dyDescent="0.25">
      <c r="A5958" s="2">
        <f>IF(B5958="","",SUBTOTAL(3,$B$2:B5958))</f>
        <v>5957</v>
      </c>
      <c r="B5958" s="9" t="s">
        <v>48</v>
      </c>
      <c r="C5958" s="10" t="s">
        <v>54</v>
      </c>
      <c r="D5958" s="11">
        <v>82.024029574861373</v>
      </c>
      <c r="E5958" s="12">
        <f t="shared" si="93"/>
        <v>47396</v>
      </c>
    </row>
    <row r="5959" spans="1:5" x14ac:dyDescent="0.25">
      <c r="A5959" s="2">
        <f>IF(B5959="","",SUBTOTAL(3,$B$2:B5959))</f>
        <v>5958</v>
      </c>
      <c r="B5959" s="9" t="s">
        <v>48</v>
      </c>
      <c r="C5959" s="10" t="s">
        <v>54</v>
      </c>
      <c r="D5959" s="11">
        <v>7.7017868145409736</v>
      </c>
      <c r="E5959" s="12">
        <f t="shared" si="93"/>
        <v>47397</v>
      </c>
    </row>
    <row r="5960" spans="1:5" x14ac:dyDescent="0.25">
      <c r="A5960" s="2">
        <f>IF(B5960="","",SUBTOTAL(3,$B$2:B5960))</f>
        <v>5959</v>
      </c>
      <c r="B5960" s="9" t="s">
        <v>48</v>
      </c>
      <c r="C5960" s="10" t="s">
        <v>49</v>
      </c>
      <c r="D5960" s="11">
        <v>30.807147258163894</v>
      </c>
      <c r="E5960" s="12">
        <f t="shared" si="93"/>
        <v>47398</v>
      </c>
    </row>
    <row r="5961" spans="1:5" x14ac:dyDescent="0.25">
      <c r="A5961" s="2">
        <f>IF(B5961="","",SUBTOTAL(3,$B$2:B5961))</f>
        <v>5960</v>
      </c>
      <c r="B5961" s="9" t="s">
        <v>55</v>
      </c>
      <c r="C5961" s="10" t="s">
        <v>57</v>
      </c>
      <c r="D5961" s="11">
        <v>197.4242713399185</v>
      </c>
      <c r="E5961" s="12">
        <f t="shared" si="93"/>
        <v>47399</v>
      </c>
    </row>
    <row r="5962" spans="1:5" x14ac:dyDescent="0.25">
      <c r="A5962" s="2">
        <f>IF(B5962="","",SUBTOTAL(3,$B$2:B5962))</f>
        <v>5961</v>
      </c>
      <c r="B5962" s="9" t="s">
        <v>48</v>
      </c>
      <c r="C5962" s="10" t="s">
        <v>56</v>
      </c>
      <c r="D5962" s="11">
        <v>41.365046535677351</v>
      </c>
      <c r="E5962" s="12">
        <f t="shared" si="93"/>
        <v>47400</v>
      </c>
    </row>
    <row r="5963" spans="1:5" x14ac:dyDescent="0.25">
      <c r="A5963" s="2">
        <f>IF(B5963="","",SUBTOTAL(3,$B$2:B5963))</f>
        <v>5962</v>
      </c>
      <c r="B5963" s="9" t="s">
        <v>48</v>
      </c>
      <c r="C5963" s="10" t="s">
        <v>54</v>
      </c>
      <c r="D5963" s="11">
        <v>7.4426014672439713</v>
      </c>
      <c r="E5963" s="12">
        <f t="shared" si="93"/>
        <v>47401</v>
      </c>
    </row>
    <row r="5964" spans="1:5" x14ac:dyDescent="0.25">
      <c r="A5964" s="2">
        <f>IF(B5964="","",SUBTOTAL(3,$B$2:B5964))</f>
        <v>5963</v>
      </c>
      <c r="B5964" s="9" t="s">
        <v>53</v>
      </c>
      <c r="C5964" s="10" t="s">
        <v>49</v>
      </c>
      <c r="D5964" s="11">
        <v>183.17198933939025</v>
      </c>
      <c r="E5964" s="12">
        <f t="shared" si="93"/>
        <v>47402</v>
      </c>
    </row>
    <row r="5965" spans="1:5" x14ac:dyDescent="0.25">
      <c r="A5965" s="2">
        <f>IF(B5965="","",SUBTOTAL(3,$B$2:B5965))</f>
        <v>5964</v>
      </c>
      <c r="B5965" s="9" t="s">
        <v>48</v>
      </c>
      <c r="C5965" s="10" t="s">
        <v>52</v>
      </c>
      <c r="D5965" s="11">
        <v>431.30006161429452</v>
      </c>
      <c r="E5965" s="12">
        <f t="shared" si="93"/>
        <v>47403</v>
      </c>
    </row>
    <row r="5966" spans="1:5" x14ac:dyDescent="0.25">
      <c r="A5966" s="2">
        <f>IF(B5966="","",SUBTOTAL(3,$B$2:B5966))</f>
        <v>5965</v>
      </c>
      <c r="B5966" s="9" t="s">
        <v>48</v>
      </c>
      <c r="C5966" s="10" t="s">
        <v>52</v>
      </c>
      <c r="D5966" s="11">
        <v>123.22858903265558</v>
      </c>
      <c r="E5966" s="12">
        <f t="shared" si="93"/>
        <v>47404</v>
      </c>
    </row>
    <row r="5967" spans="1:5" x14ac:dyDescent="0.25">
      <c r="A5967" s="2">
        <f>IF(B5967="","",SUBTOTAL(3,$B$2:B5967))</f>
        <v>5966</v>
      </c>
      <c r="B5967" s="9" t="s">
        <v>48</v>
      </c>
      <c r="C5967" s="10" t="s">
        <v>52</v>
      </c>
      <c r="D5967" s="11">
        <v>123.22858903265558</v>
      </c>
      <c r="E5967" s="12">
        <f t="shared" si="93"/>
        <v>47405</v>
      </c>
    </row>
    <row r="5968" spans="1:5" x14ac:dyDescent="0.25">
      <c r="A5968" s="2">
        <f>IF(B5968="","",SUBTOTAL(3,$B$2:B5968))</f>
        <v>5967</v>
      </c>
      <c r="B5968" s="9" t="s">
        <v>55</v>
      </c>
      <c r="C5968" s="10" t="s">
        <v>49</v>
      </c>
      <c r="D5968" s="11">
        <v>20.125</v>
      </c>
      <c r="E5968" s="12">
        <f t="shared" si="93"/>
        <v>47406</v>
      </c>
    </row>
    <row r="5969" spans="1:5" x14ac:dyDescent="0.25">
      <c r="A5969" s="2">
        <f>IF(B5969="","",SUBTOTAL(3,$B$2:B5969))</f>
        <v>5968</v>
      </c>
      <c r="B5969" s="9" t="s">
        <v>48</v>
      </c>
      <c r="C5969" s="10" t="s">
        <v>49</v>
      </c>
      <c r="D5969" s="11">
        <v>2.6229231299551876</v>
      </c>
      <c r="E5969" s="12">
        <f t="shared" si="93"/>
        <v>47407</v>
      </c>
    </row>
    <row r="5970" spans="1:5" x14ac:dyDescent="0.25">
      <c r="A5970" s="2">
        <f>IF(B5970="","",SUBTOTAL(3,$B$2:B5970))</f>
        <v>5969</v>
      </c>
      <c r="B5970" s="9" t="s">
        <v>48</v>
      </c>
      <c r="C5970" s="10" t="s">
        <v>49</v>
      </c>
      <c r="D5970" s="11">
        <v>5.2458807307824884</v>
      </c>
      <c r="E5970" s="12">
        <f t="shared" si="93"/>
        <v>47408</v>
      </c>
    </row>
    <row r="5971" spans="1:5" x14ac:dyDescent="0.25">
      <c r="A5971" s="2">
        <f>IF(B5971="","",SUBTOTAL(3,$B$2:B5971))</f>
        <v>5970</v>
      </c>
      <c r="B5971" s="9" t="s">
        <v>48</v>
      </c>
      <c r="C5971" s="10" t="s">
        <v>49</v>
      </c>
      <c r="D5971" s="11">
        <v>10.341261633919338</v>
      </c>
      <c r="E5971" s="12">
        <f t="shared" si="93"/>
        <v>47409</v>
      </c>
    </row>
    <row r="5972" spans="1:5" x14ac:dyDescent="0.25">
      <c r="A5972" s="2">
        <f>IF(B5972="","",SUBTOTAL(3,$B$2:B5972))</f>
        <v>5971</v>
      </c>
      <c r="B5972" s="9" t="s">
        <v>48</v>
      </c>
      <c r="C5972" s="10" t="s">
        <v>54</v>
      </c>
      <c r="D5972" s="11">
        <v>51.706308169596689</v>
      </c>
      <c r="E5972" s="12">
        <f t="shared" si="93"/>
        <v>47410</v>
      </c>
    </row>
    <row r="5973" spans="1:5" x14ac:dyDescent="0.25">
      <c r="A5973" s="2">
        <f>IF(B5973="","",SUBTOTAL(3,$B$2:B5973))</f>
        <v>5972</v>
      </c>
      <c r="B5973" s="9" t="s">
        <v>48</v>
      </c>
      <c r="C5973" s="10" t="s">
        <v>56</v>
      </c>
      <c r="D5973" s="11">
        <v>27.576697690451567</v>
      </c>
      <c r="E5973" s="12">
        <f t="shared" si="93"/>
        <v>47411</v>
      </c>
    </row>
    <row r="5974" spans="1:5" x14ac:dyDescent="0.25">
      <c r="A5974" s="2">
        <f>IF(B5974="","",SUBTOTAL(3,$B$2:B5974))</f>
        <v>5973</v>
      </c>
      <c r="B5974" s="9" t="s">
        <v>50</v>
      </c>
      <c r="C5974" s="10" t="s">
        <v>49</v>
      </c>
      <c r="D5974" s="11">
        <v>16.534391534391535</v>
      </c>
      <c r="E5974" s="12">
        <f t="shared" si="93"/>
        <v>47412</v>
      </c>
    </row>
    <row r="5975" spans="1:5" x14ac:dyDescent="0.25">
      <c r="A5975" s="2">
        <f>IF(B5975="","",SUBTOTAL(3,$B$2:B5975))</f>
        <v>5974</v>
      </c>
      <c r="B5975" s="9" t="s">
        <v>48</v>
      </c>
      <c r="C5975" s="10" t="s">
        <v>52</v>
      </c>
      <c r="D5975" s="11">
        <v>924.21441774491689</v>
      </c>
      <c r="E5975" s="12">
        <f t="shared" si="93"/>
        <v>47413</v>
      </c>
    </row>
    <row r="5976" spans="1:5" x14ac:dyDescent="0.25">
      <c r="A5976" s="2">
        <f>IF(B5976="","",SUBTOTAL(3,$B$2:B5976))</f>
        <v>5975</v>
      </c>
      <c r="B5976" s="9" t="s">
        <v>48</v>
      </c>
      <c r="C5976" s="10" t="s">
        <v>52</v>
      </c>
      <c r="D5976" s="11">
        <v>184.84288354898337</v>
      </c>
      <c r="E5976" s="12">
        <f t="shared" si="93"/>
        <v>47414</v>
      </c>
    </row>
    <row r="5977" spans="1:5" x14ac:dyDescent="0.25">
      <c r="A5977" s="2">
        <f>IF(B5977="","",SUBTOTAL(3,$B$2:B5977))</f>
        <v>5976</v>
      </c>
      <c r="B5977" s="9" t="s">
        <v>50</v>
      </c>
      <c r="C5977" s="10" t="s">
        <v>49</v>
      </c>
      <c r="D5977" s="11">
        <v>110.22927689594357</v>
      </c>
      <c r="E5977" s="12">
        <f t="shared" si="93"/>
        <v>47415</v>
      </c>
    </row>
    <row r="5978" spans="1:5" x14ac:dyDescent="0.25">
      <c r="A5978" s="2">
        <f>IF(B5978="","",SUBTOTAL(3,$B$2:B5978))</f>
        <v>5977</v>
      </c>
      <c r="B5978" s="9" t="s">
        <v>48</v>
      </c>
      <c r="C5978" s="10" t="s">
        <v>52</v>
      </c>
      <c r="D5978" s="11">
        <v>308.07147258163894</v>
      </c>
      <c r="E5978" s="12">
        <f t="shared" si="93"/>
        <v>47416</v>
      </c>
    </row>
    <row r="5979" spans="1:5" x14ac:dyDescent="0.25">
      <c r="A5979" s="2">
        <f>IF(B5979="","",SUBTOTAL(3,$B$2:B5979))</f>
        <v>5978</v>
      </c>
      <c r="B5979" s="9" t="s">
        <v>55</v>
      </c>
      <c r="C5979" s="10" t="s">
        <v>52</v>
      </c>
      <c r="D5979" s="11">
        <v>325.89212970506765</v>
      </c>
      <c r="E5979" s="12">
        <f t="shared" si="93"/>
        <v>47417</v>
      </c>
    </row>
    <row r="5980" spans="1:5" x14ac:dyDescent="0.25">
      <c r="A5980" s="2">
        <f>IF(B5980="","",SUBTOTAL(3,$B$2:B5980))</f>
        <v>5979</v>
      </c>
      <c r="B5980" s="9" t="s">
        <v>55</v>
      </c>
      <c r="C5980" s="10" t="s">
        <v>54</v>
      </c>
      <c r="D5980" s="11">
        <v>162.94606485253382</v>
      </c>
      <c r="E5980" s="12">
        <f t="shared" si="93"/>
        <v>47418</v>
      </c>
    </row>
    <row r="5981" spans="1:5" x14ac:dyDescent="0.25">
      <c r="A5981" s="2">
        <f>IF(B5981="","",SUBTOTAL(3,$B$2:B5981))</f>
        <v>5980</v>
      </c>
      <c r="B5981" s="9" t="s">
        <v>50</v>
      </c>
      <c r="C5981" s="10" t="s">
        <v>54</v>
      </c>
      <c r="D5981" s="11">
        <v>33.06878306878307</v>
      </c>
      <c r="E5981" s="12">
        <f t="shared" si="93"/>
        <v>47419</v>
      </c>
    </row>
    <row r="5982" spans="1:5" x14ac:dyDescent="0.25">
      <c r="A5982" s="2">
        <f>IF(B5982="","",SUBTOTAL(3,$B$2:B5982))</f>
        <v>5981</v>
      </c>
      <c r="B5982" s="9" t="s">
        <v>55</v>
      </c>
      <c r="C5982" s="10" t="s">
        <v>52</v>
      </c>
      <c r="D5982" s="11">
        <v>2.8724132312204662</v>
      </c>
      <c r="E5982" s="12">
        <f t="shared" si="93"/>
        <v>47420</v>
      </c>
    </row>
    <row r="5983" spans="1:5" x14ac:dyDescent="0.25">
      <c r="A5983" s="2">
        <f>IF(B5983="","",SUBTOTAL(3,$B$2:B5983))</f>
        <v>5982</v>
      </c>
      <c r="B5983" s="9" t="s">
        <v>51</v>
      </c>
      <c r="C5983" s="10" t="s">
        <v>52</v>
      </c>
      <c r="D5983" s="11">
        <v>37.064492216456628</v>
      </c>
      <c r="E5983" s="12">
        <f t="shared" si="93"/>
        <v>47421</v>
      </c>
    </row>
    <row r="5984" spans="1:5" x14ac:dyDescent="0.25">
      <c r="A5984" s="2">
        <f>IF(B5984="","",SUBTOTAL(3,$B$2:B5984))</f>
        <v>5983</v>
      </c>
      <c r="B5984" s="9" t="s">
        <v>48</v>
      </c>
      <c r="C5984" s="10" t="s">
        <v>52</v>
      </c>
      <c r="D5984" s="11">
        <v>7.7017868145409736</v>
      </c>
      <c r="E5984" s="12">
        <f t="shared" si="93"/>
        <v>47422</v>
      </c>
    </row>
    <row r="5985" spans="1:5" x14ac:dyDescent="0.25">
      <c r="A5985" s="2">
        <f>IF(B5985="","",SUBTOTAL(3,$B$2:B5985))</f>
        <v>5984</v>
      </c>
      <c r="B5985" s="9" t="s">
        <v>51</v>
      </c>
      <c r="C5985" s="10" t="s">
        <v>52</v>
      </c>
      <c r="D5985" s="11">
        <v>21.179709837975221</v>
      </c>
      <c r="E5985" s="12">
        <f t="shared" si="93"/>
        <v>47423</v>
      </c>
    </row>
    <row r="5986" spans="1:5" x14ac:dyDescent="0.25">
      <c r="A5986" s="2">
        <f>IF(B5986="","",SUBTOTAL(3,$B$2:B5986))</f>
        <v>5985</v>
      </c>
      <c r="B5986" s="9" t="s">
        <v>53</v>
      </c>
      <c r="C5986" s="10" t="s">
        <v>54</v>
      </c>
      <c r="D5986" s="11">
        <v>5.4951596801817066</v>
      </c>
      <c r="E5986" s="12">
        <f t="shared" si="93"/>
        <v>47424</v>
      </c>
    </row>
    <row r="5987" spans="1:5" x14ac:dyDescent="0.25">
      <c r="A5987" s="2">
        <f>IF(B5987="","",SUBTOTAL(3,$B$2:B5987))</f>
        <v>5986</v>
      </c>
      <c r="B5987" s="9" t="s">
        <v>53</v>
      </c>
      <c r="C5987" s="10" t="s">
        <v>54</v>
      </c>
      <c r="D5987" s="11">
        <v>11.906179307060365</v>
      </c>
      <c r="E5987" s="12">
        <f t="shared" si="93"/>
        <v>47425</v>
      </c>
    </row>
    <row r="5988" spans="1:5" x14ac:dyDescent="0.25">
      <c r="A5988" s="2">
        <f>IF(B5988="","",SUBTOTAL(3,$B$2:B5988))</f>
        <v>5987</v>
      </c>
      <c r="B5988" s="9" t="s">
        <v>53</v>
      </c>
      <c r="C5988" s="10" t="s">
        <v>54</v>
      </c>
      <c r="D5988" s="11">
        <v>45.792997334847563</v>
      </c>
      <c r="E5988" s="12">
        <f t="shared" si="93"/>
        <v>47426</v>
      </c>
    </row>
    <row r="5989" spans="1:5" x14ac:dyDescent="0.25">
      <c r="A5989" s="2">
        <f>IF(B5989="","",SUBTOTAL(3,$B$2:B5989))</f>
        <v>5988</v>
      </c>
      <c r="B5989" s="9" t="s">
        <v>50</v>
      </c>
      <c r="C5989" s="10" t="s">
        <v>52</v>
      </c>
      <c r="D5989" s="11">
        <v>55.114638447971785</v>
      </c>
      <c r="E5989" s="12">
        <f t="shared" si="93"/>
        <v>47427</v>
      </c>
    </row>
    <row r="5990" spans="1:5" x14ac:dyDescent="0.25">
      <c r="A5990" s="2">
        <f>IF(B5990="","",SUBTOTAL(3,$B$2:B5990))</f>
        <v>5989</v>
      </c>
      <c r="B5990" s="9" t="s">
        <v>48</v>
      </c>
      <c r="C5990" s="10" t="s">
        <v>49</v>
      </c>
      <c r="D5990" s="11">
        <v>736.44485520640785</v>
      </c>
      <c r="E5990" s="12">
        <f t="shared" si="93"/>
        <v>47428</v>
      </c>
    </row>
    <row r="5991" spans="1:5" x14ac:dyDescent="0.25">
      <c r="A5991" s="2">
        <f>IF(B5991="","",SUBTOTAL(3,$B$2:B5991))</f>
        <v>5990</v>
      </c>
      <c r="B5991" s="9" t="s">
        <v>48</v>
      </c>
      <c r="C5991" s="10" t="s">
        <v>54</v>
      </c>
      <c r="D5991" s="11">
        <v>3.8508934072704868</v>
      </c>
      <c r="E5991" s="12">
        <f t="shared" si="93"/>
        <v>47429</v>
      </c>
    </row>
    <row r="5992" spans="1:5" x14ac:dyDescent="0.25">
      <c r="A5992" s="2">
        <f>IF(B5992="","",SUBTOTAL(3,$B$2:B5992))</f>
        <v>5991</v>
      </c>
      <c r="B5992" s="9" t="s">
        <v>48</v>
      </c>
      <c r="C5992" s="10" t="s">
        <v>52</v>
      </c>
      <c r="D5992" s="11">
        <v>231.05360443622922</v>
      </c>
      <c r="E5992" s="12">
        <f t="shared" si="93"/>
        <v>47430</v>
      </c>
    </row>
    <row r="5993" spans="1:5" x14ac:dyDescent="0.25">
      <c r="A5993" s="2">
        <f>IF(B5993="","",SUBTOTAL(3,$B$2:B5993))</f>
        <v>5992</v>
      </c>
      <c r="B5993" s="9" t="s">
        <v>48</v>
      </c>
      <c r="C5993" s="10" t="s">
        <v>49</v>
      </c>
      <c r="D5993" s="11">
        <v>246.45717806531115</v>
      </c>
      <c r="E5993" s="12">
        <f t="shared" si="93"/>
        <v>47431</v>
      </c>
    </row>
    <row r="5994" spans="1:5" x14ac:dyDescent="0.25">
      <c r="A5994" s="2">
        <f>IF(B5994="","",SUBTOTAL(3,$B$2:B5994))</f>
        <v>5993</v>
      </c>
      <c r="B5994" s="9" t="s">
        <v>55</v>
      </c>
      <c r="C5994" s="10" t="s">
        <v>52</v>
      </c>
      <c r="D5994" s="11">
        <v>179.8941798941799</v>
      </c>
      <c r="E5994" s="12">
        <f t="shared" si="93"/>
        <v>47432</v>
      </c>
    </row>
    <row r="5995" spans="1:5" x14ac:dyDescent="0.25">
      <c r="A5995" s="2">
        <f>IF(B5995="","",SUBTOTAL(3,$B$2:B5995))</f>
        <v>5994</v>
      </c>
      <c r="B5995" s="9" t="s">
        <v>48</v>
      </c>
      <c r="C5995" s="10" t="s">
        <v>49</v>
      </c>
      <c r="D5995" s="11">
        <v>38.508934072704868</v>
      </c>
      <c r="E5995" s="12">
        <f t="shared" si="93"/>
        <v>47433</v>
      </c>
    </row>
    <row r="5996" spans="1:5" x14ac:dyDescent="0.25">
      <c r="A5996" s="2">
        <f>IF(B5996="","",SUBTOTAL(3,$B$2:B5996))</f>
        <v>5995</v>
      </c>
      <c r="B5996" s="9" t="s">
        <v>48</v>
      </c>
      <c r="C5996" s="10" t="s">
        <v>49</v>
      </c>
      <c r="D5996" s="11">
        <v>46.210720887245841</v>
      </c>
      <c r="E5996" s="12">
        <f t="shared" si="93"/>
        <v>47434</v>
      </c>
    </row>
    <row r="5997" spans="1:5" x14ac:dyDescent="0.25">
      <c r="A5997" s="2">
        <f>IF(B5997="","",SUBTOTAL(3,$B$2:B5997))</f>
        <v>5996</v>
      </c>
      <c r="B5997" s="9" t="s">
        <v>55</v>
      </c>
      <c r="C5997" s="10" t="s">
        <v>52</v>
      </c>
      <c r="D5997" s="11">
        <v>150</v>
      </c>
      <c r="E5997" s="12">
        <f t="shared" si="93"/>
        <v>47435</v>
      </c>
    </row>
    <row r="5998" spans="1:5" x14ac:dyDescent="0.25">
      <c r="A5998" s="2">
        <f>IF(B5998="","",SUBTOTAL(3,$B$2:B5998))</f>
        <v>5997</v>
      </c>
      <c r="B5998" s="9" t="s">
        <v>55</v>
      </c>
      <c r="C5998" s="10" t="s">
        <v>52</v>
      </c>
      <c r="D5998" s="11">
        <v>100</v>
      </c>
      <c r="E5998" s="12">
        <f t="shared" si="93"/>
        <v>47436</v>
      </c>
    </row>
    <row r="5999" spans="1:5" x14ac:dyDescent="0.25">
      <c r="A5999" s="2">
        <f>IF(B5999="","",SUBTOTAL(3,$B$2:B5999))</f>
        <v>5998</v>
      </c>
      <c r="B5999" s="9" t="s">
        <v>48</v>
      </c>
      <c r="C5999" s="10" t="s">
        <v>52</v>
      </c>
      <c r="D5999" s="11">
        <v>84.411583487369072</v>
      </c>
      <c r="E5999" s="12">
        <f t="shared" si="93"/>
        <v>47437</v>
      </c>
    </row>
    <row r="6000" spans="1:5" x14ac:dyDescent="0.25">
      <c r="A6000" s="2">
        <f>IF(B6000="","",SUBTOTAL(3,$B$2:B6000))</f>
        <v>5999</v>
      </c>
      <c r="B6000" s="9" t="s">
        <v>51</v>
      </c>
      <c r="C6000" s="10" t="s">
        <v>52</v>
      </c>
      <c r="D6000" s="11">
        <v>158.84782378481412</v>
      </c>
      <c r="E6000" s="12">
        <f t="shared" si="93"/>
        <v>47438</v>
      </c>
    </row>
    <row r="6001" spans="1:5" x14ac:dyDescent="0.25">
      <c r="A6001" s="2">
        <f>IF(B6001="","",SUBTOTAL(3,$B$2:B6001))</f>
        <v>6000</v>
      </c>
      <c r="B6001" s="9" t="s">
        <v>51</v>
      </c>
      <c r="C6001" s="10" t="s">
        <v>52</v>
      </c>
      <c r="D6001" s="11">
        <v>105.89854918987609</v>
      </c>
      <c r="E6001" s="12">
        <f t="shared" si="93"/>
        <v>47439</v>
      </c>
    </row>
    <row r="6002" spans="1:5" x14ac:dyDescent="0.25">
      <c r="A6002" s="2">
        <f>IF(B6002="","",SUBTOTAL(3,$B$2:B6002))</f>
        <v>6001</v>
      </c>
      <c r="B6002" s="9" t="s">
        <v>51</v>
      </c>
      <c r="C6002" s="10" t="s">
        <v>52</v>
      </c>
      <c r="D6002" s="11">
        <v>105.89854918987609</v>
      </c>
      <c r="E6002" s="12">
        <f t="shared" si="93"/>
        <v>47440</v>
      </c>
    </row>
    <row r="6003" spans="1:5" x14ac:dyDescent="0.25">
      <c r="A6003" s="2">
        <f>IF(B6003="","",SUBTOTAL(3,$B$2:B6003))</f>
        <v>6002</v>
      </c>
      <c r="B6003" s="9" t="s">
        <v>51</v>
      </c>
      <c r="C6003" s="10" t="s">
        <v>52</v>
      </c>
      <c r="D6003" s="11">
        <v>52.949274594938046</v>
      </c>
      <c r="E6003" s="12">
        <f t="shared" si="93"/>
        <v>47441</v>
      </c>
    </row>
    <row r="6004" spans="1:5" x14ac:dyDescent="0.25">
      <c r="A6004" s="2">
        <f>IF(B6004="","",SUBTOTAL(3,$B$2:B6004))</f>
        <v>6003</v>
      </c>
      <c r="B6004" s="9" t="s">
        <v>51</v>
      </c>
      <c r="C6004" s="10" t="s">
        <v>52</v>
      </c>
      <c r="D6004" s="11">
        <v>105.89854918987609</v>
      </c>
      <c r="E6004" s="12">
        <f t="shared" si="93"/>
        <v>47442</v>
      </c>
    </row>
    <row r="6005" spans="1:5" x14ac:dyDescent="0.25">
      <c r="A6005" s="2">
        <f>IF(B6005="","",SUBTOTAL(3,$B$2:B6005))</f>
        <v>6004</v>
      </c>
      <c r="B6005" s="9" t="s">
        <v>51</v>
      </c>
      <c r="C6005" s="10" t="s">
        <v>52</v>
      </c>
      <c r="D6005" s="11">
        <v>105.89854918987609</v>
      </c>
      <c r="E6005" s="12">
        <f t="shared" si="93"/>
        <v>47443</v>
      </c>
    </row>
    <row r="6006" spans="1:5" x14ac:dyDescent="0.25">
      <c r="A6006" s="2">
        <f>IF(B6006="","",SUBTOTAL(3,$B$2:B6006))</f>
        <v>6005</v>
      </c>
      <c r="B6006" s="9" t="s">
        <v>50</v>
      </c>
      <c r="C6006" s="10" t="s">
        <v>49</v>
      </c>
      <c r="D6006" s="11">
        <v>22.045855379188712</v>
      </c>
      <c r="E6006" s="12">
        <f t="shared" si="93"/>
        <v>47444</v>
      </c>
    </row>
    <row r="6007" spans="1:5" x14ac:dyDescent="0.25">
      <c r="A6007" s="2">
        <f>IF(B6007="","",SUBTOTAL(3,$B$2:B6007))</f>
        <v>6006</v>
      </c>
      <c r="B6007" s="9" t="s">
        <v>50</v>
      </c>
      <c r="C6007" s="10" t="s">
        <v>52</v>
      </c>
      <c r="D6007" s="11">
        <v>66.137566137566139</v>
      </c>
      <c r="E6007" s="12">
        <f t="shared" si="93"/>
        <v>47445</v>
      </c>
    </row>
    <row r="6008" spans="1:5" x14ac:dyDescent="0.25">
      <c r="A6008" s="2">
        <f>IF(B6008="","",SUBTOTAL(3,$B$2:B6008))</f>
        <v>6007</v>
      </c>
      <c r="B6008" s="9" t="s">
        <v>50</v>
      </c>
      <c r="C6008" s="10" t="s">
        <v>52</v>
      </c>
      <c r="D6008" s="11">
        <v>17.636684303350968</v>
      </c>
      <c r="E6008" s="12">
        <f t="shared" si="93"/>
        <v>47446</v>
      </c>
    </row>
    <row r="6009" spans="1:5" x14ac:dyDescent="0.25">
      <c r="A6009" s="2">
        <f>IF(B6009="","",SUBTOTAL(3,$B$2:B6009))</f>
        <v>6008</v>
      </c>
      <c r="B6009" s="9" t="s">
        <v>48</v>
      </c>
      <c r="C6009" s="10" t="s">
        <v>49</v>
      </c>
      <c r="D6009" s="11">
        <v>51.706308169596689</v>
      </c>
      <c r="E6009" s="12">
        <f t="shared" si="93"/>
        <v>47447</v>
      </c>
    </row>
    <row r="6010" spans="1:5" x14ac:dyDescent="0.25">
      <c r="A6010" s="2">
        <f>IF(B6010="","",SUBTOTAL(3,$B$2:B6010))</f>
        <v>6009</v>
      </c>
      <c r="B6010" s="9" t="s">
        <v>51</v>
      </c>
      <c r="C6010" s="10" t="s">
        <v>49</v>
      </c>
      <c r="D6010" s="11">
        <v>42.359419675950441</v>
      </c>
      <c r="E6010" s="12">
        <f t="shared" si="93"/>
        <v>47448</v>
      </c>
    </row>
    <row r="6011" spans="1:5" x14ac:dyDescent="0.25">
      <c r="A6011" s="2">
        <f>IF(B6011="","",SUBTOTAL(3,$B$2:B6011))</f>
        <v>6010</v>
      </c>
      <c r="B6011" s="9" t="s">
        <v>48</v>
      </c>
      <c r="C6011" s="10" t="s">
        <v>49</v>
      </c>
      <c r="D6011" s="11">
        <v>27.576697690451567</v>
      </c>
      <c r="E6011" s="12">
        <f t="shared" si="93"/>
        <v>47449</v>
      </c>
    </row>
    <row r="6012" spans="1:5" x14ac:dyDescent="0.25">
      <c r="A6012" s="2">
        <f>IF(B6012="","",SUBTOTAL(3,$B$2:B6012))</f>
        <v>6011</v>
      </c>
      <c r="B6012" s="9" t="s">
        <v>48</v>
      </c>
      <c r="C6012" s="10" t="s">
        <v>56</v>
      </c>
      <c r="D6012" s="11">
        <v>55.153395380903135</v>
      </c>
      <c r="E6012" s="12">
        <f t="shared" si="93"/>
        <v>47450</v>
      </c>
    </row>
    <row r="6013" spans="1:5" x14ac:dyDescent="0.25">
      <c r="A6013" s="2">
        <f>IF(B6013="","",SUBTOTAL(3,$B$2:B6013))</f>
        <v>6012</v>
      </c>
      <c r="B6013" s="9" t="s">
        <v>50</v>
      </c>
      <c r="C6013" s="10" t="s">
        <v>52</v>
      </c>
      <c r="D6013" s="11">
        <v>31.25</v>
      </c>
      <c r="E6013" s="12">
        <f t="shared" si="93"/>
        <v>47451</v>
      </c>
    </row>
    <row r="6014" spans="1:5" x14ac:dyDescent="0.25">
      <c r="A6014" s="2">
        <f>IF(B6014="","",SUBTOTAL(3,$B$2:B6014))</f>
        <v>6013</v>
      </c>
      <c r="B6014" s="9" t="s">
        <v>55</v>
      </c>
      <c r="C6014" s="10" t="s">
        <v>49</v>
      </c>
      <c r="D6014" s="11">
        <v>102.73808976891625</v>
      </c>
      <c r="E6014" s="12">
        <f t="shared" si="93"/>
        <v>47452</v>
      </c>
    </row>
    <row r="6015" spans="1:5" x14ac:dyDescent="0.25">
      <c r="A6015" s="2">
        <f>IF(B6015="","",SUBTOTAL(3,$B$2:B6015))</f>
        <v>6014</v>
      </c>
      <c r="B6015" s="9" t="s">
        <v>50</v>
      </c>
      <c r="C6015" s="10" t="s">
        <v>52</v>
      </c>
      <c r="D6015" s="11">
        <v>110.22927689594357</v>
      </c>
      <c r="E6015" s="12">
        <f t="shared" si="93"/>
        <v>47453</v>
      </c>
    </row>
    <row r="6016" spans="1:5" x14ac:dyDescent="0.25">
      <c r="A6016" s="2">
        <f>IF(B6016="","",SUBTOTAL(3,$B$2:B6016))</f>
        <v>6015</v>
      </c>
      <c r="B6016" s="9" t="s">
        <v>50</v>
      </c>
      <c r="C6016" s="10" t="s">
        <v>52</v>
      </c>
      <c r="D6016" s="11">
        <v>88.183421516754848</v>
      </c>
      <c r="E6016" s="12">
        <f t="shared" si="93"/>
        <v>47454</v>
      </c>
    </row>
    <row r="6017" spans="1:5" x14ac:dyDescent="0.25">
      <c r="A6017" s="2">
        <f>IF(B6017="","",SUBTOTAL(3,$B$2:B6017))</f>
        <v>6016</v>
      </c>
      <c r="B6017" s="9" t="s">
        <v>50</v>
      </c>
      <c r="C6017" s="10" t="s">
        <v>52</v>
      </c>
      <c r="D6017" s="11">
        <v>88.183421516754848</v>
      </c>
      <c r="E6017" s="12">
        <f t="shared" si="93"/>
        <v>47455</v>
      </c>
    </row>
    <row r="6018" spans="1:5" x14ac:dyDescent="0.25">
      <c r="A6018" s="2">
        <f>IF(B6018="","",SUBTOTAL(3,$B$2:B6018))</f>
        <v>6017</v>
      </c>
      <c r="B6018" s="9" t="s">
        <v>50</v>
      </c>
      <c r="C6018" s="10" t="s">
        <v>52</v>
      </c>
      <c r="D6018" s="11">
        <v>88.183421516754848</v>
      </c>
      <c r="E6018" s="12">
        <f t="shared" si="93"/>
        <v>47456</v>
      </c>
    </row>
    <row r="6019" spans="1:5" x14ac:dyDescent="0.25">
      <c r="A6019" s="2">
        <f>IF(B6019="","",SUBTOTAL(3,$B$2:B6019))</f>
        <v>6018</v>
      </c>
      <c r="B6019" s="9" t="s">
        <v>50</v>
      </c>
      <c r="C6019" s="10" t="s">
        <v>52</v>
      </c>
      <c r="D6019" s="11">
        <v>26.785714285714285</v>
      </c>
      <c r="E6019" s="12">
        <f t="shared" si="93"/>
        <v>47457</v>
      </c>
    </row>
    <row r="6020" spans="1:5" x14ac:dyDescent="0.25">
      <c r="A6020" s="2">
        <f>IF(B6020="","",SUBTOTAL(3,$B$2:B6020))</f>
        <v>6019</v>
      </c>
      <c r="B6020" s="9" t="s">
        <v>50</v>
      </c>
      <c r="C6020" s="10" t="s">
        <v>52</v>
      </c>
      <c r="D6020" s="11">
        <v>88.183421516754848</v>
      </c>
      <c r="E6020" s="12">
        <f t="shared" ref="E6020:E6083" si="94">E6019+1</f>
        <v>47458</v>
      </c>
    </row>
    <row r="6021" spans="1:5" x14ac:dyDescent="0.25">
      <c r="A6021" s="2">
        <f>IF(B6021="","",SUBTOTAL(3,$B$2:B6021))</f>
        <v>6020</v>
      </c>
      <c r="B6021" s="9" t="s">
        <v>50</v>
      </c>
      <c r="C6021" s="10" t="s">
        <v>52</v>
      </c>
      <c r="D6021" s="11">
        <v>88.183421516754848</v>
      </c>
      <c r="E6021" s="12">
        <f t="shared" si="94"/>
        <v>47459</v>
      </c>
    </row>
    <row r="6022" spans="1:5" x14ac:dyDescent="0.25">
      <c r="A6022" s="2">
        <f>IF(B6022="","",SUBTOTAL(3,$B$2:B6022))</f>
        <v>6021</v>
      </c>
      <c r="B6022" s="9" t="s">
        <v>50</v>
      </c>
      <c r="C6022" s="10" t="s">
        <v>52</v>
      </c>
      <c r="D6022" s="11">
        <v>88.183421516754848</v>
      </c>
      <c r="E6022" s="12">
        <f t="shared" si="94"/>
        <v>47460</v>
      </c>
    </row>
    <row r="6023" spans="1:5" x14ac:dyDescent="0.25">
      <c r="A6023" s="2">
        <f>IF(B6023="","",SUBTOTAL(3,$B$2:B6023))</f>
        <v>6022</v>
      </c>
      <c r="B6023" s="9" t="s">
        <v>50</v>
      </c>
      <c r="C6023" s="10" t="s">
        <v>52</v>
      </c>
      <c r="D6023" s="11">
        <v>88.183421516754848</v>
      </c>
      <c r="E6023" s="12">
        <f t="shared" si="94"/>
        <v>47461</v>
      </c>
    </row>
    <row r="6024" spans="1:5" x14ac:dyDescent="0.25">
      <c r="A6024" s="2">
        <f>IF(B6024="","",SUBTOTAL(3,$B$2:B6024))</f>
        <v>6023</v>
      </c>
      <c r="B6024" s="9" t="s">
        <v>50</v>
      </c>
      <c r="C6024" s="10" t="s">
        <v>52</v>
      </c>
      <c r="D6024" s="11">
        <v>88.183421516754848</v>
      </c>
      <c r="E6024" s="12">
        <f t="shared" si="94"/>
        <v>47462</v>
      </c>
    </row>
    <row r="6025" spans="1:5" x14ac:dyDescent="0.25">
      <c r="A6025" s="2">
        <f>IF(B6025="","",SUBTOTAL(3,$B$2:B6025))</f>
        <v>6024</v>
      </c>
      <c r="B6025" s="9" t="s">
        <v>50</v>
      </c>
      <c r="C6025" s="10" t="s">
        <v>52</v>
      </c>
      <c r="D6025" s="11">
        <v>88.183421516754848</v>
      </c>
      <c r="E6025" s="12">
        <f t="shared" si="94"/>
        <v>47463</v>
      </c>
    </row>
    <row r="6026" spans="1:5" x14ac:dyDescent="0.25">
      <c r="A6026" s="2">
        <f>IF(B6026="","",SUBTOTAL(3,$B$2:B6026))</f>
        <v>6025</v>
      </c>
      <c r="B6026" s="9" t="s">
        <v>50</v>
      </c>
      <c r="C6026" s="10" t="s">
        <v>52</v>
      </c>
      <c r="D6026" s="11">
        <v>88.183421516754848</v>
      </c>
      <c r="E6026" s="12">
        <f t="shared" si="94"/>
        <v>47464</v>
      </c>
    </row>
    <row r="6027" spans="1:5" x14ac:dyDescent="0.25">
      <c r="A6027" s="2">
        <f>IF(B6027="","",SUBTOTAL(3,$B$2:B6027))</f>
        <v>6026</v>
      </c>
      <c r="B6027" s="9" t="s">
        <v>50</v>
      </c>
      <c r="C6027" s="10" t="s">
        <v>49</v>
      </c>
      <c r="D6027" s="11">
        <v>44.091710758377424</v>
      </c>
      <c r="E6027" s="12">
        <f t="shared" si="94"/>
        <v>47465</v>
      </c>
    </row>
    <row r="6028" spans="1:5" x14ac:dyDescent="0.25">
      <c r="A6028" s="2">
        <f>IF(B6028="","",SUBTOTAL(3,$B$2:B6028))</f>
        <v>6027</v>
      </c>
      <c r="B6028" s="9" t="s">
        <v>48</v>
      </c>
      <c r="C6028" s="10" t="s">
        <v>54</v>
      </c>
      <c r="D6028" s="11">
        <v>462.10720887245844</v>
      </c>
      <c r="E6028" s="12">
        <f t="shared" si="94"/>
        <v>47466</v>
      </c>
    </row>
    <row r="6029" spans="1:5" x14ac:dyDescent="0.25">
      <c r="A6029" s="2">
        <f>IF(B6029="","",SUBTOTAL(3,$B$2:B6029))</f>
        <v>6028</v>
      </c>
      <c r="B6029" s="9" t="s">
        <v>48</v>
      </c>
      <c r="C6029" s="10" t="s">
        <v>49</v>
      </c>
      <c r="D6029" s="11">
        <v>172.35436056532231</v>
      </c>
      <c r="E6029" s="12">
        <f t="shared" si="94"/>
        <v>47467</v>
      </c>
    </row>
    <row r="6030" spans="1:5" x14ac:dyDescent="0.25">
      <c r="A6030" s="2">
        <f>IF(B6030="","",SUBTOTAL(3,$B$2:B6030))</f>
        <v>6029</v>
      </c>
      <c r="B6030" s="9" t="s">
        <v>55</v>
      </c>
      <c r="C6030" s="10" t="s">
        <v>49</v>
      </c>
      <c r="D6030" s="11">
        <v>90</v>
      </c>
      <c r="E6030" s="12">
        <f t="shared" si="94"/>
        <v>47468</v>
      </c>
    </row>
    <row r="6031" spans="1:5" x14ac:dyDescent="0.25">
      <c r="A6031" s="2">
        <f>IF(B6031="","",SUBTOTAL(3,$B$2:B6031))</f>
        <v>6030</v>
      </c>
      <c r="B6031" s="9" t="s">
        <v>55</v>
      </c>
      <c r="C6031" s="10" t="s">
        <v>49</v>
      </c>
      <c r="D6031" s="11">
        <v>40.121970791205264</v>
      </c>
      <c r="E6031" s="12">
        <f t="shared" si="94"/>
        <v>47469</v>
      </c>
    </row>
    <row r="6032" spans="1:5" x14ac:dyDescent="0.25">
      <c r="A6032" s="2">
        <f>IF(B6032="","",SUBTOTAL(3,$B$2:B6032))</f>
        <v>6031</v>
      </c>
      <c r="B6032" s="9" t="s">
        <v>50</v>
      </c>
      <c r="C6032" s="10" t="s">
        <v>52</v>
      </c>
      <c r="D6032" s="11">
        <v>66.137566137566139</v>
      </c>
      <c r="E6032" s="12">
        <f t="shared" si="94"/>
        <v>47470</v>
      </c>
    </row>
    <row r="6033" spans="1:5" x14ac:dyDescent="0.25">
      <c r="A6033" s="2">
        <f>IF(B6033="","",SUBTOTAL(3,$B$2:B6033))</f>
        <v>6032</v>
      </c>
      <c r="B6033" s="9" t="s">
        <v>50</v>
      </c>
      <c r="C6033" s="10" t="s">
        <v>52</v>
      </c>
      <c r="D6033" s="11">
        <v>66.137566137566139</v>
      </c>
      <c r="E6033" s="12">
        <f t="shared" si="94"/>
        <v>47471</v>
      </c>
    </row>
    <row r="6034" spans="1:5" x14ac:dyDescent="0.25">
      <c r="A6034" s="2">
        <f>IF(B6034="","",SUBTOTAL(3,$B$2:B6034))</f>
        <v>6033</v>
      </c>
      <c r="B6034" s="9" t="s">
        <v>50</v>
      </c>
      <c r="C6034" s="10" t="s">
        <v>52</v>
      </c>
      <c r="D6034" s="11">
        <v>88.183421516754848</v>
      </c>
      <c r="E6034" s="12">
        <f t="shared" si="94"/>
        <v>47472</v>
      </c>
    </row>
    <row r="6035" spans="1:5" x14ac:dyDescent="0.25">
      <c r="A6035" s="2">
        <f>IF(B6035="","",SUBTOTAL(3,$B$2:B6035))</f>
        <v>6034</v>
      </c>
      <c r="B6035" s="9" t="s">
        <v>50</v>
      </c>
      <c r="C6035" s="10" t="s">
        <v>56</v>
      </c>
      <c r="D6035" s="11">
        <v>661.37566137566137</v>
      </c>
      <c r="E6035" s="12">
        <f t="shared" si="94"/>
        <v>47473</v>
      </c>
    </row>
    <row r="6036" spans="1:5" x14ac:dyDescent="0.25">
      <c r="A6036" s="2">
        <f>IF(B6036="","",SUBTOTAL(3,$B$2:B6036))</f>
        <v>6035</v>
      </c>
      <c r="B6036" s="9" t="s">
        <v>55</v>
      </c>
      <c r="C6036" s="10" t="s">
        <v>49</v>
      </c>
      <c r="D6036" s="11">
        <v>163.38</v>
      </c>
      <c r="E6036" s="12">
        <f t="shared" si="94"/>
        <v>47474</v>
      </c>
    </row>
    <row r="6037" spans="1:5" x14ac:dyDescent="0.25">
      <c r="A6037" s="2">
        <f>IF(B6037="","",SUBTOTAL(3,$B$2:B6037))</f>
        <v>6036</v>
      </c>
      <c r="B6037" s="9" t="s">
        <v>55</v>
      </c>
      <c r="C6037" s="10" t="s">
        <v>49</v>
      </c>
      <c r="D6037" s="11">
        <v>40.121970791205264</v>
      </c>
      <c r="E6037" s="12">
        <f t="shared" si="94"/>
        <v>47475</v>
      </c>
    </row>
    <row r="6038" spans="1:5" x14ac:dyDescent="0.25">
      <c r="A6038" s="2">
        <f>IF(B6038="","",SUBTOTAL(3,$B$2:B6038))</f>
        <v>6037</v>
      </c>
      <c r="B6038" s="9" t="s">
        <v>51</v>
      </c>
      <c r="C6038" s="10" t="s">
        <v>52</v>
      </c>
      <c r="D6038" s="11">
        <v>32.412284255732921</v>
      </c>
      <c r="E6038" s="12">
        <f t="shared" si="94"/>
        <v>47476</v>
      </c>
    </row>
    <row r="6039" spans="1:5" x14ac:dyDescent="0.25">
      <c r="A6039" s="2">
        <f>IF(B6039="","",SUBTOTAL(3,$B$2:B6039))</f>
        <v>6038</v>
      </c>
      <c r="B6039" s="9" t="s">
        <v>51</v>
      </c>
      <c r="C6039" s="10" t="s">
        <v>52</v>
      </c>
      <c r="D6039" s="11">
        <v>84.718839351900883</v>
      </c>
      <c r="E6039" s="12">
        <f t="shared" si="94"/>
        <v>47477</v>
      </c>
    </row>
    <row r="6040" spans="1:5" x14ac:dyDescent="0.25">
      <c r="A6040" s="2">
        <f>IF(B6040="","",SUBTOTAL(3,$B$2:B6040))</f>
        <v>6039</v>
      </c>
      <c r="B6040" s="9" t="s">
        <v>55</v>
      </c>
      <c r="C6040" s="10" t="s">
        <v>49</v>
      </c>
      <c r="D6040" s="11">
        <v>20.106240834283852</v>
      </c>
      <c r="E6040" s="12">
        <f t="shared" si="94"/>
        <v>47478</v>
      </c>
    </row>
    <row r="6041" spans="1:5" x14ac:dyDescent="0.25">
      <c r="A6041" s="2">
        <f>IF(B6041="","",SUBTOTAL(3,$B$2:B6041))</f>
        <v>6040</v>
      </c>
      <c r="B6041" s="9" t="s">
        <v>48</v>
      </c>
      <c r="C6041" s="10" t="s">
        <v>49</v>
      </c>
      <c r="D6041" s="11">
        <v>33.887861983980287</v>
      </c>
      <c r="E6041" s="12">
        <f t="shared" si="94"/>
        <v>47479</v>
      </c>
    </row>
    <row r="6042" spans="1:5" x14ac:dyDescent="0.25">
      <c r="A6042" s="2">
        <f>IF(B6042="","",SUBTOTAL(3,$B$2:B6042))</f>
        <v>6041</v>
      </c>
      <c r="B6042" s="9" t="s">
        <v>55</v>
      </c>
      <c r="C6042" s="10" t="s">
        <v>52</v>
      </c>
      <c r="D6042" s="11">
        <v>80</v>
      </c>
      <c r="E6042" s="12">
        <f t="shared" si="94"/>
        <v>47480</v>
      </c>
    </row>
    <row r="6043" spans="1:5" x14ac:dyDescent="0.25">
      <c r="A6043" s="2">
        <f>IF(B6043="","",SUBTOTAL(3,$B$2:B6043))</f>
        <v>6042</v>
      </c>
      <c r="B6043" s="9" t="s">
        <v>55</v>
      </c>
      <c r="C6043" s="10" t="s">
        <v>49</v>
      </c>
      <c r="D6043" s="11">
        <v>95</v>
      </c>
      <c r="E6043" s="12">
        <f t="shared" si="94"/>
        <v>47481</v>
      </c>
    </row>
    <row r="6044" spans="1:5" x14ac:dyDescent="0.25">
      <c r="A6044" s="2">
        <f>IF(B6044="","",SUBTOTAL(3,$B$2:B6044))</f>
        <v>6043</v>
      </c>
      <c r="B6044" s="9" t="s">
        <v>53</v>
      </c>
      <c r="C6044" s="10" t="s">
        <v>49</v>
      </c>
      <c r="D6044" s="11">
        <v>155.69619093848172</v>
      </c>
      <c r="E6044" s="12">
        <f t="shared" si="94"/>
        <v>47482</v>
      </c>
    </row>
    <row r="6045" spans="1:5" x14ac:dyDescent="0.25">
      <c r="A6045" s="2">
        <f>IF(B6045="","",SUBTOTAL(3,$B$2:B6045))</f>
        <v>6044</v>
      </c>
      <c r="B6045" s="9" t="s">
        <v>48</v>
      </c>
      <c r="C6045" s="10" t="s">
        <v>52</v>
      </c>
      <c r="D6045" s="11">
        <v>84.411583487369072</v>
      </c>
      <c r="E6045" s="12">
        <f t="shared" si="94"/>
        <v>47483</v>
      </c>
    </row>
    <row r="6046" spans="1:5" x14ac:dyDescent="0.25">
      <c r="A6046" s="2">
        <f>IF(B6046="","",SUBTOTAL(3,$B$2:B6046))</f>
        <v>6045</v>
      </c>
      <c r="B6046" s="9" t="s">
        <v>48</v>
      </c>
      <c r="C6046" s="10" t="s">
        <v>52</v>
      </c>
      <c r="D6046" s="11">
        <v>256.96041524803104</v>
      </c>
      <c r="E6046" s="12">
        <f t="shared" si="94"/>
        <v>47484</v>
      </c>
    </row>
    <row r="6047" spans="1:5" x14ac:dyDescent="0.25">
      <c r="A6047" s="2">
        <f>IF(B6047="","",SUBTOTAL(3,$B$2:B6047))</f>
        <v>6046</v>
      </c>
      <c r="B6047" s="9" t="s">
        <v>50</v>
      </c>
      <c r="C6047" s="10" t="s">
        <v>49</v>
      </c>
      <c r="D6047" s="11">
        <v>195.868430335097</v>
      </c>
      <c r="E6047" s="12">
        <f t="shared" si="94"/>
        <v>47485</v>
      </c>
    </row>
    <row r="6048" spans="1:5" x14ac:dyDescent="0.25">
      <c r="A6048" s="2">
        <f>IF(B6048="","",SUBTOTAL(3,$B$2:B6048))</f>
        <v>6047</v>
      </c>
      <c r="B6048" s="9" t="s">
        <v>50</v>
      </c>
      <c r="C6048" s="10" t="s">
        <v>49</v>
      </c>
      <c r="D6048" s="11">
        <v>22.045855379188712</v>
      </c>
      <c r="E6048" s="12">
        <f t="shared" si="94"/>
        <v>47486</v>
      </c>
    </row>
    <row r="6049" spans="1:5" x14ac:dyDescent="0.25">
      <c r="A6049" s="2">
        <f>IF(B6049="","",SUBTOTAL(3,$B$2:B6049))</f>
        <v>6048</v>
      </c>
      <c r="B6049" s="9" t="s">
        <v>50</v>
      </c>
      <c r="C6049" s="10" t="s">
        <v>49</v>
      </c>
      <c r="D6049" s="11">
        <v>37.47795414462081</v>
      </c>
      <c r="E6049" s="12">
        <f t="shared" si="94"/>
        <v>47487</v>
      </c>
    </row>
    <row r="6050" spans="1:5" x14ac:dyDescent="0.25">
      <c r="A6050" s="2">
        <f>IF(B6050="","",SUBTOTAL(3,$B$2:B6050))</f>
        <v>6049</v>
      </c>
      <c r="B6050" s="9" t="s">
        <v>50</v>
      </c>
      <c r="C6050" s="10" t="s">
        <v>52</v>
      </c>
      <c r="D6050" s="11">
        <v>55.114638447971785</v>
      </c>
      <c r="E6050" s="12">
        <f t="shared" si="94"/>
        <v>47488</v>
      </c>
    </row>
    <row r="6051" spans="1:5" x14ac:dyDescent="0.25">
      <c r="A6051" s="2">
        <f>IF(B6051="","",SUBTOTAL(3,$B$2:B6051))</f>
        <v>6050</v>
      </c>
      <c r="B6051" s="9" t="s">
        <v>50</v>
      </c>
      <c r="C6051" s="10" t="s">
        <v>49</v>
      </c>
      <c r="D6051" s="11">
        <v>14.329805996472663</v>
      </c>
      <c r="E6051" s="12">
        <f t="shared" si="94"/>
        <v>47489</v>
      </c>
    </row>
    <row r="6052" spans="1:5" x14ac:dyDescent="0.25">
      <c r="A6052" s="2">
        <f>IF(B6052="","",SUBTOTAL(3,$B$2:B6052))</f>
        <v>6051</v>
      </c>
      <c r="B6052" s="9" t="s">
        <v>48</v>
      </c>
      <c r="C6052" s="10" t="s">
        <v>49</v>
      </c>
      <c r="D6052" s="11">
        <v>7.7017868145409736</v>
      </c>
      <c r="E6052" s="12">
        <f t="shared" si="94"/>
        <v>47490</v>
      </c>
    </row>
    <row r="6053" spans="1:5" x14ac:dyDescent="0.25">
      <c r="A6053" s="2">
        <f>IF(B6053="","",SUBTOTAL(3,$B$2:B6053))</f>
        <v>6052</v>
      </c>
      <c r="B6053" s="9" t="s">
        <v>48</v>
      </c>
      <c r="C6053" s="10" t="s">
        <v>54</v>
      </c>
      <c r="D6053" s="11">
        <v>46.210720887245841</v>
      </c>
      <c r="E6053" s="12">
        <f t="shared" si="94"/>
        <v>47491</v>
      </c>
    </row>
    <row r="6054" spans="1:5" x14ac:dyDescent="0.25">
      <c r="A6054" s="2">
        <f>IF(B6054="","",SUBTOTAL(3,$B$2:B6054))</f>
        <v>6053</v>
      </c>
      <c r="B6054" s="9" t="s">
        <v>48</v>
      </c>
      <c r="C6054" s="10" t="s">
        <v>49</v>
      </c>
      <c r="D6054" s="11">
        <v>30.807147258163894</v>
      </c>
      <c r="E6054" s="12">
        <f t="shared" si="94"/>
        <v>47492</v>
      </c>
    </row>
    <row r="6055" spans="1:5" x14ac:dyDescent="0.25">
      <c r="A6055" s="2">
        <f>IF(B6055="","",SUBTOTAL(3,$B$2:B6055))</f>
        <v>6054</v>
      </c>
      <c r="B6055" s="9" t="s">
        <v>48</v>
      </c>
      <c r="C6055" s="10" t="s">
        <v>49</v>
      </c>
      <c r="D6055" s="11">
        <v>123.22858903265558</v>
      </c>
      <c r="E6055" s="12">
        <f t="shared" si="94"/>
        <v>47493</v>
      </c>
    </row>
    <row r="6056" spans="1:5" x14ac:dyDescent="0.25">
      <c r="A6056" s="2">
        <f>IF(B6056="","",SUBTOTAL(3,$B$2:B6056))</f>
        <v>6055</v>
      </c>
      <c r="B6056" s="9" t="s">
        <v>48</v>
      </c>
      <c r="C6056" s="10" t="s">
        <v>52</v>
      </c>
      <c r="D6056" s="11">
        <v>77.017868145409736</v>
      </c>
      <c r="E6056" s="12">
        <f t="shared" si="94"/>
        <v>47494</v>
      </c>
    </row>
    <row r="6057" spans="1:5" x14ac:dyDescent="0.25">
      <c r="A6057" s="2">
        <f>IF(B6057="","",SUBTOTAL(3,$B$2:B6057))</f>
        <v>6056</v>
      </c>
      <c r="B6057" s="9" t="s">
        <v>48</v>
      </c>
      <c r="C6057" s="10" t="s">
        <v>52</v>
      </c>
      <c r="D6057" s="11">
        <v>38.508934072704868</v>
      </c>
      <c r="E6057" s="12">
        <f t="shared" si="94"/>
        <v>47495</v>
      </c>
    </row>
    <row r="6058" spans="1:5" x14ac:dyDescent="0.25">
      <c r="A6058" s="2">
        <f>IF(B6058="","",SUBTOTAL(3,$B$2:B6058))</f>
        <v>6057</v>
      </c>
      <c r="B6058" s="9" t="s">
        <v>51</v>
      </c>
      <c r="C6058" s="10" t="s">
        <v>54</v>
      </c>
      <c r="D6058" s="11">
        <v>42.359419675950441</v>
      </c>
      <c r="E6058" s="12">
        <f t="shared" si="94"/>
        <v>47496</v>
      </c>
    </row>
    <row r="6059" spans="1:5" x14ac:dyDescent="0.25">
      <c r="A6059" s="2">
        <f>IF(B6059="","",SUBTOTAL(3,$B$2:B6059))</f>
        <v>6058</v>
      </c>
      <c r="B6059" s="9" t="s">
        <v>55</v>
      </c>
      <c r="C6059" s="10" t="s">
        <v>49</v>
      </c>
      <c r="D6059" s="11">
        <v>19.799911731664263</v>
      </c>
      <c r="E6059" s="12">
        <f t="shared" si="94"/>
        <v>47497</v>
      </c>
    </row>
    <row r="6060" spans="1:5" x14ac:dyDescent="0.25">
      <c r="A6060" s="2">
        <f>IF(B6060="","",SUBTOTAL(3,$B$2:B6060))</f>
        <v>6059</v>
      </c>
      <c r="B6060" s="9" t="s">
        <v>50</v>
      </c>
      <c r="C6060" s="10" t="s">
        <v>49</v>
      </c>
      <c r="D6060" s="11">
        <v>94.841269841269835</v>
      </c>
      <c r="E6060" s="12">
        <f t="shared" si="94"/>
        <v>47498</v>
      </c>
    </row>
    <row r="6061" spans="1:5" x14ac:dyDescent="0.25">
      <c r="A6061" s="2">
        <f>IF(B6061="","",SUBTOTAL(3,$B$2:B6061))</f>
        <v>6060</v>
      </c>
      <c r="B6061" s="9" t="s">
        <v>48</v>
      </c>
      <c r="C6061" s="10" t="s">
        <v>49</v>
      </c>
      <c r="D6061" s="11">
        <v>51.392083049606214</v>
      </c>
      <c r="E6061" s="12">
        <f t="shared" si="94"/>
        <v>47499</v>
      </c>
    </row>
    <row r="6062" spans="1:5" x14ac:dyDescent="0.25">
      <c r="A6062" s="2">
        <f>IF(B6062="","",SUBTOTAL(3,$B$2:B6062))</f>
        <v>6061</v>
      </c>
      <c r="B6062" s="9" t="s">
        <v>50</v>
      </c>
      <c r="C6062" s="10" t="s">
        <v>52</v>
      </c>
      <c r="D6062" s="11">
        <v>66.137566137566139</v>
      </c>
      <c r="E6062" s="12">
        <f t="shared" si="94"/>
        <v>47500</v>
      </c>
    </row>
    <row r="6063" spans="1:5" x14ac:dyDescent="0.25">
      <c r="A6063" s="2">
        <f>IF(B6063="","",SUBTOTAL(3,$B$2:B6063))</f>
        <v>6062</v>
      </c>
      <c r="B6063" s="9" t="s">
        <v>50</v>
      </c>
      <c r="C6063" s="10" t="s">
        <v>52</v>
      </c>
      <c r="D6063" s="11">
        <v>66.137566137566139</v>
      </c>
      <c r="E6063" s="12">
        <f t="shared" si="94"/>
        <v>47501</v>
      </c>
    </row>
    <row r="6064" spans="1:5" x14ac:dyDescent="0.25">
      <c r="A6064" s="2">
        <f>IF(B6064="","",SUBTOTAL(3,$B$2:B6064))</f>
        <v>6063</v>
      </c>
      <c r="B6064" s="9" t="s">
        <v>48</v>
      </c>
      <c r="C6064" s="10" t="s">
        <v>52</v>
      </c>
      <c r="D6064" s="11">
        <v>172.35436056532231</v>
      </c>
      <c r="E6064" s="12">
        <f t="shared" si="94"/>
        <v>47502</v>
      </c>
    </row>
    <row r="6065" spans="1:5" x14ac:dyDescent="0.25">
      <c r="A6065" s="2">
        <f>IF(B6065="","",SUBTOTAL(3,$B$2:B6065))</f>
        <v>6064</v>
      </c>
      <c r="B6065" s="9" t="s">
        <v>48</v>
      </c>
      <c r="C6065" s="10" t="s">
        <v>49</v>
      </c>
      <c r="D6065" s="11">
        <v>31.572388831437433</v>
      </c>
      <c r="E6065" s="12">
        <f t="shared" si="94"/>
        <v>47503</v>
      </c>
    </row>
    <row r="6066" spans="1:5" x14ac:dyDescent="0.25">
      <c r="A6066" s="2">
        <f>IF(B6066="","",SUBTOTAL(3,$B$2:B6066))</f>
        <v>6065</v>
      </c>
      <c r="B6066" s="9" t="s">
        <v>48</v>
      </c>
      <c r="C6066" s="10" t="s">
        <v>56</v>
      </c>
      <c r="D6066" s="11">
        <v>68.941744226128904</v>
      </c>
      <c r="E6066" s="12">
        <f t="shared" si="94"/>
        <v>47504</v>
      </c>
    </row>
    <row r="6067" spans="1:5" x14ac:dyDescent="0.25">
      <c r="A6067" s="2">
        <f>IF(B6067="","",SUBTOTAL(3,$B$2:B6067))</f>
        <v>6066</v>
      </c>
      <c r="B6067" s="9" t="s">
        <v>48</v>
      </c>
      <c r="C6067" s="10" t="s">
        <v>49</v>
      </c>
      <c r="D6067" s="11">
        <v>172.35436056532231</v>
      </c>
      <c r="E6067" s="12">
        <f t="shared" si="94"/>
        <v>47505</v>
      </c>
    </row>
    <row r="6068" spans="1:5" x14ac:dyDescent="0.25">
      <c r="A6068" s="2">
        <f>IF(B6068="","",SUBTOTAL(3,$B$2:B6068))</f>
        <v>6067</v>
      </c>
      <c r="B6068" s="9" t="s">
        <v>48</v>
      </c>
      <c r="C6068" s="10" t="s">
        <v>54</v>
      </c>
      <c r="D6068" s="11">
        <v>68.941744226128904</v>
      </c>
      <c r="E6068" s="12">
        <f t="shared" si="94"/>
        <v>47506</v>
      </c>
    </row>
    <row r="6069" spans="1:5" x14ac:dyDescent="0.25">
      <c r="A6069" s="2">
        <f>IF(B6069="","",SUBTOTAL(3,$B$2:B6069))</f>
        <v>6068</v>
      </c>
      <c r="B6069" s="9" t="s">
        <v>50</v>
      </c>
      <c r="C6069" s="10" t="s">
        <v>52</v>
      </c>
      <c r="D6069" s="11">
        <v>66.137566137566139</v>
      </c>
      <c r="E6069" s="12">
        <f t="shared" si="94"/>
        <v>47507</v>
      </c>
    </row>
    <row r="6070" spans="1:5" x14ac:dyDescent="0.25">
      <c r="A6070" s="2">
        <f>IF(B6070="","",SUBTOTAL(3,$B$2:B6070))</f>
        <v>6069</v>
      </c>
      <c r="B6070" s="9" t="s">
        <v>50</v>
      </c>
      <c r="C6070" s="10" t="s">
        <v>52</v>
      </c>
      <c r="D6070" s="11">
        <v>66.137566137566139</v>
      </c>
      <c r="E6070" s="12">
        <f t="shared" si="94"/>
        <v>47508</v>
      </c>
    </row>
    <row r="6071" spans="1:5" x14ac:dyDescent="0.25">
      <c r="A6071" s="2">
        <f>IF(B6071="","",SUBTOTAL(3,$B$2:B6071))</f>
        <v>6070</v>
      </c>
      <c r="B6071" s="9" t="s">
        <v>50</v>
      </c>
      <c r="C6071" s="10" t="s">
        <v>52</v>
      </c>
      <c r="D6071" s="11">
        <v>66.137566137566139</v>
      </c>
      <c r="E6071" s="12">
        <f t="shared" si="94"/>
        <v>47509</v>
      </c>
    </row>
    <row r="6072" spans="1:5" x14ac:dyDescent="0.25">
      <c r="A6072" s="2">
        <f>IF(B6072="","",SUBTOTAL(3,$B$2:B6072))</f>
        <v>6071</v>
      </c>
      <c r="B6072" s="9" t="s">
        <v>55</v>
      </c>
      <c r="C6072" s="10" t="s">
        <v>52</v>
      </c>
      <c r="D6072" s="11">
        <v>100</v>
      </c>
      <c r="E6072" s="12">
        <f t="shared" si="94"/>
        <v>47510</v>
      </c>
    </row>
    <row r="6073" spans="1:5" x14ac:dyDescent="0.25">
      <c r="A6073" s="2">
        <f>IF(B6073="","",SUBTOTAL(3,$B$2:B6073))</f>
        <v>6072</v>
      </c>
      <c r="B6073" s="9" t="s">
        <v>50</v>
      </c>
      <c r="C6073" s="10" t="s">
        <v>52</v>
      </c>
      <c r="D6073" s="11">
        <v>88.183421516754848</v>
      </c>
      <c r="E6073" s="12">
        <f t="shared" si="94"/>
        <v>47511</v>
      </c>
    </row>
    <row r="6074" spans="1:5" x14ac:dyDescent="0.25">
      <c r="A6074" s="2">
        <f>IF(B6074="","",SUBTOTAL(3,$B$2:B6074))</f>
        <v>6073</v>
      </c>
      <c r="B6074" s="9" t="s">
        <v>50</v>
      </c>
      <c r="C6074" s="10" t="s">
        <v>52</v>
      </c>
      <c r="D6074" s="11">
        <v>66.137566137566139</v>
      </c>
      <c r="E6074" s="12">
        <f t="shared" si="94"/>
        <v>47512</v>
      </c>
    </row>
    <row r="6075" spans="1:5" x14ac:dyDescent="0.25">
      <c r="A6075" s="2">
        <f>IF(B6075="","",SUBTOTAL(3,$B$2:B6075))</f>
        <v>6074</v>
      </c>
      <c r="B6075" s="9" t="s">
        <v>55</v>
      </c>
      <c r="C6075" s="10" t="s">
        <v>49</v>
      </c>
      <c r="D6075" s="11">
        <v>100</v>
      </c>
      <c r="E6075" s="12">
        <f t="shared" si="94"/>
        <v>47513</v>
      </c>
    </row>
    <row r="6076" spans="1:5" x14ac:dyDescent="0.25">
      <c r="A6076" s="2">
        <f>IF(B6076="","",SUBTOTAL(3,$B$2:B6076))</f>
        <v>6075</v>
      </c>
      <c r="B6076" s="9" t="s">
        <v>51</v>
      </c>
      <c r="C6076" s="10" t="s">
        <v>52</v>
      </c>
      <c r="D6076" s="11">
        <v>529.49274594938049</v>
      </c>
      <c r="E6076" s="12">
        <f t="shared" si="94"/>
        <v>47514</v>
      </c>
    </row>
    <row r="6077" spans="1:5" x14ac:dyDescent="0.25">
      <c r="A6077" s="2">
        <f>IF(B6077="","",SUBTOTAL(3,$B$2:B6077))</f>
        <v>6076</v>
      </c>
      <c r="B6077" s="9" t="s">
        <v>55</v>
      </c>
      <c r="C6077" s="10" t="s">
        <v>52</v>
      </c>
      <c r="D6077" s="11">
        <v>210</v>
      </c>
      <c r="E6077" s="12">
        <f t="shared" si="94"/>
        <v>47515</v>
      </c>
    </row>
    <row r="6078" spans="1:5" x14ac:dyDescent="0.25">
      <c r="A6078" s="2">
        <f>IF(B6078="","",SUBTOTAL(3,$B$2:B6078))</f>
        <v>6077</v>
      </c>
      <c r="B6078" s="9" t="s">
        <v>55</v>
      </c>
      <c r="C6078" s="10" t="s">
        <v>52</v>
      </c>
      <c r="D6078" s="11">
        <v>100</v>
      </c>
      <c r="E6078" s="12">
        <f t="shared" si="94"/>
        <v>47516</v>
      </c>
    </row>
    <row r="6079" spans="1:5" x14ac:dyDescent="0.25">
      <c r="A6079" s="2">
        <f>IF(B6079="","",SUBTOTAL(3,$B$2:B6079))</f>
        <v>6078</v>
      </c>
      <c r="B6079" s="9" t="s">
        <v>53</v>
      </c>
      <c r="C6079" s="10" t="s">
        <v>54</v>
      </c>
      <c r="D6079" s="11">
        <v>22.896498667423781</v>
      </c>
      <c r="E6079" s="12">
        <f t="shared" si="94"/>
        <v>47517</v>
      </c>
    </row>
    <row r="6080" spans="1:5" x14ac:dyDescent="0.25">
      <c r="A6080" s="2">
        <f>IF(B6080="","",SUBTOTAL(3,$B$2:B6080))</f>
        <v>6079</v>
      </c>
      <c r="B6080" s="9" t="s">
        <v>53</v>
      </c>
      <c r="C6080" s="10" t="s">
        <v>57</v>
      </c>
      <c r="D6080" s="11">
        <v>41.213697601362803</v>
      </c>
      <c r="E6080" s="12">
        <f t="shared" si="94"/>
        <v>47518</v>
      </c>
    </row>
    <row r="6081" spans="1:5" x14ac:dyDescent="0.25">
      <c r="A6081" s="2">
        <f>IF(B6081="","",SUBTOTAL(3,$B$2:B6081))</f>
        <v>6080</v>
      </c>
      <c r="B6081" s="9" t="s">
        <v>53</v>
      </c>
      <c r="C6081" s="10" t="s">
        <v>54</v>
      </c>
      <c r="D6081" s="11">
        <v>39.3819777079689</v>
      </c>
      <c r="E6081" s="12">
        <f t="shared" si="94"/>
        <v>47519</v>
      </c>
    </row>
    <row r="6082" spans="1:5" x14ac:dyDescent="0.25">
      <c r="A6082" s="2">
        <f>IF(B6082="","",SUBTOTAL(3,$B$2:B6082))</f>
        <v>6081</v>
      </c>
      <c r="B6082" s="9" t="s">
        <v>55</v>
      </c>
      <c r="C6082" s="10" t="s">
        <v>49</v>
      </c>
      <c r="D6082" s="11">
        <v>263.23236178655804</v>
      </c>
      <c r="E6082" s="12">
        <f t="shared" si="94"/>
        <v>47520</v>
      </c>
    </row>
    <row r="6083" spans="1:5" x14ac:dyDescent="0.25">
      <c r="A6083" s="2">
        <f>IF(B6083="","",SUBTOTAL(3,$B$2:B6083))</f>
        <v>6082</v>
      </c>
      <c r="B6083" s="9" t="s">
        <v>50</v>
      </c>
      <c r="C6083" s="10" t="s">
        <v>49</v>
      </c>
      <c r="D6083" s="11">
        <v>1102.2927689594355</v>
      </c>
      <c r="E6083" s="12">
        <f t="shared" si="94"/>
        <v>47521</v>
      </c>
    </row>
    <row r="6084" spans="1:5" x14ac:dyDescent="0.25">
      <c r="A6084" s="2">
        <f>IF(B6084="","",SUBTOTAL(3,$B$2:B6084))</f>
        <v>6083</v>
      </c>
      <c r="B6084" s="9" t="s">
        <v>50</v>
      </c>
      <c r="C6084" s="10" t="s">
        <v>54</v>
      </c>
      <c r="D6084" s="11">
        <v>33.06878306878307</v>
      </c>
      <c r="E6084" s="12">
        <f t="shared" ref="E6084:E6147" si="95">E6083+1</f>
        <v>47522</v>
      </c>
    </row>
    <row r="6085" spans="1:5" x14ac:dyDescent="0.25">
      <c r="A6085" s="2">
        <f>IF(B6085="","",SUBTOTAL(3,$B$2:B6085))</f>
        <v>6084</v>
      </c>
      <c r="B6085" s="9" t="s">
        <v>53</v>
      </c>
      <c r="C6085" s="10" t="s">
        <v>54</v>
      </c>
      <c r="D6085" s="11">
        <v>45.792997334847563</v>
      </c>
      <c r="E6085" s="12">
        <f t="shared" si="95"/>
        <v>47523</v>
      </c>
    </row>
    <row r="6086" spans="1:5" x14ac:dyDescent="0.25">
      <c r="A6086" s="2">
        <f>IF(B6086="","",SUBTOTAL(3,$B$2:B6086))</f>
        <v>6085</v>
      </c>
      <c r="B6086" s="9" t="s">
        <v>48</v>
      </c>
      <c r="C6086" s="10" t="s">
        <v>49</v>
      </c>
      <c r="D6086" s="11">
        <v>26.956253850893408</v>
      </c>
      <c r="E6086" s="12">
        <f t="shared" si="95"/>
        <v>47524</v>
      </c>
    </row>
    <row r="6087" spans="1:5" x14ac:dyDescent="0.25">
      <c r="A6087" s="2">
        <f>IF(B6087="","",SUBTOTAL(3,$B$2:B6087))</f>
        <v>6086</v>
      </c>
      <c r="B6087" s="9" t="s">
        <v>48</v>
      </c>
      <c r="C6087" s="10" t="s">
        <v>54</v>
      </c>
      <c r="D6087" s="11">
        <v>32.34750462107209</v>
      </c>
      <c r="E6087" s="12">
        <f t="shared" si="95"/>
        <v>47525</v>
      </c>
    </row>
    <row r="6088" spans="1:5" x14ac:dyDescent="0.25">
      <c r="A6088" s="2">
        <f>IF(B6088="","",SUBTOTAL(3,$B$2:B6088))</f>
        <v>6087</v>
      </c>
      <c r="B6088" s="9" t="s">
        <v>48</v>
      </c>
      <c r="C6088" s="10" t="s">
        <v>49</v>
      </c>
      <c r="D6088" s="11">
        <v>140.17252002464573</v>
      </c>
      <c r="E6088" s="12">
        <f t="shared" si="95"/>
        <v>47526</v>
      </c>
    </row>
    <row r="6089" spans="1:5" x14ac:dyDescent="0.25">
      <c r="A6089" s="2">
        <f>IF(B6089="","",SUBTOTAL(3,$B$2:B6089))</f>
        <v>6088</v>
      </c>
      <c r="B6089" s="9" t="s">
        <v>48</v>
      </c>
      <c r="C6089" s="10" t="s">
        <v>54</v>
      </c>
      <c r="D6089" s="11">
        <v>140.17252002464573</v>
      </c>
      <c r="E6089" s="12">
        <f t="shared" si="95"/>
        <v>47527</v>
      </c>
    </row>
    <row r="6090" spans="1:5" x14ac:dyDescent="0.25">
      <c r="A6090" s="2">
        <f>IF(B6090="","",SUBTOTAL(3,$B$2:B6090))</f>
        <v>6089</v>
      </c>
      <c r="B6090" s="9" t="s">
        <v>48</v>
      </c>
      <c r="C6090" s="10" t="s">
        <v>49</v>
      </c>
      <c r="D6090" s="11">
        <v>24.645717806531117</v>
      </c>
      <c r="E6090" s="12">
        <f t="shared" si="95"/>
        <v>47528</v>
      </c>
    </row>
    <row r="6091" spans="1:5" x14ac:dyDescent="0.25">
      <c r="A6091" s="2">
        <f>IF(B6091="","",SUBTOTAL(3,$B$2:B6091))</f>
        <v>6090</v>
      </c>
      <c r="B6091" s="9" t="s">
        <v>48</v>
      </c>
      <c r="C6091" s="10" t="s">
        <v>49</v>
      </c>
      <c r="D6091" s="11">
        <v>24.645717806531117</v>
      </c>
      <c r="E6091" s="12">
        <f t="shared" si="95"/>
        <v>47529</v>
      </c>
    </row>
    <row r="6092" spans="1:5" x14ac:dyDescent="0.25">
      <c r="A6092" s="2">
        <f>IF(B6092="","",SUBTOTAL(3,$B$2:B6092))</f>
        <v>6091</v>
      </c>
      <c r="B6092" s="9" t="s">
        <v>48</v>
      </c>
      <c r="C6092" s="10" t="s">
        <v>49</v>
      </c>
      <c r="D6092" s="11">
        <v>24.645717806531117</v>
      </c>
      <c r="E6092" s="12">
        <f t="shared" si="95"/>
        <v>47530</v>
      </c>
    </row>
    <row r="6093" spans="1:5" x14ac:dyDescent="0.25">
      <c r="A6093" s="2">
        <f>IF(B6093="","",SUBTOTAL(3,$B$2:B6093))</f>
        <v>6092</v>
      </c>
      <c r="B6093" s="9" t="s">
        <v>48</v>
      </c>
      <c r="C6093" s="10" t="s">
        <v>49</v>
      </c>
      <c r="D6093" s="11">
        <v>49.291435613062234</v>
      </c>
      <c r="E6093" s="12">
        <f t="shared" si="95"/>
        <v>47531</v>
      </c>
    </row>
    <row r="6094" spans="1:5" x14ac:dyDescent="0.25">
      <c r="A6094" s="2">
        <f>IF(B6094="","",SUBTOTAL(3,$B$2:B6094))</f>
        <v>6093</v>
      </c>
      <c r="B6094" s="9" t="s">
        <v>48</v>
      </c>
      <c r="C6094" s="10" t="s">
        <v>49</v>
      </c>
      <c r="D6094" s="11">
        <v>24.645717806531117</v>
      </c>
      <c r="E6094" s="12">
        <f t="shared" si="95"/>
        <v>47532</v>
      </c>
    </row>
    <row r="6095" spans="1:5" x14ac:dyDescent="0.25">
      <c r="A6095" s="2">
        <f>IF(B6095="","",SUBTOTAL(3,$B$2:B6095))</f>
        <v>6094</v>
      </c>
      <c r="B6095" s="9" t="s">
        <v>48</v>
      </c>
      <c r="C6095" s="10" t="s">
        <v>49</v>
      </c>
      <c r="D6095" s="11">
        <v>24.645717806531117</v>
      </c>
      <c r="E6095" s="12">
        <f t="shared" si="95"/>
        <v>47533</v>
      </c>
    </row>
    <row r="6096" spans="1:5" x14ac:dyDescent="0.25">
      <c r="A6096" s="2">
        <f>IF(B6096="","",SUBTOTAL(3,$B$2:B6096))</f>
        <v>6095</v>
      </c>
      <c r="B6096" s="9" t="s">
        <v>48</v>
      </c>
      <c r="C6096" s="10" t="s">
        <v>54</v>
      </c>
      <c r="D6096" s="11">
        <v>66.235366605052377</v>
      </c>
      <c r="E6096" s="12">
        <f t="shared" si="95"/>
        <v>47534</v>
      </c>
    </row>
    <row r="6097" spans="1:5" x14ac:dyDescent="0.25">
      <c r="A6097" s="2">
        <f>IF(B6097="","",SUBTOTAL(3,$B$2:B6097))</f>
        <v>6096</v>
      </c>
      <c r="B6097" s="9" t="s">
        <v>48</v>
      </c>
      <c r="C6097" s="10" t="s">
        <v>54</v>
      </c>
      <c r="D6097" s="11">
        <v>66.235366605052377</v>
      </c>
      <c r="E6097" s="12">
        <f t="shared" si="95"/>
        <v>47535</v>
      </c>
    </row>
    <row r="6098" spans="1:5" x14ac:dyDescent="0.25">
      <c r="A6098" s="2">
        <f>IF(B6098="","",SUBTOTAL(3,$B$2:B6098))</f>
        <v>6097</v>
      </c>
      <c r="B6098" s="9" t="s">
        <v>48</v>
      </c>
      <c r="C6098" s="10" t="s">
        <v>49</v>
      </c>
      <c r="D6098" s="11">
        <v>46.210720887245841</v>
      </c>
      <c r="E6098" s="12">
        <f t="shared" si="95"/>
        <v>47536</v>
      </c>
    </row>
    <row r="6099" spans="1:5" x14ac:dyDescent="0.25">
      <c r="A6099" s="2">
        <f>IF(B6099="","",SUBTOTAL(3,$B$2:B6099))</f>
        <v>6098</v>
      </c>
      <c r="B6099" s="9" t="s">
        <v>48</v>
      </c>
      <c r="C6099" s="10" t="s">
        <v>49</v>
      </c>
      <c r="D6099" s="11">
        <v>30.807147258163894</v>
      </c>
      <c r="E6099" s="12">
        <f t="shared" si="95"/>
        <v>47537</v>
      </c>
    </row>
    <row r="6100" spans="1:5" x14ac:dyDescent="0.25">
      <c r="A6100" s="2">
        <f>IF(B6100="","",SUBTOTAL(3,$B$2:B6100))</f>
        <v>6099</v>
      </c>
      <c r="B6100" s="9" t="s">
        <v>55</v>
      </c>
      <c r="C6100" s="10" t="s">
        <v>49</v>
      </c>
      <c r="D6100" s="11">
        <v>95</v>
      </c>
      <c r="E6100" s="12">
        <f t="shared" si="95"/>
        <v>47538</v>
      </c>
    </row>
    <row r="6101" spans="1:5" x14ac:dyDescent="0.25">
      <c r="A6101" s="2">
        <f>IF(B6101="","",SUBTOTAL(3,$B$2:B6101))</f>
        <v>6100</v>
      </c>
      <c r="B6101" s="9" t="s">
        <v>48</v>
      </c>
      <c r="C6101" s="10" t="s">
        <v>54</v>
      </c>
      <c r="D6101" s="11">
        <v>66.235366605052377</v>
      </c>
      <c r="E6101" s="12">
        <f t="shared" si="95"/>
        <v>47539</v>
      </c>
    </row>
    <row r="6102" spans="1:5" x14ac:dyDescent="0.25">
      <c r="A6102" s="2">
        <f>IF(B6102="","",SUBTOTAL(3,$B$2:B6102))</f>
        <v>6101</v>
      </c>
      <c r="B6102" s="9" t="s">
        <v>48</v>
      </c>
      <c r="C6102" s="10" t="s">
        <v>54</v>
      </c>
      <c r="D6102" s="11">
        <v>66.235366605052377</v>
      </c>
      <c r="E6102" s="12">
        <f t="shared" si="95"/>
        <v>47540</v>
      </c>
    </row>
    <row r="6103" spans="1:5" x14ac:dyDescent="0.25">
      <c r="A6103" s="2">
        <f>IF(B6103="","",SUBTOTAL(3,$B$2:B6103))</f>
        <v>6102</v>
      </c>
      <c r="B6103" s="9" t="s">
        <v>48</v>
      </c>
      <c r="C6103" s="10" t="s">
        <v>49</v>
      </c>
      <c r="D6103" s="11">
        <v>49.291435613062234</v>
      </c>
      <c r="E6103" s="12">
        <f t="shared" si="95"/>
        <v>47541</v>
      </c>
    </row>
    <row r="6104" spans="1:5" x14ac:dyDescent="0.25">
      <c r="A6104" s="2">
        <f>IF(B6104="","",SUBTOTAL(3,$B$2:B6104))</f>
        <v>6103</v>
      </c>
      <c r="B6104" s="9" t="s">
        <v>48</v>
      </c>
      <c r="C6104" s="10" t="s">
        <v>54</v>
      </c>
      <c r="D6104" s="11">
        <v>66.235366605052377</v>
      </c>
      <c r="E6104" s="12">
        <f t="shared" si="95"/>
        <v>47542</v>
      </c>
    </row>
    <row r="6105" spans="1:5" x14ac:dyDescent="0.25">
      <c r="A6105" s="2">
        <f>IF(B6105="","",SUBTOTAL(3,$B$2:B6105))</f>
        <v>6104</v>
      </c>
      <c r="B6105" s="9" t="s">
        <v>48</v>
      </c>
      <c r="C6105" s="10" t="s">
        <v>54</v>
      </c>
      <c r="D6105" s="11">
        <v>66.235366605052377</v>
      </c>
      <c r="E6105" s="12">
        <f t="shared" si="95"/>
        <v>47543</v>
      </c>
    </row>
    <row r="6106" spans="1:5" x14ac:dyDescent="0.25">
      <c r="A6106" s="2">
        <f>IF(B6106="","",SUBTOTAL(3,$B$2:B6106))</f>
        <v>6105</v>
      </c>
      <c r="B6106" s="9" t="s">
        <v>48</v>
      </c>
      <c r="C6106" s="10" t="s">
        <v>49</v>
      </c>
      <c r="D6106" s="11">
        <v>215.65003080714726</v>
      </c>
      <c r="E6106" s="12">
        <f t="shared" si="95"/>
        <v>47544</v>
      </c>
    </row>
    <row r="6107" spans="1:5" x14ac:dyDescent="0.25">
      <c r="A6107" s="2">
        <f>IF(B6107="","",SUBTOTAL(3,$B$2:B6107))</f>
        <v>6106</v>
      </c>
      <c r="B6107" s="9" t="s">
        <v>48</v>
      </c>
      <c r="C6107" s="10" t="s">
        <v>54</v>
      </c>
      <c r="D6107" s="11">
        <v>66.235366605052377</v>
      </c>
      <c r="E6107" s="12">
        <f t="shared" si="95"/>
        <v>47545</v>
      </c>
    </row>
    <row r="6108" spans="1:5" x14ac:dyDescent="0.25">
      <c r="A6108" s="2">
        <f>IF(B6108="","",SUBTOTAL(3,$B$2:B6108))</f>
        <v>6107</v>
      </c>
      <c r="B6108" s="9" t="s">
        <v>48</v>
      </c>
      <c r="C6108" s="10" t="s">
        <v>52</v>
      </c>
      <c r="D6108" s="11">
        <v>30.807147258163894</v>
      </c>
      <c r="E6108" s="12">
        <f t="shared" si="95"/>
        <v>47546</v>
      </c>
    </row>
    <row r="6109" spans="1:5" x14ac:dyDescent="0.25">
      <c r="A6109" s="2">
        <f>IF(B6109="","",SUBTOTAL(3,$B$2:B6109))</f>
        <v>6108</v>
      </c>
      <c r="B6109" s="9" t="s">
        <v>48</v>
      </c>
      <c r="C6109" s="10" t="s">
        <v>56</v>
      </c>
      <c r="D6109" s="11">
        <v>369.68576709796673</v>
      </c>
      <c r="E6109" s="12">
        <f t="shared" si="95"/>
        <v>47547</v>
      </c>
    </row>
    <row r="6110" spans="1:5" x14ac:dyDescent="0.25">
      <c r="A6110" s="2">
        <f>IF(B6110="","",SUBTOTAL(3,$B$2:B6110))</f>
        <v>6109</v>
      </c>
      <c r="B6110" s="9" t="s">
        <v>55</v>
      </c>
      <c r="C6110" s="10" t="s">
        <v>52</v>
      </c>
      <c r="D6110" s="11">
        <v>24</v>
      </c>
      <c r="E6110" s="12">
        <f t="shared" si="95"/>
        <v>47548</v>
      </c>
    </row>
    <row r="6111" spans="1:5" x14ac:dyDescent="0.25">
      <c r="A6111" s="2">
        <f>IF(B6111="","",SUBTOTAL(3,$B$2:B6111))</f>
        <v>6110</v>
      </c>
      <c r="B6111" s="9" t="s">
        <v>50</v>
      </c>
      <c r="C6111" s="10" t="s">
        <v>52</v>
      </c>
      <c r="D6111" s="11">
        <v>231.41333774250441</v>
      </c>
      <c r="E6111" s="12">
        <f t="shared" si="95"/>
        <v>47549</v>
      </c>
    </row>
    <row r="6112" spans="1:5" x14ac:dyDescent="0.25">
      <c r="A6112" s="2">
        <f>IF(B6112="","",SUBTOTAL(3,$B$2:B6112))</f>
        <v>6111</v>
      </c>
      <c r="B6112" s="9" t="s">
        <v>50</v>
      </c>
      <c r="C6112" s="10" t="s">
        <v>52</v>
      </c>
      <c r="D6112" s="11">
        <v>110.22927689594357</v>
      </c>
      <c r="E6112" s="12">
        <f t="shared" si="95"/>
        <v>47550</v>
      </c>
    </row>
    <row r="6113" spans="1:5" x14ac:dyDescent="0.25">
      <c r="A6113" s="2">
        <f>IF(B6113="","",SUBTOTAL(3,$B$2:B6113))</f>
        <v>6112</v>
      </c>
      <c r="B6113" s="9" t="s">
        <v>50</v>
      </c>
      <c r="C6113" s="10" t="s">
        <v>52</v>
      </c>
      <c r="D6113" s="11">
        <v>88.183421516754848</v>
      </c>
      <c r="E6113" s="12">
        <f t="shared" si="95"/>
        <v>47551</v>
      </c>
    </row>
    <row r="6114" spans="1:5" x14ac:dyDescent="0.25">
      <c r="A6114" s="2">
        <f>IF(B6114="","",SUBTOTAL(3,$B$2:B6114))</f>
        <v>6113</v>
      </c>
      <c r="B6114" s="9" t="s">
        <v>50</v>
      </c>
      <c r="C6114" s="10" t="s">
        <v>49</v>
      </c>
      <c r="D6114" s="11">
        <v>16.534391534391535</v>
      </c>
      <c r="E6114" s="12">
        <f t="shared" si="95"/>
        <v>47552</v>
      </c>
    </row>
    <row r="6115" spans="1:5" x14ac:dyDescent="0.25">
      <c r="A6115" s="2">
        <f>IF(B6115="","",SUBTOTAL(3,$B$2:B6115))</f>
        <v>6114</v>
      </c>
      <c r="B6115" s="9" t="s">
        <v>50</v>
      </c>
      <c r="C6115" s="10" t="s">
        <v>52</v>
      </c>
      <c r="D6115" s="11">
        <v>66.137566137566139</v>
      </c>
      <c r="E6115" s="12">
        <f t="shared" si="95"/>
        <v>47553</v>
      </c>
    </row>
    <row r="6116" spans="1:5" x14ac:dyDescent="0.25">
      <c r="A6116" s="2">
        <f>IF(B6116="","",SUBTOTAL(3,$B$2:B6116))</f>
        <v>6115</v>
      </c>
      <c r="B6116" s="9" t="s">
        <v>48</v>
      </c>
      <c r="C6116" s="10" t="s">
        <v>56</v>
      </c>
      <c r="D6116" s="11">
        <v>10.341261633919338</v>
      </c>
      <c r="E6116" s="12">
        <f t="shared" si="95"/>
        <v>47554</v>
      </c>
    </row>
    <row r="6117" spans="1:5" x14ac:dyDescent="0.25">
      <c r="A6117" s="2">
        <f>IF(B6117="","",SUBTOTAL(3,$B$2:B6117))</f>
        <v>6116</v>
      </c>
      <c r="B6117" s="9" t="s">
        <v>55</v>
      </c>
      <c r="C6117" s="10" t="s">
        <v>52</v>
      </c>
      <c r="D6117" s="11">
        <v>15.888300433317285</v>
      </c>
      <c r="E6117" s="12">
        <f t="shared" si="95"/>
        <v>47555</v>
      </c>
    </row>
    <row r="6118" spans="1:5" x14ac:dyDescent="0.25">
      <c r="A6118" s="2">
        <f>IF(B6118="","",SUBTOTAL(3,$B$2:B6118))</f>
        <v>6117</v>
      </c>
      <c r="B6118" s="9" t="s">
        <v>55</v>
      </c>
      <c r="C6118" s="10" t="s">
        <v>52</v>
      </c>
      <c r="D6118" s="11">
        <v>31.776600866634571</v>
      </c>
      <c r="E6118" s="12">
        <f t="shared" si="95"/>
        <v>47556</v>
      </c>
    </row>
    <row r="6119" spans="1:5" x14ac:dyDescent="0.25">
      <c r="A6119" s="2">
        <f>IF(B6119="","",SUBTOTAL(3,$B$2:B6119))</f>
        <v>6118</v>
      </c>
      <c r="B6119" s="9" t="s">
        <v>48</v>
      </c>
      <c r="C6119" s="10" t="s">
        <v>52</v>
      </c>
      <c r="D6119" s="11">
        <v>462.10720887245844</v>
      </c>
      <c r="E6119" s="12">
        <f t="shared" si="95"/>
        <v>47557</v>
      </c>
    </row>
    <row r="6120" spans="1:5" x14ac:dyDescent="0.25">
      <c r="A6120" s="2">
        <f>IF(B6120="","",SUBTOTAL(3,$B$2:B6120))</f>
        <v>6119</v>
      </c>
      <c r="B6120" s="9" t="s">
        <v>48</v>
      </c>
      <c r="C6120" s="10" t="s">
        <v>49</v>
      </c>
      <c r="D6120" s="11">
        <v>69.316081330868769</v>
      </c>
      <c r="E6120" s="12">
        <f t="shared" si="95"/>
        <v>47558</v>
      </c>
    </row>
    <row r="6121" spans="1:5" x14ac:dyDescent="0.25">
      <c r="A6121" s="2">
        <f>IF(B6121="","",SUBTOTAL(3,$B$2:B6121))</f>
        <v>6120</v>
      </c>
      <c r="B6121" s="9" t="s">
        <v>48</v>
      </c>
      <c r="C6121" s="10" t="s">
        <v>54</v>
      </c>
      <c r="D6121" s="11">
        <v>24.645717806531117</v>
      </c>
      <c r="E6121" s="12">
        <f t="shared" si="95"/>
        <v>47559</v>
      </c>
    </row>
    <row r="6122" spans="1:5" x14ac:dyDescent="0.25">
      <c r="A6122" s="2">
        <f>IF(B6122="","",SUBTOTAL(3,$B$2:B6122))</f>
        <v>6121</v>
      </c>
      <c r="B6122" s="9" t="s">
        <v>48</v>
      </c>
      <c r="C6122" s="10" t="s">
        <v>52</v>
      </c>
      <c r="D6122" s="11">
        <v>431.30006161429452</v>
      </c>
      <c r="E6122" s="12">
        <f t="shared" si="95"/>
        <v>47560</v>
      </c>
    </row>
    <row r="6123" spans="1:5" x14ac:dyDescent="0.25">
      <c r="A6123" s="2">
        <f>IF(B6123="","",SUBTOTAL(3,$B$2:B6123))</f>
        <v>6122</v>
      </c>
      <c r="B6123" s="9" t="s">
        <v>48</v>
      </c>
      <c r="C6123" s="10" t="s">
        <v>52</v>
      </c>
      <c r="D6123" s="11">
        <v>154.03573629081947</v>
      </c>
      <c r="E6123" s="12">
        <f t="shared" si="95"/>
        <v>47561</v>
      </c>
    </row>
    <row r="6124" spans="1:5" x14ac:dyDescent="0.25">
      <c r="A6124" s="2">
        <f>IF(B6124="","",SUBTOTAL(3,$B$2:B6124))</f>
        <v>6123</v>
      </c>
      <c r="B6124" s="9" t="s">
        <v>48</v>
      </c>
      <c r="C6124" s="10" t="s">
        <v>49</v>
      </c>
      <c r="D6124" s="11">
        <v>50.83179297597043</v>
      </c>
      <c r="E6124" s="12">
        <f t="shared" si="95"/>
        <v>47562</v>
      </c>
    </row>
    <row r="6125" spans="1:5" x14ac:dyDescent="0.25">
      <c r="A6125" s="2">
        <f>IF(B6125="","",SUBTOTAL(3,$B$2:B6125))</f>
        <v>6124</v>
      </c>
      <c r="B6125" s="9" t="s">
        <v>50</v>
      </c>
      <c r="C6125" s="10" t="s">
        <v>52</v>
      </c>
      <c r="D6125" s="11">
        <v>66.137566137566139</v>
      </c>
      <c r="E6125" s="12">
        <f t="shared" si="95"/>
        <v>47563</v>
      </c>
    </row>
    <row r="6126" spans="1:5" x14ac:dyDescent="0.25">
      <c r="A6126" s="2">
        <f>IF(B6126="","",SUBTOTAL(3,$B$2:B6126))</f>
        <v>6125</v>
      </c>
      <c r="B6126" s="9" t="s">
        <v>50</v>
      </c>
      <c r="C6126" s="10" t="s">
        <v>52</v>
      </c>
      <c r="D6126" s="11">
        <v>66.137566137566139</v>
      </c>
      <c r="E6126" s="12">
        <f t="shared" si="95"/>
        <v>47564</v>
      </c>
    </row>
    <row r="6127" spans="1:5" x14ac:dyDescent="0.25">
      <c r="A6127" s="2">
        <f>IF(B6127="","",SUBTOTAL(3,$B$2:B6127))</f>
        <v>6126</v>
      </c>
      <c r="B6127" s="9" t="s">
        <v>50</v>
      </c>
      <c r="C6127" s="10" t="s">
        <v>52</v>
      </c>
      <c r="D6127" s="11">
        <v>66.137566137566139</v>
      </c>
      <c r="E6127" s="12">
        <f t="shared" si="95"/>
        <v>47565</v>
      </c>
    </row>
    <row r="6128" spans="1:5" x14ac:dyDescent="0.25">
      <c r="A6128" s="2">
        <f>IF(B6128="","",SUBTOTAL(3,$B$2:B6128))</f>
        <v>6127</v>
      </c>
      <c r="B6128" s="9" t="s">
        <v>48</v>
      </c>
      <c r="C6128" s="10" t="s">
        <v>52</v>
      </c>
      <c r="D6128" s="11">
        <v>172.35436056532231</v>
      </c>
      <c r="E6128" s="12">
        <f t="shared" si="95"/>
        <v>47566</v>
      </c>
    </row>
    <row r="6129" spans="1:5" x14ac:dyDescent="0.25">
      <c r="A6129" s="2">
        <f>IF(B6129="","",SUBTOTAL(3,$B$2:B6129))</f>
        <v>6128</v>
      </c>
      <c r="B6129" s="9" t="s">
        <v>48</v>
      </c>
      <c r="C6129" s="10" t="s">
        <v>54</v>
      </c>
      <c r="D6129" s="11">
        <v>50.061614294516332</v>
      </c>
      <c r="E6129" s="12">
        <f t="shared" si="95"/>
        <v>47567</v>
      </c>
    </row>
    <row r="6130" spans="1:5" x14ac:dyDescent="0.25">
      <c r="A6130" s="2">
        <f>IF(B6130="","",SUBTOTAL(3,$B$2:B6130))</f>
        <v>6129</v>
      </c>
      <c r="B6130" s="9" t="s">
        <v>50</v>
      </c>
      <c r="C6130" s="10" t="s">
        <v>54</v>
      </c>
      <c r="D6130" s="11">
        <v>44.091710758377424</v>
      </c>
      <c r="E6130" s="12">
        <f t="shared" si="95"/>
        <v>47568</v>
      </c>
    </row>
    <row r="6131" spans="1:5" x14ac:dyDescent="0.25">
      <c r="A6131" s="2">
        <f>IF(B6131="","",SUBTOTAL(3,$B$2:B6131))</f>
        <v>6130</v>
      </c>
      <c r="B6131" s="9" t="s">
        <v>50</v>
      </c>
      <c r="C6131" s="10" t="s">
        <v>49</v>
      </c>
      <c r="D6131" s="11">
        <v>14.329805996472663</v>
      </c>
      <c r="E6131" s="12">
        <f t="shared" si="95"/>
        <v>47569</v>
      </c>
    </row>
    <row r="6132" spans="1:5" x14ac:dyDescent="0.25">
      <c r="A6132" s="2">
        <f>IF(B6132="","",SUBTOTAL(3,$B$2:B6132))</f>
        <v>6131</v>
      </c>
      <c r="B6132" s="9" t="s">
        <v>50</v>
      </c>
      <c r="C6132" s="10" t="s">
        <v>49</v>
      </c>
      <c r="D6132" s="11">
        <v>22.045855379188712</v>
      </c>
      <c r="E6132" s="12">
        <f t="shared" si="95"/>
        <v>47570</v>
      </c>
    </row>
    <row r="6133" spans="1:5" x14ac:dyDescent="0.25">
      <c r="A6133" s="2">
        <f>IF(B6133="","",SUBTOTAL(3,$B$2:B6133))</f>
        <v>6132</v>
      </c>
      <c r="B6133" s="9" t="s">
        <v>50</v>
      </c>
      <c r="C6133" s="10" t="s">
        <v>52</v>
      </c>
      <c r="D6133" s="11">
        <v>66.137566137566139</v>
      </c>
      <c r="E6133" s="12">
        <f t="shared" si="95"/>
        <v>47571</v>
      </c>
    </row>
    <row r="6134" spans="1:5" x14ac:dyDescent="0.25">
      <c r="A6134" s="2">
        <f>IF(B6134="","",SUBTOTAL(3,$B$2:B6134))</f>
        <v>6133</v>
      </c>
      <c r="B6134" s="9" t="s">
        <v>50</v>
      </c>
      <c r="C6134" s="10" t="s">
        <v>52</v>
      </c>
      <c r="D6134" s="11">
        <v>66.137566137566139</v>
      </c>
      <c r="E6134" s="12">
        <f t="shared" si="95"/>
        <v>47572</v>
      </c>
    </row>
    <row r="6135" spans="1:5" x14ac:dyDescent="0.25">
      <c r="A6135" s="2">
        <f>IF(B6135="","",SUBTOTAL(3,$B$2:B6135))</f>
        <v>6134</v>
      </c>
      <c r="B6135" s="9" t="s">
        <v>50</v>
      </c>
      <c r="C6135" s="10" t="s">
        <v>49</v>
      </c>
      <c r="D6135" s="11">
        <v>110.22927689594357</v>
      </c>
      <c r="E6135" s="12">
        <f t="shared" si="95"/>
        <v>47573</v>
      </c>
    </row>
    <row r="6136" spans="1:5" x14ac:dyDescent="0.25">
      <c r="A6136" s="2">
        <f>IF(B6136="","",SUBTOTAL(3,$B$2:B6136))</f>
        <v>6135</v>
      </c>
      <c r="B6136" s="9" t="s">
        <v>55</v>
      </c>
      <c r="C6136" s="10" t="s">
        <v>54</v>
      </c>
      <c r="D6136" s="11">
        <v>250</v>
      </c>
      <c r="E6136" s="12">
        <f t="shared" si="95"/>
        <v>47574</v>
      </c>
    </row>
    <row r="6137" spans="1:5" x14ac:dyDescent="0.25">
      <c r="A6137" s="2">
        <f>IF(B6137="","",SUBTOTAL(3,$B$2:B6137))</f>
        <v>6136</v>
      </c>
      <c r="B6137" s="9" t="s">
        <v>48</v>
      </c>
      <c r="C6137" s="10" t="s">
        <v>54</v>
      </c>
      <c r="D6137" s="11">
        <v>37.5</v>
      </c>
      <c r="E6137" s="12">
        <f t="shared" si="95"/>
        <v>47575</v>
      </c>
    </row>
    <row r="6138" spans="1:5" x14ac:dyDescent="0.25">
      <c r="A6138" s="2">
        <f>IF(B6138="","",SUBTOTAL(3,$B$2:B6138))</f>
        <v>6137</v>
      </c>
      <c r="B6138" s="9" t="s">
        <v>50</v>
      </c>
      <c r="C6138" s="10" t="s">
        <v>52</v>
      </c>
      <c r="D6138" s="11">
        <v>88.183421516754848</v>
      </c>
      <c r="E6138" s="12">
        <f t="shared" si="95"/>
        <v>47576</v>
      </c>
    </row>
    <row r="6139" spans="1:5" x14ac:dyDescent="0.25">
      <c r="A6139" s="2">
        <f>IF(B6139="","",SUBTOTAL(3,$B$2:B6139))</f>
        <v>6138</v>
      </c>
      <c r="B6139" s="9" t="s">
        <v>50</v>
      </c>
      <c r="C6139" s="10" t="s">
        <v>52</v>
      </c>
      <c r="D6139" s="11">
        <v>66.137566137566139</v>
      </c>
      <c r="E6139" s="12">
        <f t="shared" si="95"/>
        <v>47577</v>
      </c>
    </row>
    <row r="6140" spans="1:5" x14ac:dyDescent="0.25">
      <c r="A6140" s="2">
        <f>IF(B6140="","",SUBTOTAL(3,$B$2:B6140))</f>
        <v>6139</v>
      </c>
      <c r="B6140" s="9" t="s">
        <v>50</v>
      </c>
      <c r="C6140" s="10" t="s">
        <v>52</v>
      </c>
      <c r="D6140" s="11">
        <v>66.137566137566139</v>
      </c>
      <c r="E6140" s="12">
        <f t="shared" si="95"/>
        <v>47578</v>
      </c>
    </row>
    <row r="6141" spans="1:5" x14ac:dyDescent="0.25">
      <c r="A6141" s="2">
        <f>IF(B6141="","",SUBTOTAL(3,$B$2:B6141))</f>
        <v>6140</v>
      </c>
      <c r="B6141" s="9" t="s">
        <v>50</v>
      </c>
      <c r="C6141" s="10" t="s">
        <v>52</v>
      </c>
      <c r="D6141" s="11">
        <v>66.137566137566139</v>
      </c>
      <c r="E6141" s="12">
        <f t="shared" si="95"/>
        <v>47579</v>
      </c>
    </row>
    <row r="6142" spans="1:5" x14ac:dyDescent="0.25">
      <c r="A6142" s="2">
        <f>IF(B6142="","",SUBTOTAL(3,$B$2:B6142))</f>
        <v>6141</v>
      </c>
      <c r="B6142" s="9" t="s">
        <v>50</v>
      </c>
      <c r="C6142" s="10" t="s">
        <v>52</v>
      </c>
      <c r="D6142" s="11">
        <v>66.137566137566139</v>
      </c>
      <c r="E6142" s="12">
        <f t="shared" si="95"/>
        <v>47580</v>
      </c>
    </row>
    <row r="6143" spans="1:5" x14ac:dyDescent="0.25">
      <c r="A6143" s="2">
        <f>IF(B6143="","",SUBTOTAL(3,$B$2:B6143))</f>
        <v>6142</v>
      </c>
      <c r="B6143" s="9" t="s">
        <v>50</v>
      </c>
      <c r="C6143" s="10" t="s">
        <v>52</v>
      </c>
      <c r="D6143" s="11">
        <v>66.137566137566139</v>
      </c>
      <c r="E6143" s="12">
        <f t="shared" si="95"/>
        <v>47581</v>
      </c>
    </row>
    <row r="6144" spans="1:5" x14ac:dyDescent="0.25">
      <c r="A6144" s="2">
        <f>IF(B6144="","",SUBTOTAL(3,$B$2:B6144))</f>
        <v>6143</v>
      </c>
      <c r="B6144" s="9" t="s">
        <v>50</v>
      </c>
      <c r="C6144" s="10" t="s">
        <v>52</v>
      </c>
      <c r="D6144" s="11">
        <v>66.137566137566139</v>
      </c>
      <c r="E6144" s="12">
        <f t="shared" si="95"/>
        <v>47582</v>
      </c>
    </row>
    <row r="6145" spans="1:5" x14ac:dyDescent="0.25">
      <c r="A6145" s="2">
        <f>IF(B6145="","",SUBTOTAL(3,$B$2:B6145))</f>
        <v>6144</v>
      </c>
      <c r="B6145" s="9" t="s">
        <v>50</v>
      </c>
      <c r="C6145" s="10" t="s">
        <v>52</v>
      </c>
      <c r="D6145" s="11">
        <v>66.137566137566139</v>
      </c>
      <c r="E6145" s="12">
        <f t="shared" si="95"/>
        <v>47583</v>
      </c>
    </row>
    <row r="6146" spans="1:5" x14ac:dyDescent="0.25">
      <c r="A6146" s="2">
        <f>IF(B6146="","",SUBTOTAL(3,$B$2:B6146))</f>
        <v>6145</v>
      </c>
      <c r="B6146" s="9" t="s">
        <v>55</v>
      </c>
      <c r="C6146" s="10" t="s">
        <v>49</v>
      </c>
      <c r="D6146" s="11">
        <v>16.294606485253382</v>
      </c>
      <c r="E6146" s="12">
        <f t="shared" si="95"/>
        <v>47584</v>
      </c>
    </row>
    <row r="6147" spans="1:5" x14ac:dyDescent="0.25">
      <c r="A6147" s="2">
        <f>IF(B6147="","",SUBTOTAL(3,$B$2:B6147))</f>
        <v>6146</v>
      </c>
      <c r="B6147" s="9" t="s">
        <v>55</v>
      </c>
      <c r="C6147" s="10" t="s">
        <v>49</v>
      </c>
      <c r="D6147" s="11">
        <v>18.92543758901089</v>
      </c>
      <c r="E6147" s="12">
        <f t="shared" si="95"/>
        <v>47585</v>
      </c>
    </row>
    <row r="6148" spans="1:5" x14ac:dyDescent="0.25">
      <c r="A6148" s="2">
        <f>IF(B6148="","",SUBTOTAL(3,$B$2:B6148))</f>
        <v>6147</v>
      </c>
      <c r="B6148" s="9" t="s">
        <v>55</v>
      </c>
      <c r="C6148" s="10" t="s">
        <v>49</v>
      </c>
      <c r="D6148" s="11">
        <v>102.73808976891625</v>
      </c>
      <c r="E6148" s="12">
        <f t="shared" ref="E6148:E6211" si="96">E6147+1</f>
        <v>47586</v>
      </c>
    </row>
    <row r="6149" spans="1:5" x14ac:dyDescent="0.25">
      <c r="A6149" s="2">
        <f>IF(B6149="","",SUBTOTAL(3,$B$2:B6149))</f>
        <v>6148</v>
      </c>
      <c r="B6149" s="9" t="s">
        <v>51</v>
      </c>
      <c r="C6149" s="10" t="s">
        <v>52</v>
      </c>
      <c r="D6149" s="11">
        <v>79.423911892407062</v>
      </c>
      <c r="E6149" s="12">
        <f t="shared" si="96"/>
        <v>47587</v>
      </c>
    </row>
    <row r="6150" spans="1:5" x14ac:dyDescent="0.25">
      <c r="A6150" s="2">
        <f>IF(B6150="","",SUBTOTAL(3,$B$2:B6150))</f>
        <v>6149</v>
      </c>
      <c r="B6150" s="9" t="s">
        <v>51</v>
      </c>
      <c r="C6150" s="10" t="s">
        <v>52</v>
      </c>
      <c r="D6150" s="11">
        <v>52.949274594938046</v>
      </c>
      <c r="E6150" s="12">
        <f t="shared" si="96"/>
        <v>47588</v>
      </c>
    </row>
    <row r="6151" spans="1:5" x14ac:dyDescent="0.25">
      <c r="A6151" s="2">
        <f>IF(B6151="","",SUBTOTAL(3,$B$2:B6151))</f>
        <v>6150</v>
      </c>
      <c r="B6151" s="9" t="s">
        <v>51</v>
      </c>
      <c r="C6151" s="10" t="s">
        <v>52</v>
      </c>
      <c r="D6151" s="11">
        <v>52.949274594938046</v>
      </c>
      <c r="E6151" s="12">
        <f t="shared" si="96"/>
        <v>47589</v>
      </c>
    </row>
    <row r="6152" spans="1:5" x14ac:dyDescent="0.25">
      <c r="A6152" s="2">
        <f>IF(B6152="","",SUBTOTAL(3,$B$2:B6152))</f>
        <v>6151</v>
      </c>
      <c r="B6152" s="9" t="s">
        <v>51</v>
      </c>
      <c r="C6152" s="10" t="s">
        <v>52</v>
      </c>
      <c r="D6152" s="11">
        <v>74.128984432913256</v>
      </c>
      <c r="E6152" s="12">
        <f t="shared" si="96"/>
        <v>47590</v>
      </c>
    </row>
    <row r="6153" spans="1:5" x14ac:dyDescent="0.25">
      <c r="A6153" s="2">
        <f>IF(B6153="","",SUBTOTAL(3,$B$2:B6153))</f>
        <v>6152</v>
      </c>
      <c r="B6153" s="9" t="s">
        <v>51</v>
      </c>
      <c r="C6153" s="10" t="s">
        <v>52</v>
      </c>
      <c r="D6153" s="11">
        <v>4.0515355319666151</v>
      </c>
      <c r="E6153" s="12">
        <f t="shared" si="96"/>
        <v>47591</v>
      </c>
    </row>
    <row r="6154" spans="1:5" x14ac:dyDescent="0.25">
      <c r="A6154" s="2">
        <f>IF(B6154="","",SUBTOTAL(3,$B$2:B6154))</f>
        <v>6153</v>
      </c>
      <c r="B6154" s="9" t="s">
        <v>55</v>
      </c>
      <c r="C6154" s="10" t="s">
        <v>49</v>
      </c>
      <c r="D6154" s="11">
        <v>20.060963844351544</v>
      </c>
      <c r="E6154" s="12">
        <f t="shared" si="96"/>
        <v>47592</v>
      </c>
    </row>
    <row r="6155" spans="1:5" x14ac:dyDescent="0.25">
      <c r="A6155" s="2">
        <f>IF(B6155="","",SUBTOTAL(3,$B$2:B6155))</f>
        <v>6154</v>
      </c>
      <c r="B6155" s="9" t="s">
        <v>55</v>
      </c>
      <c r="C6155" s="10" t="s">
        <v>56</v>
      </c>
      <c r="D6155" s="11">
        <v>325.89212970506765</v>
      </c>
      <c r="E6155" s="12">
        <f t="shared" si="96"/>
        <v>47593</v>
      </c>
    </row>
    <row r="6156" spans="1:5" x14ac:dyDescent="0.25">
      <c r="A6156" s="2">
        <f>IF(B6156="","",SUBTOTAL(3,$B$2:B6156))</f>
        <v>6155</v>
      </c>
      <c r="B6156" s="9" t="s">
        <v>51</v>
      </c>
      <c r="C6156" s="10" t="s">
        <v>54</v>
      </c>
      <c r="D6156" s="11">
        <v>42.359419675950441</v>
      </c>
      <c r="E6156" s="12">
        <f t="shared" si="96"/>
        <v>47594</v>
      </c>
    </row>
    <row r="6157" spans="1:5" x14ac:dyDescent="0.25">
      <c r="A6157" s="2">
        <f>IF(B6157="","",SUBTOTAL(3,$B$2:B6157))</f>
        <v>6156</v>
      </c>
      <c r="B6157" s="9" t="s">
        <v>53</v>
      </c>
      <c r="C6157" s="10" t="s">
        <v>49</v>
      </c>
      <c r="D6157" s="11">
        <v>320.5509813439329</v>
      </c>
      <c r="E6157" s="12">
        <f t="shared" si="96"/>
        <v>47595</v>
      </c>
    </row>
    <row r="6158" spans="1:5" x14ac:dyDescent="0.25">
      <c r="A6158" s="2">
        <f>IF(B6158="","",SUBTOTAL(3,$B$2:B6158))</f>
        <v>6157</v>
      </c>
      <c r="B6158" s="9" t="s">
        <v>53</v>
      </c>
      <c r="C6158" s="10" t="s">
        <v>54</v>
      </c>
      <c r="D6158" s="11">
        <v>41.213697601362803</v>
      </c>
      <c r="E6158" s="12">
        <f t="shared" si="96"/>
        <v>47596</v>
      </c>
    </row>
    <row r="6159" spans="1:5" x14ac:dyDescent="0.25">
      <c r="A6159" s="2">
        <f>IF(B6159="","",SUBTOTAL(3,$B$2:B6159))</f>
        <v>6158</v>
      </c>
      <c r="B6159" s="9" t="s">
        <v>48</v>
      </c>
      <c r="C6159" s="10" t="s">
        <v>54</v>
      </c>
      <c r="D6159" s="11">
        <v>69.316081330868769</v>
      </c>
      <c r="E6159" s="12">
        <f t="shared" si="96"/>
        <v>47597</v>
      </c>
    </row>
    <row r="6160" spans="1:5" x14ac:dyDescent="0.25">
      <c r="A6160" s="2">
        <f>IF(B6160="","",SUBTOTAL(3,$B$2:B6160))</f>
        <v>6159</v>
      </c>
      <c r="B6160" s="9" t="s">
        <v>48</v>
      </c>
      <c r="C6160" s="10" t="s">
        <v>49</v>
      </c>
      <c r="D6160" s="11">
        <v>6.8941744226128918</v>
      </c>
      <c r="E6160" s="12">
        <f t="shared" si="96"/>
        <v>47598</v>
      </c>
    </row>
    <row r="6161" spans="1:5" x14ac:dyDescent="0.25">
      <c r="A6161" s="2">
        <f>IF(B6161="","",SUBTOTAL(3,$B$2:B6161))</f>
        <v>6160</v>
      </c>
      <c r="B6161" s="9" t="s">
        <v>48</v>
      </c>
      <c r="C6161" s="10" t="s">
        <v>52</v>
      </c>
      <c r="D6161" s="11">
        <v>164.81823783117684</v>
      </c>
      <c r="E6161" s="12">
        <f t="shared" si="96"/>
        <v>47599</v>
      </c>
    </row>
    <row r="6162" spans="1:5" x14ac:dyDescent="0.25">
      <c r="A6162" s="2">
        <f>IF(B6162="","",SUBTOTAL(3,$B$2:B6162))</f>
        <v>6161</v>
      </c>
      <c r="B6162" s="9" t="s">
        <v>48</v>
      </c>
      <c r="C6162" s="10" t="s">
        <v>52</v>
      </c>
      <c r="D6162" s="11">
        <v>17.235436056532226</v>
      </c>
      <c r="E6162" s="12">
        <f t="shared" si="96"/>
        <v>47600</v>
      </c>
    </row>
    <row r="6163" spans="1:5" x14ac:dyDescent="0.25">
      <c r="A6163" s="2">
        <f>IF(B6163="","",SUBTOTAL(3,$B$2:B6163))</f>
        <v>6162</v>
      </c>
      <c r="B6163" s="9" t="s">
        <v>48</v>
      </c>
      <c r="C6163" s="10" t="s">
        <v>49</v>
      </c>
      <c r="D6163" s="11">
        <v>41.365046535677351</v>
      </c>
      <c r="E6163" s="12">
        <f t="shared" si="96"/>
        <v>47601</v>
      </c>
    </row>
    <row r="6164" spans="1:5" x14ac:dyDescent="0.25">
      <c r="A6164" s="2">
        <f>IF(B6164="","",SUBTOTAL(3,$B$2:B6164))</f>
        <v>6163</v>
      </c>
      <c r="B6164" s="9" t="s">
        <v>48</v>
      </c>
      <c r="C6164" s="10" t="s">
        <v>49</v>
      </c>
      <c r="D6164" s="11">
        <v>147.38710789382969</v>
      </c>
      <c r="E6164" s="12">
        <f t="shared" si="96"/>
        <v>47602</v>
      </c>
    </row>
    <row r="6165" spans="1:5" x14ac:dyDescent="0.25">
      <c r="A6165" s="2">
        <f>IF(B6165="","",SUBTOTAL(3,$B$2:B6165))</f>
        <v>6164</v>
      </c>
      <c r="B6165" s="9" t="s">
        <v>53</v>
      </c>
      <c r="C6165" s="10" t="s">
        <v>49</v>
      </c>
      <c r="D6165" s="11">
        <v>82.427395202725606</v>
      </c>
      <c r="E6165" s="12">
        <f t="shared" si="96"/>
        <v>47603</v>
      </c>
    </row>
    <row r="6166" spans="1:5" x14ac:dyDescent="0.25">
      <c r="A6166" s="2">
        <f>IF(B6166="","",SUBTOTAL(3,$B$2:B6166))</f>
        <v>6165</v>
      </c>
      <c r="B6166" s="9" t="s">
        <v>53</v>
      </c>
      <c r="C6166" s="10" t="s">
        <v>49</v>
      </c>
      <c r="D6166" s="11">
        <v>137.37899200454268</v>
      </c>
      <c r="E6166" s="12">
        <f t="shared" si="96"/>
        <v>47604</v>
      </c>
    </row>
    <row r="6167" spans="1:5" x14ac:dyDescent="0.25">
      <c r="A6167" s="2">
        <f>IF(B6167="","",SUBTOTAL(3,$B$2:B6167))</f>
        <v>6166</v>
      </c>
      <c r="B6167" s="9" t="s">
        <v>53</v>
      </c>
      <c r="C6167" s="10" t="s">
        <v>54</v>
      </c>
      <c r="D6167" s="11">
        <v>22.896498667423781</v>
      </c>
      <c r="E6167" s="12">
        <f t="shared" si="96"/>
        <v>47605</v>
      </c>
    </row>
    <row r="6168" spans="1:5" x14ac:dyDescent="0.25">
      <c r="A6168" s="2">
        <f>IF(B6168="","",SUBTOTAL(3,$B$2:B6168))</f>
        <v>6167</v>
      </c>
      <c r="B6168" s="9" t="s">
        <v>53</v>
      </c>
      <c r="C6168" s="10" t="s">
        <v>54</v>
      </c>
      <c r="D6168" s="11">
        <v>6.4110196268786588</v>
      </c>
      <c r="E6168" s="12">
        <f t="shared" si="96"/>
        <v>47606</v>
      </c>
    </row>
    <row r="6169" spans="1:5" x14ac:dyDescent="0.25">
      <c r="A6169" s="2">
        <f>IF(B6169="","",SUBTOTAL(3,$B$2:B6169))</f>
        <v>6168</v>
      </c>
      <c r="B6169" s="9" t="s">
        <v>53</v>
      </c>
      <c r="C6169" s="10" t="s">
        <v>49</v>
      </c>
      <c r="D6169" s="11">
        <v>48.540577174938413</v>
      </c>
      <c r="E6169" s="12">
        <f t="shared" si="96"/>
        <v>47607</v>
      </c>
    </row>
    <row r="6170" spans="1:5" x14ac:dyDescent="0.25">
      <c r="A6170" s="2">
        <f>IF(B6170="","",SUBTOTAL(3,$B$2:B6170))</f>
        <v>6169</v>
      </c>
      <c r="B6170" s="9" t="s">
        <v>50</v>
      </c>
      <c r="C6170" s="10" t="s">
        <v>49</v>
      </c>
      <c r="D6170" s="11">
        <v>35.273368606701936</v>
      </c>
      <c r="E6170" s="12">
        <f t="shared" si="96"/>
        <v>47608</v>
      </c>
    </row>
    <row r="6171" spans="1:5" x14ac:dyDescent="0.25">
      <c r="A6171" s="2">
        <f>IF(B6171="","",SUBTOTAL(3,$B$2:B6171))</f>
        <v>6170</v>
      </c>
      <c r="B6171" s="9" t="s">
        <v>50</v>
      </c>
      <c r="C6171" s="10" t="s">
        <v>49</v>
      </c>
      <c r="D6171" s="11">
        <v>95.899470899470913</v>
      </c>
      <c r="E6171" s="12">
        <f t="shared" si="96"/>
        <v>47609</v>
      </c>
    </row>
    <row r="6172" spans="1:5" x14ac:dyDescent="0.25">
      <c r="A6172" s="2">
        <f>IF(B6172="","",SUBTOTAL(3,$B$2:B6172))</f>
        <v>6171</v>
      </c>
      <c r="B6172" s="9" t="s">
        <v>50</v>
      </c>
      <c r="C6172" s="10" t="s">
        <v>49</v>
      </c>
      <c r="D6172" s="11">
        <v>21.031746031746032</v>
      </c>
      <c r="E6172" s="12">
        <f t="shared" si="96"/>
        <v>47610</v>
      </c>
    </row>
    <row r="6173" spans="1:5" x14ac:dyDescent="0.25">
      <c r="A6173" s="2">
        <f>IF(B6173="","",SUBTOTAL(3,$B$2:B6173))</f>
        <v>6172</v>
      </c>
      <c r="B6173" s="9" t="s">
        <v>50</v>
      </c>
      <c r="C6173" s="10" t="s">
        <v>52</v>
      </c>
      <c r="D6173" s="11">
        <v>33.06878306878307</v>
      </c>
      <c r="E6173" s="12">
        <f t="shared" si="96"/>
        <v>47611</v>
      </c>
    </row>
    <row r="6174" spans="1:5" x14ac:dyDescent="0.25">
      <c r="A6174" s="2">
        <f>IF(B6174="","",SUBTOTAL(3,$B$2:B6174))</f>
        <v>6173</v>
      </c>
      <c r="B6174" s="9" t="s">
        <v>50</v>
      </c>
      <c r="C6174" s="10" t="s">
        <v>49</v>
      </c>
      <c r="D6174" s="11">
        <v>133.36847442680775</v>
      </c>
      <c r="E6174" s="12">
        <f t="shared" si="96"/>
        <v>47612</v>
      </c>
    </row>
    <row r="6175" spans="1:5" x14ac:dyDescent="0.25">
      <c r="A6175" s="2">
        <f>IF(B6175="","",SUBTOTAL(3,$B$2:B6175))</f>
        <v>6174</v>
      </c>
      <c r="B6175" s="9" t="s">
        <v>48</v>
      </c>
      <c r="C6175" s="10" t="s">
        <v>49</v>
      </c>
      <c r="D6175" s="11">
        <v>34.470872113064452</v>
      </c>
      <c r="E6175" s="12">
        <f t="shared" si="96"/>
        <v>47613</v>
      </c>
    </row>
    <row r="6176" spans="1:5" x14ac:dyDescent="0.25">
      <c r="A6176" s="2">
        <f>IF(B6176="","",SUBTOTAL(3,$B$2:B6176))</f>
        <v>6175</v>
      </c>
      <c r="B6176" s="9" t="s">
        <v>51</v>
      </c>
      <c r="C6176" s="10" t="s">
        <v>56</v>
      </c>
      <c r="D6176" s="11">
        <v>127.0782590278513</v>
      </c>
      <c r="E6176" s="12">
        <f t="shared" si="96"/>
        <v>47614</v>
      </c>
    </row>
    <row r="6177" spans="1:5" x14ac:dyDescent="0.25">
      <c r="A6177" s="2">
        <f>IF(B6177="","",SUBTOTAL(3,$B$2:B6177))</f>
        <v>6176</v>
      </c>
      <c r="B6177" s="9" t="s">
        <v>55</v>
      </c>
      <c r="C6177" s="10" t="s">
        <v>49</v>
      </c>
      <c r="D6177" s="11">
        <v>215.87685990115625</v>
      </c>
      <c r="E6177" s="12">
        <f t="shared" si="96"/>
        <v>47615</v>
      </c>
    </row>
    <row r="6178" spans="1:5" x14ac:dyDescent="0.25">
      <c r="A6178" s="2">
        <f>IF(B6178="","",SUBTOTAL(3,$B$2:B6178))</f>
        <v>6177</v>
      </c>
      <c r="B6178" s="9" t="s">
        <v>48</v>
      </c>
      <c r="C6178" s="10" t="s">
        <v>54</v>
      </c>
      <c r="D6178" s="11">
        <v>51.392083049606214</v>
      </c>
      <c r="E6178" s="12">
        <f t="shared" si="96"/>
        <v>47616</v>
      </c>
    </row>
    <row r="6179" spans="1:5" x14ac:dyDescent="0.25">
      <c r="A6179" s="2">
        <f>IF(B6179="","",SUBTOTAL(3,$B$2:B6179))</f>
        <v>6178</v>
      </c>
      <c r="B6179" s="9" t="s">
        <v>48</v>
      </c>
      <c r="C6179" s="10" t="s">
        <v>49</v>
      </c>
      <c r="D6179" s="11">
        <v>3.8544062287204657</v>
      </c>
      <c r="E6179" s="12">
        <f t="shared" si="96"/>
        <v>47617</v>
      </c>
    </row>
    <row r="6180" spans="1:5" x14ac:dyDescent="0.25">
      <c r="A6180" s="2">
        <f>IF(B6180="","",SUBTOTAL(3,$B$2:B6180))</f>
        <v>6179</v>
      </c>
      <c r="B6180" s="9" t="s">
        <v>50</v>
      </c>
      <c r="C6180" s="10" t="s">
        <v>49</v>
      </c>
      <c r="D6180" s="11">
        <v>120.77475749559083</v>
      </c>
      <c r="E6180" s="12">
        <f t="shared" si="96"/>
        <v>47618</v>
      </c>
    </row>
    <row r="6181" spans="1:5" x14ac:dyDescent="0.25">
      <c r="A6181" s="2">
        <f>IF(B6181="","",SUBTOTAL(3,$B$2:B6181))</f>
        <v>6180</v>
      </c>
      <c r="B6181" s="9" t="s">
        <v>51</v>
      </c>
      <c r="C6181" s="10" t="s">
        <v>54</v>
      </c>
      <c r="D6181" s="11">
        <v>60.362173038229372</v>
      </c>
      <c r="E6181" s="12">
        <f t="shared" si="96"/>
        <v>47619</v>
      </c>
    </row>
    <row r="6182" spans="1:5" x14ac:dyDescent="0.25">
      <c r="A6182" s="2">
        <f>IF(B6182="","",SUBTOTAL(3,$B$2:B6182))</f>
        <v>6181</v>
      </c>
      <c r="B6182" s="9" t="s">
        <v>55</v>
      </c>
      <c r="C6182" s="10" t="s">
        <v>49</v>
      </c>
      <c r="D6182" s="11">
        <v>18.92543758901089</v>
      </c>
      <c r="E6182" s="12">
        <f t="shared" si="96"/>
        <v>47620</v>
      </c>
    </row>
    <row r="6183" spans="1:5" x14ac:dyDescent="0.25">
      <c r="A6183" s="2">
        <f>IF(B6183="","",SUBTOTAL(3,$B$2:B6183))</f>
        <v>6182</v>
      </c>
      <c r="B6183" s="9" t="s">
        <v>55</v>
      </c>
      <c r="C6183" s="10" t="s">
        <v>49</v>
      </c>
      <c r="D6183" s="11">
        <v>513.69044884458128</v>
      </c>
      <c r="E6183" s="12">
        <f t="shared" si="96"/>
        <v>47621</v>
      </c>
    </row>
    <row r="6184" spans="1:5" x14ac:dyDescent="0.25">
      <c r="A6184" s="2">
        <f>IF(B6184="","",SUBTOTAL(3,$B$2:B6184))</f>
        <v>6183</v>
      </c>
      <c r="B6184" s="9" t="s">
        <v>55</v>
      </c>
      <c r="C6184" s="10" t="s">
        <v>52</v>
      </c>
      <c r="D6184" s="11">
        <v>65.808090446639511</v>
      </c>
      <c r="E6184" s="12">
        <f t="shared" si="96"/>
        <v>47622</v>
      </c>
    </row>
    <row r="6185" spans="1:5" x14ac:dyDescent="0.25">
      <c r="A6185" s="2">
        <f>IF(B6185="","",SUBTOTAL(3,$B$2:B6185))</f>
        <v>6184</v>
      </c>
      <c r="B6185" s="9" t="s">
        <v>48</v>
      </c>
      <c r="C6185" s="10" t="s">
        <v>54</v>
      </c>
      <c r="D6185" s="11">
        <v>30.807147258163894</v>
      </c>
      <c r="E6185" s="12">
        <f t="shared" si="96"/>
        <v>47623</v>
      </c>
    </row>
    <row r="6186" spans="1:5" x14ac:dyDescent="0.25">
      <c r="A6186" s="2">
        <f>IF(B6186="","",SUBTOTAL(3,$B$2:B6186))</f>
        <v>6185</v>
      </c>
      <c r="B6186" s="9" t="s">
        <v>50</v>
      </c>
      <c r="C6186" s="10" t="s">
        <v>52</v>
      </c>
      <c r="D6186" s="11">
        <v>44.091710758377424</v>
      </c>
      <c r="E6186" s="12">
        <f t="shared" si="96"/>
        <v>47624</v>
      </c>
    </row>
    <row r="6187" spans="1:5" x14ac:dyDescent="0.25">
      <c r="A6187" s="2">
        <f>IF(B6187="","",SUBTOTAL(3,$B$2:B6187))</f>
        <v>6186</v>
      </c>
      <c r="B6187" s="9" t="s">
        <v>55</v>
      </c>
      <c r="C6187" s="10" t="s">
        <v>49</v>
      </c>
      <c r="D6187" s="11">
        <v>70.946488512302423</v>
      </c>
      <c r="E6187" s="12">
        <f t="shared" si="96"/>
        <v>47625</v>
      </c>
    </row>
    <row r="6188" spans="1:5" x14ac:dyDescent="0.25">
      <c r="A6188" s="2">
        <f>IF(B6188="","",SUBTOTAL(3,$B$2:B6188))</f>
        <v>6187</v>
      </c>
      <c r="B6188" s="9" t="s">
        <v>50</v>
      </c>
      <c r="C6188" s="10" t="s">
        <v>49</v>
      </c>
      <c r="D6188" s="11">
        <v>551.14638447971777</v>
      </c>
      <c r="E6188" s="12">
        <f t="shared" si="96"/>
        <v>47626</v>
      </c>
    </row>
    <row r="6189" spans="1:5" x14ac:dyDescent="0.25">
      <c r="A6189" s="2">
        <f>IF(B6189="","",SUBTOTAL(3,$B$2:B6189))</f>
        <v>6188</v>
      </c>
      <c r="B6189" s="9" t="s">
        <v>50</v>
      </c>
      <c r="C6189" s="10" t="s">
        <v>49</v>
      </c>
      <c r="D6189" s="11">
        <v>163.13932980599648</v>
      </c>
      <c r="E6189" s="12">
        <f t="shared" si="96"/>
        <v>47627</v>
      </c>
    </row>
    <row r="6190" spans="1:5" x14ac:dyDescent="0.25">
      <c r="A6190" s="2">
        <f>IF(B6190="","",SUBTOTAL(3,$B$2:B6190))</f>
        <v>6189</v>
      </c>
      <c r="B6190" s="9" t="s">
        <v>55</v>
      </c>
      <c r="C6190" s="10" t="s">
        <v>52</v>
      </c>
      <c r="D6190" s="11">
        <v>19</v>
      </c>
      <c r="E6190" s="12">
        <f t="shared" si="96"/>
        <v>47628</v>
      </c>
    </row>
    <row r="6191" spans="1:5" x14ac:dyDescent="0.25">
      <c r="A6191" s="2">
        <f>IF(B6191="","",SUBTOTAL(3,$B$2:B6191))</f>
        <v>6190</v>
      </c>
      <c r="B6191" s="9" t="s">
        <v>55</v>
      </c>
      <c r="C6191" s="10" t="s">
        <v>49</v>
      </c>
      <c r="D6191" s="11">
        <v>162.94606485253382</v>
      </c>
      <c r="E6191" s="12">
        <f t="shared" si="96"/>
        <v>47629</v>
      </c>
    </row>
    <row r="6192" spans="1:5" x14ac:dyDescent="0.25">
      <c r="A6192" s="2">
        <f>IF(B6192="","",SUBTOTAL(3,$B$2:B6192))</f>
        <v>6191</v>
      </c>
      <c r="B6192" s="9" t="s">
        <v>55</v>
      </c>
      <c r="C6192" s="10" t="s">
        <v>49</v>
      </c>
      <c r="D6192" s="11">
        <v>175.19547939541508</v>
      </c>
      <c r="E6192" s="12">
        <f t="shared" si="96"/>
        <v>47630</v>
      </c>
    </row>
    <row r="6193" spans="1:5" x14ac:dyDescent="0.25">
      <c r="A6193" s="2">
        <f>IF(B6193="","",SUBTOTAL(3,$B$2:B6193))</f>
        <v>6192</v>
      </c>
      <c r="B6193" s="9" t="s">
        <v>50</v>
      </c>
      <c r="C6193" s="10" t="s">
        <v>49</v>
      </c>
      <c r="D6193" s="11">
        <v>110.22927689594357</v>
      </c>
      <c r="E6193" s="12">
        <f t="shared" si="96"/>
        <v>47631</v>
      </c>
    </row>
    <row r="6194" spans="1:5" x14ac:dyDescent="0.25">
      <c r="A6194" s="2">
        <f>IF(B6194="","",SUBTOTAL(3,$B$2:B6194))</f>
        <v>6193</v>
      </c>
      <c r="B6194" s="9" t="s">
        <v>50</v>
      </c>
      <c r="C6194" s="10" t="s">
        <v>49</v>
      </c>
      <c r="D6194" s="11">
        <v>119.47982804232804</v>
      </c>
      <c r="E6194" s="12">
        <f t="shared" si="96"/>
        <v>47632</v>
      </c>
    </row>
    <row r="6195" spans="1:5" x14ac:dyDescent="0.25">
      <c r="A6195" s="2">
        <f>IF(B6195="","",SUBTOTAL(3,$B$2:B6195))</f>
        <v>6194</v>
      </c>
      <c r="B6195" s="9" t="s">
        <v>53</v>
      </c>
      <c r="C6195" s="10" t="s">
        <v>49</v>
      </c>
      <c r="D6195" s="11">
        <v>50.372297068332315</v>
      </c>
      <c r="E6195" s="12">
        <f t="shared" si="96"/>
        <v>47633</v>
      </c>
    </row>
    <row r="6196" spans="1:5" x14ac:dyDescent="0.25">
      <c r="A6196" s="2">
        <f>IF(B6196="","",SUBTOTAL(3,$B$2:B6196))</f>
        <v>6195</v>
      </c>
      <c r="B6196" s="9" t="s">
        <v>48</v>
      </c>
      <c r="C6196" s="10" t="s">
        <v>49</v>
      </c>
      <c r="D6196" s="11">
        <v>46.210720887245841</v>
      </c>
      <c r="E6196" s="12">
        <f t="shared" si="96"/>
        <v>47634</v>
      </c>
    </row>
    <row r="6197" spans="1:5" x14ac:dyDescent="0.25">
      <c r="A6197" s="2">
        <f>IF(B6197="","",SUBTOTAL(3,$B$2:B6197))</f>
        <v>6196</v>
      </c>
      <c r="B6197" s="9" t="s">
        <v>50</v>
      </c>
      <c r="C6197" s="10" t="s">
        <v>49</v>
      </c>
      <c r="D6197" s="11">
        <v>440.91710758377428</v>
      </c>
      <c r="E6197" s="12">
        <f t="shared" si="96"/>
        <v>47635</v>
      </c>
    </row>
    <row r="6198" spans="1:5" x14ac:dyDescent="0.25">
      <c r="A6198" s="2">
        <f>IF(B6198="","",SUBTOTAL(3,$B$2:B6198))</f>
        <v>6197</v>
      </c>
      <c r="B6198" s="9" t="s">
        <v>48</v>
      </c>
      <c r="C6198" s="10" t="s">
        <v>49</v>
      </c>
      <c r="D6198" s="11">
        <v>61.614294516327789</v>
      </c>
      <c r="E6198" s="12">
        <f t="shared" si="96"/>
        <v>47636</v>
      </c>
    </row>
    <row r="6199" spans="1:5" x14ac:dyDescent="0.25">
      <c r="A6199" s="2">
        <f>IF(B6199="","",SUBTOTAL(3,$B$2:B6199))</f>
        <v>6198</v>
      </c>
      <c r="B6199" s="9" t="s">
        <v>48</v>
      </c>
      <c r="C6199" s="10" t="s">
        <v>56</v>
      </c>
      <c r="D6199" s="11">
        <v>128.48020762401552</v>
      </c>
      <c r="E6199" s="12">
        <f t="shared" si="96"/>
        <v>47637</v>
      </c>
    </row>
    <row r="6200" spans="1:5" x14ac:dyDescent="0.25">
      <c r="A6200" s="2">
        <f>IF(B6200="","",SUBTOTAL(3,$B$2:B6200))</f>
        <v>6199</v>
      </c>
      <c r="B6200" s="9" t="s">
        <v>55</v>
      </c>
      <c r="C6200" s="10" t="s">
        <v>52</v>
      </c>
      <c r="D6200" s="11">
        <v>131.93733633481878</v>
      </c>
      <c r="E6200" s="12">
        <f t="shared" si="96"/>
        <v>47638</v>
      </c>
    </row>
    <row r="6201" spans="1:5" x14ac:dyDescent="0.25">
      <c r="A6201" s="2">
        <f>IF(B6201="","",SUBTOTAL(3,$B$2:B6201))</f>
        <v>6200</v>
      </c>
      <c r="B6201" s="9" t="s">
        <v>48</v>
      </c>
      <c r="C6201" s="10" t="s">
        <v>54</v>
      </c>
      <c r="D6201" s="11">
        <v>154.03573629081947</v>
      </c>
      <c r="E6201" s="12">
        <f t="shared" si="96"/>
        <v>47639</v>
      </c>
    </row>
    <row r="6202" spans="1:5" x14ac:dyDescent="0.25">
      <c r="A6202" s="2">
        <f>IF(B6202="","",SUBTOTAL(3,$B$2:B6202))</f>
        <v>6201</v>
      </c>
      <c r="B6202" s="9" t="s">
        <v>50</v>
      </c>
      <c r="C6202" s="10" t="s">
        <v>49</v>
      </c>
      <c r="D6202" s="11">
        <v>50</v>
      </c>
      <c r="E6202" s="12">
        <f t="shared" si="96"/>
        <v>47640</v>
      </c>
    </row>
    <row r="6203" spans="1:5" x14ac:dyDescent="0.25">
      <c r="A6203" s="2">
        <f>IF(B6203="","",SUBTOTAL(3,$B$2:B6203))</f>
        <v>6202</v>
      </c>
      <c r="B6203" s="9" t="s">
        <v>50</v>
      </c>
      <c r="C6203" s="10" t="s">
        <v>49</v>
      </c>
      <c r="D6203" s="11">
        <v>60</v>
      </c>
      <c r="E6203" s="12">
        <f t="shared" si="96"/>
        <v>47641</v>
      </c>
    </row>
    <row r="6204" spans="1:5" x14ac:dyDescent="0.25">
      <c r="A6204" s="2">
        <f>IF(B6204="","",SUBTOTAL(3,$B$2:B6204))</f>
        <v>6203</v>
      </c>
      <c r="B6204" s="9" t="s">
        <v>55</v>
      </c>
      <c r="C6204" s="10" t="s">
        <v>56</v>
      </c>
      <c r="D6204" s="11">
        <v>600</v>
      </c>
      <c r="E6204" s="12">
        <f t="shared" si="96"/>
        <v>47642</v>
      </c>
    </row>
    <row r="6205" spans="1:5" x14ac:dyDescent="0.25">
      <c r="A6205" s="2">
        <f>IF(B6205="","",SUBTOTAL(3,$B$2:B6205))</f>
        <v>6204</v>
      </c>
      <c r="B6205" s="9" t="s">
        <v>50</v>
      </c>
      <c r="C6205" s="10" t="s">
        <v>49</v>
      </c>
      <c r="D6205" s="11">
        <v>81.569664902998241</v>
      </c>
      <c r="E6205" s="12">
        <f t="shared" si="96"/>
        <v>47643</v>
      </c>
    </row>
    <row r="6206" spans="1:5" x14ac:dyDescent="0.25">
      <c r="A6206" s="2">
        <f>IF(B6206="","",SUBTOTAL(3,$B$2:B6206))</f>
        <v>6205</v>
      </c>
      <c r="B6206" s="9" t="s">
        <v>51</v>
      </c>
      <c r="C6206" s="10" t="s">
        <v>49</v>
      </c>
      <c r="D6206" s="11">
        <v>127.0782590278513</v>
      </c>
      <c r="E6206" s="12">
        <f t="shared" si="96"/>
        <v>47644</v>
      </c>
    </row>
    <row r="6207" spans="1:5" x14ac:dyDescent="0.25">
      <c r="A6207" s="2">
        <f>IF(B6207="","",SUBTOTAL(3,$B$2:B6207))</f>
        <v>6206</v>
      </c>
      <c r="B6207" s="9" t="s">
        <v>55</v>
      </c>
      <c r="C6207" s="10" t="s">
        <v>49</v>
      </c>
      <c r="D6207" s="11">
        <v>389.32328754536684</v>
      </c>
      <c r="E6207" s="12">
        <f t="shared" si="96"/>
        <v>47645</v>
      </c>
    </row>
    <row r="6208" spans="1:5" x14ac:dyDescent="0.25">
      <c r="A6208" s="2">
        <f>IF(B6208="","",SUBTOTAL(3,$B$2:B6208))</f>
        <v>6207</v>
      </c>
      <c r="B6208" s="9" t="s">
        <v>55</v>
      </c>
      <c r="C6208" s="10" t="s">
        <v>52</v>
      </c>
      <c r="D6208" s="11">
        <v>50</v>
      </c>
      <c r="E6208" s="12">
        <f t="shared" si="96"/>
        <v>47646</v>
      </c>
    </row>
    <row r="6209" spans="1:5" x14ac:dyDescent="0.25">
      <c r="A6209" s="2">
        <f>IF(B6209="","",SUBTOTAL(3,$B$2:B6209))</f>
        <v>6208</v>
      </c>
      <c r="B6209" s="9" t="s">
        <v>55</v>
      </c>
      <c r="C6209" s="10" t="s">
        <v>52</v>
      </c>
      <c r="D6209" s="11">
        <v>25</v>
      </c>
      <c r="E6209" s="12">
        <f t="shared" si="96"/>
        <v>47647</v>
      </c>
    </row>
    <row r="6210" spans="1:5" x14ac:dyDescent="0.25">
      <c r="A6210" s="2">
        <f>IF(B6210="","",SUBTOTAL(3,$B$2:B6210))</f>
        <v>6209</v>
      </c>
      <c r="B6210" s="9" t="s">
        <v>48</v>
      </c>
      <c r="C6210" s="10" t="s">
        <v>56</v>
      </c>
      <c r="D6210" s="11">
        <v>128.48020762401552</v>
      </c>
      <c r="E6210" s="12">
        <f t="shared" si="96"/>
        <v>47648</v>
      </c>
    </row>
    <row r="6211" spans="1:5" x14ac:dyDescent="0.25">
      <c r="A6211" s="2">
        <f>IF(B6211="","",SUBTOTAL(3,$B$2:B6211))</f>
        <v>6210</v>
      </c>
      <c r="B6211" s="9" t="s">
        <v>55</v>
      </c>
      <c r="C6211" s="10" t="s">
        <v>52</v>
      </c>
      <c r="D6211" s="11">
        <v>20</v>
      </c>
      <c r="E6211" s="12">
        <f t="shared" si="96"/>
        <v>47649</v>
      </c>
    </row>
    <row r="6212" spans="1:5" x14ac:dyDescent="0.25">
      <c r="A6212" s="2">
        <f>IF(B6212="","",SUBTOTAL(3,$B$2:B6212))</f>
        <v>6211</v>
      </c>
      <c r="B6212" s="9" t="s">
        <v>55</v>
      </c>
      <c r="C6212" s="10" t="s">
        <v>52</v>
      </c>
      <c r="D6212" s="11">
        <v>250</v>
      </c>
      <c r="E6212" s="12">
        <f t="shared" ref="E6212:E6275" si="97">E6211+1</f>
        <v>47650</v>
      </c>
    </row>
    <row r="6213" spans="1:5" x14ac:dyDescent="0.25">
      <c r="A6213" s="2">
        <f>IF(B6213="","",SUBTOTAL(3,$B$2:B6213))</f>
        <v>6212</v>
      </c>
      <c r="B6213" s="9" t="s">
        <v>55</v>
      </c>
      <c r="C6213" s="10" t="s">
        <v>49</v>
      </c>
      <c r="D6213" s="11">
        <v>102.73808976891625</v>
      </c>
      <c r="E6213" s="12">
        <f t="shared" si="97"/>
        <v>47651</v>
      </c>
    </row>
    <row r="6214" spans="1:5" x14ac:dyDescent="0.25">
      <c r="A6214" s="2">
        <f>IF(B6214="","",SUBTOTAL(3,$B$2:B6214))</f>
        <v>6213</v>
      </c>
      <c r="B6214" s="9" t="s">
        <v>48</v>
      </c>
      <c r="C6214" s="10" t="s">
        <v>49</v>
      </c>
      <c r="D6214" s="11">
        <v>462.10720887245844</v>
      </c>
      <c r="E6214" s="12">
        <f t="shared" si="97"/>
        <v>47652</v>
      </c>
    </row>
    <row r="6215" spans="1:5" x14ac:dyDescent="0.25">
      <c r="A6215" s="2">
        <f>IF(B6215="","",SUBTOTAL(3,$B$2:B6215))</f>
        <v>6214</v>
      </c>
      <c r="B6215" s="9" t="s">
        <v>48</v>
      </c>
      <c r="C6215" s="10" t="s">
        <v>49</v>
      </c>
      <c r="D6215" s="11">
        <v>27.726432532347506</v>
      </c>
      <c r="E6215" s="12">
        <f t="shared" si="97"/>
        <v>47653</v>
      </c>
    </row>
    <row r="6216" spans="1:5" x14ac:dyDescent="0.25">
      <c r="A6216" s="2">
        <f>IF(B6216="","",SUBTOTAL(3,$B$2:B6216))</f>
        <v>6215</v>
      </c>
      <c r="B6216" s="9" t="s">
        <v>53</v>
      </c>
      <c r="C6216" s="10" t="s">
        <v>49</v>
      </c>
      <c r="D6216" s="11">
        <v>109.90319360363415</v>
      </c>
      <c r="E6216" s="12">
        <f t="shared" si="97"/>
        <v>47654</v>
      </c>
    </row>
    <row r="6217" spans="1:5" x14ac:dyDescent="0.25">
      <c r="A6217" s="2">
        <f>IF(B6217="","",SUBTOTAL(3,$B$2:B6217))</f>
        <v>6216</v>
      </c>
      <c r="B6217" s="9" t="s">
        <v>53</v>
      </c>
      <c r="C6217" s="10" t="s">
        <v>54</v>
      </c>
      <c r="D6217" s="11">
        <v>77.84809546924086</v>
      </c>
      <c r="E6217" s="12">
        <f t="shared" si="97"/>
        <v>47655</v>
      </c>
    </row>
    <row r="6218" spans="1:5" x14ac:dyDescent="0.25">
      <c r="A6218" s="2">
        <f>IF(B6218="","",SUBTOTAL(3,$B$2:B6218))</f>
        <v>6217</v>
      </c>
      <c r="B6218" s="9" t="s">
        <v>50</v>
      </c>
      <c r="C6218" s="10" t="s">
        <v>52</v>
      </c>
      <c r="D6218" s="11">
        <v>1686.5079365079366</v>
      </c>
      <c r="E6218" s="12">
        <f t="shared" si="97"/>
        <v>47656</v>
      </c>
    </row>
    <row r="6219" spans="1:5" x14ac:dyDescent="0.25">
      <c r="A6219" s="2">
        <f>IF(B6219="","",SUBTOTAL(3,$B$2:B6219))</f>
        <v>6218</v>
      </c>
      <c r="B6219" s="9" t="s">
        <v>55</v>
      </c>
      <c r="C6219" s="10" t="s">
        <v>52</v>
      </c>
      <c r="D6219" s="11">
        <v>60</v>
      </c>
      <c r="E6219" s="12">
        <f t="shared" si="97"/>
        <v>47657</v>
      </c>
    </row>
    <row r="6220" spans="1:5" x14ac:dyDescent="0.25">
      <c r="A6220" s="2">
        <f>IF(B6220="","",SUBTOTAL(3,$B$2:B6220))</f>
        <v>6219</v>
      </c>
      <c r="B6220" s="9" t="s">
        <v>55</v>
      </c>
      <c r="C6220" s="10" t="s">
        <v>52</v>
      </c>
      <c r="D6220" s="11">
        <v>29.7</v>
      </c>
      <c r="E6220" s="12">
        <f t="shared" si="97"/>
        <v>47658</v>
      </c>
    </row>
    <row r="6221" spans="1:5" x14ac:dyDescent="0.25">
      <c r="A6221" s="2">
        <f>IF(B6221="","",SUBTOTAL(3,$B$2:B6221))</f>
        <v>6220</v>
      </c>
      <c r="B6221" s="9" t="s">
        <v>55</v>
      </c>
      <c r="C6221" s="10" t="s">
        <v>52</v>
      </c>
      <c r="D6221" s="11">
        <v>100</v>
      </c>
      <c r="E6221" s="12">
        <f t="shared" si="97"/>
        <v>47659</v>
      </c>
    </row>
    <row r="6222" spans="1:5" x14ac:dyDescent="0.25">
      <c r="A6222" s="2">
        <f>IF(B6222="","",SUBTOTAL(3,$B$2:B6222))</f>
        <v>6221</v>
      </c>
      <c r="B6222" s="9" t="s">
        <v>48</v>
      </c>
      <c r="C6222" s="10" t="s">
        <v>54</v>
      </c>
      <c r="D6222" s="11">
        <v>462.10720887245844</v>
      </c>
      <c r="E6222" s="12">
        <f t="shared" si="97"/>
        <v>47660</v>
      </c>
    </row>
    <row r="6223" spans="1:5" x14ac:dyDescent="0.25">
      <c r="A6223" s="2">
        <f>IF(B6223="","",SUBTOTAL(3,$B$2:B6223))</f>
        <v>6222</v>
      </c>
      <c r="B6223" s="9" t="s">
        <v>55</v>
      </c>
      <c r="C6223" s="10" t="s">
        <v>49</v>
      </c>
      <c r="D6223" s="11">
        <v>117.32116669382435</v>
      </c>
      <c r="E6223" s="12">
        <f t="shared" si="97"/>
        <v>47661</v>
      </c>
    </row>
    <row r="6224" spans="1:5" x14ac:dyDescent="0.25">
      <c r="A6224" s="2">
        <f>IF(B6224="","",SUBTOTAL(3,$B$2:B6224))</f>
        <v>6223</v>
      </c>
      <c r="B6224" s="9" t="s">
        <v>48</v>
      </c>
      <c r="C6224" s="10" t="s">
        <v>49</v>
      </c>
      <c r="D6224" s="11">
        <v>25.696041524803107</v>
      </c>
      <c r="E6224" s="12">
        <f t="shared" si="97"/>
        <v>47662</v>
      </c>
    </row>
    <row r="6225" spans="1:5" x14ac:dyDescent="0.25">
      <c r="A6225" s="2">
        <f>IF(B6225="","",SUBTOTAL(3,$B$2:B6225))</f>
        <v>6224</v>
      </c>
      <c r="B6225" s="9" t="s">
        <v>48</v>
      </c>
      <c r="C6225" s="10" t="s">
        <v>49</v>
      </c>
      <c r="D6225" s="11">
        <v>25.696041524803107</v>
      </c>
      <c r="E6225" s="12">
        <f t="shared" si="97"/>
        <v>47663</v>
      </c>
    </row>
    <row r="6226" spans="1:5" x14ac:dyDescent="0.25">
      <c r="A6226" s="2">
        <f>IF(B6226="","",SUBTOTAL(3,$B$2:B6226))</f>
        <v>6225</v>
      </c>
      <c r="B6226" s="9" t="s">
        <v>48</v>
      </c>
      <c r="C6226" s="10" t="s">
        <v>54</v>
      </c>
      <c r="D6226" s="11">
        <v>30.807147258163894</v>
      </c>
      <c r="E6226" s="12">
        <f t="shared" si="97"/>
        <v>47664</v>
      </c>
    </row>
    <row r="6227" spans="1:5" x14ac:dyDescent="0.25">
      <c r="A6227" s="2">
        <f>IF(B6227="","",SUBTOTAL(3,$B$2:B6227))</f>
        <v>6226</v>
      </c>
      <c r="B6227" s="9" t="s">
        <v>48</v>
      </c>
      <c r="C6227" s="10" t="s">
        <v>49</v>
      </c>
      <c r="D6227" s="11">
        <v>46.210720887245841</v>
      </c>
      <c r="E6227" s="12">
        <f t="shared" si="97"/>
        <v>47665</v>
      </c>
    </row>
    <row r="6228" spans="1:5" x14ac:dyDescent="0.25">
      <c r="A6228" s="2">
        <f>IF(B6228="","",SUBTOTAL(3,$B$2:B6228))</f>
        <v>6227</v>
      </c>
      <c r="B6228" s="9" t="s">
        <v>48</v>
      </c>
      <c r="C6228" s="10" t="s">
        <v>49</v>
      </c>
      <c r="D6228" s="11">
        <v>123.22858903265558</v>
      </c>
      <c r="E6228" s="12">
        <f t="shared" si="97"/>
        <v>47666</v>
      </c>
    </row>
    <row r="6229" spans="1:5" x14ac:dyDescent="0.25">
      <c r="A6229" s="2">
        <f>IF(B6229="","",SUBTOTAL(3,$B$2:B6229))</f>
        <v>6228</v>
      </c>
      <c r="B6229" s="9" t="s">
        <v>48</v>
      </c>
      <c r="C6229" s="10" t="s">
        <v>49</v>
      </c>
      <c r="D6229" s="11">
        <v>46.210720887245841</v>
      </c>
      <c r="E6229" s="12">
        <f t="shared" si="97"/>
        <v>47667</v>
      </c>
    </row>
    <row r="6230" spans="1:5" x14ac:dyDescent="0.25">
      <c r="A6230" s="2">
        <f>IF(B6230="","",SUBTOTAL(3,$B$2:B6230))</f>
        <v>6229</v>
      </c>
      <c r="B6230" s="9" t="s">
        <v>48</v>
      </c>
      <c r="C6230" s="10" t="s">
        <v>49</v>
      </c>
      <c r="D6230" s="11">
        <v>308.07147258163894</v>
      </c>
      <c r="E6230" s="12">
        <f t="shared" si="97"/>
        <v>47668</v>
      </c>
    </row>
    <row r="6231" spans="1:5" x14ac:dyDescent="0.25">
      <c r="A6231" s="2">
        <f>IF(B6231="","",SUBTOTAL(3,$B$2:B6231))</f>
        <v>6230</v>
      </c>
      <c r="B6231" s="9" t="s">
        <v>48</v>
      </c>
      <c r="C6231" s="10" t="s">
        <v>49</v>
      </c>
      <c r="D6231" s="11">
        <v>25.696041524803107</v>
      </c>
      <c r="E6231" s="12">
        <f t="shared" si="97"/>
        <v>47669</v>
      </c>
    </row>
    <row r="6232" spans="1:5" x14ac:dyDescent="0.25">
      <c r="A6232" s="2">
        <f>IF(B6232="","",SUBTOTAL(3,$B$2:B6232))</f>
        <v>6231</v>
      </c>
      <c r="B6232" s="9" t="s">
        <v>48</v>
      </c>
      <c r="C6232" s="10" t="s">
        <v>49</v>
      </c>
      <c r="D6232" s="11">
        <v>25.696041524803107</v>
      </c>
      <c r="E6232" s="12">
        <f t="shared" si="97"/>
        <v>47670</v>
      </c>
    </row>
    <row r="6233" spans="1:5" x14ac:dyDescent="0.25">
      <c r="A6233" s="2">
        <f>IF(B6233="","",SUBTOTAL(3,$B$2:B6233))</f>
        <v>6232</v>
      </c>
      <c r="B6233" s="9" t="s">
        <v>48</v>
      </c>
      <c r="C6233" s="10" t="s">
        <v>49</v>
      </c>
      <c r="D6233" s="11">
        <v>25.696041524803107</v>
      </c>
      <c r="E6233" s="12">
        <f t="shared" si="97"/>
        <v>47671</v>
      </c>
    </row>
    <row r="6234" spans="1:5" x14ac:dyDescent="0.25">
      <c r="A6234" s="2">
        <f>IF(B6234="","",SUBTOTAL(3,$B$2:B6234))</f>
        <v>6233</v>
      </c>
      <c r="B6234" s="9" t="s">
        <v>48</v>
      </c>
      <c r="C6234" s="10" t="s">
        <v>49</v>
      </c>
      <c r="D6234" s="11">
        <v>51.392083049606214</v>
      </c>
      <c r="E6234" s="12">
        <f t="shared" si="97"/>
        <v>47672</v>
      </c>
    </row>
    <row r="6235" spans="1:5" x14ac:dyDescent="0.25">
      <c r="A6235" s="2">
        <f>IF(B6235="","",SUBTOTAL(3,$B$2:B6235))</f>
        <v>6234</v>
      </c>
      <c r="B6235" s="9" t="s">
        <v>48</v>
      </c>
      <c r="C6235" s="10" t="s">
        <v>49</v>
      </c>
      <c r="D6235" s="11">
        <v>51.392083049606214</v>
      </c>
      <c r="E6235" s="12">
        <f t="shared" si="97"/>
        <v>47673</v>
      </c>
    </row>
    <row r="6236" spans="1:5" x14ac:dyDescent="0.25">
      <c r="A6236" s="2">
        <f>IF(B6236="","",SUBTOTAL(3,$B$2:B6236))</f>
        <v>6235</v>
      </c>
      <c r="B6236" s="9" t="s">
        <v>48</v>
      </c>
      <c r="C6236" s="10" t="s">
        <v>49</v>
      </c>
      <c r="D6236" s="11">
        <v>51.392083049606214</v>
      </c>
      <c r="E6236" s="12">
        <f t="shared" si="97"/>
        <v>47674</v>
      </c>
    </row>
    <row r="6237" spans="1:5" x14ac:dyDescent="0.25">
      <c r="A6237" s="2">
        <f>IF(B6237="","",SUBTOTAL(3,$B$2:B6237))</f>
        <v>6236</v>
      </c>
      <c r="B6237" s="9" t="s">
        <v>48</v>
      </c>
      <c r="C6237" s="10" t="s">
        <v>49</v>
      </c>
      <c r="D6237" s="11">
        <v>51.392083049606214</v>
      </c>
      <c r="E6237" s="12">
        <f t="shared" si="97"/>
        <v>47675</v>
      </c>
    </row>
    <row r="6238" spans="1:5" x14ac:dyDescent="0.25">
      <c r="A6238" s="2">
        <f>IF(B6238="","",SUBTOTAL(3,$B$2:B6238))</f>
        <v>6237</v>
      </c>
      <c r="B6238" s="9" t="s">
        <v>50</v>
      </c>
      <c r="C6238" s="10" t="s">
        <v>49</v>
      </c>
      <c r="D6238" s="11">
        <v>470.53670634920633</v>
      </c>
      <c r="E6238" s="12">
        <f t="shared" si="97"/>
        <v>47676</v>
      </c>
    </row>
    <row r="6239" spans="1:5" x14ac:dyDescent="0.25">
      <c r="A6239" s="2">
        <f>IF(B6239="","",SUBTOTAL(3,$B$2:B6239))</f>
        <v>6238</v>
      </c>
      <c r="B6239" s="9" t="s">
        <v>50</v>
      </c>
      <c r="C6239" s="10" t="s">
        <v>52</v>
      </c>
      <c r="D6239" s="11">
        <v>22.045855379188712</v>
      </c>
      <c r="E6239" s="12">
        <f t="shared" si="97"/>
        <v>47677</v>
      </c>
    </row>
    <row r="6240" spans="1:5" x14ac:dyDescent="0.25">
      <c r="A6240" s="2">
        <f>IF(B6240="","",SUBTOTAL(3,$B$2:B6240))</f>
        <v>6239</v>
      </c>
      <c r="B6240" s="9" t="s">
        <v>48</v>
      </c>
      <c r="C6240" s="10" t="s">
        <v>54</v>
      </c>
      <c r="D6240" s="11">
        <v>154.03573629081947</v>
      </c>
      <c r="E6240" s="12">
        <f t="shared" si="97"/>
        <v>47678</v>
      </c>
    </row>
    <row r="6241" spans="1:5" x14ac:dyDescent="0.25">
      <c r="A6241" s="2">
        <f>IF(B6241="","",SUBTOTAL(3,$B$2:B6241))</f>
        <v>6240</v>
      </c>
      <c r="B6241" s="9" t="s">
        <v>51</v>
      </c>
      <c r="C6241" s="10" t="s">
        <v>52</v>
      </c>
      <c r="D6241" s="11">
        <v>211.79709837975219</v>
      </c>
      <c r="E6241" s="12">
        <f t="shared" si="97"/>
        <v>47679</v>
      </c>
    </row>
    <row r="6242" spans="1:5" x14ac:dyDescent="0.25">
      <c r="A6242" s="2">
        <f>IF(B6242="","",SUBTOTAL(3,$B$2:B6242))</f>
        <v>6241</v>
      </c>
      <c r="B6242" s="9" t="s">
        <v>55</v>
      </c>
      <c r="C6242" s="10" t="s">
        <v>56</v>
      </c>
      <c r="D6242" s="11">
        <v>32.589212970506765</v>
      </c>
      <c r="E6242" s="12">
        <f t="shared" si="97"/>
        <v>47680</v>
      </c>
    </row>
    <row r="6243" spans="1:5" x14ac:dyDescent="0.25">
      <c r="A6243" s="2">
        <f>IF(B6243="","",SUBTOTAL(3,$B$2:B6243))</f>
        <v>6242</v>
      </c>
      <c r="B6243" s="9" t="s">
        <v>55</v>
      </c>
      <c r="C6243" s="10" t="s">
        <v>54</v>
      </c>
      <c r="D6243" s="11">
        <v>32.200000000000003</v>
      </c>
      <c r="E6243" s="12">
        <f t="shared" si="97"/>
        <v>47681</v>
      </c>
    </row>
    <row r="6244" spans="1:5" x14ac:dyDescent="0.25">
      <c r="A6244" s="2">
        <f>IF(B6244="","",SUBTOTAL(3,$B$2:B6244))</f>
        <v>6243</v>
      </c>
      <c r="B6244" s="9" t="s">
        <v>51</v>
      </c>
      <c r="C6244" s="10" t="s">
        <v>54</v>
      </c>
      <c r="D6244" s="11">
        <v>89.16657841787567</v>
      </c>
      <c r="E6244" s="12">
        <f t="shared" si="97"/>
        <v>47682</v>
      </c>
    </row>
    <row r="6245" spans="1:5" x14ac:dyDescent="0.25">
      <c r="A6245" s="2">
        <f>IF(B6245="","",SUBTOTAL(3,$B$2:B6245))</f>
        <v>6244</v>
      </c>
      <c r="B6245" s="9" t="s">
        <v>48</v>
      </c>
      <c r="C6245" s="10" t="s">
        <v>49</v>
      </c>
      <c r="D6245" s="11">
        <v>53.912507701786815</v>
      </c>
      <c r="E6245" s="12">
        <f t="shared" si="97"/>
        <v>47683</v>
      </c>
    </row>
    <row r="6246" spans="1:5" x14ac:dyDescent="0.25">
      <c r="A6246" s="2">
        <f>IF(B6246="","",SUBTOTAL(3,$B$2:B6246))</f>
        <v>6245</v>
      </c>
      <c r="B6246" s="9" t="s">
        <v>55</v>
      </c>
      <c r="C6246" s="10" t="s">
        <v>52</v>
      </c>
      <c r="D6246" s="11">
        <v>82.260113058299382</v>
      </c>
      <c r="E6246" s="12">
        <f t="shared" si="97"/>
        <v>47684</v>
      </c>
    </row>
    <row r="6247" spans="1:5" x14ac:dyDescent="0.25">
      <c r="A6247" s="2">
        <f>IF(B6247="","",SUBTOTAL(3,$B$2:B6247))</f>
        <v>6246</v>
      </c>
      <c r="B6247" s="9" t="s">
        <v>51</v>
      </c>
      <c r="C6247" s="10" t="s">
        <v>49</v>
      </c>
      <c r="D6247" s="11">
        <v>74.128984432913256</v>
      </c>
      <c r="E6247" s="12">
        <f t="shared" si="97"/>
        <v>47685</v>
      </c>
    </row>
    <row r="6248" spans="1:5" x14ac:dyDescent="0.25">
      <c r="A6248" s="2">
        <f>IF(B6248="","",SUBTOTAL(3,$B$2:B6248))</f>
        <v>6247</v>
      </c>
      <c r="B6248" s="9" t="s">
        <v>55</v>
      </c>
      <c r="C6248" s="10" t="s">
        <v>49</v>
      </c>
      <c r="D6248" s="11">
        <v>51.369044884458127</v>
      </c>
      <c r="E6248" s="12">
        <f t="shared" si="97"/>
        <v>47686</v>
      </c>
    </row>
    <row r="6249" spans="1:5" x14ac:dyDescent="0.25">
      <c r="A6249" s="2">
        <f>IF(B6249="","",SUBTOTAL(3,$B$2:B6249))</f>
        <v>6248</v>
      </c>
      <c r="B6249" s="9" t="s">
        <v>48</v>
      </c>
      <c r="C6249" s="10" t="s">
        <v>52</v>
      </c>
      <c r="D6249" s="11">
        <v>15.417624914881863</v>
      </c>
      <c r="E6249" s="12">
        <f t="shared" si="97"/>
        <v>47687</v>
      </c>
    </row>
    <row r="6250" spans="1:5" x14ac:dyDescent="0.25">
      <c r="A6250" s="2">
        <f>IF(B6250="","",SUBTOTAL(3,$B$2:B6250))</f>
        <v>6249</v>
      </c>
      <c r="B6250" s="9" t="s">
        <v>51</v>
      </c>
      <c r="C6250" s="10" t="s">
        <v>52</v>
      </c>
      <c r="D6250" s="11">
        <v>158.84782378481412</v>
      </c>
      <c r="E6250" s="12">
        <f t="shared" si="97"/>
        <v>47688</v>
      </c>
    </row>
    <row r="6251" spans="1:5" x14ac:dyDescent="0.25">
      <c r="A6251" s="2">
        <f>IF(B6251="","",SUBTOTAL(3,$B$2:B6251))</f>
        <v>6250</v>
      </c>
      <c r="B6251" s="9" t="s">
        <v>55</v>
      </c>
      <c r="C6251" s="10" t="s">
        <v>49</v>
      </c>
      <c r="D6251" s="11">
        <v>300</v>
      </c>
      <c r="E6251" s="12">
        <f t="shared" si="97"/>
        <v>47689</v>
      </c>
    </row>
    <row r="6252" spans="1:5" x14ac:dyDescent="0.25">
      <c r="A6252" s="2">
        <f>IF(B6252="","",SUBTOTAL(3,$B$2:B6252))</f>
        <v>6251</v>
      </c>
      <c r="B6252" s="9" t="s">
        <v>55</v>
      </c>
      <c r="C6252" s="10" t="s">
        <v>52</v>
      </c>
      <c r="D6252" s="11">
        <v>6.8046276682418121</v>
      </c>
      <c r="E6252" s="12">
        <f t="shared" si="97"/>
        <v>47690</v>
      </c>
    </row>
    <row r="6253" spans="1:5" x14ac:dyDescent="0.25">
      <c r="A6253" s="2">
        <f>IF(B6253="","",SUBTOTAL(3,$B$2:B6253))</f>
        <v>6252</v>
      </c>
      <c r="B6253" s="9" t="s">
        <v>55</v>
      </c>
      <c r="C6253" s="10" t="s">
        <v>52</v>
      </c>
      <c r="D6253" s="11">
        <v>7.1956982238878933</v>
      </c>
      <c r="E6253" s="12">
        <f t="shared" si="97"/>
        <v>47691</v>
      </c>
    </row>
    <row r="6254" spans="1:5" x14ac:dyDescent="0.25">
      <c r="A6254" s="2">
        <f>IF(B6254="","",SUBTOTAL(3,$B$2:B6254))</f>
        <v>6253</v>
      </c>
      <c r="B6254" s="9" t="s">
        <v>55</v>
      </c>
      <c r="C6254" s="10" t="s">
        <v>52</v>
      </c>
      <c r="D6254" s="11">
        <v>8.5057845853022656</v>
      </c>
      <c r="E6254" s="12">
        <f t="shared" si="97"/>
        <v>47692</v>
      </c>
    </row>
    <row r="6255" spans="1:5" x14ac:dyDescent="0.25">
      <c r="A6255" s="2">
        <f>IF(B6255="","",SUBTOTAL(3,$B$2:B6255))</f>
        <v>6254</v>
      </c>
      <c r="B6255" s="9" t="s">
        <v>53</v>
      </c>
      <c r="C6255" s="10" t="s">
        <v>49</v>
      </c>
      <c r="D6255" s="11">
        <v>32.05509813439329</v>
      </c>
      <c r="E6255" s="12">
        <f t="shared" si="97"/>
        <v>47693</v>
      </c>
    </row>
    <row r="6256" spans="1:5" x14ac:dyDescent="0.25">
      <c r="A6256" s="2">
        <f>IF(B6256="","",SUBTOTAL(3,$B$2:B6256))</f>
        <v>6255</v>
      </c>
      <c r="B6256" s="9" t="s">
        <v>55</v>
      </c>
      <c r="C6256" s="10" t="s">
        <v>52</v>
      </c>
      <c r="D6256" s="11">
        <v>8.994622779859867</v>
      </c>
      <c r="E6256" s="12">
        <f t="shared" si="97"/>
        <v>47694</v>
      </c>
    </row>
    <row r="6257" spans="1:5" x14ac:dyDescent="0.25">
      <c r="A6257" s="2">
        <f>IF(B6257="","",SUBTOTAL(3,$B$2:B6257))</f>
        <v>6256</v>
      </c>
      <c r="B6257" s="9" t="s">
        <v>50</v>
      </c>
      <c r="C6257" s="10" t="s">
        <v>49</v>
      </c>
      <c r="D6257" s="11">
        <v>60</v>
      </c>
      <c r="E6257" s="12">
        <f t="shared" si="97"/>
        <v>47695</v>
      </c>
    </row>
    <row r="6258" spans="1:5" x14ac:dyDescent="0.25">
      <c r="A6258" s="2">
        <f>IF(B6258="","",SUBTOTAL(3,$B$2:B6258))</f>
        <v>6257</v>
      </c>
      <c r="B6258" s="9" t="s">
        <v>48</v>
      </c>
      <c r="C6258" s="10" t="s">
        <v>56</v>
      </c>
      <c r="D6258" s="11">
        <v>59.100895507047142</v>
      </c>
      <c r="E6258" s="12">
        <f t="shared" si="97"/>
        <v>47696</v>
      </c>
    </row>
    <row r="6259" spans="1:5" x14ac:dyDescent="0.25">
      <c r="A6259" s="2">
        <f>IF(B6259="","",SUBTOTAL(3,$B$2:B6259))</f>
        <v>6258</v>
      </c>
      <c r="B6259" s="9" t="s">
        <v>55</v>
      </c>
      <c r="C6259" s="10" t="s">
        <v>52</v>
      </c>
      <c r="D6259" s="11">
        <v>5.1034707511813595</v>
      </c>
      <c r="E6259" s="12">
        <f t="shared" si="97"/>
        <v>47697</v>
      </c>
    </row>
    <row r="6260" spans="1:5" x14ac:dyDescent="0.25">
      <c r="A6260" s="2">
        <f>IF(B6260="","",SUBTOTAL(3,$B$2:B6260))</f>
        <v>6259</v>
      </c>
      <c r="B6260" s="9" t="s">
        <v>55</v>
      </c>
      <c r="C6260" s="10" t="s">
        <v>52</v>
      </c>
      <c r="D6260" s="11">
        <v>3.402313834120906</v>
      </c>
      <c r="E6260" s="12">
        <f t="shared" si="97"/>
        <v>47698</v>
      </c>
    </row>
    <row r="6261" spans="1:5" x14ac:dyDescent="0.25">
      <c r="A6261" s="2">
        <f>IF(B6261="","",SUBTOTAL(3,$B$2:B6261))</f>
        <v>6260</v>
      </c>
      <c r="B6261" s="9" t="s">
        <v>55</v>
      </c>
      <c r="C6261" s="10" t="s">
        <v>54</v>
      </c>
      <c r="D6261" s="11">
        <v>802.43941582410525</v>
      </c>
      <c r="E6261" s="12">
        <f t="shared" si="97"/>
        <v>47699</v>
      </c>
    </row>
    <row r="6262" spans="1:5" x14ac:dyDescent="0.25">
      <c r="A6262" s="2">
        <f>IF(B6262="","",SUBTOTAL(3,$B$2:B6262))</f>
        <v>6261</v>
      </c>
      <c r="B6262" s="9" t="s">
        <v>55</v>
      </c>
      <c r="C6262" s="10" t="s">
        <v>52</v>
      </c>
      <c r="D6262" s="11">
        <v>5.1034707511813595</v>
      </c>
      <c r="E6262" s="12">
        <f t="shared" si="97"/>
        <v>47700</v>
      </c>
    </row>
    <row r="6263" spans="1:5" x14ac:dyDescent="0.25">
      <c r="A6263" s="2">
        <f>IF(B6263="","",SUBTOTAL(3,$B$2:B6263))</f>
        <v>6262</v>
      </c>
      <c r="B6263" s="9" t="s">
        <v>55</v>
      </c>
      <c r="C6263" s="10" t="s">
        <v>52</v>
      </c>
      <c r="D6263" s="11">
        <v>3.402313834120906</v>
      </c>
      <c r="E6263" s="12">
        <f t="shared" si="97"/>
        <v>47701</v>
      </c>
    </row>
    <row r="6264" spans="1:5" x14ac:dyDescent="0.25">
      <c r="A6264" s="2">
        <f>IF(B6264="","",SUBTOTAL(3,$B$2:B6264))</f>
        <v>6263</v>
      </c>
      <c r="B6264" s="9" t="s">
        <v>55</v>
      </c>
      <c r="C6264" s="10" t="s">
        <v>52</v>
      </c>
      <c r="D6264" s="11">
        <v>5.9540492097115854</v>
      </c>
      <c r="E6264" s="12">
        <f t="shared" si="97"/>
        <v>47702</v>
      </c>
    </row>
    <row r="6265" spans="1:5" x14ac:dyDescent="0.25">
      <c r="A6265" s="2">
        <f>IF(B6265="","",SUBTOTAL(3,$B$2:B6265))</f>
        <v>6264</v>
      </c>
      <c r="B6265" s="9" t="s">
        <v>55</v>
      </c>
      <c r="C6265" s="10" t="s">
        <v>52</v>
      </c>
      <c r="D6265" s="11">
        <v>6.8046276682418121</v>
      </c>
      <c r="E6265" s="12">
        <f t="shared" si="97"/>
        <v>47703</v>
      </c>
    </row>
    <row r="6266" spans="1:5" x14ac:dyDescent="0.25">
      <c r="A6266" s="2">
        <f>IF(B6266="","",SUBTOTAL(3,$B$2:B6266))</f>
        <v>6265</v>
      </c>
      <c r="B6266" s="9" t="s">
        <v>55</v>
      </c>
      <c r="C6266" s="10" t="s">
        <v>52</v>
      </c>
      <c r="D6266" s="11">
        <v>8.5057845853022656</v>
      </c>
      <c r="E6266" s="12">
        <f t="shared" si="97"/>
        <v>47704</v>
      </c>
    </row>
    <row r="6267" spans="1:5" x14ac:dyDescent="0.25">
      <c r="A6267" s="2">
        <f>IF(B6267="","",SUBTOTAL(3,$B$2:B6267))</f>
        <v>6266</v>
      </c>
      <c r="B6267" s="9" t="s">
        <v>55</v>
      </c>
      <c r="C6267" s="10" t="s">
        <v>49</v>
      </c>
      <c r="D6267" s="11">
        <v>102.73808976891625</v>
      </c>
      <c r="E6267" s="12">
        <f t="shared" si="97"/>
        <v>47705</v>
      </c>
    </row>
    <row r="6268" spans="1:5" x14ac:dyDescent="0.25">
      <c r="A6268" s="2">
        <f>IF(B6268="","",SUBTOTAL(3,$B$2:B6268))</f>
        <v>6267</v>
      </c>
      <c r="B6268" s="9" t="s">
        <v>48</v>
      </c>
      <c r="C6268" s="10" t="s">
        <v>54</v>
      </c>
      <c r="D6268" s="11">
        <v>23.105360443622921</v>
      </c>
      <c r="E6268" s="12">
        <f t="shared" si="97"/>
        <v>47706</v>
      </c>
    </row>
    <row r="6269" spans="1:5" x14ac:dyDescent="0.25">
      <c r="A6269" s="2">
        <f>IF(B6269="","",SUBTOTAL(3,$B$2:B6269))</f>
        <v>6268</v>
      </c>
      <c r="B6269" s="9" t="s">
        <v>48</v>
      </c>
      <c r="C6269" s="10" t="s">
        <v>49</v>
      </c>
      <c r="D6269" s="11">
        <v>30.807147258163894</v>
      </c>
      <c r="E6269" s="12">
        <f t="shared" si="97"/>
        <v>47707</v>
      </c>
    </row>
    <row r="6270" spans="1:5" x14ac:dyDescent="0.25">
      <c r="A6270" s="2">
        <f>IF(B6270="","",SUBTOTAL(3,$B$2:B6270))</f>
        <v>6269</v>
      </c>
      <c r="B6270" s="9" t="s">
        <v>48</v>
      </c>
      <c r="C6270" s="10" t="s">
        <v>49</v>
      </c>
      <c r="D6270" s="11">
        <v>30.807147258163894</v>
      </c>
      <c r="E6270" s="12">
        <f t="shared" si="97"/>
        <v>47708</v>
      </c>
    </row>
    <row r="6271" spans="1:5" x14ac:dyDescent="0.25">
      <c r="A6271" s="2">
        <f>IF(B6271="","",SUBTOTAL(3,$B$2:B6271))</f>
        <v>6270</v>
      </c>
      <c r="B6271" s="9" t="s">
        <v>48</v>
      </c>
      <c r="C6271" s="10" t="s">
        <v>54</v>
      </c>
      <c r="D6271" s="11">
        <v>23.105360443622921</v>
      </c>
      <c r="E6271" s="12">
        <f t="shared" si="97"/>
        <v>47709</v>
      </c>
    </row>
    <row r="6272" spans="1:5" x14ac:dyDescent="0.25">
      <c r="A6272" s="2">
        <f>IF(B6272="","",SUBTOTAL(3,$B$2:B6272))</f>
        <v>6271</v>
      </c>
      <c r="B6272" s="9" t="s">
        <v>48</v>
      </c>
      <c r="C6272" s="10" t="s">
        <v>54</v>
      </c>
      <c r="D6272" s="11">
        <v>23.105360443622921</v>
      </c>
      <c r="E6272" s="12">
        <f t="shared" si="97"/>
        <v>47710</v>
      </c>
    </row>
    <row r="6273" spans="1:5" x14ac:dyDescent="0.25">
      <c r="A6273" s="2">
        <f>IF(B6273="","",SUBTOTAL(3,$B$2:B6273))</f>
        <v>6272</v>
      </c>
      <c r="B6273" s="9" t="s">
        <v>48</v>
      </c>
      <c r="C6273" s="10" t="s">
        <v>49</v>
      </c>
      <c r="D6273" s="11">
        <v>30.807147258163894</v>
      </c>
      <c r="E6273" s="12">
        <f t="shared" si="97"/>
        <v>47711</v>
      </c>
    </row>
    <row r="6274" spans="1:5" x14ac:dyDescent="0.25">
      <c r="A6274" s="2">
        <f>IF(B6274="","",SUBTOTAL(3,$B$2:B6274))</f>
        <v>6273</v>
      </c>
      <c r="B6274" s="9" t="s">
        <v>55</v>
      </c>
      <c r="C6274" s="10" t="s">
        <v>49</v>
      </c>
      <c r="D6274" s="11">
        <v>8.0430177611210691</v>
      </c>
      <c r="E6274" s="12">
        <f t="shared" si="97"/>
        <v>47712</v>
      </c>
    </row>
    <row r="6275" spans="1:5" x14ac:dyDescent="0.25">
      <c r="A6275" s="2">
        <f>IF(B6275="","",SUBTOTAL(3,$B$2:B6275))</f>
        <v>6274</v>
      </c>
      <c r="B6275" s="9" t="s">
        <v>50</v>
      </c>
      <c r="C6275" s="10" t="s">
        <v>52</v>
      </c>
      <c r="D6275" s="11">
        <v>176.3668430335097</v>
      </c>
      <c r="E6275" s="12">
        <f t="shared" si="97"/>
        <v>47713</v>
      </c>
    </row>
    <row r="6276" spans="1:5" x14ac:dyDescent="0.25">
      <c r="A6276" s="2">
        <f>IF(B6276="","",SUBTOTAL(3,$B$2:B6276))</f>
        <v>6275</v>
      </c>
      <c r="B6276" s="9" t="s">
        <v>55</v>
      </c>
      <c r="C6276" s="10" t="s">
        <v>49</v>
      </c>
      <c r="D6276" s="11">
        <v>100</v>
      </c>
      <c r="E6276" s="12">
        <f t="shared" ref="E6276:E6339" si="98">E6275+1</f>
        <v>47714</v>
      </c>
    </row>
    <row r="6277" spans="1:5" x14ac:dyDescent="0.25">
      <c r="A6277" s="2">
        <f>IF(B6277="","",SUBTOTAL(3,$B$2:B6277))</f>
        <v>6276</v>
      </c>
      <c r="B6277" s="9" t="s">
        <v>50</v>
      </c>
      <c r="C6277" s="10" t="s">
        <v>49</v>
      </c>
      <c r="D6277" s="11">
        <v>88.183421516754848</v>
      </c>
      <c r="E6277" s="12">
        <f t="shared" si="98"/>
        <v>47715</v>
      </c>
    </row>
    <row r="6278" spans="1:5" x14ac:dyDescent="0.25">
      <c r="A6278" s="2">
        <f>IF(B6278="","",SUBTOTAL(3,$B$2:B6278))</f>
        <v>6277</v>
      </c>
      <c r="B6278" s="9" t="s">
        <v>50</v>
      </c>
      <c r="C6278" s="10" t="s">
        <v>49</v>
      </c>
      <c r="D6278" s="11">
        <v>13.227513227513228</v>
      </c>
      <c r="E6278" s="12">
        <f t="shared" si="98"/>
        <v>47716</v>
      </c>
    </row>
    <row r="6279" spans="1:5" x14ac:dyDescent="0.25">
      <c r="A6279" s="2">
        <f>IF(B6279="","",SUBTOTAL(3,$B$2:B6279))</f>
        <v>6278</v>
      </c>
      <c r="B6279" s="9" t="s">
        <v>48</v>
      </c>
      <c r="C6279" s="10" t="s">
        <v>49</v>
      </c>
      <c r="D6279" s="11">
        <v>84.719654959950716</v>
      </c>
      <c r="E6279" s="12">
        <f t="shared" si="98"/>
        <v>47717</v>
      </c>
    </row>
    <row r="6280" spans="1:5" x14ac:dyDescent="0.25">
      <c r="A6280" s="2">
        <f>IF(B6280="","",SUBTOTAL(3,$B$2:B6280))</f>
        <v>6279</v>
      </c>
      <c r="B6280" s="9" t="s">
        <v>48</v>
      </c>
      <c r="C6280" s="10" t="s">
        <v>49</v>
      </c>
      <c r="D6280" s="11">
        <v>3.0807147258163896</v>
      </c>
      <c r="E6280" s="12">
        <f t="shared" si="98"/>
        <v>47718</v>
      </c>
    </row>
    <row r="6281" spans="1:5" x14ac:dyDescent="0.25">
      <c r="A6281" s="2">
        <f>IF(B6281="","",SUBTOTAL(3,$B$2:B6281))</f>
        <v>6280</v>
      </c>
      <c r="B6281" s="9" t="s">
        <v>48</v>
      </c>
      <c r="C6281" s="10" t="s">
        <v>49</v>
      </c>
      <c r="D6281" s="11">
        <v>5.0831792975970433</v>
      </c>
      <c r="E6281" s="12">
        <f t="shared" si="98"/>
        <v>47719</v>
      </c>
    </row>
    <row r="6282" spans="1:5" x14ac:dyDescent="0.25">
      <c r="A6282" s="2">
        <f>IF(B6282="","",SUBTOTAL(3,$B$2:B6282))</f>
        <v>6281</v>
      </c>
      <c r="B6282" s="9" t="s">
        <v>48</v>
      </c>
      <c r="C6282" s="10" t="s">
        <v>49</v>
      </c>
      <c r="D6282" s="11">
        <v>77.017868145409736</v>
      </c>
      <c r="E6282" s="12">
        <f t="shared" si="98"/>
        <v>47720</v>
      </c>
    </row>
    <row r="6283" spans="1:5" x14ac:dyDescent="0.25">
      <c r="A6283" s="2">
        <f>IF(B6283="","",SUBTOTAL(3,$B$2:B6283))</f>
        <v>6282</v>
      </c>
      <c r="B6283" s="9" t="s">
        <v>48</v>
      </c>
      <c r="C6283" s="10" t="s">
        <v>49</v>
      </c>
      <c r="D6283" s="11">
        <v>15.403573629081947</v>
      </c>
      <c r="E6283" s="12">
        <f t="shared" si="98"/>
        <v>47721</v>
      </c>
    </row>
    <row r="6284" spans="1:5" x14ac:dyDescent="0.25">
      <c r="A6284" s="2">
        <f>IF(B6284="","",SUBTOTAL(3,$B$2:B6284))</f>
        <v>6283</v>
      </c>
      <c r="B6284" s="9" t="s">
        <v>53</v>
      </c>
      <c r="C6284" s="10" t="s">
        <v>54</v>
      </c>
      <c r="D6284" s="11">
        <v>10.990319360363413</v>
      </c>
      <c r="E6284" s="12">
        <f t="shared" si="98"/>
        <v>47722</v>
      </c>
    </row>
    <row r="6285" spans="1:5" x14ac:dyDescent="0.25">
      <c r="A6285" s="2">
        <f>IF(B6285="","",SUBTOTAL(3,$B$2:B6285))</f>
        <v>6284</v>
      </c>
      <c r="B6285" s="9" t="s">
        <v>53</v>
      </c>
      <c r="C6285" s="10" t="s">
        <v>54</v>
      </c>
      <c r="D6285" s="11">
        <v>6.4110196268786588</v>
      </c>
      <c r="E6285" s="12">
        <f t="shared" si="98"/>
        <v>47723</v>
      </c>
    </row>
    <row r="6286" spans="1:5" x14ac:dyDescent="0.25">
      <c r="A6286" s="2">
        <f>IF(B6286="","",SUBTOTAL(3,$B$2:B6286))</f>
        <v>6285</v>
      </c>
      <c r="B6286" s="9" t="s">
        <v>48</v>
      </c>
      <c r="C6286" s="10" t="s">
        <v>49</v>
      </c>
      <c r="D6286" s="11">
        <v>116.14867729626251</v>
      </c>
      <c r="E6286" s="12">
        <f t="shared" si="98"/>
        <v>47724</v>
      </c>
    </row>
    <row r="6287" spans="1:5" x14ac:dyDescent="0.25">
      <c r="A6287" s="2">
        <f>IF(B6287="","",SUBTOTAL(3,$B$2:B6287))</f>
        <v>6286</v>
      </c>
      <c r="B6287" s="9" t="s">
        <v>55</v>
      </c>
      <c r="C6287" s="10" t="s">
        <v>52</v>
      </c>
      <c r="D6287" s="11">
        <v>45.941103505306202</v>
      </c>
      <c r="E6287" s="12">
        <f t="shared" si="98"/>
        <v>47725</v>
      </c>
    </row>
    <row r="6288" spans="1:5" x14ac:dyDescent="0.25">
      <c r="A6288" s="2">
        <f>IF(B6288="","",SUBTOTAL(3,$B$2:B6288))</f>
        <v>6287</v>
      </c>
      <c r="B6288" s="9" t="s">
        <v>51</v>
      </c>
      <c r="C6288" s="10" t="s">
        <v>54</v>
      </c>
      <c r="D6288" s="11">
        <v>211.79709837975219</v>
      </c>
      <c r="E6288" s="12">
        <f t="shared" si="98"/>
        <v>47726</v>
      </c>
    </row>
    <row r="6289" spans="1:5" x14ac:dyDescent="0.25">
      <c r="A6289" s="2">
        <f>IF(B6289="","",SUBTOTAL(3,$B$2:B6289))</f>
        <v>6288</v>
      </c>
      <c r="B6289" s="9" t="s">
        <v>55</v>
      </c>
      <c r="C6289" s="10" t="s">
        <v>54</v>
      </c>
      <c r="D6289" s="11">
        <v>119</v>
      </c>
      <c r="E6289" s="12">
        <f t="shared" si="98"/>
        <v>47727</v>
      </c>
    </row>
    <row r="6290" spans="1:5" x14ac:dyDescent="0.25">
      <c r="A6290" s="2">
        <f>IF(B6290="","",SUBTOTAL(3,$B$2:B6290))</f>
        <v>6289</v>
      </c>
      <c r="B6290" s="9" t="s">
        <v>48</v>
      </c>
      <c r="C6290" s="10" t="s">
        <v>49</v>
      </c>
      <c r="D6290" s="11">
        <v>61.614294516327789</v>
      </c>
      <c r="E6290" s="12">
        <f t="shared" si="98"/>
        <v>47728</v>
      </c>
    </row>
    <row r="6291" spans="1:5" x14ac:dyDescent="0.25">
      <c r="A6291" s="2">
        <f>IF(B6291="","",SUBTOTAL(3,$B$2:B6291))</f>
        <v>6290</v>
      </c>
      <c r="B6291" s="9" t="s">
        <v>48</v>
      </c>
      <c r="C6291" s="10" t="s">
        <v>49</v>
      </c>
      <c r="D6291" s="11">
        <v>24.645717806531117</v>
      </c>
      <c r="E6291" s="12">
        <f t="shared" si="98"/>
        <v>47729</v>
      </c>
    </row>
    <row r="6292" spans="1:5" x14ac:dyDescent="0.25">
      <c r="A6292" s="2">
        <f>IF(B6292="","",SUBTOTAL(3,$B$2:B6292))</f>
        <v>6291</v>
      </c>
      <c r="B6292" s="9" t="s">
        <v>48</v>
      </c>
      <c r="C6292" s="10" t="s">
        <v>49</v>
      </c>
      <c r="D6292" s="11">
        <v>154.03573629081947</v>
      </c>
      <c r="E6292" s="12">
        <f t="shared" si="98"/>
        <v>47730</v>
      </c>
    </row>
    <row r="6293" spans="1:5" x14ac:dyDescent="0.25">
      <c r="A6293" s="2">
        <f>IF(B6293="","",SUBTOTAL(3,$B$2:B6293))</f>
        <v>6292</v>
      </c>
      <c r="B6293" s="9" t="s">
        <v>48</v>
      </c>
      <c r="C6293" s="10" t="s">
        <v>49</v>
      </c>
      <c r="D6293" s="11">
        <v>58.533579790511403</v>
      </c>
      <c r="E6293" s="12">
        <f t="shared" si="98"/>
        <v>47731</v>
      </c>
    </row>
    <row r="6294" spans="1:5" x14ac:dyDescent="0.25">
      <c r="A6294" s="2">
        <f>IF(B6294="","",SUBTOTAL(3,$B$2:B6294))</f>
        <v>6293</v>
      </c>
      <c r="B6294" s="9" t="s">
        <v>48</v>
      </c>
      <c r="C6294" s="10" t="s">
        <v>49</v>
      </c>
      <c r="D6294" s="11">
        <v>26.186075169439309</v>
      </c>
      <c r="E6294" s="12">
        <f t="shared" si="98"/>
        <v>47732</v>
      </c>
    </row>
    <row r="6295" spans="1:5" x14ac:dyDescent="0.25">
      <c r="A6295" s="2">
        <f>IF(B6295="","",SUBTOTAL(3,$B$2:B6295))</f>
        <v>6294</v>
      </c>
      <c r="B6295" s="9" t="s">
        <v>48</v>
      </c>
      <c r="C6295" s="10" t="s">
        <v>49</v>
      </c>
      <c r="D6295" s="11">
        <v>46.210720887245841</v>
      </c>
      <c r="E6295" s="12">
        <f t="shared" si="98"/>
        <v>47733</v>
      </c>
    </row>
    <row r="6296" spans="1:5" x14ac:dyDescent="0.25">
      <c r="A6296" s="2">
        <f>IF(B6296="","",SUBTOTAL(3,$B$2:B6296))</f>
        <v>6295</v>
      </c>
      <c r="B6296" s="9" t="s">
        <v>48</v>
      </c>
      <c r="C6296" s="10" t="s">
        <v>49</v>
      </c>
      <c r="D6296" s="11">
        <v>154.03573629081947</v>
      </c>
      <c r="E6296" s="12">
        <f t="shared" si="98"/>
        <v>47734</v>
      </c>
    </row>
    <row r="6297" spans="1:5" x14ac:dyDescent="0.25">
      <c r="A6297" s="2">
        <f>IF(B6297="","",SUBTOTAL(3,$B$2:B6297))</f>
        <v>6296</v>
      </c>
      <c r="B6297" s="9" t="s">
        <v>48</v>
      </c>
      <c r="C6297" s="10" t="s">
        <v>54</v>
      </c>
      <c r="D6297" s="11">
        <v>154.03573629081947</v>
      </c>
      <c r="E6297" s="12">
        <f t="shared" si="98"/>
        <v>47735</v>
      </c>
    </row>
    <row r="6298" spans="1:5" x14ac:dyDescent="0.25">
      <c r="A6298" s="2">
        <f>IF(B6298="","",SUBTOTAL(3,$B$2:B6298))</f>
        <v>6297</v>
      </c>
      <c r="B6298" s="9" t="s">
        <v>51</v>
      </c>
      <c r="C6298" s="10" t="s">
        <v>52</v>
      </c>
      <c r="D6298" s="11">
        <v>79.423911892407062</v>
      </c>
      <c r="E6298" s="12">
        <f t="shared" si="98"/>
        <v>47736</v>
      </c>
    </row>
    <row r="6299" spans="1:5" x14ac:dyDescent="0.25">
      <c r="A6299" s="2">
        <f>IF(B6299="","",SUBTOTAL(3,$B$2:B6299))</f>
        <v>6298</v>
      </c>
      <c r="B6299" s="9" t="s">
        <v>48</v>
      </c>
      <c r="C6299" s="10" t="s">
        <v>49</v>
      </c>
      <c r="D6299" s="11">
        <v>77.017868145409736</v>
      </c>
      <c r="E6299" s="12">
        <f t="shared" si="98"/>
        <v>47737</v>
      </c>
    </row>
    <row r="6300" spans="1:5" x14ac:dyDescent="0.25">
      <c r="A6300" s="2">
        <f>IF(B6300="","",SUBTOTAL(3,$B$2:B6300))</f>
        <v>6299</v>
      </c>
      <c r="B6300" s="9" t="s">
        <v>48</v>
      </c>
      <c r="C6300" s="10" t="s">
        <v>49</v>
      </c>
      <c r="D6300" s="11">
        <v>308.07147258163894</v>
      </c>
      <c r="E6300" s="12">
        <f t="shared" si="98"/>
        <v>47738</v>
      </c>
    </row>
    <row r="6301" spans="1:5" x14ac:dyDescent="0.25">
      <c r="A6301" s="2">
        <f>IF(B6301="","",SUBTOTAL(3,$B$2:B6301))</f>
        <v>6300</v>
      </c>
      <c r="B6301" s="9" t="s">
        <v>48</v>
      </c>
      <c r="C6301" s="10" t="s">
        <v>49</v>
      </c>
      <c r="D6301" s="11">
        <v>123.22858903265558</v>
      </c>
      <c r="E6301" s="12">
        <f t="shared" si="98"/>
        <v>47739</v>
      </c>
    </row>
    <row r="6302" spans="1:5" x14ac:dyDescent="0.25">
      <c r="A6302" s="2">
        <f>IF(B6302="","",SUBTOTAL(3,$B$2:B6302))</f>
        <v>6301</v>
      </c>
      <c r="B6302" s="9" t="s">
        <v>48</v>
      </c>
      <c r="C6302" s="10" t="s">
        <v>52</v>
      </c>
      <c r="D6302" s="11">
        <v>77.088124574409321</v>
      </c>
      <c r="E6302" s="12">
        <f t="shared" si="98"/>
        <v>47740</v>
      </c>
    </row>
    <row r="6303" spans="1:5" x14ac:dyDescent="0.25">
      <c r="A6303" s="2">
        <f>IF(B6303="","",SUBTOTAL(3,$B$2:B6303))</f>
        <v>6302</v>
      </c>
      <c r="B6303" s="9" t="s">
        <v>48</v>
      </c>
      <c r="C6303" s="10" t="s">
        <v>52</v>
      </c>
      <c r="D6303" s="11">
        <v>51.392083049606214</v>
      </c>
      <c r="E6303" s="12">
        <f t="shared" si="98"/>
        <v>47741</v>
      </c>
    </row>
    <row r="6304" spans="1:5" x14ac:dyDescent="0.25">
      <c r="A6304" s="2">
        <f>IF(B6304="","",SUBTOTAL(3,$B$2:B6304))</f>
        <v>6303</v>
      </c>
      <c r="B6304" s="9" t="s">
        <v>50</v>
      </c>
      <c r="C6304" s="10" t="s">
        <v>49</v>
      </c>
      <c r="D6304" s="11">
        <v>0.66137566137566139</v>
      </c>
      <c r="E6304" s="12">
        <f t="shared" si="98"/>
        <v>47742</v>
      </c>
    </row>
    <row r="6305" spans="1:5" x14ac:dyDescent="0.25">
      <c r="A6305" s="2">
        <f>IF(B6305="","",SUBTOTAL(3,$B$2:B6305))</f>
        <v>6304</v>
      </c>
      <c r="B6305" s="9" t="s">
        <v>50</v>
      </c>
      <c r="C6305" s="10" t="s">
        <v>52</v>
      </c>
      <c r="D6305" s="11">
        <v>66.137566137566139</v>
      </c>
      <c r="E6305" s="12">
        <f t="shared" si="98"/>
        <v>47743</v>
      </c>
    </row>
    <row r="6306" spans="1:5" x14ac:dyDescent="0.25">
      <c r="A6306" s="2">
        <f>IF(B6306="","",SUBTOTAL(3,$B$2:B6306))</f>
        <v>6305</v>
      </c>
      <c r="B6306" s="9" t="s">
        <v>55</v>
      </c>
      <c r="C6306" s="10" t="s">
        <v>49</v>
      </c>
      <c r="D6306" s="11">
        <v>1140</v>
      </c>
      <c r="E6306" s="12">
        <f t="shared" si="98"/>
        <v>47744</v>
      </c>
    </row>
    <row r="6307" spans="1:5" x14ac:dyDescent="0.25">
      <c r="A6307" s="2">
        <f>IF(B6307="","",SUBTOTAL(3,$B$2:B6307))</f>
        <v>6306</v>
      </c>
      <c r="B6307" s="9" t="s">
        <v>55</v>
      </c>
      <c r="C6307" s="10" t="s">
        <v>49</v>
      </c>
      <c r="D6307" s="11">
        <v>300</v>
      </c>
      <c r="E6307" s="12">
        <f t="shared" si="98"/>
        <v>47745</v>
      </c>
    </row>
    <row r="6308" spans="1:5" x14ac:dyDescent="0.25">
      <c r="A6308" s="2">
        <f>IF(B6308="","",SUBTOTAL(3,$B$2:B6308))</f>
        <v>6307</v>
      </c>
      <c r="B6308" s="9" t="s">
        <v>48</v>
      </c>
      <c r="C6308" s="10" t="s">
        <v>52</v>
      </c>
      <c r="D6308" s="11">
        <v>77.017868145409736</v>
      </c>
      <c r="E6308" s="12">
        <f t="shared" si="98"/>
        <v>47746</v>
      </c>
    </row>
    <row r="6309" spans="1:5" x14ac:dyDescent="0.25">
      <c r="A6309" s="2">
        <f>IF(B6309="","",SUBTOTAL(3,$B$2:B6309))</f>
        <v>6308</v>
      </c>
      <c r="B6309" s="9" t="s">
        <v>48</v>
      </c>
      <c r="C6309" s="10" t="s">
        <v>49</v>
      </c>
      <c r="D6309" s="11">
        <v>11.326172703095088</v>
      </c>
      <c r="E6309" s="12">
        <f t="shared" si="98"/>
        <v>47747</v>
      </c>
    </row>
    <row r="6310" spans="1:5" x14ac:dyDescent="0.25">
      <c r="A6310" s="2">
        <f>IF(B6310="","",SUBTOTAL(3,$B$2:B6310))</f>
        <v>6309</v>
      </c>
      <c r="B6310" s="9" t="s">
        <v>48</v>
      </c>
      <c r="C6310" s="10" t="s">
        <v>54</v>
      </c>
      <c r="D6310" s="11">
        <v>2.5888761836239129</v>
      </c>
      <c r="E6310" s="12">
        <f t="shared" si="98"/>
        <v>47748</v>
      </c>
    </row>
    <row r="6311" spans="1:5" x14ac:dyDescent="0.25">
      <c r="A6311" s="2">
        <f>IF(B6311="","",SUBTOTAL(3,$B$2:B6311))</f>
        <v>6310</v>
      </c>
      <c r="B6311" s="9" t="s">
        <v>50</v>
      </c>
      <c r="C6311" s="10" t="s">
        <v>49</v>
      </c>
      <c r="D6311" s="11">
        <v>1.5950396825396826</v>
      </c>
      <c r="E6311" s="12">
        <f t="shared" si="98"/>
        <v>47749</v>
      </c>
    </row>
    <row r="6312" spans="1:5" x14ac:dyDescent="0.25">
      <c r="A6312" s="2">
        <f>IF(B6312="","",SUBTOTAL(3,$B$2:B6312))</f>
        <v>6311</v>
      </c>
      <c r="B6312" s="9" t="s">
        <v>55</v>
      </c>
      <c r="C6312" s="10" t="s">
        <v>52</v>
      </c>
      <c r="D6312" s="11">
        <v>130</v>
      </c>
      <c r="E6312" s="12">
        <f t="shared" si="98"/>
        <v>47750</v>
      </c>
    </row>
    <row r="6313" spans="1:5" x14ac:dyDescent="0.25">
      <c r="A6313" s="2">
        <f>IF(B6313="","",SUBTOTAL(3,$B$2:B6313))</f>
        <v>6312</v>
      </c>
      <c r="B6313" s="9" t="s">
        <v>50</v>
      </c>
      <c r="C6313" s="10" t="s">
        <v>49</v>
      </c>
      <c r="D6313" s="11">
        <v>44.091710758377424</v>
      </c>
      <c r="E6313" s="12">
        <f t="shared" si="98"/>
        <v>47751</v>
      </c>
    </row>
    <row r="6314" spans="1:5" x14ac:dyDescent="0.25">
      <c r="A6314" s="2">
        <f>IF(B6314="","",SUBTOTAL(3,$B$2:B6314))</f>
        <v>6313</v>
      </c>
      <c r="B6314" s="9" t="s">
        <v>48</v>
      </c>
      <c r="C6314" s="10" t="s">
        <v>49</v>
      </c>
      <c r="D6314" s="11">
        <v>77.017868145409736</v>
      </c>
      <c r="E6314" s="12">
        <f t="shared" si="98"/>
        <v>47752</v>
      </c>
    </row>
    <row r="6315" spans="1:5" x14ac:dyDescent="0.25">
      <c r="A6315" s="2">
        <f>IF(B6315="","",SUBTOTAL(3,$B$2:B6315))</f>
        <v>6314</v>
      </c>
      <c r="B6315" s="9" t="s">
        <v>53</v>
      </c>
      <c r="C6315" s="10" t="s">
        <v>49</v>
      </c>
      <c r="D6315" s="11">
        <v>183.17198933939025</v>
      </c>
      <c r="E6315" s="12">
        <f t="shared" si="98"/>
        <v>47753</v>
      </c>
    </row>
    <row r="6316" spans="1:5" x14ac:dyDescent="0.25">
      <c r="A6316" s="2">
        <f>IF(B6316="","",SUBTOTAL(3,$B$2:B6316))</f>
        <v>6315</v>
      </c>
      <c r="B6316" s="9" t="s">
        <v>48</v>
      </c>
      <c r="C6316" s="10" t="s">
        <v>57</v>
      </c>
      <c r="D6316" s="11">
        <v>64.24010381200776</v>
      </c>
      <c r="E6316" s="12">
        <f t="shared" si="98"/>
        <v>47754</v>
      </c>
    </row>
    <row r="6317" spans="1:5" x14ac:dyDescent="0.25">
      <c r="A6317" s="2">
        <f>IF(B6317="","",SUBTOTAL(3,$B$2:B6317))</f>
        <v>6316</v>
      </c>
      <c r="B6317" s="9" t="s">
        <v>48</v>
      </c>
      <c r="C6317" s="10" t="s">
        <v>49</v>
      </c>
      <c r="D6317" s="11">
        <v>122.96994847943675</v>
      </c>
      <c r="E6317" s="12">
        <f t="shared" si="98"/>
        <v>47755</v>
      </c>
    </row>
    <row r="6318" spans="1:5" x14ac:dyDescent="0.25">
      <c r="A6318" s="2">
        <f>IF(B6318="","",SUBTOTAL(3,$B$2:B6318))</f>
        <v>6317</v>
      </c>
      <c r="B6318" s="9" t="s">
        <v>51</v>
      </c>
      <c r="C6318" s="10" t="s">
        <v>49</v>
      </c>
      <c r="D6318" s="11">
        <v>10.58985491898761</v>
      </c>
      <c r="E6318" s="12">
        <f t="shared" si="98"/>
        <v>47756</v>
      </c>
    </row>
    <row r="6319" spans="1:5" x14ac:dyDescent="0.25">
      <c r="A6319" s="2">
        <f>IF(B6319="","",SUBTOTAL(3,$B$2:B6319))</f>
        <v>6318</v>
      </c>
      <c r="B6319" s="9" t="s">
        <v>51</v>
      </c>
      <c r="C6319" s="10" t="s">
        <v>49</v>
      </c>
      <c r="D6319" s="11">
        <v>211.79709837975219</v>
      </c>
      <c r="E6319" s="12">
        <f t="shared" si="98"/>
        <v>47757</v>
      </c>
    </row>
    <row r="6320" spans="1:5" x14ac:dyDescent="0.25">
      <c r="A6320" s="2">
        <f>IF(B6320="","",SUBTOTAL(3,$B$2:B6320))</f>
        <v>6319</v>
      </c>
      <c r="B6320" s="9" t="s">
        <v>55</v>
      </c>
      <c r="C6320" s="10" t="s">
        <v>49</v>
      </c>
      <c r="D6320" s="11">
        <v>40.121970791205264</v>
      </c>
      <c r="E6320" s="12">
        <f t="shared" si="98"/>
        <v>47758</v>
      </c>
    </row>
    <row r="6321" spans="1:5" x14ac:dyDescent="0.25">
      <c r="A6321" s="2">
        <f>IF(B6321="","",SUBTOTAL(3,$B$2:B6321))</f>
        <v>6320</v>
      </c>
      <c r="B6321" s="9" t="s">
        <v>48</v>
      </c>
      <c r="C6321" s="10" t="s">
        <v>56</v>
      </c>
      <c r="D6321" s="11">
        <v>38.54406228720466</v>
      </c>
      <c r="E6321" s="12">
        <f t="shared" si="98"/>
        <v>47759</v>
      </c>
    </row>
    <row r="6322" spans="1:5" x14ac:dyDescent="0.25">
      <c r="A6322" s="2">
        <f>IF(B6322="","",SUBTOTAL(3,$B$2:B6322))</f>
        <v>6321</v>
      </c>
      <c r="B6322" s="9" t="s">
        <v>50</v>
      </c>
      <c r="C6322" s="10" t="s">
        <v>49</v>
      </c>
      <c r="D6322" s="11">
        <v>64.84797178130512</v>
      </c>
      <c r="E6322" s="12">
        <f t="shared" si="98"/>
        <v>47760</v>
      </c>
    </row>
    <row r="6323" spans="1:5" x14ac:dyDescent="0.25">
      <c r="A6323" s="2">
        <f>IF(B6323="","",SUBTOTAL(3,$B$2:B6323))</f>
        <v>6322</v>
      </c>
      <c r="B6323" s="9" t="s">
        <v>50</v>
      </c>
      <c r="C6323" s="10" t="s">
        <v>49</v>
      </c>
      <c r="D6323" s="11">
        <v>30</v>
      </c>
      <c r="E6323" s="12">
        <f t="shared" si="98"/>
        <v>47761</v>
      </c>
    </row>
    <row r="6324" spans="1:5" x14ac:dyDescent="0.25">
      <c r="A6324" s="2">
        <f>IF(B6324="","",SUBTOTAL(3,$B$2:B6324))</f>
        <v>6323</v>
      </c>
      <c r="B6324" s="9" t="s">
        <v>48</v>
      </c>
      <c r="C6324" s="10" t="s">
        <v>52</v>
      </c>
      <c r="D6324" s="11">
        <v>215.65003080714726</v>
      </c>
      <c r="E6324" s="12">
        <f t="shared" si="98"/>
        <v>47762</v>
      </c>
    </row>
    <row r="6325" spans="1:5" x14ac:dyDescent="0.25">
      <c r="A6325" s="2">
        <f>IF(B6325="","",SUBTOTAL(3,$B$2:B6325))</f>
        <v>6324</v>
      </c>
      <c r="B6325" s="9" t="s">
        <v>55</v>
      </c>
      <c r="C6325" s="10" t="s">
        <v>49</v>
      </c>
      <c r="D6325" s="11">
        <v>277.0083102493075</v>
      </c>
      <c r="E6325" s="12">
        <f t="shared" si="98"/>
        <v>47763</v>
      </c>
    </row>
    <row r="6326" spans="1:5" x14ac:dyDescent="0.25">
      <c r="A6326" s="2">
        <f>IF(B6326="","",SUBTOTAL(3,$B$2:B6326))</f>
        <v>6325</v>
      </c>
      <c r="B6326" s="9" t="s">
        <v>48</v>
      </c>
      <c r="C6326" s="10" t="s">
        <v>49</v>
      </c>
      <c r="D6326" s="11">
        <v>61.614294516327789</v>
      </c>
      <c r="E6326" s="12">
        <f t="shared" si="98"/>
        <v>47764</v>
      </c>
    </row>
    <row r="6327" spans="1:5" x14ac:dyDescent="0.25">
      <c r="A6327" s="2">
        <f>IF(B6327="","",SUBTOTAL(3,$B$2:B6327))</f>
        <v>6326</v>
      </c>
      <c r="B6327" s="9" t="s">
        <v>48</v>
      </c>
      <c r="C6327" s="10" t="s">
        <v>49</v>
      </c>
      <c r="D6327" s="11">
        <v>34.470872113064452</v>
      </c>
      <c r="E6327" s="12">
        <f t="shared" si="98"/>
        <v>47765</v>
      </c>
    </row>
    <row r="6328" spans="1:5" x14ac:dyDescent="0.25">
      <c r="A6328" s="2">
        <f>IF(B6328="","",SUBTOTAL(3,$B$2:B6328))</f>
        <v>6327</v>
      </c>
      <c r="B6328" s="9" t="s">
        <v>51</v>
      </c>
      <c r="C6328" s="10" t="s">
        <v>52</v>
      </c>
      <c r="D6328" s="11">
        <v>42.359419675950441</v>
      </c>
      <c r="E6328" s="12">
        <f t="shared" si="98"/>
        <v>47766</v>
      </c>
    </row>
    <row r="6329" spans="1:5" x14ac:dyDescent="0.25">
      <c r="A6329" s="2">
        <f>IF(B6329="","",SUBTOTAL(3,$B$2:B6329))</f>
        <v>6328</v>
      </c>
      <c r="B6329" s="9" t="s">
        <v>48</v>
      </c>
      <c r="C6329" s="10" t="s">
        <v>52</v>
      </c>
      <c r="D6329" s="11">
        <v>462.10720887245844</v>
      </c>
      <c r="E6329" s="12">
        <f t="shared" si="98"/>
        <v>47767</v>
      </c>
    </row>
    <row r="6330" spans="1:5" x14ac:dyDescent="0.25">
      <c r="A6330" s="2">
        <f>IF(B6330="","",SUBTOTAL(3,$B$2:B6330))</f>
        <v>6329</v>
      </c>
      <c r="B6330" s="9" t="s">
        <v>48</v>
      </c>
      <c r="C6330" s="10" t="s">
        <v>49</v>
      </c>
      <c r="D6330" s="11">
        <v>61.614294516327789</v>
      </c>
      <c r="E6330" s="12">
        <f t="shared" si="98"/>
        <v>47768</v>
      </c>
    </row>
    <row r="6331" spans="1:5" x14ac:dyDescent="0.25">
      <c r="A6331" s="2">
        <f>IF(B6331="","",SUBTOTAL(3,$B$2:B6331))</f>
        <v>6330</v>
      </c>
      <c r="B6331" s="9" t="s">
        <v>48</v>
      </c>
      <c r="C6331" s="10" t="s">
        <v>49</v>
      </c>
      <c r="D6331" s="11">
        <v>61.614294516327789</v>
      </c>
      <c r="E6331" s="12">
        <f t="shared" si="98"/>
        <v>47769</v>
      </c>
    </row>
    <row r="6332" spans="1:5" x14ac:dyDescent="0.25">
      <c r="A6332" s="2">
        <f>IF(B6332="","",SUBTOTAL(3,$B$2:B6332))</f>
        <v>6331</v>
      </c>
      <c r="B6332" s="9" t="s">
        <v>48</v>
      </c>
      <c r="C6332" s="10" t="s">
        <v>49</v>
      </c>
      <c r="D6332" s="11">
        <v>462.10720887245844</v>
      </c>
      <c r="E6332" s="12">
        <f t="shared" si="98"/>
        <v>47770</v>
      </c>
    </row>
    <row r="6333" spans="1:5" x14ac:dyDescent="0.25">
      <c r="A6333" s="2">
        <f>IF(B6333="","",SUBTOTAL(3,$B$2:B6333))</f>
        <v>6332</v>
      </c>
      <c r="B6333" s="9" t="s">
        <v>48</v>
      </c>
      <c r="C6333" s="10" t="s">
        <v>49</v>
      </c>
      <c r="D6333" s="11">
        <v>15.403573629081947</v>
      </c>
      <c r="E6333" s="12">
        <f t="shared" si="98"/>
        <v>47771</v>
      </c>
    </row>
    <row r="6334" spans="1:5" x14ac:dyDescent="0.25">
      <c r="A6334" s="2">
        <f>IF(B6334="","",SUBTOTAL(3,$B$2:B6334))</f>
        <v>6333</v>
      </c>
      <c r="B6334" s="9" t="s">
        <v>48</v>
      </c>
      <c r="C6334" s="10" t="s">
        <v>49</v>
      </c>
      <c r="D6334" s="11">
        <v>23.105360443622921</v>
      </c>
      <c r="E6334" s="12">
        <f t="shared" si="98"/>
        <v>47772</v>
      </c>
    </row>
    <row r="6335" spans="1:5" x14ac:dyDescent="0.25">
      <c r="A6335" s="2">
        <f>IF(B6335="","",SUBTOTAL(3,$B$2:B6335))</f>
        <v>6334</v>
      </c>
      <c r="B6335" s="9" t="s">
        <v>48</v>
      </c>
      <c r="C6335" s="10" t="s">
        <v>49</v>
      </c>
      <c r="D6335" s="11">
        <v>15.403573629081947</v>
      </c>
      <c r="E6335" s="12">
        <f t="shared" si="98"/>
        <v>47773</v>
      </c>
    </row>
    <row r="6336" spans="1:5" x14ac:dyDescent="0.25">
      <c r="A6336" s="2">
        <f>IF(B6336="","",SUBTOTAL(3,$B$2:B6336))</f>
        <v>6335</v>
      </c>
      <c r="B6336" s="9" t="s">
        <v>48</v>
      </c>
      <c r="C6336" s="10" t="s">
        <v>49</v>
      </c>
      <c r="D6336" s="11">
        <v>15.403573629081947</v>
      </c>
      <c r="E6336" s="12">
        <f t="shared" si="98"/>
        <v>47774</v>
      </c>
    </row>
    <row r="6337" spans="1:5" x14ac:dyDescent="0.25">
      <c r="A6337" s="2">
        <f>IF(B6337="","",SUBTOTAL(3,$B$2:B6337))</f>
        <v>6336</v>
      </c>
      <c r="B6337" s="9" t="s">
        <v>48</v>
      </c>
      <c r="C6337" s="10" t="s">
        <v>49</v>
      </c>
      <c r="D6337" s="11">
        <v>15.403573629081947</v>
      </c>
      <c r="E6337" s="12">
        <f t="shared" si="98"/>
        <v>47775</v>
      </c>
    </row>
    <row r="6338" spans="1:5" x14ac:dyDescent="0.25">
      <c r="A6338" s="2">
        <f>IF(B6338="","",SUBTOTAL(3,$B$2:B6338))</f>
        <v>6337</v>
      </c>
      <c r="B6338" s="9" t="s">
        <v>48</v>
      </c>
      <c r="C6338" s="10" t="s">
        <v>49</v>
      </c>
      <c r="D6338" s="11">
        <v>15.403573629081947</v>
      </c>
      <c r="E6338" s="12">
        <f t="shared" si="98"/>
        <v>47776</v>
      </c>
    </row>
    <row r="6339" spans="1:5" x14ac:dyDescent="0.25">
      <c r="A6339" s="2">
        <f>IF(B6339="","",SUBTOTAL(3,$B$2:B6339))</f>
        <v>6338</v>
      </c>
      <c r="B6339" s="9" t="s">
        <v>48</v>
      </c>
      <c r="C6339" s="10" t="s">
        <v>49</v>
      </c>
      <c r="D6339" s="11">
        <v>15.403573629081947</v>
      </c>
      <c r="E6339" s="12">
        <f t="shared" si="98"/>
        <v>47777</v>
      </c>
    </row>
    <row r="6340" spans="1:5" x14ac:dyDescent="0.25">
      <c r="A6340" s="2">
        <f>IF(B6340="","",SUBTOTAL(3,$B$2:B6340))</f>
        <v>6339</v>
      </c>
      <c r="B6340" s="9" t="s">
        <v>48</v>
      </c>
      <c r="C6340" s="10" t="s">
        <v>49</v>
      </c>
      <c r="D6340" s="11">
        <v>15.403573629081947</v>
      </c>
      <c r="E6340" s="12">
        <f t="shared" ref="E6340:E6403" si="99">E6339+1</f>
        <v>47778</v>
      </c>
    </row>
    <row r="6341" spans="1:5" x14ac:dyDescent="0.25">
      <c r="A6341" s="2">
        <f>IF(B6341="","",SUBTOTAL(3,$B$2:B6341))</f>
        <v>6340</v>
      </c>
      <c r="B6341" s="9" t="s">
        <v>50</v>
      </c>
      <c r="C6341" s="10" t="s">
        <v>54</v>
      </c>
      <c r="D6341" s="11">
        <v>19.8</v>
      </c>
      <c r="E6341" s="12">
        <f t="shared" si="99"/>
        <v>47779</v>
      </c>
    </row>
    <row r="6342" spans="1:5" x14ac:dyDescent="0.25">
      <c r="A6342" s="2">
        <f>IF(B6342="","",SUBTOTAL(3,$B$2:B6342))</f>
        <v>6341</v>
      </c>
      <c r="B6342" s="9" t="s">
        <v>50</v>
      </c>
      <c r="C6342" s="10" t="s">
        <v>49</v>
      </c>
      <c r="D6342" s="11">
        <v>330.68783068783068</v>
      </c>
      <c r="E6342" s="12">
        <f t="shared" si="99"/>
        <v>47780</v>
      </c>
    </row>
    <row r="6343" spans="1:5" x14ac:dyDescent="0.25">
      <c r="A6343" s="2">
        <f>IF(B6343="","",SUBTOTAL(3,$B$2:B6343))</f>
        <v>6342</v>
      </c>
      <c r="B6343" s="9" t="s">
        <v>53</v>
      </c>
      <c r="C6343" s="10" t="s">
        <v>49</v>
      </c>
      <c r="D6343" s="11">
        <v>91.585994669695125</v>
      </c>
      <c r="E6343" s="12">
        <f t="shared" si="99"/>
        <v>47781</v>
      </c>
    </row>
    <row r="6344" spans="1:5" x14ac:dyDescent="0.25">
      <c r="A6344" s="2">
        <f>IF(B6344="","",SUBTOTAL(3,$B$2:B6344))</f>
        <v>6343</v>
      </c>
      <c r="B6344" s="9" t="s">
        <v>53</v>
      </c>
      <c r="C6344" s="10" t="s">
        <v>49</v>
      </c>
      <c r="D6344" s="11">
        <v>412.13697601362799</v>
      </c>
      <c r="E6344" s="12">
        <f t="shared" si="99"/>
        <v>47782</v>
      </c>
    </row>
    <row r="6345" spans="1:5" x14ac:dyDescent="0.25">
      <c r="A6345" s="2">
        <f>IF(B6345="","",SUBTOTAL(3,$B$2:B6345))</f>
        <v>6344</v>
      </c>
      <c r="B6345" s="9" t="s">
        <v>53</v>
      </c>
      <c r="C6345" s="10" t="s">
        <v>49</v>
      </c>
      <c r="D6345" s="11">
        <v>91.585994669695125</v>
      </c>
      <c r="E6345" s="12">
        <f t="shared" si="99"/>
        <v>47783</v>
      </c>
    </row>
    <row r="6346" spans="1:5" x14ac:dyDescent="0.25">
      <c r="A6346" s="2">
        <f>IF(B6346="","",SUBTOTAL(3,$B$2:B6346))</f>
        <v>6345</v>
      </c>
      <c r="B6346" s="9" t="s">
        <v>53</v>
      </c>
      <c r="C6346" s="10" t="s">
        <v>49</v>
      </c>
      <c r="D6346" s="11">
        <v>82.427395202725606</v>
      </c>
      <c r="E6346" s="12">
        <f t="shared" si="99"/>
        <v>47784</v>
      </c>
    </row>
    <row r="6347" spans="1:5" x14ac:dyDescent="0.25">
      <c r="A6347" s="2">
        <f>IF(B6347="","",SUBTOTAL(3,$B$2:B6347))</f>
        <v>6346</v>
      </c>
      <c r="B6347" s="9" t="s">
        <v>53</v>
      </c>
      <c r="C6347" s="10" t="s">
        <v>54</v>
      </c>
      <c r="D6347" s="11">
        <v>12.822039253757318</v>
      </c>
      <c r="E6347" s="12">
        <f t="shared" si="99"/>
        <v>47785</v>
      </c>
    </row>
    <row r="6348" spans="1:5" x14ac:dyDescent="0.25">
      <c r="A6348" s="2">
        <f>IF(B6348="","",SUBTOTAL(3,$B$2:B6348))</f>
        <v>6347</v>
      </c>
      <c r="B6348" s="9" t="s">
        <v>53</v>
      </c>
      <c r="C6348" s="10" t="s">
        <v>49</v>
      </c>
      <c r="D6348" s="11">
        <v>82.427395202725606</v>
      </c>
      <c r="E6348" s="12">
        <f t="shared" si="99"/>
        <v>47786</v>
      </c>
    </row>
    <row r="6349" spans="1:5" x14ac:dyDescent="0.25">
      <c r="A6349" s="2">
        <f>IF(B6349="","",SUBTOTAL(3,$B$2:B6349))</f>
        <v>6348</v>
      </c>
      <c r="B6349" s="9" t="s">
        <v>53</v>
      </c>
      <c r="C6349" s="10" t="s">
        <v>54</v>
      </c>
      <c r="D6349" s="11">
        <v>28.391658347605489</v>
      </c>
      <c r="E6349" s="12">
        <f t="shared" si="99"/>
        <v>47787</v>
      </c>
    </row>
    <row r="6350" spans="1:5" x14ac:dyDescent="0.25">
      <c r="A6350" s="2">
        <f>IF(B6350="","",SUBTOTAL(3,$B$2:B6350))</f>
        <v>6349</v>
      </c>
      <c r="B6350" s="9" t="s">
        <v>53</v>
      </c>
      <c r="C6350" s="10" t="s">
        <v>54</v>
      </c>
      <c r="D6350" s="11">
        <v>10.990319360363413</v>
      </c>
      <c r="E6350" s="12">
        <f t="shared" si="99"/>
        <v>47788</v>
      </c>
    </row>
    <row r="6351" spans="1:5" x14ac:dyDescent="0.25">
      <c r="A6351" s="2">
        <f>IF(B6351="","",SUBTOTAL(3,$B$2:B6351))</f>
        <v>6350</v>
      </c>
      <c r="B6351" s="9" t="s">
        <v>50</v>
      </c>
      <c r="C6351" s="10" t="s">
        <v>49</v>
      </c>
      <c r="D6351" s="11">
        <v>327.82186948853615</v>
      </c>
      <c r="E6351" s="12">
        <f t="shared" si="99"/>
        <v>47789</v>
      </c>
    </row>
    <row r="6352" spans="1:5" x14ac:dyDescent="0.25">
      <c r="A6352" s="2">
        <f>IF(B6352="","",SUBTOTAL(3,$B$2:B6352))</f>
        <v>6351</v>
      </c>
      <c r="B6352" s="9" t="s">
        <v>53</v>
      </c>
      <c r="C6352" s="10" t="s">
        <v>49</v>
      </c>
      <c r="D6352" s="11">
        <v>91.585994669695125</v>
      </c>
      <c r="E6352" s="12">
        <f t="shared" si="99"/>
        <v>47790</v>
      </c>
    </row>
    <row r="6353" spans="1:5" x14ac:dyDescent="0.25">
      <c r="A6353" s="2">
        <f>IF(B6353="","",SUBTOTAL(3,$B$2:B6353))</f>
        <v>6352</v>
      </c>
      <c r="B6353" s="9" t="s">
        <v>48</v>
      </c>
      <c r="C6353" s="10" t="s">
        <v>54</v>
      </c>
      <c r="D6353" s="11">
        <v>0.2</v>
      </c>
      <c r="E6353" s="12">
        <f t="shared" si="99"/>
        <v>47791</v>
      </c>
    </row>
    <row r="6354" spans="1:5" x14ac:dyDescent="0.25">
      <c r="A6354" s="2">
        <f>IF(B6354="","",SUBTOTAL(3,$B$2:B6354))</f>
        <v>6353</v>
      </c>
      <c r="B6354" s="9" t="s">
        <v>50</v>
      </c>
      <c r="C6354" s="10" t="s">
        <v>49</v>
      </c>
      <c r="D6354" s="11">
        <v>220.45855379188714</v>
      </c>
      <c r="E6354" s="12">
        <f t="shared" si="99"/>
        <v>47792</v>
      </c>
    </row>
    <row r="6355" spans="1:5" x14ac:dyDescent="0.25">
      <c r="A6355" s="2">
        <f>IF(B6355="","",SUBTOTAL(3,$B$2:B6355))</f>
        <v>6354</v>
      </c>
      <c r="B6355" s="9" t="s">
        <v>48</v>
      </c>
      <c r="C6355" s="10" t="s">
        <v>52</v>
      </c>
      <c r="D6355" s="11">
        <v>770.17868145409739</v>
      </c>
      <c r="E6355" s="12">
        <f t="shared" si="99"/>
        <v>47793</v>
      </c>
    </row>
    <row r="6356" spans="1:5" x14ac:dyDescent="0.25">
      <c r="A6356" s="2">
        <f>IF(B6356="","",SUBTOTAL(3,$B$2:B6356))</f>
        <v>6355</v>
      </c>
      <c r="B6356" s="9" t="s">
        <v>50</v>
      </c>
      <c r="C6356" s="10" t="s">
        <v>49</v>
      </c>
      <c r="D6356" s="11">
        <v>92.592592592592595</v>
      </c>
      <c r="E6356" s="12">
        <f t="shared" si="99"/>
        <v>47794</v>
      </c>
    </row>
    <row r="6357" spans="1:5" x14ac:dyDescent="0.25">
      <c r="A6357" s="2">
        <f>IF(B6357="","",SUBTOTAL(3,$B$2:B6357))</f>
        <v>6356</v>
      </c>
      <c r="B6357" s="9" t="s">
        <v>48</v>
      </c>
      <c r="C6357" s="10" t="s">
        <v>49</v>
      </c>
      <c r="D6357" s="11">
        <v>4.529698199992291</v>
      </c>
      <c r="E6357" s="12">
        <f t="shared" si="99"/>
        <v>47795</v>
      </c>
    </row>
    <row r="6358" spans="1:5" x14ac:dyDescent="0.25">
      <c r="A6358" s="2">
        <f>IF(B6358="","",SUBTOTAL(3,$B$2:B6358))</f>
        <v>6357</v>
      </c>
      <c r="B6358" s="9" t="s">
        <v>55</v>
      </c>
      <c r="C6358" s="10" t="s">
        <v>49</v>
      </c>
      <c r="D6358" s="11">
        <v>821.90471815133003</v>
      </c>
      <c r="E6358" s="12">
        <f t="shared" si="99"/>
        <v>47796</v>
      </c>
    </row>
    <row r="6359" spans="1:5" x14ac:dyDescent="0.25">
      <c r="A6359" s="2">
        <f>IF(B6359="","",SUBTOTAL(3,$B$2:B6359))</f>
        <v>6358</v>
      </c>
      <c r="B6359" s="9" t="s">
        <v>55</v>
      </c>
      <c r="C6359" s="10" t="s">
        <v>49</v>
      </c>
      <c r="D6359" s="11">
        <v>75.701750356043561</v>
      </c>
      <c r="E6359" s="12">
        <f t="shared" si="99"/>
        <v>47797</v>
      </c>
    </row>
    <row r="6360" spans="1:5" x14ac:dyDescent="0.25">
      <c r="A6360" s="2">
        <f>IF(B6360="","",SUBTOTAL(3,$B$2:B6360))</f>
        <v>6359</v>
      </c>
      <c r="B6360" s="9" t="s">
        <v>55</v>
      </c>
      <c r="C6360" s="10" t="s">
        <v>49</v>
      </c>
      <c r="D6360" s="11">
        <v>3.8932328754536685</v>
      </c>
      <c r="E6360" s="12">
        <f t="shared" si="99"/>
        <v>47798</v>
      </c>
    </row>
    <row r="6361" spans="1:5" x14ac:dyDescent="0.25">
      <c r="A6361" s="2">
        <f>IF(B6361="","",SUBTOTAL(3,$B$2:B6361))</f>
        <v>6360</v>
      </c>
      <c r="B6361" s="9" t="s">
        <v>55</v>
      </c>
      <c r="C6361" s="10" t="s">
        <v>54</v>
      </c>
      <c r="D6361" s="11">
        <v>19.466164377268342</v>
      </c>
      <c r="E6361" s="12">
        <f t="shared" si="99"/>
        <v>47799</v>
      </c>
    </row>
    <row r="6362" spans="1:5" x14ac:dyDescent="0.25">
      <c r="A6362" s="2">
        <f>IF(B6362="","",SUBTOTAL(3,$B$2:B6362))</f>
        <v>6361</v>
      </c>
      <c r="B6362" s="9" t="s">
        <v>50</v>
      </c>
      <c r="C6362" s="10" t="s">
        <v>49</v>
      </c>
      <c r="D6362" s="11">
        <v>330.68783068783068</v>
      </c>
      <c r="E6362" s="12">
        <f t="shared" si="99"/>
        <v>47800</v>
      </c>
    </row>
    <row r="6363" spans="1:5" x14ac:dyDescent="0.25">
      <c r="A6363" s="2">
        <f>IF(B6363="","",SUBTOTAL(3,$B$2:B6363))</f>
        <v>6362</v>
      </c>
      <c r="B6363" s="9" t="s">
        <v>55</v>
      </c>
      <c r="C6363" s="10" t="s">
        <v>49</v>
      </c>
      <c r="D6363" s="11">
        <v>19.553527782304059</v>
      </c>
      <c r="E6363" s="12">
        <f t="shared" si="99"/>
        <v>47801</v>
      </c>
    </row>
    <row r="6364" spans="1:5" x14ac:dyDescent="0.25">
      <c r="A6364" s="2">
        <f>IF(B6364="","",SUBTOTAL(3,$B$2:B6364))</f>
        <v>6363</v>
      </c>
      <c r="B6364" s="9" t="s">
        <v>55</v>
      </c>
      <c r="C6364" s="10" t="s">
        <v>49</v>
      </c>
      <c r="D6364" s="11">
        <v>97.767638911520294</v>
      </c>
      <c r="E6364" s="12">
        <f t="shared" si="99"/>
        <v>47802</v>
      </c>
    </row>
    <row r="6365" spans="1:5" x14ac:dyDescent="0.25">
      <c r="A6365" s="2">
        <f>IF(B6365="","",SUBTOTAL(3,$B$2:B6365))</f>
        <v>6364</v>
      </c>
      <c r="B6365" s="9" t="s">
        <v>55</v>
      </c>
      <c r="C6365" s="10" t="s">
        <v>52</v>
      </c>
      <c r="D6365" s="11">
        <v>65.808090446639511</v>
      </c>
      <c r="E6365" s="12">
        <f t="shared" si="99"/>
        <v>47803</v>
      </c>
    </row>
    <row r="6366" spans="1:5" x14ac:dyDescent="0.25">
      <c r="A6366" s="2">
        <f>IF(B6366="","",SUBTOTAL(3,$B$2:B6366))</f>
        <v>6365</v>
      </c>
      <c r="B6366" s="9" t="s">
        <v>48</v>
      </c>
      <c r="C6366" s="10" t="s">
        <v>56</v>
      </c>
      <c r="D6366" s="11">
        <v>19.27203114360233</v>
      </c>
      <c r="E6366" s="12">
        <f t="shared" si="99"/>
        <v>47804</v>
      </c>
    </row>
    <row r="6367" spans="1:5" x14ac:dyDescent="0.25">
      <c r="A6367" s="2">
        <f>IF(B6367="","",SUBTOTAL(3,$B$2:B6367))</f>
        <v>6366</v>
      </c>
      <c r="B6367" s="9" t="s">
        <v>53</v>
      </c>
      <c r="C6367" s="10" t="s">
        <v>49</v>
      </c>
      <c r="D6367" s="11">
        <v>54.951596801817075</v>
      </c>
      <c r="E6367" s="12">
        <f t="shared" si="99"/>
        <v>47805</v>
      </c>
    </row>
    <row r="6368" spans="1:5" x14ac:dyDescent="0.25">
      <c r="A6368" s="2">
        <f>IF(B6368="","",SUBTOTAL(3,$B$2:B6368))</f>
        <v>6367</v>
      </c>
      <c r="B6368" s="9" t="s">
        <v>53</v>
      </c>
      <c r="C6368" s="10" t="s">
        <v>49</v>
      </c>
      <c r="D6368" s="11">
        <v>824.27395202725597</v>
      </c>
      <c r="E6368" s="12">
        <f t="shared" si="99"/>
        <v>47806</v>
      </c>
    </row>
    <row r="6369" spans="1:5" x14ac:dyDescent="0.25">
      <c r="A6369" s="2">
        <f>IF(B6369="","",SUBTOTAL(3,$B$2:B6369))</f>
        <v>6368</v>
      </c>
      <c r="B6369" s="9" t="s">
        <v>48</v>
      </c>
      <c r="C6369" s="10" t="s">
        <v>49</v>
      </c>
      <c r="D6369" s="11">
        <v>61.614294516327789</v>
      </c>
      <c r="E6369" s="12">
        <f t="shared" si="99"/>
        <v>47807</v>
      </c>
    </row>
    <row r="6370" spans="1:5" x14ac:dyDescent="0.25">
      <c r="A6370" s="2">
        <f>IF(B6370="","",SUBTOTAL(3,$B$2:B6370))</f>
        <v>6369</v>
      </c>
      <c r="B6370" s="9" t="s">
        <v>48</v>
      </c>
      <c r="C6370" s="10" t="s">
        <v>49</v>
      </c>
      <c r="D6370" s="11">
        <v>15.403573629081947</v>
      </c>
      <c r="E6370" s="12">
        <f t="shared" si="99"/>
        <v>47808</v>
      </c>
    </row>
    <row r="6371" spans="1:5" x14ac:dyDescent="0.25">
      <c r="A6371" s="2">
        <f>IF(B6371="","",SUBTOTAL(3,$B$2:B6371))</f>
        <v>6370</v>
      </c>
      <c r="B6371" s="9" t="s">
        <v>48</v>
      </c>
      <c r="C6371" s="10" t="s">
        <v>49</v>
      </c>
      <c r="D6371" s="11">
        <v>15.403573629081947</v>
      </c>
      <c r="E6371" s="12">
        <f t="shared" si="99"/>
        <v>47809</v>
      </c>
    </row>
    <row r="6372" spans="1:5" x14ac:dyDescent="0.25">
      <c r="A6372" s="2">
        <f>IF(B6372="","",SUBTOTAL(3,$B$2:B6372))</f>
        <v>6371</v>
      </c>
      <c r="B6372" s="9" t="s">
        <v>48</v>
      </c>
      <c r="C6372" s="10" t="s">
        <v>49</v>
      </c>
      <c r="D6372" s="11">
        <v>15.403573629081947</v>
      </c>
      <c r="E6372" s="12">
        <f t="shared" si="99"/>
        <v>47810</v>
      </c>
    </row>
    <row r="6373" spans="1:5" x14ac:dyDescent="0.25">
      <c r="A6373" s="2">
        <f>IF(B6373="","",SUBTOTAL(3,$B$2:B6373))</f>
        <v>6372</v>
      </c>
      <c r="B6373" s="9" t="s">
        <v>48</v>
      </c>
      <c r="C6373" s="10" t="s">
        <v>49</v>
      </c>
      <c r="D6373" s="11">
        <v>15.403573629081947</v>
      </c>
      <c r="E6373" s="12">
        <f t="shared" si="99"/>
        <v>47811</v>
      </c>
    </row>
    <row r="6374" spans="1:5" x14ac:dyDescent="0.25">
      <c r="A6374" s="2">
        <f>IF(B6374="","",SUBTOTAL(3,$B$2:B6374))</f>
        <v>6373</v>
      </c>
      <c r="B6374" s="9" t="s">
        <v>48</v>
      </c>
      <c r="C6374" s="10" t="s">
        <v>49</v>
      </c>
      <c r="D6374" s="11">
        <v>15.403573629081947</v>
      </c>
      <c r="E6374" s="12">
        <f t="shared" si="99"/>
        <v>47812</v>
      </c>
    </row>
    <row r="6375" spans="1:5" x14ac:dyDescent="0.25">
      <c r="A6375" s="2">
        <f>IF(B6375="","",SUBTOTAL(3,$B$2:B6375))</f>
        <v>6374</v>
      </c>
      <c r="B6375" s="9" t="s">
        <v>48</v>
      </c>
      <c r="C6375" s="10" t="s">
        <v>49</v>
      </c>
      <c r="D6375" s="11">
        <v>15.403573629081947</v>
      </c>
      <c r="E6375" s="12">
        <f t="shared" si="99"/>
        <v>47813</v>
      </c>
    </row>
    <row r="6376" spans="1:5" x14ac:dyDescent="0.25">
      <c r="A6376" s="2">
        <f>IF(B6376="","",SUBTOTAL(3,$B$2:B6376))</f>
        <v>6375</v>
      </c>
      <c r="B6376" s="9" t="s">
        <v>48</v>
      </c>
      <c r="C6376" s="10" t="s">
        <v>49</v>
      </c>
      <c r="D6376" s="11">
        <v>15.403573629081947</v>
      </c>
      <c r="E6376" s="12">
        <f t="shared" si="99"/>
        <v>47814</v>
      </c>
    </row>
    <row r="6377" spans="1:5" x14ac:dyDescent="0.25">
      <c r="A6377" s="2">
        <f>IF(B6377="","",SUBTOTAL(3,$B$2:B6377))</f>
        <v>6376</v>
      </c>
      <c r="B6377" s="9" t="s">
        <v>48</v>
      </c>
      <c r="C6377" s="10" t="s">
        <v>49</v>
      </c>
      <c r="D6377" s="11">
        <v>15.403573629081947</v>
      </c>
      <c r="E6377" s="12">
        <f t="shared" si="99"/>
        <v>47815</v>
      </c>
    </row>
    <row r="6378" spans="1:5" x14ac:dyDescent="0.25">
      <c r="A6378" s="2">
        <f>IF(B6378="","",SUBTOTAL(3,$B$2:B6378))</f>
        <v>6377</v>
      </c>
      <c r="B6378" s="9" t="s">
        <v>48</v>
      </c>
      <c r="C6378" s="10" t="s">
        <v>52</v>
      </c>
      <c r="D6378" s="11">
        <v>86.177180282661155</v>
      </c>
      <c r="E6378" s="12">
        <f t="shared" si="99"/>
        <v>47816</v>
      </c>
    </row>
    <row r="6379" spans="1:5" x14ac:dyDescent="0.25">
      <c r="A6379" s="2">
        <f>IF(B6379="","",SUBTOTAL(3,$B$2:B6379))</f>
        <v>6378</v>
      </c>
      <c r="B6379" s="9" t="s">
        <v>48</v>
      </c>
      <c r="C6379" s="10" t="s">
        <v>52</v>
      </c>
      <c r="D6379" s="11">
        <v>86.177180282661155</v>
      </c>
      <c r="E6379" s="12">
        <f t="shared" si="99"/>
        <v>47817</v>
      </c>
    </row>
    <row r="6380" spans="1:5" x14ac:dyDescent="0.25">
      <c r="A6380" s="2">
        <f>IF(B6380="","",SUBTOTAL(3,$B$2:B6380))</f>
        <v>6379</v>
      </c>
      <c r="B6380" s="9" t="s">
        <v>48</v>
      </c>
      <c r="C6380" s="10" t="s">
        <v>52</v>
      </c>
      <c r="D6380" s="11">
        <v>31.023784901758013</v>
      </c>
      <c r="E6380" s="12">
        <f t="shared" si="99"/>
        <v>47818</v>
      </c>
    </row>
    <row r="6381" spans="1:5" x14ac:dyDescent="0.25">
      <c r="A6381" s="2">
        <f>IF(B6381="","",SUBTOTAL(3,$B$2:B6381))</f>
        <v>6380</v>
      </c>
      <c r="B6381" s="9" t="s">
        <v>48</v>
      </c>
      <c r="C6381" s="10" t="s">
        <v>49</v>
      </c>
      <c r="D6381" s="11">
        <v>15.403573629081947</v>
      </c>
      <c r="E6381" s="12">
        <f t="shared" si="99"/>
        <v>47819</v>
      </c>
    </row>
    <row r="6382" spans="1:5" x14ac:dyDescent="0.25">
      <c r="A6382" s="2">
        <f>IF(B6382="","",SUBTOTAL(3,$B$2:B6382))</f>
        <v>6381</v>
      </c>
      <c r="B6382" s="9" t="s">
        <v>48</v>
      </c>
      <c r="C6382" s="10" t="s">
        <v>49</v>
      </c>
      <c r="D6382" s="11">
        <v>15.403573629081947</v>
      </c>
      <c r="E6382" s="12">
        <f t="shared" si="99"/>
        <v>47820</v>
      </c>
    </row>
    <row r="6383" spans="1:5" x14ac:dyDescent="0.25">
      <c r="A6383" s="2">
        <f>IF(B6383="","",SUBTOTAL(3,$B$2:B6383))</f>
        <v>6382</v>
      </c>
      <c r="B6383" s="9" t="s">
        <v>48</v>
      </c>
      <c r="C6383" s="10" t="s">
        <v>49</v>
      </c>
      <c r="D6383" s="11">
        <v>15.403573629081947</v>
      </c>
      <c r="E6383" s="12">
        <f t="shared" si="99"/>
        <v>47821</v>
      </c>
    </row>
    <row r="6384" spans="1:5" x14ac:dyDescent="0.25">
      <c r="A6384" s="2">
        <f>IF(B6384="","",SUBTOTAL(3,$B$2:B6384))</f>
        <v>6383</v>
      </c>
      <c r="B6384" s="9" t="s">
        <v>48</v>
      </c>
      <c r="C6384" s="10" t="s">
        <v>49</v>
      </c>
      <c r="D6384" s="11">
        <v>15.403573629081947</v>
      </c>
      <c r="E6384" s="12">
        <f t="shared" si="99"/>
        <v>47822</v>
      </c>
    </row>
    <row r="6385" spans="1:5" x14ac:dyDescent="0.25">
      <c r="A6385" s="2">
        <f>IF(B6385="","",SUBTOTAL(3,$B$2:B6385))</f>
        <v>6384</v>
      </c>
      <c r="B6385" s="9" t="s">
        <v>48</v>
      </c>
      <c r="C6385" s="10" t="s">
        <v>49</v>
      </c>
      <c r="D6385" s="11">
        <v>15.403573629081947</v>
      </c>
      <c r="E6385" s="12">
        <f t="shared" si="99"/>
        <v>47823</v>
      </c>
    </row>
    <row r="6386" spans="1:5" x14ac:dyDescent="0.25">
      <c r="A6386" s="2">
        <f>IF(B6386="","",SUBTOTAL(3,$B$2:B6386))</f>
        <v>6385</v>
      </c>
      <c r="B6386" s="9" t="s">
        <v>48</v>
      </c>
      <c r="C6386" s="10" t="s">
        <v>49</v>
      </c>
      <c r="D6386" s="11">
        <v>15.403573629081947</v>
      </c>
      <c r="E6386" s="12">
        <f t="shared" si="99"/>
        <v>47824</v>
      </c>
    </row>
    <row r="6387" spans="1:5" x14ac:dyDescent="0.25">
      <c r="A6387" s="2">
        <f>IF(B6387="","",SUBTOTAL(3,$B$2:B6387))</f>
        <v>6386</v>
      </c>
      <c r="B6387" s="9" t="s">
        <v>48</v>
      </c>
      <c r="C6387" s="10" t="s">
        <v>49</v>
      </c>
      <c r="D6387" s="11">
        <v>15.403573629081947</v>
      </c>
      <c r="E6387" s="12">
        <f t="shared" si="99"/>
        <v>47825</v>
      </c>
    </row>
    <row r="6388" spans="1:5" x14ac:dyDescent="0.25">
      <c r="A6388" s="2">
        <f>IF(B6388="","",SUBTOTAL(3,$B$2:B6388))</f>
        <v>6387</v>
      </c>
      <c r="B6388" s="9" t="s">
        <v>48</v>
      </c>
      <c r="C6388" s="10" t="s">
        <v>49</v>
      </c>
      <c r="D6388" s="11">
        <v>15.403573629081947</v>
      </c>
      <c r="E6388" s="12">
        <f t="shared" si="99"/>
        <v>47826</v>
      </c>
    </row>
    <row r="6389" spans="1:5" x14ac:dyDescent="0.25">
      <c r="A6389" s="2">
        <f>IF(B6389="","",SUBTOTAL(3,$B$2:B6389))</f>
        <v>6388</v>
      </c>
      <c r="B6389" s="9" t="s">
        <v>48</v>
      </c>
      <c r="C6389" s="10" t="s">
        <v>49</v>
      </c>
      <c r="D6389" s="11">
        <v>15.403573629081947</v>
      </c>
      <c r="E6389" s="12">
        <f t="shared" si="99"/>
        <v>47827</v>
      </c>
    </row>
    <row r="6390" spans="1:5" x14ac:dyDescent="0.25">
      <c r="A6390" s="2">
        <f>IF(B6390="","",SUBTOTAL(3,$B$2:B6390))</f>
        <v>6389</v>
      </c>
      <c r="B6390" s="9" t="s">
        <v>48</v>
      </c>
      <c r="C6390" s="10" t="s">
        <v>49</v>
      </c>
      <c r="D6390" s="11">
        <v>15.403573629081947</v>
      </c>
      <c r="E6390" s="12">
        <f t="shared" si="99"/>
        <v>47828</v>
      </c>
    </row>
    <row r="6391" spans="1:5" x14ac:dyDescent="0.25">
      <c r="A6391" s="2">
        <f>IF(B6391="","",SUBTOTAL(3,$B$2:B6391))</f>
        <v>6390</v>
      </c>
      <c r="B6391" s="9" t="s">
        <v>48</v>
      </c>
      <c r="C6391" s="10" t="s">
        <v>49</v>
      </c>
      <c r="D6391" s="11">
        <v>15.403573629081947</v>
      </c>
      <c r="E6391" s="12">
        <f t="shared" si="99"/>
        <v>47829</v>
      </c>
    </row>
    <row r="6392" spans="1:5" x14ac:dyDescent="0.25">
      <c r="A6392" s="2">
        <f>IF(B6392="","",SUBTOTAL(3,$B$2:B6392))</f>
        <v>6391</v>
      </c>
      <c r="B6392" s="9" t="s">
        <v>48</v>
      </c>
      <c r="C6392" s="10" t="s">
        <v>49</v>
      </c>
      <c r="D6392" s="11">
        <v>15.403573629081947</v>
      </c>
      <c r="E6392" s="12">
        <f t="shared" si="99"/>
        <v>47830</v>
      </c>
    </row>
    <row r="6393" spans="1:5" x14ac:dyDescent="0.25">
      <c r="A6393" s="2">
        <f>IF(B6393="","",SUBTOTAL(3,$B$2:B6393))</f>
        <v>6392</v>
      </c>
      <c r="B6393" s="9" t="s">
        <v>48</v>
      </c>
      <c r="C6393" s="10" t="s">
        <v>49</v>
      </c>
      <c r="D6393" s="11">
        <v>15.403573629081947</v>
      </c>
      <c r="E6393" s="12">
        <f t="shared" si="99"/>
        <v>47831</v>
      </c>
    </row>
    <row r="6394" spans="1:5" x14ac:dyDescent="0.25">
      <c r="A6394" s="2">
        <f>IF(B6394="","",SUBTOTAL(3,$B$2:B6394))</f>
        <v>6393</v>
      </c>
      <c r="B6394" s="9" t="s">
        <v>48</v>
      </c>
      <c r="C6394" s="10" t="s">
        <v>49</v>
      </c>
      <c r="D6394" s="11">
        <v>15.403573629081947</v>
      </c>
      <c r="E6394" s="12">
        <f t="shared" si="99"/>
        <v>47832</v>
      </c>
    </row>
    <row r="6395" spans="1:5" x14ac:dyDescent="0.25">
      <c r="A6395" s="2">
        <f>IF(B6395="","",SUBTOTAL(3,$B$2:B6395))</f>
        <v>6394</v>
      </c>
      <c r="B6395" s="9" t="s">
        <v>48</v>
      </c>
      <c r="C6395" s="10" t="s">
        <v>49</v>
      </c>
      <c r="D6395" s="11">
        <v>15.403573629081947</v>
      </c>
      <c r="E6395" s="12">
        <f t="shared" si="99"/>
        <v>47833</v>
      </c>
    </row>
    <row r="6396" spans="1:5" x14ac:dyDescent="0.25">
      <c r="A6396" s="2">
        <f>IF(B6396="","",SUBTOTAL(3,$B$2:B6396))</f>
        <v>6395</v>
      </c>
      <c r="B6396" s="9" t="s">
        <v>48</v>
      </c>
      <c r="C6396" s="10" t="s">
        <v>49</v>
      </c>
      <c r="D6396" s="11">
        <v>15.403573629081947</v>
      </c>
      <c r="E6396" s="12">
        <f t="shared" si="99"/>
        <v>47834</v>
      </c>
    </row>
    <row r="6397" spans="1:5" x14ac:dyDescent="0.25">
      <c r="A6397" s="2">
        <f>IF(B6397="","",SUBTOTAL(3,$B$2:B6397))</f>
        <v>6396</v>
      </c>
      <c r="B6397" s="9" t="s">
        <v>50</v>
      </c>
      <c r="C6397" s="10" t="s">
        <v>49</v>
      </c>
      <c r="D6397" s="11">
        <v>66.137566137566139</v>
      </c>
      <c r="E6397" s="12">
        <f t="shared" si="99"/>
        <v>47835</v>
      </c>
    </row>
    <row r="6398" spans="1:5" x14ac:dyDescent="0.25">
      <c r="A6398" s="2">
        <f>IF(B6398="","",SUBTOTAL(3,$B$2:B6398))</f>
        <v>6397</v>
      </c>
      <c r="B6398" s="9" t="s">
        <v>51</v>
      </c>
      <c r="C6398" s="10" t="s">
        <v>49</v>
      </c>
      <c r="D6398" s="11">
        <v>423.59419675950437</v>
      </c>
      <c r="E6398" s="12">
        <f t="shared" si="99"/>
        <v>47836</v>
      </c>
    </row>
    <row r="6399" spans="1:5" x14ac:dyDescent="0.25">
      <c r="A6399" s="2">
        <f>IF(B6399="","",SUBTOTAL(3,$B$2:B6399))</f>
        <v>6398</v>
      </c>
      <c r="B6399" s="9" t="s">
        <v>55</v>
      </c>
      <c r="C6399" s="10" t="s">
        <v>52</v>
      </c>
      <c r="D6399" s="11">
        <v>50</v>
      </c>
      <c r="E6399" s="12">
        <f t="shared" si="99"/>
        <v>47837</v>
      </c>
    </row>
    <row r="6400" spans="1:5" x14ac:dyDescent="0.25">
      <c r="A6400" s="2">
        <f>IF(B6400="","",SUBTOTAL(3,$B$2:B6400))</f>
        <v>6399</v>
      </c>
      <c r="B6400" s="9" t="s">
        <v>55</v>
      </c>
      <c r="C6400" s="10" t="s">
        <v>52</v>
      </c>
      <c r="D6400" s="11">
        <v>236</v>
      </c>
      <c r="E6400" s="12">
        <f t="shared" si="99"/>
        <v>47838</v>
      </c>
    </row>
    <row r="6401" spans="1:5" x14ac:dyDescent="0.25">
      <c r="A6401" s="2">
        <f>IF(B6401="","",SUBTOTAL(3,$B$2:B6401))</f>
        <v>6400</v>
      </c>
      <c r="B6401" s="9" t="s">
        <v>55</v>
      </c>
      <c r="C6401" s="10" t="s">
        <v>49</v>
      </c>
      <c r="D6401" s="11">
        <v>100</v>
      </c>
      <c r="E6401" s="12">
        <f t="shared" si="99"/>
        <v>47839</v>
      </c>
    </row>
    <row r="6402" spans="1:5" x14ac:dyDescent="0.25">
      <c r="A6402" s="2">
        <f>IF(B6402="","",SUBTOTAL(3,$B$2:B6402))</f>
        <v>6401</v>
      </c>
      <c r="B6402" s="9" t="s">
        <v>53</v>
      </c>
      <c r="C6402" s="10" t="s">
        <v>49</v>
      </c>
      <c r="D6402" s="11">
        <v>183.17198933939025</v>
      </c>
      <c r="E6402" s="12">
        <f t="shared" si="99"/>
        <v>47840</v>
      </c>
    </row>
    <row r="6403" spans="1:5" x14ac:dyDescent="0.25">
      <c r="A6403" s="2">
        <f>IF(B6403="","",SUBTOTAL(3,$B$2:B6403))</f>
        <v>6402</v>
      </c>
      <c r="B6403" s="9" t="s">
        <v>48</v>
      </c>
      <c r="C6403" s="10" t="s">
        <v>49</v>
      </c>
      <c r="D6403" s="11">
        <v>15.403573629081947</v>
      </c>
      <c r="E6403" s="12">
        <f t="shared" si="99"/>
        <v>47841</v>
      </c>
    </row>
    <row r="6404" spans="1:5" x14ac:dyDescent="0.25">
      <c r="A6404" s="2">
        <f>IF(B6404="","",SUBTOTAL(3,$B$2:B6404))</f>
        <v>6403</v>
      </c>
      <c r="B6404" s="9" t="s">
        <v>48</v>
      </c>
      <c r="C6404" s="10" t="s">
        <v>49</v>
      </c>
      <c r="D6404" s="11">
        <v>15.403573629081947</v>
      </c>
      <c r="E6404" s="12">
        <f t="shared" ref="E6404:E6467" si="100">E6403+1</f>
        <v>47842</v>
      </c>
    </row>
    <row r="6405" spans="1:5" x14ac:dyDescent="0.25">
      <c r="A6405" s="2">
        <f>IF(B6405="","",SUBTOTAL(3,$B$2:B6405))</f>
        <v>6404</v>
      </c>
      <c r="B6405" s="9" t="s">
        <v>48</v>
      </c>
      <c r="C6405" s="10" t="s">
        <v>49</v>
      </c>
      <c r="D6405" s="11">
        <v>15.403573629081947</v>
      </c>
      <c r="E6405" s="12">
        <f t="shared" si="100"/>
        <v>47843</v>
      </c>
    </row>
    <row r="6406" spans="1:5" x14ac:dyDescent="0.25">
      <c r="A6406" s="2">
        <f>IF(B6406="","",SUBTOTAL(3,$B$2:B6406))</f>
        <v>6405</v>
      </c>
      <c r="B6406" s="9" t="s">
        <v>48</v>
      </c>
      <c r="C6406" s="10" t="s">
        <v>49</v>
      </c>
      <c r="D6406" s="11">
        <v>15.403573629081947</v>
      </c>
      <c r="E6406" s="12">
        <f t="shared" si="100"/>
        <v>47844</v>
      </c>
    </row>
    <row r="6407" spans="1:5" x14ac:dyDescent="0.25">
      <c r="A6407" s="2">
        <f>IF(B6407="","",SUBTOTAL(3,$B$2:B6407))</f>
        <v>6406</v>
      </c>
      <c r="B6407" s="9" t="s">
        <v>48</v>
      </c>
      <c r="C6407" s="10" t="s">
        <v>49</v>
      </c>
      <c r="D6407" s="11">
        <v>15.403573629081947</v>
      </c>
      <c r="E6407" s="12">
        <f t="shared" si="100"/>
        <v>47845</v>
      </c>
    </row>
    <row r="6408" spans="1:5" x14ac:dyDescent="0.25">
      <c r="A6408" s="2">
        <f>IF(B6408="","",SUBTOTAL(3,$B$2:B6408))</f>
        <v>6407</v>
      </c>
      <c r="B6408" s="9" t="s">
        <v>48</v>
      </c>
      <c r="C6408" s="10" t="s">
        <v>49</v>
      </c>
      <c r="D6408" s="11">
        <v>15.403573629081947</v>
      </c>
      <c r="E6408" s="12">
        <f t="shared" si="100"/>
        <v>47846</v>
      </c>
    </row>
    <row r="6409" spans="1:5" x14ac:dyDescent="0.25">
      <c r="A6409" s="2">
        <f>IF(B6409="","",SUBTOTAL(3,$B$2:B6409))</f>
        <v>6408</v>
      </c>
      <c r="B6409" s="9" t="s">
        <v>48</v>
      </c>
      <c r="C6409" s="10" t="s">
        <v>49</v>
      </c>
      <c r="D6409" s="11">
        <v>15.403573629081947</v>
      </c>
      <c r="E6409" s="12">
        <f t="shared" si="100"/>
        <v>47847</v>
      </c>
    </row>
    <row r="6410" spans="1:5" x14ac:dyDescent="0.25">
      <c r="A6410" s="2">
        <f>IF(B6410="","",SUBTOTAL(3,$B$2:B6410))</f>
        <v>6409</v>
      </c>
      <c r="B6410" s="9" t="s">
        <v>48</v>
      </c>
      <c r="C6410" s="10" t="s">
        <v>49</v>
      </c>
      <c r="D6410" s="11">
        <v>15.403573629081947</v>
      </c>
      <c r="E6410" s="12">
        <f t="shared" si="100"/>
        <v>47848</v>
      </c>
    </row>
    <row r="6411" spans="1:5" x14ac:dyDescent="0.25">
      <c r="A6411" s="2">
        <f>IF(B6411="","",SUBTOTAL(3,$B$2:B6411))</f>
        <v>6410</v>
      </c>
      <c r="B6411" s="9" t="s">
        <v>48</v>
      </c>
      <c r="C6411" s="10" t="s">
        <v>49</v>
      </c>
      <c r="D6411" s="11">
        <v>15.403573629081947</v>
      </c>
      <c r="E6411" s="12">
        <f t="shared" si="100"/>
        <v>47849</v>
      </c>
    </row>
    <row r="6412" spans="1:5" x14ac:dyDescent="0.25">
      <c r="A6412" s="2">
        <f>IF(B6412="","",SUBTOTAL(3,$B$2:B6412))</f>
        <v>6411</v>
      </c>
      <c r="B6412" s="9" t="s">
        <v>48</v>
      </c>
      <c r="C6412" s="10" t="s">
        <v>49</v>
      </c>
      <c r="D6412" s="11">
        <v>15.403573629081947</v>
      </c>
      <c r="E6412" s="12">
        <f t="shared" si="100"/>
        <v>47850</v>
      </c>
    </row>
    <row r="6413" spans="1:5" x14ac:dyDescent="0.25">
      <c r="A6413" s="2">
        <f>IF(B6413="","",SUBTOTAL(3,$B$2:B6413))</f>
        <v>6412</v>
      </c>
      <c r="B6413" s="9" t="s">
        <v>48</v>
      </c>
      <c r="C6413" s="10" t="s">
        <v>49</v>
      </c>
      <c r="D6413" s="11">
        <v>15.403573629081947</v>
      </c>
      <c r="E6413" s="12">
        <f t="shared" si="100"/>
        <v>47851</v>
      </c>
    </row>
    <row r="6414" spans="1:5" x14ac:dyDescent="0.25">
      <c r="A6414" s="2">
        <f>IF(B6414="","",SUBTOTAL(3,$B$2:B6414))</f>
        <v>6413</v>
      </c>
      <c r="B6414" s="9" t="s">
        <v>48</v>
      </c>
      <c r="C6414" s="10" t="s">
        <v>49</v>
      </c>
      <c r="D6414" s="11">
        <v>15.403573629081947</v>
      </c>
      <c r="E6414" s="12">
        <f t="shared" si="100"/>
        <v>47852</v>
      </c>
    </row>
    <row r="6415" spans="1:5" x14ac:dyDescent="0.25">
      <c r="A6415" s="2">
        <f>IF(B6415="","",SUBTOTAL(3,$B$2:B6415))</f>
        <v>6414</v>
      </c>
      <c r="B6415" s="9" t="s">
        <v>48</v>
      </c>
      <c r="C6415" s="10" t="s">
        <v>49</v>
      </c>
      <c r="D6415" s="11">
        <v>15.403573629081947</v>
      </c>
      <c r="E6415" s="12">
        <f t="shared" si="100"/>
        <v>47853</v>
      </c>
    </row>
    <row r="6416" spans="1:5" x14ac:dyDescent="0.25">
      <c r="A6416" s="2">
        <f>IF(B6416="","",SUBTOTAL(3,$B$2:B6416))</f>
        <v>6415</v>
      </c>
      <c r="B6416" s="9" t="s">
        <v>48</v>
      </c>
      <c r="C6416" s="10" t="s">
        <v>49</v>
      </c>
      <c r="D6416" s="11">
        <v>15.403573629081947</v>
      </c>
      <c r="E6416" s="12">
        <f t="shared" si="100"/>
        <v>47854</v>
      </c>
    </row>
    <row r="6417" spans="1:5" x14ac:dyDescent="0.25">
      <c r="A6417" s="2">
        <f>IF(B6417="","",SUBTOTAL(3,$B$2:B6417))</f>
        <v>6416</v>
      </c>
      <c r="B6417" s="9" t="s">
        <v>48</v>
      </c>
      <c r="C6417" s="10" t="s">
        <v>49</v>
      </c>
      <c r="D6417" s="11">
        <v>15.403573629081947</v>
      </c>
      <c r="E6417" s="12">
        <f t="shared" si="100"/>
        <v>47855</v>
      </c>
    </row>
    <row r="6418" spans="1:5" x14ac:dyDescent="0.25">
      <c r="A6418" s="2">
        <f>IF(B6418="","",SUBTOTAL(3,$B$2:B6418))</f>
        <v>6417</v>
      </c>
      <c r="B6418" s="9" t="s">
        <v>48</v>
      </c>
      <c r="C6418" s="10" t="s">
        <v>49</v>
      </c>
      <c r="D6418" s="11">
        <v>15.403573629081947</v>
      </c>
      <c r="E6418" s="12">
        <f t="shared" si="100"/>
        <v>47856</v>
      </c>
    </row>
    <row r="6419" spans="1:5" x14ac:dyDescent="0.25">
      <c r="A6419" s="2">
        <f>IF(B6419="","",SUBTOTAL(3,$B$2:B6419))</f>
        <v>6418</v>
      </c>
      <c r="B6419" s="9" t="s">
        <v>48</v>
      </c>
      <c r="C6419" s="10" t="s">
        <v>49</v>
      </c>
      <c r="D6419" s="11">
        <v>15.403573629081947</v>
      </c>
      <c r="E6419" s="12">
        <f t="shared" si="100"/>
        <v>47857</v>
      </c>
    </row>
    <row r="6420" spans="1:5" x14ac:dyDescent="0.25">
      <c r="A6420" s="2">
        <f>IF(B6420="","",SUBTOTAL(3,$B$2:B6420))</f>
        <v>6419</v>
      </c>
      <c r="B6420" s="9" t="s">
        <v>48</v>
      </c>
      <c r="C6420" s="10" t="s">
        <v>49</v>
      </c>
      <c r="D6420" s="11">
        <v>15.403573629081947</v>
      </c>
      <c r="E6420" s="12">
        <f t="shared" si="100"/>
        <v>47858</v>
      </c>
    </row>
    <row r="6421" spans="1:5" x14ac:dyDescent="0.25">
      <c r="A6421" s="2">
        <f>IF(B6421="","",SUBTOTAL(3,$B$2:B6421))</f>
        <v>6420</v>
      </c>
      <c r="B6421" s="9" t="s">
        <v>48</v>
      </c>
      <c r="C6421" s="10" t="s">
        <v>49</v>
      </c>
      <c r="D6421" s="11">
        <v>15.403573629081947</v>
      </c>
      <c r="E6421" s="12">
        <f t="shared" si="100"/>
        <v>47859</v>
      </c>
    </row>
    <row r="6422" spans="1:5" x14ac:dyDescent="0.25">
      <c r="A6422" s="2">
        <f>IF(B6422="","",SUBTOTAL(3,$B$2:B6422))</f>
        <v>6421</v>
      </c>
      <c r="B6422" s="9" t="s">
        <v>48</v>
      </c>
      <c r="C6422" s="10" t="s">
        <v>49</v>
      </c>
      <c r="D6422" s="11">
        <v>15.403573629081947</v>
      </c>
      <c r="E6422" s="12">
        <f t="shared" si="100"/>
        <v>47860</v>
      </c>
    </row>
    <row r="6423" spans="1:5" x14ac:dyDescent="0.25">
      <c r="A6423" s="2">
        <f>IF(B6423="","",SUBTOTAL(3,$B$2:B6423))</f>
        <v>6422</v>
      </c>
      <c r="B6423" s="9" t="s">
        <v>48</v>
      </c>
      <c r="C6423" s="10" t="s">
        <v>49</v>
      </c>
      <c r="D6423" s="11">
        <v>15.403573629081947</v>
      </c>
      <c r="E6423" s="12">
        <f t="shared" si="100"/>
        <v>47861</v>
      </c>
    </row>
    <row r="6424" spans="1:5" x14ac:dyDescent="0.25">
      <c r="A6424" s="2">
        <f>IF(B6424="","",SUBTOTAL(3,$B$2:B6424))</f>
        <v>6423</v>
      </c>
      <c r="B6424" s="9" t="s">
        <v>48</v>
      </c>
      <c r="C6424" s="10" t="s">
        <v>49</v>
      </c>
      <c r="D6424" s="11">
        <v>15.403573629081947</v>
      </c>
      <c r="E6424" s="12">
        <f t="shared" si="100"/>
        <v>47862</v>
      </c>
    </row>
    <row r="6425" spans="1:5" x14ac:dyDescent="0.25">
      <c r="A6425" s="2">
        <f>IF(B6425="","",SUBTOTAL(3,$B$2:B6425))</f>
        <v>6424</v>
      </c>
      <c r="B6425" s="9" t="s">
        <v>48</v>
      </c>
      <c r="C6425" s="10" t="s">
        <v>49</v>
      </c>
      <c r="D6425" s="11">
        <v>15.403573629081947</v>
      </c>
      <c r="E6425" s="12">
        <f t="shared" si="100"/>
        <v>47863</v>
      </c>
    </row>
    <row r="6426" spans="1:5" x14ac:dyDescent="0.25">
      <c r="A6426" s="2">
        <f>IF(B6426="","",SUBTOTAL(3,$B$2:B6426))</f>
        <v>6425</v>
      </c>
      <c r="B6426" s="9" t="s">
        <v>48</v>
      </c>
      <c r="C6426" s="10" t="s">
        <v>49</v>
      </c>
      <c r="D6426" s="11">
        <v>15.403573629081947</v>
      </c>
      <c r="E6426" s="12">
        <f t="shared" si="100"/>
        <v>47864</v>
      </c>
    </row>
    <row r="6427" spans="1:5" x14ac:dyDescent="0.25">
      <c r="A6427" s="2">
        <f>IF(B6427="","",SUBTOTAL(3,$B$2:B6427))</f>
        <v>6426</v>
      </c>
      <c r="B6427" s="9" t="s">
        <v>48</v>
      </c>
      <c r="C6427" s="10" t="s">
        <v>49</v>
      </c>
      <c r="D6427" s="11">
        <v>15.403573629081947</v>
      </c>
      <c r="E6427" s="12">
        <f t="shared" si="100"/>
        <v>47865</v>
      </c>
    </row>
    <row r="6428" spans="1:5" x14ac:dyDescent="0.25">
      <c r="A6428" s="2">
        <f>IF(B6428="","",SUBTOTAL(3,$B$2:B6428))</f>
        <v>6427</v>
      </c>
      <c r="B6428" s="9" t="s">
        <v>48</v>
      </c>
      <c r="C6428" s="10" t="s">
        <v>49</v>
      </c>
      <c r="D6428" s="11">
        <v>15.403573629081947</v>
      </c>
      <c r="E6428" s="12">
        <f t="shared" si="100"/>
        <v>47866</v>
      </c>
    </row>
    <row r="6429" spans="1:5" x14ac:dyDescent="0.25">
      <c r="A6429" s="2">
        <f>IF(B6429="","",SUBTOTAL(3,$B$2:B6429))</f>
        <v>6428</v>
      </c>
      <c r="B6429" s="9" t="s">
        <v>48</v>
      </c>
      <c r="C6429" s="10" t="s">
        <v>49</v>
      </c>
      <c r="D6429" s="11">
        <v>15.403573629081947</v>
      </c>
      <c r="E6429" s="12">
        <f t="shared" si="100"/>
        <v>47867</v>
      </c>
    </row>
    <row r="6430" spans="1:5" x14ac:dyDescent="0.25">
      <c r="A6430" s="2">
        <f>IF(B6430="","",SUBTOTAL(3,$B$2:B6430))</f>
        <v>6429</v>
      </c>
      <c r="B6430" s="9" t="s">
        <v>55</v>
      </c>
      <c r="C6430" s="10" t="s">
        <v>49</v>
      </c>
      <c r="D6430" s="11">
        <v>64.195153265928425</v>
      </c>
      <c r="E6430" s="12">
        <f t="shared" si="100"/>
        <v>47868</v>
      </c>
    </row>
    <row r="6431" spans="1:5" x14ac:dyDescent="0.25">
      <c r="A6431" s="2">
        <f>IF(B6431="","",SUBTOTAL(3,$B$2:B6431))</f>
        <v>6430</v>
      </c>
      <c r="B6431" s="9" t="s">
        <v>50</v>
      </c>
      <c r="C6431" s="10" t="s">
        <v>49</v>
      </c>
      <c r="D6431" s="11">
        <v>44.804894179894184</v>
      </c>
      <c r="E6431" s="12">
        <f t="shared" si="100"/>
        <v>47869</v>
      </c>
    </row>
    <row r="6432" spans="1:5" x14ac:dyDescent="0.25">
      <c r="A6432" s="2">
        <f>IF(B6432="","",SUBTOTAL(3,$B$2:B6432))</f>
        <v>6431</v>
      </c>
      <c r="B6432" s="9" t="s">
        <v>48</v>
      </c>
      <c r="C6432" s="10" t="s">
        <v>54</v>
      </c>
      <c r="D6432" s="11">
        <v>7.0000000000000007E-2</v>
      </c>
      <c r="E6432" s="12">
        <f t="shared" si="100"/>
        <v>47870</v>
      </c>
    </row>
    <row r="6433" spans="1:5" x14ac:dyDescent="0.25">
      <c r="A6433" s="2">
        <f>IF(B6433="","",SUBTOTAL(3,$B$2:B6433))</f>
        <v>6432</v>
      </c>
      <c r="B6433" s="9" t="s">
        <v>48</v>
      </c>
      <c r="C6433" s="10" t="s">
        <v>54</v>
      </c>
      <c r="D6433" s="11">
        <v>0.06</v>
      </c>
      <c r="E6433" s="12">
        <f t="shared" si="100"/>
        <v>47871</v>
      </c>
    </row>
    <row r="6434" spans="1:5" x14ac:dyDescent="0.25">
      <c r="A6434" s="2">
        <f>IF(B6434="","",SUBTOTAL(3,$B$2:B6434))</f>
        <v>6433</v>
      </c>
      <c r="B6434" s="9" t="s">
        <v>48</v>
      </c>
      <c r="C6434" s="10" t="s">
        <v>49</v>
      </c>
      <c r="D6434" s="11">
        <v>0.7701786814540974</v>
      </c>
      <c r="E6434" s="12">
        <f t="shared" si="100"/>
        <v>47872</v>
      </c>
    </row>
    <row r="6435" spans="1:5" x14ac:dyDescent="0.25">
      <c r="A6435" s="2">
        <f>IF(B6435="","",SUBTOTAL(3,$B$2:B6435))</f>
        <v>6434</v>
      </c>
      <c r="B6435" s="9" t="s">
        <v>48</v>
      </c>
      <c r="C6435" s="10" t="s">
        <v>49</v>
      </c>
      <c r="D6435" s="11">
        <v>1.5403573629081948</v>
      </c>
      <c r="E6435" s="12">
        <f t="shared" si="100"/>
        <v>47873</v>
      </c>
    </row>
    <row r="6436" spans="1:5" x14ac:dyDescent="0.25">
      <c r="A6436" s="2">
        <f>IF(B6436="","",SUBTOTAL(3,$B$2:B6436))</f>
        <v>6435</v>
      </c>
      <c r="B6436" s="9" t="s">
        <v>48</v>
      </c>
      <c r="C6436" s="10" t="s">
        <v>49</v>
      </c>
      <c r="D6436" s="11">
        <v>1.5403573629081948</v>
      </c>
      <c r="E6436" s="12">
        <f t="shared" si="100"/>
        <v>47874</v>
      </c>
    </row>
    <row r="6437" spans="1:5" x14ac:dyDescent="0.25">
      <c r="A6437" s="2">
        <f>IF(B6437="","",SUBTOTAL(3,$B$2:B6437))</f>
        <v>6436</v>
      </c>
      <c r="B6437" s="9" t="s">
        <v>48</v>
      </c>
      <c r="C6437" s="10" t="s">
        <v>49</v>
      </c>
      <c r="D6437" s="11">
        <v>1.2322858903265556E-3</v>
      </c>
      <c r="E6437" s="12">
        <f t="shared" si="100"/>
        <v>47875</v>
      </c>
    </row>
    <row r="6438" spans="1:5" x14ac:dyDescent="0.25">
      <c r="A6438" s="2">
        <f>IF(B6438="","",SUBTOTAL(3,$B$2:B6438))</f>
        <v>6437</v>
      </c>
      <c r="B6438" s="9" t="s">
        <v>48</v>
      </c>
      <c r="C6438" s="10" t="s">
        <v>49</v>
      </c>
      <c r="D6438" s="11">
        <v>15.403573629081947</v>
      </c>
      <c r="E6438" s="12">
        <f t="shared" si="100"/>
        <v>47876</v>
      </c>
    </row>
    <row r="6439" spans="1:5" x14ac:dyDescent="0.25">
      <c r="A6439" s="2">
        <f>IF(B6439="","",SUBTOTAL(3,$B$2:B6439))</f>
        <v>6438</v>
      </c>
      <c r="B6439" s="9" t="s">
        <v>48</v>
      </c>
      <c r="C6439" s="10" t="s">
        <v>49</v>
      </c>
      <c r="D6439" s="11">
        <v>15.403573629081947</v>
      </c>
      <c r="E6439" s="12">
        <f t="shared" si="100"/>
        <v>47877</v>
      </c>
    </row>
    <row r="6440" spans="1:5" x14ac:dyDescent="0.25">
      <c r="A6440" s="2">
        <f>IF(B6440="","",SUBTOTAL(3,$B$2:B6440))</f>
        <v>6439</v>
      </c>
      <c r="B6440" s="9" t="s">
        <v>48</v>
      </c>
      <c r="C6440" s="10" t="s">
        <v>49</v>
      </c>
      <c r="D6440" s="11">
        <v>138.63216266173754</v>
      </c>
      <c r="E6440" s="12">
        <f t="shared" si="100"/>
        <v>47878</v>
      </c>
    </row>
    <row r="6441" spans="1:5" x14ac:dyDescent="0.25">
      <c r="A6441" s="2">
        <f>IF(B6441="","",SUBTOTAL(3,$B$2:B6441))</f>
        <v>6440</v>
      </c>
      <c r="B6441" s="9" t="s">
        <v>51</v>
      </c>
      <c r="C6441" s="10" t="s">
        <v>52</v>
      </c>
      <c r="D6441" s="11">
        <v>152.49391083342158</v>
      </c>
      <c r="E6441" s="12">
        <f t="shared" si="100"/>
        <v>47879</v>
      </c>
    </row>
    <row r="6442" spans="1:5" x14ac:dyDescent="0.25">
      <c r="A6442" s="2">
        <f>IF(B6442="","",SUBTOTAL(3,$B$2:B6442))</f>
        <v>6441</v>
      </c>
      <c r="B6442" s="9" t="s">
        <v>51</v>
      </c>
      <c r="C6442" s="10" t="s">
        <v>52</v>
      </c>
      <c r="D6442" s="11">
        <v>201.20724346076457</v>
      </c>
      <c r="E6442" s="12">
        <f t="shared" si="100"/>
        <v>47880</v>
      </c>
    </row>
    <row r="6443" spans="1:5" x14ac:dyDescent="0.25">
      <c r="A6443" s="2">
        <f>IF(B6443="","",SUBTOTAL(3,$B$2:B6443))</f>
        <v>6442</v>
      </c>
      <c r="B6443" s="9" t="s">
        <v>55</v>
      </c>
      <c r="C6443" s="10" t="s">
        <v>49</v>
      </c>
      <c r="D6443" s="11">
        <v>95</v>
      </c>
      <c r="E6443" s="12">
        <f t="shared" si="100"/>
        <v>47881</v>
      </c>
    </row>
    <row r="6444" spans="1:5" x14ac:dyDescent="0.25">
      <c r="A6444" s="2">
        <f>IF(B6444="","",SUBTOTAL(3,$B$2:B6444))</f>
        <v>6443</v>
      </c>
      <c r="B6444" s="9" t="s">
        <v>51</v>
      </c>
      <c r="C6444" s="10" t="s">
        <v>52</v>
      </c>
      <c r="D6444" s="11">
        <v>105.89854918987609</v>
      </c>
      <c r="E6444" s="12">
        <f t="shared" si="100"/>
        <v>47882</v>
      </c>
    </row>
    <row r="6445" spans="1:5" x14ac:dyDescent="0.25">
      <c r="A6445" s="2">
        <f>IF(B6445="","",SUBTOTAL(3,$B$2:B6445))</f>
        <v>6444</v>
      </c>
      <c r="B6445" s="9" t="s">
        <v>48</v>
      </c>
      <c r="C6445" s="10" t="s">
        <v>49</v>
      </c>
      <c r="D6445" s="11">
        <v>15.403573629081947</v>
      </c>
      <c r="E6445" s="12">
        <f t="shared" si="100"/>
        <v>47883</v>
      </c>
    </row>
    <row r="6446" spans="1:5" x14ac:dyDescent="0.25">
      <c r="A6446" s="2">
        <f>IF(B6446="","",SUBTOTAL(3,$B$2:B6446))</f>
        <v>6445</v>
      </c>
      <c r="B6446" s="9" t="s">
        <v>48</v>
      </c>
      <c r="C6446" s="10" t="s">
        <v>49</v>
      </c>
      <c r="D6446" s="11">
        <v>15.403573629081947</v>
      </c>
      <c r="E6446" s="12">
        <f t="shared" si="100"/>
        <v>47884</v>
      </c>
    </row>
    <row r="6447" spans="1:5" x14ac:dyDescent="0.25">
      <c r="A6447" s="2">
        <f>IF(B6447="","",SUBTOTAL(3,$B$2:B6447))</f>
        <v>6446</v>
      </c>
      <c r="B6447" s="9" t="s">
        <v>48</v>
      </c>
      <c r="C6447" s="10" t="s">
        <v>49</v>
      </c>
      <c r="D6447" s="11">
        <v>15.403573629081947</v>
      </c>
      <c r="E6447" s="12">
        <f t="shared" si="100"/>
        <v>47885</v>
      </c>
    </row>
    <row r="6448" spans="1:5" x14ac:dyDescent="0.25">
      <c r="A6448" s="2">
        <f>IF(B6448="","",SUBTOTAL(3,$B$2:B6448))</f>
        <v>6447</v>
      </c>
      <c r="B6448" s="9" t="s">
        <v>48</v>
      </c>
      <c r="C6448" s="10" t="s">
        <v>49</v>
      </c>
      <c r="D6448" s="11">
        <v>100.12322858903266</v>
      </c>
      <c r="E6448" s="12">
        <f t="shared" si="100"/>
        <v>47886</v>
      </c>
    </row>
    <row r="6449" spans="1:5" x14ac:dyDescent="0.25">
      <c r="A6449" s="2">
        <f>IF(B6449="","",SUBTOTAL(3,$B$2:B6449))</f>
        <v>6448</v>
      </c>
      <c r="B6449" s="9" t="s">
        <v>48</v>
      </c>
      <c r="C6449" s="10" t="s">
        <v>49</v>
      </c>
      <c r="D6449" s="11">
        <v>15.403573629081947</v>
      </c>
      <c r="E6449" s="12">
        <f t="shared" si="100"/>
        <v>47887</v>
      </c>
    </row>
    <row r="6450" spans="1:5" x14ac:dyDescent="0.25">
      <c r="A6450" s="2">
        <f>IF(B6450="","",SUBTOTAL(3,$B$2:B6450))</f>
        <v>6449</v>
      </c>
      <c r="B6450" s="9" t="s">
        <v>48</v>
      </c>
      <c r="C6450" s="10" t="s">
        <v>49</v>
      </c>
      <c r="D6450" s="11">
        <v>92.421441774491683</v>
      </c>
      <c r="E6450" s="12">
        <f t="shared" si="100"/>
        <v>47888</v>
      </c>
    </row>
    <row r="6451" spans="1:5" x14ac:dyDescent="0.25">
      <c r="A6451" s="2">
        <f>IF(B6451="","",SUBTOTAL(3,$B$2:B6451))</f>
        <v>6450</v>
      </c>
      <c r="B6451" s="9" t="s">
        <v>48</v>
      </c>
      <c r="C6451" s="10" t="s">
        <v>49</v>
      </c>
      <c r="D6451" s="11">
        <v>15.403573629081947</v>
      </c>
      <c r="E6451" s="12">
        <f t="shared" si="100"/>
        <v>47889</v>
      </c>
    </row>
    <row r="6452" spans="1:5" x14ac:dyDescent="0.25">
      <c r="A6452" s="2">
        <f>IF(B6452="","",SUBTOTAL(3,$B$2:B6452))</f>
        <v>6451</v>
      </c>
      <c r="B6452" s="9" t="s">
        <v>48</v>
      </c>
      <c r="C6452" s="10" t="s">
        <v>49</v>
      </c>
      <c r="D6452" s="11">
        <v>15.403573629081947</v>
      </c>
      <c r="E6452" s="12">
        <f t="shared" si="100"/>
        <v>47890</v>
      </c>
    </row>
    <row r="6453" spans="1:5" x14ac:dyDescent="0.25">
      <c r="A6453" s="2">
        <f>IF(B6453="","",SUBTOTAL(3,$B$2:B6453))</f>
        <v>6452</v>
      </c>
      <c r="B6453" s="9" t="s">
        <v>48</v>
      </c>
      <c r="C6453" s="10" t="s">
        <v>49</v>
      </c>
      <c r="D6453" s="11">
        <v>15.403573629081947</v>
      </c>
      <c r="E6453" s="12">
        <f t="shared" si="100"/>
        <v>47891</v>
      </c>
    </row>
    <row r="6454" spans="1:5" x14ac:dyDescent="0.25">
      <c r="A6454" s="2">
        <f>IF(B6454="","",SUBTOTAL(3,$B$2:B6454))</f>
        <v>6453</v>
      </c>
      <c r="B6454" s="9" t="s">
        <v>48</v>
      </c>
      <c r="C6454" s="10" t="s">
        <v>49</v>
      </c>
      <c r="D6454" s="11">
        <v>77.017868145409736</v>
      </c>
      <c r="E6454" s="12">
        <f t="shared" si="100"/>
        <v>47892</v>
      </c>
    </row>
    <row r="6455" spans="1:5" x14ac:dyDescent="0.25">
      <c r="A6455" s="2">
        <f>IF(B6455="","",SUBTOTAL(3,$B$2:B6455))</f>
        <v>6454</v>
      </c>
      <c r="B6455" s="9" t="s">
        <v>48</v>
      </c>
      <c r="C6455" s="10" t="s">
        <v>49</v>
      </c>
      <c r="D6455" s="11">
        <v>15.403573629081947</v>
      </c>
      <c r="E6455" s="12">
        <f t="shared" si="100"/>
        <v>47893</v>
      </c>
    </row>
    <row r="6456" spans="1:5" x14ac:dyDescent="0.25">
      <c r="A6456" s="2">
        <f>IF(B6456="","",SUBTOTAL(3,$B$2:B6456))</f>
        <v>6455</v>
      </c>
      <c r="B6456" s="9" t="s">
        <v>48</v>
      </c>
      <c r="C6456" s="10" t="s">
        <v>49</v>
      </c>
      <c r="D6456" s="11">
        <v>15.403573629081947</v>
      </c>
      <c r="E6456" s="12">
        <f t="shared" si="100"/>
        <v>47894</v>
      </c>
    </row>
    <row r="6457" spans="1:5" x14ac:dyDescent="0.25">
      <c r="A6457" s="2">
        <f>IF(B6457="","",SUBTOTAL(3,$B$2:B6457))</f>
        <v>6456</v>
      </c>
      <c r="B6457" s="9" t="s">
        <v>48</v>
      </c>
      <c r="C6457" s="10" t="s">
        <v>49</v>
      </c>
      <c r="D6457" s="11">
        <v>15.403573629081947</v>
      </c>
      <c r="E6457" s="12">
        <f t="shared" si="100"/>
        <v>47895</v>
      </c>
    </row>
    <row r="6458" spans="1:5" x14ac:dyDescent="0.25">
      <c r="A6458" s="2">
        <f>IF(B6458="","",SUBTOTAL(3,$B$2:B6458))</f>
        <v>6457</v>
      </c>
      <c r="B6458" s="9" t="s">
        <v>48</v>
      </c>
      <c r="C6458" s="10" t="s">
        <v>49</v>
      </c>
      <c r="D6458" s="11">
        <v>123.22858903265558</v>
      </c>
      <c r="E6458" s="12">
        <f t="shared" si="100"/>
        <v>47896</v>
      </c>
    </row>
    <row r="6459" spans="1:5" x14ac:dyDescent="0.25">
      <c r="A6459" s="2">
        <f>IF(B6459="","",SUBTOTAL(3,$B$2:B6459))</f>
        <v>6458</v>
      </c>
      <c r="B6459" s="9" t="s">
        <v>48</v>
      </c>
      <c r="C6459" s="10" t="s">
        <v>49</v>
      </c>
      <c r="D6459" s="11">
        <v>15.403573629081947</v>
      </c>
      <c r="E6459" s="12">
        <f t="shared" si="100"/>
        <v>47897</v>
      </c>
    </row>
    <row r="6460" spans="1:5" x14ac:dyDescent="0.25">
      <c r="A6460" s="2">
        <f>IF(B6460="","",SUBTOTAL(3,$B$2:B6460))</f>
        <v>6459</v>
      </c>
      <c r="B6460" s="9" t="s">
        <v>51</v>
      </c>
      <c r="C6460" s="10" t="s">
        <v>52</v>
      </c>
      <c r="D6460" s="11">
        <v>28.592608281266543</v>
      </c>
      <c r="E6460" s="12">
        <f t="shared" si="100"/>
        <v>47898</v>
      </c>
    </row>
    <row r="6461" spans="1:5" x14ac:dyDescent="0.25">
      <c r="A6461" s="2">
        <f>IF(B6461="","",SUBTOTAL(3,$B$2:B6461))</f>
        <v>6460</v>
      </c>
      <c r="B6461" s="9" t="s">
        <v>48</v>
      </c>
      <c r="C6461" s="10" t="s">
        <v>49</v>
      </c>
      <c r="D6461" s="11">
        <v>15.403573629081947</v>
      </c>
      <c r="E6461" s="12">
        <f t="shared" si="100"/>
        <v>47899</v>
      </c>
    </row>
    <row r="6462" spans="1:5" x14ac:dyDescent="0.25">
      <c r="A6462" s="2">
        <f>IF(B6462="","",SUBTOTAL(3,$B$2:B6462))</f>
        <v>6461</v>
      </c>
      <c r="B6462" s="9" t="s">
        <v>48</v>
      </c>
      <c r="C6462" s="10" t="s">
        <v>49</v>
      </c>
      <c r="D6462" s="11">
        <v>15.403573629081947</v>
      </c>
      <c r="E6462" s="12">
        <f t="shared" si="100"/>
        <v>47900</v>
      </c>
    </row>
    <row r="6463" spans="1:5" x14ac:dyDescent="0.25">
      <c r="A6463" s="2">
        <f>IF(B6463="","",SUBTOTAL(3,$B$2:B6463))</f>
        <v>6462</v>
      </c>
      <c r="B6463" s="9" t="s">
        <v>48</v>
      </c>
      <c r="C6463" s="10" t="s">
        <v>49</v>
      </c>
      <c r="D6463" s="11">
        <v>15.403573629081947</v>
      </c>
      <c r="E6463" s="12">
        <f t="shared" si="100"/>
        <v>47901</v>
      </c>
    </row>
    <row r="6464" spans="1:5" x14ac:dyDescent="0.25">
      <c r="A6464" s="2">
        <f>IF(B6464="","",SUBTOTAL(3,$B$2:B6464))</f>
        <v>6463</v>
      </c>
      <c r="B6464" s="9" t="s">
        <v>48</v>
      </c>
      <c r="C6464" s="10" t="s">
        <v>49</v>
      </c>
      <c r="D6464" s="11">
        <v>15.403573629081947</v>
      </c>
      <c r="E6464" s="12">
        <f t="shared" si="100"/>
        <v>47902</v>
      </c>
    </row>
    <row r="6465" spans="1:5" x14ac:dyDescent="0.25">
      <c r="A6465" s="2">
        <f>IF(B6465="","",SUBTOTAL(3,$B$2:B6465))</f>
        <v>6464</v>
      </c>
      <c r="B6465" s="9" t="s">
        <v>48</v>
      </c>
      <c r="C6465" s="10" t="s">
        <v>49</v>
      </c>
      <c r="D6465" s="11">
        <v>15.403573629081947</v>
      </c>
      <c r="E6465" s="12">
        <f t="shared" si="100"/>
        <v>47903</v>
      </c>
    </row>
    <row r="6466" spans="1:5" x14ac:dyDescent="0.25">
      <c r="A6466" s="2">
        <f>IF(B6466="","",SUBTOTAL(3,$B$2:B6466))</f>
        <v>6465</v>
      </c>
      <c r="B6466" s="9" t="s">
        <v>48</v>
      </c>
      <c r="C6466" s="10" t="s">
        <v>49</v>
      </c>
      <c r="D6466" s="11">
        <v>15.403573629081947</v>
      </c>
      <c r="E6466" s="12">
        <f t="shared" si="100"/>
        <v>47904</v>
      </c>
    </row>
    <row r="6467" spans="1:5" x14ac:dyDescent="0.25">
      <c r="A6467" s="2">
        <f>IF(B6467="","",SUBTOTAL(3,$B$2:B6467))</f>
        <v>6466</v>
      </c>
      <c r="B6467" s="9" t="s">
        <v>48</v>
      </c>
      <c r="C6467" s="10" t="s">
        <v>49</v>
      </c>
      <c r="D6467" s="11">
        <v>15.403573629081947</v>
      </c>
      <c r="E6467" s="12">
        <f t="shared" si="100"/>
        <v>47905</v>
      </c>
    </row>
    <row r="6468" spans="1:5" x14ac:dyDescent="0.25">
      <c r="A6468" s="2">
        <f>IF(B6468="","",SUBTOTAL(3,$B$2:B6468))</f>
        <v>6467</v>
      </c>
      <c r="B6468" s="9" t="s">
        <v>48</v>
      </c>
      <c r="C6468" s="10" t="s">
        <v>49</v>
      </c>
      <c r="D6468" s="11">
        <v>15.403573629081947</v>
      </c>
      <c r="E6468" s="12">
        <f t="shared" ref="E6468:E6531" si="101">E6467+1</f>
        <v>47906</v>
      </c>
    </row>
    <row r="6469" spans="1:5" x14ac:dyDescent="0.25">
      <c r="A6469" s="2">
        <f>IF(B6469="","",SUBTOTAL(3,$B$2:B6469))</f>
        <v>6468</v>
      </c>
      <c r="B6469" s="9" t="s">
        <v>48</v>
      </c>
      <c r="C6469" s="10" t="s">
        <v>49</v>
      </c>
      <c r="D6469" s="11">
        <v>15.403573629081947</v>
      </c>
      <c r="E6469" s="12">
        <f t="shared" si="101"/>
        <v>47907</v>
      </c>
    </row>
    <row r="6470" spans="1:5" x14ac:dyDescent="0.25">
      <c r="A6470" s="2">
        <f>IF(B6470="","",SUBTOTAL(3,$B$2:B6470))</f>
        <v>6469</v>
      </c>
      <c r="B6470" s="9" t="s">
        <v>48</v>
      </c>
      <c r="C6470" s="10" t="s">
        <v>49</v>
      </c>
      <c r="D6470" s="11">
        <v>15.403573629081947</v>
      </c>
      <c r="E6470" s="12">
        <f t="shared" si="101"/>
        <v>47908</v>
      </c>
    </row>
    <row r="6471" spans="1:5" x14ac:dyDescent="0.25">
      <c r="A6471" s="2">
        <f>IF(B6471="","",SUBTOTAL(3,$B$2:B6471))</f>
        <v>6470</v>
      </c>
      <c r="B6471" s="9" t="s">
        <v>48</v>
      </c>
      <c r="C6471" s="10" t="s">
        <v>49</v>
      </c>
      <c r="D6471" s="11">
        <v>15.403573629081947</v>
      </c>
      <c r="E6471" s="12">
        <f t="shared" si="101"/>
        <v>47909</v>
      </c>
    </row>
    <row r="6472" spans="1:5" x14ac:dyDescent="0.25">
      <c r="A6472" s="2">
        <f>IF(B6472="","",SUBTOTAL(3,$B$2:B6472))</f>
        <v>6471</v>
      </c>
      <c r="B6472" s="9" t="s">
        <v>48</v>
      </c>
      <c r="C6472" s="10" t="s">
        <v>49</v>
      </c>
      <c r="D6472" s="11">
        <v>15.403573629081947</v>
      </c>
      <c r="E6472" s="12">
        <f t="shared" si="101"/>
        <v>47910</v>
      </c>
    </row>
    <row r="6473" spans="1:5" x14ac:dyDescent="0.25">
      <c r="A6473" s="2">
        <f>IF(B6473="","",SUBTOTAL(3,$B$2:B6473))</f>
        <v>6472</v>
      </c>
      <c r="B6473" s="9" t="s">
        <v>48</v>
      </c>
      <c r="C6473" s="10" t="s">
        <v>49</v>
      </c>
      <c r="D6473" s="11">
        <v>15.403573629081947</v>
      </c>
      <c r="E6473" s="12">
        <f t="shared" si="101"/>
        <v>47911</v>
      </c>
    </row>
    <row r="6474" spans="1:5" x14ac:dyDescent="0.25">
      <c r="A6474" s="2">
        <f>IF(B6474="","",SUBTOTAL(3,$B$2:B6474))</f>
        <v>6473</v>
      </c>
      <c r="B6474" s="9" t="s">
        <v>48</v>
      </c>
      <c r="C6474" s="10" t="s">
        <v>49</v>
      </c>
      <c r="D6474" s="11">
        <v>15.403573629081947</v>
      </c>
      <c r="E6474" s="12">
        <f t="shared" si="101"/>
        <v>47912</v>
      </c>
    </row>
    <row r="6475" spans="1:5" x14ac:dyDescent="0.25">
      <c r="A6475" s="2">
        <f>IF(B6475="","",SUBTOTAL(3,$B$2:B6475))</f>
        <v>6474</v>
      </c>
      <c r="B6475" s="9" t="s">
        <v>48</v>
      </c>
      <c r="C6475" s="10" t="s">
        <v>49</v>
      </c>
      <c r="D6475" s="11">
        <v>15.403573629081947</v>
      </c>
      <c r="E6475" s="12">
        <f t="shared" si="101"/>
        <v>47913</v>
      </c>
    </row>
    <row r="6476" spans="1:5" x14ac:dyDescent="0.25">
      <c r="A6476" s="2">
        <f>IF(B6476="","",SUBTOTAL(3,$B$2:B6476))</f>
        <v>6475</v>
      </c>
      <c r="B6476" s="9" t="s">
        <v>48</v>
      </c>
      <c r="C6476" s="10" t="s">
        <v>49</v>
      </c>
      <c r="D6476" s="11">
        <v>15.403573629081947</v>
      </c>
      <c r="E6476" s="12">
        <f t="shared" si="101"/>
        <v>47914</v>
      </c>
    </row>
    <row r="6477" spans="1:5" x14ac:dyDescent="0.25">
      <c r="A6477" s="2">
        <f>IF(B6477="","",SUBTOTAL(3,$B$2:B6477))</f>
        <v>6476</v>
      </c>
      <c r="B6477" s="9" t="s">
        <v>48</v>
      </c>
      <c r="C6477" s="10" t="s">
        <v>49</v>
      </c>
      <c r="D6477" s="11">
        <v>15.403573629081947</v>
      </c>
      <c r="E6477" s="12">
        <f t="shared" si="101"/>
        <v>47915</v>
      </c>
    </row>
    <row r="6478" spans="1:5" x14ac:dyDescent="0.25">
      <c r="A6478" s="2">
        <f>IF(B6478="","",SUBTOTAL(3,$B$2:B6478))</f>
        <v>6477</v>
      </c>
      <c r="B6478" s="9" t="s">
        <v>48</v>
      </c>
      <c r="C6478" s="10" t="s">
        <v>49</v>
      </c>
      <c r="D6478" s="11">
        <v>15.403573629081947</v>
      </c>
      <c r="E6478" s="12">
        <f t="shared" si="101"/>
        <v>47916</v>
      </c>
    </row>
    <row r="6479" spans="1:5" x14ac:dyDescent="0.25">
      <c r="A6479" s="2">
        <f>IF(B6479="","",SUBTOTAL(3,$B$2:B6479))</f>
        <v>6478</v>
      </c>
      <c r="B6479" s="9" t="s">
        <v>48</v>
      </c>
      <c r="C6479" s="10" t="s">
        <v>49</v>
      </c>
      <c r="D6479" s="11">
        <v>15.403573629081947</v>
      </c>
      <c r="E6479" s="12">
        <f t="shared" si="101"/>
        <v>47917</v>
      </c>
    </row>
    <row r="6480" spans="1:5" x14ac:dyDescent="0.25">
      <c r="A6480" s="2">
        <f>IF(B6480="","",SUBTOTAL(3,$B$2:B6480))</f>
        <v>6479</v>
      </c>
      <c r="B6480" s="9" t="s">
        <v>48</v>
      </c>
      <c r="C6480" s="10" t="s">
        <v>49</v>
      </c>
      <c r="D6480" s="11">
        <v>15.403573629081947</v>
      </c>
      <c r="E6480" s="12">
        <f t="shared" si="101"/>
        <v>47918</v>
      </c>
    </row>
    <row r="6481" spans="1:5" x14ac:dyDescent="0.25">
      <c r="A6481" s="2">
        <f>IF(B6481="","",SUBTOTAL(3,$B$2:B6481))</f>
        <v>6480</v>
      </c>
      <c r="B6481" s="9" t="s">
        <v>48</v>
      </c>
      <c r="C6481" s="10" t="s">
        <v>49</v>
      </c>
      <c r="D6481" s="11">
        <v>15.403573629081947</v>
      </c>
      <c r="E6481" s="12">
        <f t="shared" si="101"/>
        <v>47919</v>
      </c>
    </row>
    <row r="6482" spans="1:5" x14ac:dyDescent="0.25">
      <c r="A6482" s="2">
        <f>IF(B6482="","",SUBTOTAL(3,$B$2:B6482))</f>
        <v>6481</v>
      </c>
      <c r="B6482" s="9" t="s">
        <v>48</v>
      </c>
      <c r="C6482" s="10" t="s">
        <v>49</v>
      </c>
      <c r="D6482" s="11">
        <v>15.403573629081947</v>
      </c>
      <c r="E6482" s="12">
        <f t="shared" si="101"/>
        <v>47920</v>
      </c>
    </row>
    <row r="6483" spans="1:5" x14ac:dyDescent="0.25">
      <c r="A6483" s="2">
        <f>IF(B6483="","",SUBTOTAL(3,$B$2:B6483))</f>
        <v>6482</v>
      </c>
      <c r="B6483" s="9" t="s">
        <v>48</v>
      </c>
      <c r="C6483" s="10" t="s">
        <v>49</v>
      </c>
      <c r="D6483" s="11">
        <v>15.403573629081947</v>
      </c>
      <c r="E6483" s="12">
        <f t="shared" si="101"/>
        <v>47921</v>
      </c>
    </row>
    <row r="6484" spans="1:5" x14ac:dyDescent="0.25">
      <c r="A6484" s="2">
        <f>IF(B6484="","",SUBTOTAL(3,$B$2:B6484))</f>
        <v>6483</v>
      </c>
      <c r="B6484" s="9" t="s">
        <v>48</v>
      </c>
      <c r="C6484" s="10" t="s">
        <v>49</v>
      </c>
      <c r="D6484" s="11">
        <v>15.403573629081947</v>
      </c>
      <c r="E6484" s="12">
        <f t="shared" si="101"/>
        <v>47922</v>
      </c>
    </row>
    <row r="6485" spans="1:5" x14ac:dyDescent="0.25">
      <c r="A6485" s="2">
        <f>IF(B6485="","",SUBTOTAL(3,$B$2:B6485))</f>
        <v>6484</v>
      </c>
      <c r="B6485" s="9" t="s">
        <v>48</v>
      </c>
      <c r="C6485" s="10" t="s">
        <v>49</v>
      </c>
      <c r="D6485" s="11">
        <v>15.403573629081947</v>
      </c>
      <c r="E6485" s="12">
        <f t="shared" si="101"/>
        <v>47923</v>
      </c>
    </row>
    <row r="6486" spans="1:5" x14ac:dyDescent="0.25">
      <c r="A6486" s="2">
        <f>IF(B6486="","",SUBTOTAL(3,$B$2:B6486))</f>
        <v>6485</v>
      </c>
      <c r="B6486" s="9" t="s">
        <v>48</v>
      </c>
      <c r="C6486" s="10" t="s">
        <v>49</v>
      </c>
      <c r="D6486" s="11">
        <v>15.403573629081947</v>
      </c>
      <c r="E6486" s="12">
        <f t="shared" si="101"/>
        <v>47924</v>
      </c>
    </row>
    <row r="6487" spans="1:5" x14ac:dyDescent="0.25">
      <c r="A6487" s="2">
        <f>IF(B6487="","",SUBTOTAL(3,$B$2:B6487))</f>
        <v>6486</v>
      </c>
      <c r="B6487" s="9" t="s">
        <v>55</v>
      </c>
      <c r="C6487" s="10" t="s">
        <v>52</v>
      </c>
      <c r="D6487" s="11">
        <v>500</v>
      </c>
      <c r="E6487" s="12">
        <f t="shared" si="101"/>
        <v>47925</v>
      </c>
    </row>
    <row r="6488" spans="1:5" x14ac:dyDescent="0.25">
      <c r="A6488" s="2">
        <f>IF(B6488="","",SUBTOTAL(3,$B$2:B6488))</f>
        <v>6487</v>
      </c>
      <c r="B6488" s="9" t="s">
        <v>48</v>
      </c>
      <c r="C6488" s="10" t="s">
        <v>52</v>
      </c>
      <c r="D6488" s="11">
        <v>128.48020762401552</v>
      </c>
      <c r="E6488" s="12">
        <f t="shared" si="101"/>
        <v>47926</v>
      </c>
    </row>
    <row r="6489" spans="1:5" x14ac:dyDescent="0.25">
      <c r="A6489" s="2">
        <f>IF(B6489="","",SUBTOTAL(3,$B$2:B6489))</f>
        <v>6488</v>
      </c>
      <c r="B6489" s="9" t="s">
        <v>51</v>
      </c>
      <c r="C6489" s="10" t="s">
        <v>49</v>
      </c>
      <c r="D6489" s="11">
        <v>84.718839351900883</v>
      </c>
      <c r="E6489" s="12">
        <f t="shared" si="101"/>
        <v>47927</v>
      </c>
    </row>
    <row r="6490" spans="1:5" x14ac:dyDescent="0.25">
      <c r="A6490" s="2">
        <f>IF(B6490="","",SUBTOTAL(3,$B$2:B6490))</f>
        <v>6489</v>
      </c>
      <c r="B6490" s="9" t="s">
        <v>48</v>
      </c>
      <c r="C6490" s="10" t="s">
        <v>49</v>
      </c>
      <c r="D6490" s="11">
        <v>2.5696041524803106</v>
      </c>
      <c r="E6490" s="12">
        <f t="shared" si="101"/>
        <v>47928</v>
      </c>
    </row>
    <row r="6491" spans="1:5" x14ac:dyDescent="0.25">
      <c r="A6491" s="2">
        <f>IF(B6491="","",SUBTOTAL(3,$B$2:B6491))</f>
        <v>6490</v>
      </c>
      <c r="B6491" s="9" t="s">
        <v>48</v>
      </c>
      <c r="C6491" s="10" t="s">
        <v>56</v>
      </c>
      <c r="D6491" s="11">
        <v>46.252874744645588</v>
      </c>
      <c r="E6491" s="12">
        <f t="shared" si="101"/>
        <v>47929</v>
      </c>
    </row>
    <row r="6492" spans="1:5" x14ac:dyDescent="0.25">
      <c r="A6492" s="2">
        <f>IF(B6492="","",SUBTOTAL(3,$B$2:B6492))</f>
        <v>6491</v>
      </c>
      <c r="B6492" s="9" t="s">
        <v>51</v>
      </c>
      <c r="C6492" s="10" t="s">
        <v>54</v>
      </c>
      <c r="D6492" s="11">
        <v>317.69564756962825</v>
      </c>
      <c r="E6492" s="12">
        <f t="shared" si="101"/>
        <v>47930</v>
      </c>
    </row>
    <row r="6493" spans="1:5" x14ac:dyDescent="0.25">
      <c r="A6493" s="2">
        <f>IF(B6493="","",SUBTOTAL(3,$B$2:B6493))</f>
        <v>6492</v>
      </c>
      <c r="B6493" s="9" t="s">
        <v>55</v>
      </c>
      <c r="C6493" s="10" t="s">
        <v>49</v>
      </c>
      <c r="D6493" s="11">
        <v>870.57012909450089</v>
      </c>
      <c r="E6493" s="12">
        <f t="shared" si="101"/>
        <v>47931</v>
      </c>
    </row>
    <row r="6494" spans="1:5" x14ac:dyDescent="0.25">
      <c r="A6494" s="2">
        <f>IF(B6494="","",SUBTOTAL(3,$B$2:B6494))</f>
        <v>6493</v>
      </c>
      <c r="B6494" s="9" t="s">
        <v>55</v>
      </c>
      <c r="C6494" s="10" t="s">
        <v>49</v>
      </c>
      <c r="D6494" s="11">
        <v>4.0215088805605346</v>
      </c>
      <c r="E6494" s="12">
        <f t="shared" si="101"/>
        <v>47932</v>
      </c>
    </row>
    <row r="6495" spans="1:5" x14ac:dyDescent="0.25">
      <c r="A6495" s="2">
        <f>IF(B6495="","",SUBTOTAL(3,$B$2:B6495))</f>
        <v>6494</v>
      </c>
      <c r="B6495" s="9" t="s">
        <v>50</v>
      </c>
      <c r="C6495" s="10" t="s">
        <v>49</v>
      </c>
      <c r="D6495" s="11">
        <v>248.51785714285717</v>
      </c>
      <c r="E6495" s="12">
        <f t="shared" si="101"/>
        <v>47933</v>
      </c>
    </row>
    <row r="6496" spans="1:5" x14ac:dyDescent="0.25">
      <c r="A6496" s="2">
        <f>IF(B6496="","",SUBTOTAL(3,$B$2:B6496))</f>
        <v>6495</v>
      </c>
      <c r="B6496" s="9" t="s">
        <v>50</v>
      </c>
      <c r="C6496" s="10" t="s">
        <v>49</v>
      </c>
      <c r="D6496" s="11">
        <v>76.168981481481495</v>
      </c>
      <c r="E6496" s="12">
        <f t="shared" si="101"/>
        <v>47934</v>
      </c>
    </row>
    <row r="6497" spans="1:5" x14ac:dyDescent="0.25">
      <c r="A6497" s="2">
        <f>IF(B6497="","",SUBTOTAL(3,$B$2:B6497))</f>
        <v>6496</v>
      </c>
      <c r="B6497" s="9" t="s">
        <v>51</v>
      </c>
      <c r="C6497" s="10" t="s">
        <v>52</v>
      </c>
      <c r="D6497" s="11">
        <v>211.79709837975219</v>
      </c>
      <c r="E6497" s="12">
        <f t="shared" si="101"/>
        <v>47935</v>
      </c>
    </row>
    <row r="6498" spans="1:5" x14ac:dyDescent="0.25">
      <c r="A6498" s="2">
        <f>IF(B6498="","",SUBTOTAL(3,$B$2:B6498))</f>
        <v>6497</v>
      </c>
      <c r="B6498" s="9" t="s">
        <v>48</v>
      </c>
      <c r="C6498" s="10" t="s">
        <v>54</v>
      </c>
      <c r="D6498" s="11">
        <v>61.614294516327789</v>
      </c>
      <c r="E6498" s="12">
        <f t="shared" si="101"/>
        <v>47936</v>
      </c>
    </row>
    <row r="6499" spans="1:5" x14ac:dyDescent="0.25">
      <c r="A6499" s="2">
        <f>IF(B6499="","",SUBTOTAL(3,$B$2:B6499))</f>
        <v>6498</v>
      </c>
      <c r="B6499" s="9" t="s">
        <v>50</v>
      </c>
      <c r="C6499" s="10" t="s">
        <v>54</v>
      </c>
      <c r="D6499" s="11">
        <v>6.9259259259259265</v>
      </c>
      <c r="E6499" s="12">
        <f t="shared" si="101"/>
        <v>47937</v>
      </c>
    </row>
    <row r="6500" spans="1:5" x14ac:dyDescent="0.25">
      <c r="A6500" s="2">
        <f>IF(B6500="","",SUBTOTAL(3,$B$2:B6500))</f>
        <v>6499</v>
      </c>
      <c r="B6500" s="9" t="s">
        <v>48</v>
      </c>
      <c r="C6500" s="10" t="s">
        <v>49</v>
      </c>
      <c r="D6500" s="11">
        <v>46.210720887245841</v>
      </c>
      <c r="E6500" s="12">
        <f t="shared" si="101"/>
        <v>47938</v>
      </c>
    </row>
    <row r="6501" spans="1:5" x14ac:dyDescent="0.25">
      <c r="A6501" s="2">
        <f>IF(B6501="","",SUBTOTAL(3,$B$2:B6501))</f>
        <v>6500</v>
      </c>
      <c r="B6501" s="9" t="s">
        <v>48</v>
      </c>
      <c r="C6501" s="10" t="s">
        <v>49</v>
      </c>
      <c r="D6501" s="11">
        <v>15.403573629081947</v>
      </c>
      <c r="E6501" s="12">
        <f t="shared" si="101"/>
        <v>47939</v>
      </c>
    </row>
    <row r="6502" spans="1:5" x14ac:dyDescent="0.25">
      <c r="A6502" s="2">
        <f>IF(B6502="","",SUBTOTAL(3,$B$2:B6502))</f>
        <v>6501</v>
      </c>
      <c r="B6502" s="9" t="s">
        <v>48</v>
      </c>
      <c r="C6502" s="10" t="s">
        <v>49</v>
      </c>
      <c r="D6502" s="11">
        <v>15.403573629081947</v>
      </c>
      <c r="E6502" s="12">
        <f t="shared" si="101"/>
        <v>47940</v>
      </c>
    </row>
    <row r="6503" spans="1:5" x14ac:dyDescent="0.25">
      <c r="A6503" s="2">
        <f>IF(B6503="","",SUBTOTAL(3,$B$2:B6503))</f>
        <v>6502</v>
      </c>
      <c r="B6503" s="9" t="s">
        <v>48</v>
      </c>
      <c r="C6503" s="10" t="s">
        <v>52</v>
      </c>
      <c r="D6503" s="11">
        <v>46.210720887245841</v>
      </c>
      <c r="E6503" s="12">
        <f t="shared" si="101"/>
        <v>47941</v>
      </c>
    </row>
    <row r="6504" spans="1:5" x14ac:dyDescent="0.25">
      <c r="A6504" s="2">
        <f>IF(B6504="","",SUBTOTAL(3,$B$2:B6504))</f>
        <v>6503</v>
      </c>
      <c r="B6504" s="9" t="s">
        <v>55</v>
      </c>
      <c r="C6504" s="10" t="s">
        <v>49</v>
      </c>
      <c r="D6504" s="11">
        <v>3.2589212970506765E-2</v>
      </c>
      <c r="E6504" s="12">
        <f t="shared" si="101"/>
        <v>47942</v>
      </c>
    </row>
    <row r="6505" spans="1:5" x14ac:dyDescent="0.25">
      <c r="A6505" s="2">
        <f>IF(B6505="","",SUBTOTAL(3,$B$2:B6505))</f>
        <v>6504</v>
      </c>
      <c r="B6505" s="9" t="s">
        <v>55</v>
      </c>
      <c r="C6505" s="10" t="s">
        <v>49</v>
      </c>
      <c r="D6505" s="11">
        <v>54.573896040410624</v>
      </c>
      <c r="E6505" s="12">
        <f t="shared" si="101"/>
        <v>47943</v>
      </c>
    </row>
    <row r="6506" spans="1:5" x14ac:dyDescent="0.25">
      <c r="A6506" s="2">
        <f>IF(B6506="","",SUBTOTAL(3,$B$2:B6506))</f>
        <v>6505</v>
      </c>
      <c r="B6506" s="9" t="s">
        <v>50</v>
      </c>
      <c r="C6506" s="10" t="s">
        <v>49</v>
      </c>
      <c r="D6506" s="11">
        <v>14.880952380952381</v>
      </c>
      <c r="E6506" s="12">
        <f t="shared" si="101"/>
        <v>47944</v>
      </c>
    </row>
    <row r="6507" spans="1:5" x14ac:dyDescent="0.25">
      <c r="A6507" s="2">
        <f>IF(B6507="","",SUBTOTAL(3,$B$2:B6507))</f>
        <v>6506</v>
      </c>
      <c r="B6507" s="9" t="s">
        <v>50</v>
      </c>
      <c r="C6507" s="10" t="s">
        <v>54</v>
      </c>
      <c r="D6507" s="11">
        <v>11.022927689594356</v>
      </c>
      <c r="E6507" s="12">
        <f t="shared" si="101"/>
        <v>47945</v>
      </c>
    </row>
    <row r="6508" spans="1:5" x14ac:dyDescent="0.25">
      <c r="A6508" s="2">
        <f>IF(B6508="","",SUBTOTAL(3,$B$2:B6508))</f>
        <v>6507</v>
      </c>
      <c r="B6508" s="9" t="s">
        <v>51</v>
      </c>
      <c r="C6508" s="10" t="s">
        <v>52</v>
      </c>
      <c r="D6508" s="11">
        <v>158.84782378481412</v>
      </c>
      <c r="E6508" s="12">
        <f t="shared" si="101"/>
        <v>47946</v>
      </c>
    </row>
    <row r="6509" spans="1:5" x14ac:dyDescent="0.25">
      <c r="A6509" s="2">
        <f>IF(B6509="","",SUBTOTAL(3,$B$2:B6509))</f>
        <v>6508</v>
      </c>
      <c r="B6509" s="9" t="s">
        <v>48</v>
      </c>
      <c r="C6509" s="10" t="s">
        <v>49</v>
      </c>
      <c r="D6509" s="11">
        <v>293.73126508100648</v>
      </c>
      <c r="E6509" s="12">
        <f t="shared" si="101"/>
        <v>47947</v>
      </c>
    </row>
    <row r="6510" spans="1:5" x14ac:dyDescent="0.25">
      <c r="A6510" s="2">
        <f>IF(B6510="","",SUBTOTAL(3,$B$2:B6510))</f>
        <v>6509</v>
      </c>
      <c r="B6510" s="9" t="s">
        <v>51</v>
      </c>
      <c r="C6510" s="10" t="s">
        <v>52</v>
      </c>
      <c r="D6510" s="11">
        <v>40.515355319666149</v>
      </c>
      <c r="E6510" s="12">
        <f t="shared" si="101"/>
        <v>47948</v>
      </c>
    </row>
    <row r="6511" spans="1:5" x14ac:dyDescent="0.25">
      <c r="A6511" s="2">
        <f>IF(B6511="","",SUBTOTAL(3,$B$2:B6511))</f>
        <v>6510</v>
      </c>
      <c r="B6511" s="9" t="s">
        <v>51</v>
      </c>
      <c r="C6511" s="10" t="s">
        <v>52</v>
      </c>
      <c r="D6511" s="11">
        <v>105.89854918987609</v>
      </c>
      <c r="E6511" s="12">
        <f t="shared" si="101"/>
        <v>47949</v>
      </c>
    </row>
    <row r="6512" spans="1:5" x14ac:dyDescent="0.25">
      <c r="A6512" s="2">
        <f>IF(B6512="","",SUBTOTAL(3,$B$2:B6512))</f>
        <v>6511</v>
      </c>
      <c r="B6512" s="9" t="s">
        <v>48</v>
      </c>
      <c r="C6512" s="10" t="s">
        <v>49</v>
      </c>
      <c r="D6512" s="11">
        <v>61.614294516327789</v>
      </c>
      <c r="E6512" s="12">
        <f t="shared" si="101"/>
        <v>47950</v>
      </c>
    </row>
    <row r="6513" spans="1:5" x14ac:dyDescent="0.25">
      <c r="A6513" s="2">
        <f>IF(B6513="","",SUBTOTAL(3,$B$2:B6513))</f>
        <v>6512</v>
      </c>
      <c r="B6513" s="9" t="s">
        <v>48</v>
      </c>
      <c r="C6513" s="10" t="s">
        <v>49</v>
      </c>
      <c r="D6513" s="11">
        <v>20.024645717806532</v>
      </c>
      <c r="E6513" s="12">
        <f t="shared" si="101"/>
        <v>47951</v>
      </c>
    </row>
    <row r="6514" spans="1:5" x14ac:dyDescent="0.25">
      <c r="A6514" s="2">
        <f>IF(B6514="","",SUBTOTAL(3,$B$2:B6514))</f>
        <v>6513</v>
      </c>
      <c r="B6514" s="9" t="s">
        <v>48</v>
      </c>
      <c r="C6514" s="10" t="s">
        <v>49</v>
      </c>
      <c r="D6514" s="11">
        <v>616.14294516327789</v>
      </c>
      <c r="E6514" s="12">
        <f t="shared" si="101"/>
        <v>47952</v>
      </c>
    </row>
    <row r="6515" spans="1:5" x14ac:dyDescent="0.25">
      <c r="A6515" s="2">
        <f>IF(B6515="","",SUBTOTAL(3,$B$2:B6515))</f>
        <v>6514</v>
      </c>
      <c r="B6515" s="9" t="s">
        <v>48</v>
      </c>
      <c r="C6515" s="10" t="s">
        <v>54</v>
      </c>
      <c r="D6515" s="11">
        <v>34.470872113064452</v>
      </c>
      <c r="E6515" s="12">
        <f t="shared" si="101"/>
        <v>47953</v>
      </c>
    </row>
    <row r="6516" spans="1:5" x14ac:dyDescent="0.25">
      <c r="A6516" s="2">
        <f>IF(B6516="","",SUBTOTAL(3,$B$2:B6516))</f>
        <v>6515</v>
      </c>
      <c r="B6516" s="9" t="s">
        <v>48</v>
      </c>
      <c r="C6516" s="10" t="s">
        <v>49</v>
      </c>
      <c r="D6516" s="11">
        <v>15.403573629081947</v>
      </c>
      <c r="E6516" s="12">
        <f t="shared" si="101"/>
        <v>47954</v>
      </c>
    </row>
    <row r="6517" spans="1:5" x14ac:dyDescent="0.25">
      <c r="A6517" s="2">
        <f>IF(B6517="","",SUBTOTAL(3,$B$2:B6517))</f>
        <v>6516</v>
      </c>
      <c r="B6517" s="9" t="s">
        <v>48</v>
      </c>
      <c r="C6517" s="10" t="s">
        <v>52</v>
      </c>
      <c r="D6517" s="11">
        <v>154.03573629081947</v>
      </c>
      <c r="E6517" s="12">
        <f t="shared" si="101"/>
        <v>47955</v>
      </c>
    </row>
    <row r="6518" spans="1:5" x14ac:dyDescent="0.25">
      <c r="A6518" s="2">
        <f>IF(B6518="","",SUBTOTAL(3,$B$2:B6518))</f>
        <v>6517</v>
      </c>
      <c r="B6518" s="9" t="s">
        <v>48</v>
      </c>
      <c r="C6518" s="10" t="s">
        <v>49</v>
      </c>
      <c r="D6518" s="11">
        <v>92.421441774491683</v>
      </c>
      <c r="E6518" s="12">
        <f t="shared" si="101"/>
        <v>47956</v>
      </c>
    </row>
    <row r="6519" spans="1:5" x14ac:dyDescent="0.25">
      <c r="A6519" s="2">
        <f>IF(B6519="","",SUBTOTAL(3,$B$2:B6519))</f>
        <v>6518</v>
      </c>
      <c r="B6519" s="9" t="s">
        <v>50</v>
      </c>
      <c r="C6519" s="10" t="s">
        <v>52</v>
      </c>
      <c r="D6519" s="11">
        <v>26.455026455026456</v>
      </c>
      <c r="E6519" s="12">
        <f t="shared" si="101"/>
        <v>47957</v>
      </c>
    </row>
    <row r="6520" spans="1:5" x14ac:dyDescent="0.25">
      <c r="A6520" s="2">
        <f>IF(B6520="","",SUBTOTAL(3,$B$2:B6520))</f>
        <v>6519</v>
      </c>
      <c r="B6520" s="9" t="s">
        <v>55</v>
      </c>
      <c r="C6520" s="10" t="s">
        <v>52</v>
      </c>
      <c r="D6520" s="11">
        <v>13.782331051591861</v>
      </c>
      <c r="E6520" s="12">
        <f t="shared" si="101"/>
        <v>47958</v>
      </c>
    </row>
    <row r="6521" spans="1:5" x14ac:dyDescent="0.25">
      <c r="A6521" s="2">
        <f>IF(B6521="","",SUBTOTAL(3,$B$2:B6521))</f>
        <v>6520</v>
      </c>
      <c r="B6521" s="9" t="s">
        <v>55</v>
      </c>
      <c r="C6521" s="10" t="s">
        <v>52</v>
      </c>
      <c r="D6521" s="11">
        <v>100</v>
      </c>
      <c r="E6521" s="12">
        <f t="shared" si="101"/>
        <v>47959</v>
      </c>
    </row>
    <row r="6522" spans="1:5" x14ac:dyDescent="0.25">
      <c r="A6522" s="2">
        <f>IF(B6522="","",SUBTOTAL(3,$B$2:B6522))</f>
        <v>6521</v>
      </c>
      <c r="B6522" s="9" t="s">
        <v>55</v>
      </c>
      <c r="C6522" s="10" t="s">
        <v>52</v>
      </c>
      <c r="D6522" s="11">
        <v>45.941103505306202</v>
      </c>
      <c r="E6522" s="12">
        <f t="shared" si="101"/>
        <v>47960</v>
      </c>
    </row>
    <row r="6523" spans="1:5" x14ac:dyDescent="0.25">
      <c r="A6523" s="2">
        <f>IF(B6523="","",SUBTOTAL(3,$B$2:B6523))</f>
        <v>6522</v>
      </c>
      <c r="B6523" s="9" t="s">
        <v>51</v>
      </c>
      <c r="C6523" s="10" t="s">
        <v>49</v>
      </c>
      <c r="D6523" s="11">
        <v>26.474637297469023</v>
      </c>
      <c r="E6523" s="12">
        <f t="shared" si="101"/>
        <v>47961</v>
      </c>
    </row>
    <row r="6524" spans="1:5" x14ac:dyDescent="0.25">
      <c r="A6524" s="2">
        <f>IF(B6524="","",SUBTOTAL(3,$B$2:B6524))</f>
        <v>6523</v>
      </c>
      <c r="B6524" s="9" t="s">
        <v>51</v>
      </c>
      <c r="C6524" s="10" t="s">
        <v>54</v>
      </c>
      <c r="D6524" s="11">
        <v>79.423911892407062</v>
      </c>
      <c r="E6524" s="12">
        <f t="shared" si="101"/>
        <v>47962</v>
      </c>
    </row>
    <row r="6525" spans="1:5" x14ac:dyDescent="0.25">
      <c r="A6525" s="2">
        <f>IF(B6525="","",SUBTOTAL(3,$B$2:B6525))</f>
        <v>6524</v>
      </c>
      <c r="B6525" s="9" t="s">
        <v>50</v>
      </c>
      <c r="C6525" s="10" t="s">
        <v>52</v>
      </c>
      <c r="D6525" s="11">
        <v>5.5114638447971785E-5</v>
      </c>
      <c r="E6525" s="12">
        <f t="shared" si="101"/>
        <v>47963</v>
      </c>
    </row>
    <row r="6526" spans="1:5" x14ac:dyDescent="0.25">
      <c r="A6526" s="2">
        <f>IF(B6526="","",SUBTOTAL(3,$B$2:B6526))</f>
        <v>6525</v>
      </c>
      <c r="B6526" s="9" t="s">
        <v>51</v>
      </c>
      <c r="C6526" s="10" t="s">
        <v>54</v>
      </c>
      <c r="D6526" s="11">
        <v>185.32246108228318</v>
      </c>
      <c r="E6526" s="12">
        <f t="shared" si="101"/>
        <v>47964</v>
      </c>
    </row>
    <row r="6527" spans="1:5" x14ac:dyDescent="0.25">
      <c r="A6527" s="2">
        <f>IF(B6527="","",SUBTOTAL(3,$B$2:B6527))</f>
        <v>6526</v>
      </c>
      <c r="B6527" s="9" t="s">
        <v>48</v>
      </c>
      <c r="C6527" s="10" t="s">
        <v>54</v>
      </c>
      <c r="D6527" s="11">
        <v>15.403573629081947</v>
      </c>
      <c r="E6527" s="12">
        <f t="shared" si="101"/>
        <v>47965</v>
      </c>
    </row>
    <row r="6528" spans="1:5" x14ac:dyDescent="0.25">
      <c r="A6528" s="2">
        <f>IF(B6528="","",SUBTOTAL(3,$B$2:B6528))</f>
        <v>6527</v>
      </c>
      <c r="B6528" s="9" t="s">
        <v>48</v>
      </c>
      <c r="C6528" s="10" t="s">
        <v>52</v>
      </c>
      <c r="D6528" s="11">
        <v>154.03573629081947</v>
      </c>
      <c r="E6528" s="12">
        <f t="shared" si="101"/>
        <v>47966</v>
      </c>
    </row>
    <row r="6529" spans="1:5" x14ac:dyDescent="0.25">
      <c r="A6529" s="2">
        <f>IF(B6529="","",SUBTOTAL(3,$B$2:B6529))</f>
        <v>6528</v>
      </c>
      <c r="B6529" s="9" t="s">
        <v>48</v>
      </c>
      <c r="C6529" s="10" t="s">
        <v>49</v>
      </c>
      <c r="D6529" s="11">
        <v>77.017868145409736</v>
      </c>
      <c r="E6529" s="12">
        <f t="shared" si="101"/>
        <v>47967</v>
      </c>
    </row>
    <row r="6530" spans="1:5" x14ac:dyDescent="0.25">
      <c r="A6530" s="2">
        <f>IF(B6530="","",SUBTOTAL(3,$B$2:B6530))</f>
        <v>6529</v>
      </c>
      <c r="B6530" s="9" t="s">
        <v>55</v>
      </c>
      <c r="C6530" s="10" t="s">
        <v>49</v>
      </c>
      <c r="D6530" s="11">
        <v>161.22982159426681</v>
      </c>
      <c r="E6530" s="12">
        <f t="shared" si="101"/>
        <v>47968</v>
      </c>
    </row>
    <row r="6531" spans="1:5" x14ac:dyDescent="0.25">
      <c r="A6531" s="2">
        <f>IF(B6531="","",SUBTOTAL(3,$B$2:B6531))</f>
        <v>6530</v>
      </c>
      <c r="B6531" s="9" t="s">
        <v>55</v>
      </c>
      <c r="C6531" s="10" t="s">
        <v>49</v>
      </c>
      <c r="D6531" s="11">
        <v>70</v>
      </c>
      <c r="E6531" s="12">
        <f t="shared" si="101"/>
        <v>47969</v>
      </c>
    </row>
    <row r="6532" spans="1:5" x14ac:dyDescent="0.25">
      <c r="A6532" s="2">
        <f>IF(B6532="","",SUBTOTAL(3,$B$2:B6532))</f>
        <v>6531</v>
      </c>
      <c r="B6532" s="9" t="s">
        <v>50</v>
      </c>
      <c r="C6532" s="10" t="s">
        <v>49</v>
      </c>
      <c r="D6532" s="11">
        <v>13.81172839506173</v>
      </c>
      <c r="E6532" s="12">
        <f t="shared" ref="E6532:E6595" si="102">E6531+1</f>
        <v>47970</v>
      </c>
    </row>
    <row r="6533" spans="1:5" x14ac:dyDescent="0.25">
      <c r="A6533" s="2">
        <f>IF(B6533="","",SUBTOTAL(3,$B$2:B6533))</f>
        <v>6532</v>
      </c>
      <c r="B6533" s="9" t="s">
        <v>55</v>
      </c>
      <c r="C6533" s="10" t="s">
        <v>49</v>
      </c>
      <c r="D6533" s="11">
        <v>70.371842919993497</v>
      </c>
      <c r="E6533" s="12">
        <f t="shared" si="102"/>
        <v>47971</v>
      </c>
    </row>
    <row r="6534" spans="1:5" x14ac:dyDescent="0.25">
      <c r="A6534" s="2">
        <f>IF(B6534="","",SUBTOTAL(3,$B$2:B6534))</f>
        <v>6533</v>
      </c>
      <c r="B6534" s="9" t="s">
        <v>51</v>
      </c>
      <c r="C6534" s="10" t="s">
        <v>52</v>
      </c>
      <c r="D6534" s="11">
        <v>84.718839351900883</v>
      </c>
      <c r="E6534" s="12">
        <f t="shared" si="102"/>
        <v>47972</v>
      </c>
    </row>
    <row r="6535" spans="1:5" x14ac:dyDescent="0.25">
      <c r="A6535" s="2">
        <f>IF(B6535="","",SUBTOTAL(3,$B$2:B6535))</f>
        <v>6534</v>
      </c>
      <c r="B6535" s="9" t="s">
        <v>51</v>
      </c>
      <c r="C6535" s="10" t="s">
        <v>52</v>
      </c>
      <c r="D6535" s="11">
        <v>112.4748490945674</v>
      </c>
      <c r="E6535" s="12">
        <f t="shared" si="102"/>
        <v>47973</v>
      </c>
    </row>
    <row r="6536" spans="1:5" x14ac:dyDescent="0.25">
      <c r="A6536" s="2">
        <f>IF(B6536="","",SUBTOTAL(3,$B$2:B6536))</f>
        <v>6535</v>
      </c>
      <c r="B6536" s="9" t="s">
        <v>50</v>
      </c>
      <c r="C6536" s="10" t="s">
        <v>52</v>
      </c>
      <c r="D6536" s="11">
        <v>15.983245149911816</v>
      </c>
      <c r="E6536" s="12">
        <f t="shared" si="102"/>
        <v>47974</v>
      </c>
    </row>
    <row r="6537" spans="1:5" x14ac:dyDescent="0.25">
      <c r="A6537" s="2">
        <f>IF(B6537="","",SUBTOTAL(3,$B$2:B6537))</f>
        <v>6536</v>
      </c>
      <c r="B6537" s="9" t="s">
        <v>53</v>
      </c>
      <c r="C6537" s="10" t="s">
        <v>54</v>
      </c>
      <c r="D6537" s="11">
        <v>274.75798400908536</v>
      </c>
      <c r="E6537" s="12">
        <f t="shared" si="102"/>
        <v>47975</v>
      </c>
    </row>
    <row r="6538" spans="1:5" x14ac:dyDescent="0.25">
      <c r="A6538" s="2">
        <f>IF(B6538="","",SUBTOTAL(3,$B$2:B6538))</f>
        <v>6537</v>
      </c>
      <c r="B6538" s="9" t="s">
        <v>55</v>
      </c>
      <c r="C6538" s="10" t="s">
        <v>49</v>
      </c>
      <c r="D6538" s="11">
        <v>8.4451686491771234</v>
      </c>
      <c r="E6538" s="12">
        <f t="shared" si="102"/>
        <v>47976</v>
      </c>
    </row>
    <row r="6539" spans="1:5" x14ac:dyDescent="0.25">
      <c r="A6539" s="2">
        <f>IF(B6539="","",SUBTOTAL(3,$B$2:B6539))</f>
        <v>6538</v>
      </c>
      <c r="B6539" s="9" t="s">
        <v>53</v>
      </c>
      <c r="C6539" s="10" t="s">
        <v>54</v>
      </c>
      <c r="D6539" s="11">
        <v>45.792997334847563</v>
      </c>
      <c r="E6539" s="12">
        <f t="shared" si="102"/>
        <v>47977</v>
      </c>
    </row>
    <row r="6540" spans="1:5" x14ac:dyDescent="0.25">
      <c r="A6540" s="2">
        <f>IF(B6540="","",SUBTOTAL(3,$B$2:B6540))</f>
        <v>6539</v>
      </c>
      <c r="B6540" s="9" t="s">
        <v>53</v>
      </c>
      <c r="C6540" s="10" t="s">
        <v>49</v>
      </c>
      <c r="D6540" s="11">
        <v>119.04347587166971</v>
      </c>
      <c r="E6540" s="12">
        <f t="shared" si="102"/>
        <v>47978</v>
      </c>
    </row>
    <row r="6541" spans="1:5" x14ac:dyDescent="0.25">
      <c r="A6541" s="2">
        <f>IF(B6541="","",SUBTOTAL(3,$B$2:B6541))</f>
        <v>6540</v>
      </c>
      <c r="B6541" s="9" t="s">
        <v>53</v>
      </c>
      <c r="C6541" s="10" t="s">
        <v>49</v>
      </c>
      <c r="D6541" s="11">
        <v>64.110196268786581</v>
      </c>
      <c r="E6541" s="12">
        <f t="shared" si="102"/>
        <v>47979</v>
      </c>
    </row>
    <row r="6542" spans="1:5" x14ac:dyDescent="0.25">
      <c r="A6542" s="2">
        <f>IF(B6542="","",SUBTOTAL(3,$B$2:B6542))</f>
        <v>6541</v>
      </c>
      <c r="B6542" s="9" t="s">
        <v>50</v>
      </c>
      <c r="C6542" s="10" t="s">
        <v>49</v>
      </c>
      <c r="D6542" s="11">
        <v>48.500881834215171</v>
      </c>
      <c r="E6542" s="12">
        <f t="shared" si="102"/>
        <v>47980</v>
      </c>
    </row>
    <row r="6543" spans="1:5" x14ac:dyDescent="0.25">
      <c r="A6543" s="2">
        <f>IF(B6543="","",SUBTOTAL(3,$B$2:B6543))</f>
        <v>6542</v>
      </c>
      <c r="B6543" s="9" t="s">
        <v>51</v>
      </c>
      <c r="C6543" s="10" t="s">
        <v>52</v>
      </c>
      <c r="D6543" s="11">
        <v>105.89854918987609</v>
      </c>
      <c r="E6543" s="12">
        <f t="shared" si="102"/>
        <v>47981</v>
      </c>
    </row>
    <row r="6544" spans="1:5" x14ac:dyDescent="0.25">
      <c r="A6544" s="2">
        <f>IF(B6544="","",SUBTOTAL(3,$B$2:B6544))</f>
        <v>6543</v>
      </c>
      <c r="B6544" s="9" t="s">
        <v>51</v>
      </c>
      <c r="C6544" s="10" t="s">
        <v>52</v>
      </c>
      <c r="D6544" s="11">
        <v>188.49941755797943</v>
      </c>
      <c r="E6544" s="12">
        <f t="shared" si="102"/>
        <v>47982</v>
      </c>
    </row>
    <row r="6545" spans="1:5" x14ac:dyDescent="0.25">
      <c r="A6545" s="2">
        <f>IF(B6545="","",SUBTOTAL(3,$B$2:B6545))</f>
        <v>6544</v>
      </c>
      <c r="B6545" s="9" t="s">
        <v>53</v>
      </c>
      <c r="C6545" s="10" t="s">
        <v>52</v>
      </c>
      <c r="D6545" s="11">
        <v>1.3737899200454268E-4</v>
      </c>
      <c r="E6545" s="12">
        <f t="shared" si="102"/>
        <v>47983</v>
      </c>
    </row>
    <row r="6546" spans="1:5" x14ac:dyDescent="0.25">
      <c r="A6546" s="2">
        <f>IF(B6546="","",SUBTOTAL(3,$B$2:B6546))</f>
        <v>6545</v>
      </c>
      <c r="B6546" s="9" t="s">
        <v>53</v>
      </c>
      <c r="C6546" s="10" t="s">
        <v>49</v>
      </c>
      <c r="D6546" s="11">
        <v>73.2687957357561</v>
      </c>
      <c r="E6546" s="12">
        <f t="shared" si="102"/>
        <v>47984</v>
      </c>
    </row>
    <row r="6547" spans="1:5" x14ac:dyDescent="0.25">
      <c r="A6547" s="2">
        <f>IF(B6547="","",SUBTOTAL(3,$B$2:B6547))</f>
        <v>6546</v>
      </c>
      <c r="B6547" s="9" t="s">
        <v>53</v>
      </c>
      <c r="C6547" s="10" t="s">
        <v>54</v>
      </c>
      <c r="D6547" s="11">
        <v>274.75798400908536</v>
      </c>
      <c r="E6547" s="12">
        <f t="shared" si="102"/>
        <v>47985</v>
      </c>
    </row>
    <row r="6548" spans="1:5" x14ac:dyDescent="0.25">
      <c r="A6548" s="2">
        <f>IF(B6548="","",SUBTOTAL(3,$B$2:B6548))</f>
        <v>6547</v>
      </c>
      <c r="B6548" s="9" t="s">
        <v>53</v>
      </c>
      <c r="C6548" s="10" t="s">
        <v>49</v>
      </c>
      <c r="D6548" s="11">
        <v>274.75798400908536</v>
      </c>
      <c r="E6548" s="12">
        <f t="shared" si="102"/>
        <v>47986</v>
      </c>
    </row>
    <row r="6549" spans="1:5" x14ac:dyDescent="0.25">
      <c r="A6549" s="2">
        <f>IF(B6549="","",SUBTOTAL(3,$B$2:B6549))</f>
        <v>6548</v>
      </c>
      <c r="B6549" s="9" t="s">
        <v>53</v>
      </c>
      <c r="C6549" s="10" t="s">
        <v>49</v>
      </c>
      <c r="D6549" s="11">
        <v>91.585994669695125</v>
      </c>
      <c r="E6549" s="12">
        <f t="shared" si="102"/>
        <v>47987</v>
      </c>
    </row>
    <row r="6550" spans="1:5" x14ac:dyDescent="0.25">
      <c r="A6550" s="2">
        <f>IF(B6550="","",SUBTOTAL(3,$B$2:B6550))</f>
        <v>6549</v>
      </c>
      <c r="B6550" s="9" t="s">
        <v>53</v>
      </c>
      <c r="C6550" s="10" t="s">
        <v>49</v>
      </c>
      <c r="D6550" s="11">
        <v>274.75798400908536</v>
      </c>
      <c r="E6550" s="12">
        <f t="shared" si="102"/>
        <v>47988</v>
      </c>
    </row>
    <row r="6551" spans="1:5" x14ac:dyDescent="0.25">
      <c r="A6551" s="2">
        <f>IF(B6551="","",SUBTOTAL(3,$B$2:B6551))</f>
        <v>6550</v>
      </c>
      <c r="B6551" s="9" t="s">
        <v>50</v>
      </c>
      <c r="C6551" s="10" t="s">
        <v>52</v>
      </c>
      <c r="D6551" s="11">
        <v>66.137566137566139</v>
      </c>
      <c r="E6551" s="12">
        <f t="shared" si="102"/>
        <v>47989</v>
      </c>
    </row>
    <row r="6552" spans="1:5" x14ac:dyDescent="0.25">
      <c r="A6552" s="2">
        <f>IF(B6552="","",SUBTOTAL(3,$B$2:B6552))</f>
        <v>6551</v>
      </c>
      <c r="B6552" s="9" t="s">
        <v>48</v>
      </c>
      <c r="C6552" s="10" t="s">
        <v>54</v>
      </c>
      <c r="D6552" s="11">
        <v>231.05360443622922</v>
      </c>
      <c r="E6552" s="12">
        <f t="shared" si="102"/>
        <v>47990</v>
      </c>
    </row>
    <row r="6553" spans="1:5" x14ac:dyDescent="0.25">
      <c r="A6553" s="2">
        <f>IF(B6553="","",SUBTOTAL(3,$B$2:B6553))</f>
        <v>6552</v>
      </c>
      <c r="B6553" s="9" t="s">
        <v>48</v>
      </c>
      <c r="C6553" s="10" t="s">
        <v>49</v>
      </c>
      <c r="D6553" s="11">
        <v>431.30006161429452</v>
      </c>
      <c r="E6553" s="12">
        <f t="shared" si="102"/>
        <v>47991</v>
      </c>
    </row>
    <row r="6554" spans="1:5" x14ac:dyDescent="0.25">
      <c r="A6554" s="2">
        <f>IF(B6554="","",SUBTOTAL(3,$B$2:B6554))</f>
        <v>6553</v>
      </c>
      <c r="B6554" s="9" t="s">
        <v>48</v>
      </c>
      <c r="C6554" s="10" t="s">
        <v>54</v>
      </c>
      <c r="D6554" s="11">
        <v>616.14294516327789</v>
      </c>
      <c r="E6554" s="12">
        <f t="shared" si="102"/>
        <v>47992</v>
      </c>
    </row>
    <row r="6555" spans="1:5" x14ac:dyDescent="0.25">
      <c r="A6555" s="2">
        <f>IF(B6555="","",SUBTOTAL(3,$B$2:B6555))</f>
        <v>6554</v>
      </c>
      <c r="B6555" s="9" t="s">
        <v>48</v>
      </c>
      <c r="C6555" s="10" t="s">
        <v>49</v>
      </c>
      <c r="D6555" s="11">
        <v>61.614294516327789</v>
      </c>
      <c r="E6555" s="12">
        <f t="shared" si="102"/>
        <v>47993</v>
      </c>
    </row>
    <row r="6556" spans="1:5" x14ac:dyDescent="0.25">
      <c r="A6556" s="2">
        <f>IF(B6556="","",SUBTOTAL(3,$B$2:B6556))</f>
        <v>6555</v>
      </c>
      <c r="B6556" s="9" t="s">
        <v>48</v>
      </c>
      <c r="C6556" s="10" t="s">
        <v>54</v>
      </c>
      <c r="D6556" s="11">
        <v>77.017868145409736</v>
      </c>
      <c r="E6556" s="12">
        <f t="shared" si="102"/>
        <v>47994</v>
      </c>
    </row>
    <row r="6557" spans="1:5" x14ac:dyDescent="0.25">
      <c r="A6557" s="2">
        <f>IF(B6557="","",SUBTOTAL(3,$B$2:B6557))</f>
        <v>6556</v>
      </c>
      <c r="B6557" s="9" t="s">
        <v>48</v>
      </c>
      <c r="C6557" s="10" t="s">
        <v>49</v>
      </c>
      <c r="D6557" s="11">
        <v>46.210720887245841</v>
      </c>
      <c r="E6557" s="12">
        <f t="shared" si="102"/>
        <v>47995</v>
      </c>
    </row>
    <row r="6558" spans="1:5" x14ac:dyDescent="0.25">
      <c r="A6558" s="2">
        <f>IF(B6558="","",SUBTOTAL(3,$B$2:B6558))</f>
        <v>6557</v>
      </c>
      <c r="B6558" s="9" t="s">
        <v>48</v>
      </c>
      <c r="C6558" s="10" t="s">
        <v>49</v>
      </c>
      <c r="D6558" s="11">
        <v>38.508934072704868</v>
      </c>
      <c r="E6558" s="12">
        <f t="shared" si="102"/>
        <v>47996</v>
      </c>
    </row>
    <row r="6559" spans="1:5" x14ac:dyDescent="0.25">
      <c r="A6559" s="2">
        <f>IF(B6559="","",SUBTOTAL(3,$B$2:B6559))</f>
        <v>6558</v>
      </c>
      <c r="B6559" s="9" t="s">
        <v>48</v>
      </c>
      <c r="C6559" s="10" t="s">
        <v>49</v>
      </c>
      <c r="D6559" s="11">
        <v>34.470872113064452</v>
      </c>
      <c r="E6559" s="12">
        <f t="shared" si="102"/>
        <v>47997</v>
      </c>
    </row>
    <row r="6560" spans="1:5" x14ac:dyDescent="0.25">
      <c r="A6560" s="2">
        <f>IF(B6560="","",SUBTOTAL(3,$B$2:B6560))</f>
        <v>6559</v>
      </c>
      <c r="B6560" s="9" t="s">
        <v>50</v>
      </c>
      <c r="C6560" s="10" t="s">
        <v>49</v>
      </c>
      <c r="D6560" s="11">
        <v>391.73686067019401</v>
      </c>
      <c r="E6560" s="12">
        <f t="shared" si="102"/>
        <v>47998</v>
      </c>
    </row>
    <row r="6561" spans="1:5" x14ac:dyDescent="0.25">
      <c r="A6561" s="2">
        <f>IF(B6561="","",SUBTOTAL(3,$B$2:B6561))</f>
        <v>6560</v>
      </c>
      <c r="B6561" s="9" t="s">
        <v>50</v>
      </c>
      <c r="C6561" s="10" t="s">
        <v>54</v>
      </c>
      <c r="D6561" s="11">
        <v>264.55026455026456</v>
      </c>
      <c r="E6561" s="12">
        <f t="shared" si="102"/>
        <v>47999</v>
      </c>
    </row>
    <row r="6562" spans="1:5" x14ac:dyDescent="0.25">
      <c r="A6562" s="2">
        <f>IF(B6562="","",SUBTOTAL(3,$B$2:B6562))</f>
        <v>6561</v>
      </c>
      <c r="B6562" s="9" t="s">
        <v>50</v>
      </c>
      <c r="C6562" s="10" t="s">
        <v>52</v>
      </c>
      <c r="D6562" s="11">
        <v>44.091710758377424</v>
      </c>
      <c r="E6562" s="12">
        <f t="shared" si="102"/>
        <v>48000</v>
      </c>
    </row>
    <row r="6563" spans="1:5" x14ac:dyDescent="0.25">
      <c r="A6563" s="2">
        <f>IF(B6563="","",SUBTOTAL(3,$B$2:B6563))</f>
        <v>6562</v>
      </c>
      <c r="B6563" s="9" t="s">
        <v>55</v>
      </c>
      <c r="C6563" s="10" t="s">
        <v>54</v>
      </c>
      <c r="D6563" s="11">
        <v>100</v>
      </c>
      <c r="E6563" s="12">
        <f t="shared" si="102"/>
        <v>48001</v>
      </c>
    </row>
    <row r="6564" spans="1:5" x14ac:dyDescent="0.25">
      <c r="A6564" s="2">
        <f>IF(B6564="","",SUBTOTAL(3,$B$2:B6564))</f>
        <v>6563</v>
      </c>
      <c r="B6564" s="9" t="s">
        <v>55</v>
      </c>
      <c r="C6564" s="10" t="s">
        <v>52</v>
      </c>
      <c r="D6564" s="11">
        <v>5.8660583346912167</v>
      </c>
      <c r="E6564" s="12">
        <f t="shared" si="102"/>
        <v>48002</v>
      </c>
    </row>
    <row r="6565" spans="1:5" x14ac:dyDescent="0.25">
      <c r="A6565" s="2">
        <f>IF(B6565="","",SUBTOTAL(3,$B$2:B6565))</f>
        <v>6564</v>
      </c>
      <c r="B6565" s="9" t="s">
        <v>55</v>
      </c>
      <c r="C6565" s="10" t="s">
        <v>49</v>
      </c>
      <c r="D6565" s="11">
        <v>61.75</v>
      </c>
      <c r="E6565" s="12">
        <f t="shared" si="102"/>
        <v>48003</v>
      </c>
    </row>
    <row r="6566" spans="1:5" x14ac:dyDescent="0.25">
      <c r="A6566" s="2">
        <f>IF(B6566="","",SUBTOTAL(3,$B$2:B6566))</f>
        <v>6565</v>
      </c>
      <c r="B6566" s="9" t="s">
        <v>48</v>
      </c>
      <c r="C6566" s="10" t="s">
        <v>54</v>
      </c>
      <c r="D6566" s="11">
        <v>13.788348845225784</v>
      </c>
      <c r="E6566" s="12">
        <f t="shared" si="102"/>
        <v>48004</v>
      </c>
    </row>
    <row r="6567" spans="1:5" x14ac:dyDescent="0.25">
      <c r="A6567" s="2">
        <f>IF(B6567="","",SUBTOTAL(3,$B$2:B6567))</f>
        <v>6566</v>
      </c>
      <c r="B6567" s="9" t="s">
        <v>48</v>
      </c>
      <c r="C6567" s="10" t="s">
        <v>52</v>
      </c>
      <c r="D6567" s="11">
        <v>107.82501540357363</v>
      </c>
      <c r="E6567" s="12">
        <f t="shared" si="102"/>
        <v>48005</v>
      </c>
    </row>
    <row r="6568" spans="1:5" x14ac:dyDescent="0.25">
      <c r="A6568" s="2">
        <f>IF(B6568="","",SUBTOTAL(3,$B$2:B6568))</f>
        <v>6567</v>
      </c>
      <c r="B6568" s="9" t="s">
        <v>48</v>
      </c>
      <c r="C6568" s="10" t="s">
        <v>52</v>
      </c>
      <c r="D6568" s="11">
        <v>123.22858903265558</v>
      </c>
      <c r="E6568" s="12">
        <f t="shared" si="102"/>
        <v>48006</v>
      </c>
    </row>
    <row r="6569" spans="1:5" x14ac:dyDescent="0.25">
      <c r="A6569" s="2">
        <f>IF(B6569="","",SUBTOTAL(3,$B$2:B6569))</f>
        <v>6568</v>
      </c>
      <c r="B6569" s="9" t="s">
        <v>48</v>
      </c>
      <c r="C6569" s="10" t="s">
        <v>49</v>
      </c>
      <c r="D6569" s="11">
        <v>43.425668515095502</v>
      </c>
      <c r="E6569" s="12">
        <f t="shared" si="102"/>
        <v>48007</v>
      </c>
    </row>
    <row r="6570" spans="1:5" x14ac:dyDescent="0.25">
      <c r="A6570" s="2">
        <f>IF(B6570="","",SUBTOTAL(3,$B$2:B6570))</f>
        <v>6569</v>
      </c>
      <c r="B6570" s="9" t="s">
        <v>48</v>
      </c>
      <c r="C6570" s="10" t="s">
        <v>54</v>
      </c>
      <c r="D6570" s="11">
        <v>107.82501540357363</v>
      </c>
      <c r="E6570" s="12">
        <f t="shared" si="102"/>
        <v>48008</v>
      </c>
    </row>
    <row r="6571" spans="1:5" x14ac:dyDescent="0.25">
      <c r="A6571" s="2">
        <f>IF(B6571="","",SUBTOTAL(3,$B$2:B6571))</f>
        <v>6570</v>
      </c>
      <c r="B6571" s="9" t="s">
        <v>48</v>
      </c>
      <c r="C6571" s="10" t="s">
        <v>49</v>
      </c>
      <c r="D6571" s="11">
        <v>27.576697690451567</v>
      </c>
      <c r="E6571" s="12">
        <f t="shared" si="102"/>
        <v>48009</v>
      </c>
    </row>
    <row r="6572" spans="1:5" x14ac:dyDescent="0.25">
      <c r="A6572" s="2">
        <f>IF(B6572="","",SUBTOTAL(3,$B$2:B6572))</f>
        <v>6571</v>
      </c>
      <c r="B6572" s="9" t="s">
        <v>51</v>
      </c>
      <c r="C6572" s="10" t="s">
        <v>52</v>
      </c>
      <c r="D6572" s="11">
        <v>20.257677659833075</v>
      </c>
      <c r="E6572" s="12">
        <f t="shared" si="102"/>
        <v>48010</v>
      </c>
    </row>
    <row r="6573" spans="1:5" x14ac:dyDescent="0.25">
      <c r="A6573" s="2">
        <f>IF(B6573="","",SUBTOTAL(3,$B$2:B6573))</f>
        <v>6572</v>
      </c>
      <c r="B6573" s="9" t="s">
        <v>51</v>
      </c>
      <c r="C6573" s="10" t="s">
        <v>52</v>
      </c>
      <c r="D6573" s="11">
        <v>20.257677659833075</v>
      </c>
      <c r="E6573" s="12">
        <f t="shared" si="102"/>
        <v>48011</v>
      </c>
    </row>
    <row r="6574" spans="1:5" x14ac:dyDescent="0.25">
      <c r="A6574" s="2">
        <f>IF(B6574="","",SUBTOTAL(3,$B$2:B6574))</f>
        <v>6573</v>
      </c>
      <c r="B6574" s="9" t="s">
        <v>51</v>
      </c>
      <c r="C6574" s="10" t="s">
        <v>52</v>
      </c>
      <c r="D6574" s="11">
        <v>40.515355319666149</v>
      </c>
      <c r="E6574" s="12">
        <f t="shared" si="102"/>
        <v>48012</v>
      </c>
    </row>
    <row r="6575" spans="1:5" x14ac:dyDescent="0.25">
      <c r="A6575" s="2">
        <f>IF(B6575="","",SUBTOTAL(3,$B$2:B6575))</f>
        <v>6574</v>
      </c>
      <c r="B6575" s="9" t="s">
        <v>50</v>
      </c>
      <c r="C6575" s="10" t="s">
        <v>54</v>
      </c>
      <c r="D6575" s="11">
        <v>94.841534391534395</v>
      </c>
      <c r="E6575" s="12">
        <f t="shared" si="102"/>
        <v>48013</v>
      </c>
    </row>
    <row r="6576" spans="1:5" x14ac:dyDescent="0.25">
      <c r="A6576" s="2">
        <f>IF(B6576="","",SUBTOTAL(3,$B$2:B6576))</f>
        <v>6575</v>
      </c>
      <c r="B6576" s="9" t="s">
        <v>51</v>
      </c>
      <c r="C6576" s="10" t="s">
        <v>52</v>
      </c>
      <c r="D6576" s="11">
        <v>52.949274594938046</v>
      </c>
      <c r="E6576" s="12">
        <f t="shared" si="102"/>
        <v>48014</v>
      </c>
    </row>
    <row r="6577" spans="1:5" x14ac:dyDescent="0.25">
      <c r="A6577" s="2">
        <f>IF(B6577="","",SUBTOTAL(3,$B$2:B6577))</f>
        <v>6576</v>
      </c>
      <c r="B6577" s="9" t="s">
        <v>50</v>
      </c>
      <c r="C6577" s="10" t="s">
        <v>49</v>
      </c>
      <c r="D6577" s="11">
        <v>97.934215167548501</v>
      </c>
      <c r="E6577" s="12">
        <f t="shared" si="102"/>
        <v>48015</v>
      </c>
    </row>
    <row r="6578" spans="1:5" x14ac:dyDescent="0.25">
      <c r="A6578" s="2">
        <f>IF(B6578="","",SUBTOTAL(3,$B$2:B6578))</f>
        <v>6577</v>
      </c>
      <c r="B6578" s="9" t="s">
        <v>55</v>
      </c>
      <c r="C6578" s="10" t="s">
        <v>49</v>
      </c>
      <c r="D6578" s="11">
        <v>95</v>
      </c>
      <c r="E6578" s="12">
        <f t="shared" si="102"/>
        <v>48016</v>
      </c>
    </row>
    <row r="6579" spans="1:5" x14ac:dyDescent="0.25">
      <c r="A6579" s="2">
        <f>IF(B6579="","",SUBTOTAL(3,$B$2:B6579))</f>
        <v>6578</v>
      </c>
      <c r="B6579" s="9" t="s">
        <v>48</v>
      </c>
      <c r="C6579" s="10" t="s">
        <v>52</v>
      </c>
      <c r="D6579" s="11">
        <v>61.614294516327789</v>
      </c>
      <c r="E6579" s="12">
        <f t="shared" si="102"/>
        <v>48017</v>
      </c>
    </row>
    <row r="6580" spans="1:5" x14ac:dyDescent="0.25">
      <c r="A6580" s="2">
        <f>IF(B6580="","",SUBTOTAL(3,$B$2:B6580))</f>
        <v>6579</v>
      </c>
      <c r="B6580" s="9" t="s">
        <v>48</v>
      </c>
      <c r="C6580" s="10" t="s">
        <v>49</v>
      </c>
      <c r="D6580" s="11">
        <v>184.84288354898337</v>
      </c>
      <c r="E6580" s="12">
        <f t="shared" si="102"/>
        <v>48018</v>
      </c>
    </row>
    <row r="6581" spans="1:5" x14ac:dyDescent="0.25">
      <c r="A6581" s="2">
        <f>IF(B6581="","",SUBTOTAL(3,$B$2:B6581))</f>
        <v>6580</v>
      </c>
      <c r="B6581" s="9" t="s">
        <v>50</v>
      </c>
      <c r="C6581" s="10" t="s">
        <v>49</v>
      </c>
      <c r="D6581" s="11">
        <v>66.137566137566139</v>
      </c>
      <c r="E6581" s="12">
        <f t="shared" si="102"/>
        <v>48019</v>
      </c>
    </row>
    <row r="6582" spans="1:5" x14ac:dyDescent="0.25">
      <c r="A6582" s="2">
        <f>IF(B6582="","",SUBTOTAL(3,$B$2:B6582))</f>
        <v>6581</v>
      </c>
      <c r="B6582" s="9" t="s">
        <v>50</v>
      </c>
      <c r="C6582" s="10" t="s">
        <v>49</v>
      </c>
      <c r="D6582" s="11">
        <v>73.996538800705466</v>
      </c>
      <c r="E6582" s="12">
        <f t="shared" si="102"/>
        <v>48020</v>
      </c>
    </row>
    <row r="6583" spans="1:5" x14ac:dyDescent="0.25">
      <c r="A6583" s="2">
        <f>IF(B6583="","",SUBTOTAL(3,$B$2:B6583))</f>
        <v>6582</v>
      </c>
      <c r="B6583" s="9" t="s">
        <v>50</v>
      </c>
      <c r="C6583" s="10" t="s">
        <v>49</v>
      </c>
      <c r="D6583" s="11">
        <v>379.36507936507934</v>
      </c>
      <c r="E6583" s="12">
        <f t="shared" si="102"/>
        <v>48021</v>
      </c>
    </row>
    <row r="6584" spans="1:5" x14ac:dyDescent="0.25">
      <c r="A6584" s="2">
        <f>IF(B6584="","",SUBTOTAL(3,$B$2:B6584))</f>
        <v>6583</v>
      </c>
      <c r="B6584" s="9" t="s">
        <v>48</v>
      </c>
      <c r="C6584" s="10" t="s">
        <v>56</v>
      </c>
      <c r="D6584" s="11">
        <v>77.088124574409321</v>
      </c>
      <c r="E6584" s="12">
        <f t="shared" si="102"/>
        <v>48022</v>
      </c>
    </row>
    <row r="6585" spans="1:5" x14ac:dyDescent="0.25">
      <c r="A6585" s="2">
        <f>IF(B6585="","",SUBTOTAL(3,$B$2:B6585))</f>
        <v>6584</v>
      </c>
      <c r="B6585" s="9" t="s">
        <v>48</v>
      </c>
      <c r="C6585" s="10" t="s">
        <v>56</v>
      </c>
      <c r="D6585" s="11">
        <v>19.27203114360233</v>
      </c>
      <c r="E6585" s="12">
        <f t="shared" si="102"/>
        <v>48023</v>
      </c>
    </row>
    <row r="6586" spans="1:5" x14ac:dyDescent="0.25">
      <c r="A6586" s="2">
        <f>IF(B6586="","",SUBTOTAL(3,$B$2:B6586))</f>
        <v>6585</v>
      </c>
      <c r="B6586" s="9" t="s">
        <v>50</v>
      </c>
      <c r="C6586" s="10" t="s">
        <v>52</v>
      </c>
      <c r="D6586" s="11">
        <v>220.45855379188714</v>
      </c>
      <c r="E6586" s="12">
        <f t="shared" si="102"/>
        <v>48024</v>
      </c>
    </row>
    <row r="6587" spans="1:5" x14ac:dyDescent="0.25">
      <c r="A6587" s="2">
        <f>IF(B6587="","",SUBTOTAL(3,$B$2:B6587))</f>
        <v>6586</v>
      </c>
      <c r="B6587" s="9" t="s">
        <v>48</v>
      </c>
      <c r="C6587" s="10" t="s">
        <v>49</v>
      </c>
      <c r="D6587" s="11">
        <v>15.370408438580037</v>
      </c>
      <c r="E6587" s="12">
        <f t="shared" si="102"/>
        <v>48025</v>
      </c>
    </row>
    <row r="6588" spans="1:5" x14ac:dyDescent="0.25">
      <c r="A6588" s="2">
        <f>IF(B6588="","",SUBTOTAL(3,$B$2:B6588))</f>
        <v>6587</v>
      </c>
      <c r="B6588" s="9" t="s">
        <v>51</v>
      </c>
      <c r="C6588" s="10" t="s">
        <v>52</v>
      </c>
      <c r="D6588" s="11">
        <v>211.79709837975219</v>
      </c>
      <c r="E6588" s="12">
        <f t="shared" si="102"/>
        <v>48026</v>
      </c>
    </row>
    <row r="6589" spans="1:5" x14ac:dyDescent="0.25">
      <c r="A6589" s="2">
        <f>IF(B6589="","",SUBTOTAL(3,$B$2:B6589))</f>
        <v>6588</v>
      </c>
      <c r="B6589" s="9" t="s">
        <v>55</v>
      </c>
      <c r="C6589" s="10" t="s">
        <v>49</v>
      </c>
      <c r="D6589" s="11">
        <v>65.178425941013529</v>
      </c>
      <c r="E6589" s="12">
        <f t="shared" si="102"/>
        <v>48027</v>
      </c>
    </row>
    <row r="6590" spans="1:5" x14ac:dyDescent="0.25">
      <c r="A6590" s="2">
        <f>IF(B6590="","",SUBTOTAL(3,$B$2:B6590))</f>
        <v>6589</v>
      </c>
      <c r="B6590" s="9" t="s">
        <v>55</v>
      </c>
      <c r="C6590" s="10" t="s">
        <v>52</v>
      </c>
      <c r="D6590" s="11">
        <v>45.994</v>
      </c>
      <c r="E6590" s="12">
        <f t="shared" si="102"/>
        <v>48028</v>
      </c>
    </row>
    <row r="6591" spans="1:5" x14ac:dyDescent="0.25">
      <c r="A6591" s="2">
        <f>IF(B6591="","",SUBTOTAL(3,$B$2:B6591))</f>
        <v>6590</v>
      </c>
      <c r="B6591" s="9" t="s">
        <v>55</v>
      </c>
      <c r="C6591" s="10" t="s">
        <v>52</v>
      </c>
      <c r="D6591" s="11">
        <v>300</v>
      </c>
      <c r="E6591" s="12">
        <f t="shared" si="102"/>
        <v>48029</v>
      </c>
    </row>
    <row r="6592" spans="1:5" x14ac:dyDescent="0.25">
      <c r="A6592" s="2">
        <f>IF(B6592="","",SUBTOTAL(3,$B$2:B6592))</f>
        <v>6591</v>
      </c>
      <c r="B6592" s="9" t="s">
        <v>55</v>
      </c>
      <c r="C6592" s="10" t="s">
        <v>52</v>
      </c>
      <c r="D6592" s="11">
        <v>50</v>
      </c>
      <c r="E6592" s="12">
        <f t="shared" si="102"/>
        <v>48030</v>
      </c>
    </row>
    <row r="6593" spans="1:5" x14ac:dyDescent="0.25">
      <c r="A6593" s="2">
        <f>IF(B6593="","",SUBTOTAL(3,$B$2:B6593))</f>
        <v>6592</v>
      </c>
      <c r="B6593" s="9" t="s">
        <v>55</v>
      </c>
      <c r="C6593" s="10" t="s">
        <v>52</v>
      </c>
      <c r="D6593" s="11">
        <v>300</v>
      </c>
      <c r="E6593" s="12">
        <f t="shared" si="102"/>
        <v>48031</v>
      </c>
    </row>
    <row r="6594" spans="1:5" x14ac:dyDescent="0.25">
      <c r="A6594" s="2">
        <f>IF(B6594="","",SUBTOTAL(3,$B$2:B6594))</f>
        <v>6593</v>
      </c>
      <c r="B6594" s="9" t="s">
        <v>48</v>
      </c>
      <c r="C6594" s="10" t="s">
        <v>49</v>
      </c>
      <c r="D6594" s="11">
        <v>25.696041524803107</v>
      </c>
      <c r="E6594" s="12">
        <f t="shared" si="102"/>
        <v>48032</v>
      </c>
    </row>
    <row r="6595" spans="1:5" x14ac:dyDescent="0.25">
      <c r="A6595" s="2">
        <f>IF(B6595="","",SUBTOTAL(3,$B$2:B6595))</f>
        <v>6594</v>
      </c>
      <c r="B6595" s="9" t="s">
        <v>48</v>
      </c>
      <c r="C6595" s="10" t="s">
        <v>56</v>
      </c>
      <c r="D6595" s="11">
        <v>192.72031143602331</v>
      </c>
      <c r="E6595" s="12">
        <f t="shared" si="102"/>
        <v>48033</v>
      </c>
    </row>
    <row r="6596" spans="1:5" x14ac:dyDescent="0.25">
      <c r="A6596" s="2">
        <f>IF(B6596="","",SUBTOTAL(3,$B$2:B6596))</f>
        <v>6595</v>
      </c>
      <c r="B6596" s="9" t="s">
        <v>55</v>
      </c>
      <c r="C6596" s="10" t="s">
        <v>49</v>
      </c>
      <c r="D6596" s="11">
        <v>97.767638911520294</v>
      </c>
      <c r="E6596" s="12">
        <f t="shared" ref="E6596:E6659" si="103">E6595+1</f>
        <v>48034</v>
      </c>
    </row>
    <row r="6597" spans="1:5" x14ac:dyDescent="0.25">
      <c r="A6597" s="2">
        <f>IF(B6597="","",SUBTOTAL(3,$B$2:B6597))</f>
        <v>6596</v>
      </c>
      <c r="B6597" s="9" t="s">
        <v>50</v>
      </c>
      <c r="C6597" s="10" t="s">
        <v>49</v>
      </c>
      <c r="D6597" s="11">
        <v>194.00352733686069</v>
      </c>
      <c r="E6597" s="12">
        <f t="shared" si="103"/>
        <v>48035</v>
      </c>
    </row>
    <row r="6598" spans="1:5" x14ac:dyDescent="0.25">
      <c r="A6598" s="2">
        <f>IF(B6598="","",SUBTOTAL(3,$B$2:B6598))</f>
        <v>6597</v>
      </c>
      <c r="B6598" s="9" t="s">
        <v>55</v>
      </c>
      <c r="C6598" s="10" t="s">
        <v>49</v>
      </c>
      <c r="D6598" s="11">
        <v>500</v>
      </c>
      <c r="E6598" s="12">
        <f t="shared" si="103"/>
        <v>48036</v>
      </c>
    </row>
    <row r="6599" spans="1:5" x14ac:dyDescent="0.25">
      <c r="A6599" s="2">
        <f>IF(B6599="","",SUBTOTAL(3,$B$2:B6599))</f>
        <v>6598</v>
      </c>
      <c r="B6599" s="9" t="s">
        <v>50</v>
      </c>
      <c r="C6599" s="10" t="s">
        <v>49</v>
      </c>
      <c r="D6599" s="11">
        <v>132.27513227513228</v>
      </c>
      <c r="E6599" s="12">
        <f t="shared" si="103"/>
        <v>48037</v>
      </c>
    </row>
    <row r="6600" spans="1:5" x14ac:dyDescent="0.25">
      <c r="A6600" s="2">
        <f>IF(B6600="","",SUBTOTAL(3,$B$2:B6600))</f>
        <v>6599</v>
      </c>
      <c r="B6600" s="9" t="s">
        <v>48</v>
      </c>
      <c r="C6600" s="10" t="s">
        <v>52</v>
      </c>
      <c r="D6600" s="11">
        <v>36.198398028342574</v>
      </c>
      <c r="E6600" s="12">
        <f t="shared" si="103"/>
        <v>48038</v>
      </c>
    </row>
    <row r="6601" spans="1:5" x14ac:dyDescent="0.25">
      <c r="A6601" s="2">
        <f>IF(B6601="","",SUBTOTAL(3,$B$2:B6601))</f>
        <v>6600</v>
      </c>
      <c r="B6601" s="9" t="s">
        <v>48</v>
      </c>
      <c r="C6601" s="10" t="s">
        <v>54</v>
      </c>
      <c r="D6601" s="11">
        <v>64.24010381200776</v>
      </c>
      <c r="E6601" s="12">
        <f t="shared" si="103"/>
        <v>48039</v>
      </c>
    </row>
    <row r="6602" spans="1:5" x14ac:dyDescent="0.25">
      <c r="A6602" s="2">
        <f>IF(B6602="","",SUBTOTAL(3,$B$2:B6602))</f>
        <v>6601</v>
      </c>
      <c r="B6602" s="9" t="s">
        <v>48</v>
      </c>
      <c r="C6602" s="10" t="s">
        <v>52</v>
      </c>
      <c r="D6602" s="11">
        <v>123.22858903265558</v>
      </c>
      <c r="E6602" s="12">
        <f t="shared" si="103"/>
        <v>48040</v>
      </c>
    </row>
    <row r="6603" spans="1:5" x14ac:dyDescent="0.25">
      <c r="A6603" s="2">
        <f>IF(B6603="","",SUBTOTAL(3,$B$2:B6603))</f>
        <v>6602</v>
      </c>
      <c r="B6603" s="9" t="s">
        <v>48</v>
      </c>
      <c r="C6603" s="10" t="s">
        <v>54</v>
      </c>
      <c r="D6603" s="11">
        <v>34.689656058484196</v>
      </c>
      <c r="E6603" s="12">
        <f t="shared" si="103"/>
        <v>48041</v>
      </c>
    </row>
    <row r="6604" spans="1:5" x14ac:dyDescent="0.25">
      <c r="A6604" s="2">
        <f>IF(B6604="","",SUBTOTAL(3,$B$2:B6604))</f>
        <v>6603</v>
      </c>
      <c r="B6604" s="9" t="s">
        <v>51</v>
      </c>
      <c r="C6604" s="10" t="s">
        <v>49</v>
      </c>
      <c r="D6604" s="11">
        <v>1E-3</v>
      </c>
      <c r="E6604" s="12">
        <f t="shared" si="103"/>
        <v>48042</v>
      </c>
    </row>
    <row r="6605" spans="1:5" x14ac:dyDescent="0.25">
      <c r="A6605" s="2">
        <f>IF(B6605="","",SUBTOTAL(3,$B$2:B6605))</f>
        <v>6604</v>
      </c>
      <c r="B6605" s="9" t="s">
        <v>48</v>
      </c>
      <c r="C6605" s="10" t="s">
        <v>49</v>
      </c>
      <c r="D6605" s="11">
        <v>12.064805239572561</v>
      </c>
      <c r="E6605" s="12">
        <f t="shared" si="103"/>
        <v>48043</v>
      </c>
    </row>
    <row r="6606" spans="1:5" x14ac:dyDescent="0.25">
      <c r="A6606" s="2">
        <f>IF(B6606="","",SUBTOTAL(3,$B$2:B6606))</f>
        <v>6605</v>
      </c>
      <c r="B6606" s="9" t="s">
        <v>48</v>
      </c>
      <c r="C6606" s="10" t="s">
        <v>49</v>
      </c>
      <c r="D6606" s="11">
        <v>107.70596346087555</v>
      </c>
      <c r="E6606" s="12">
        <f t="shared" si="103"/>
        <v>48044</v>
      </c>
    </row>
    <row r="6607" spans="1:5" x14ac:dyDescent="0.25">
      <c r="A6607" s="2">
        <f>IF(B6607="","",SUBTOTAL(3,$B$2:B6607))</f>
        <v>6606</v>
      </c>
      <c r="B6607" s="9" t="s">
        <v>53</v>
      </c>
      <c r="C6607" s="10" t="s">
        <v>57</v>
      </c>
      <c r="D6607" s="11">
        <v>91.585994669695125</v>
      </c>
      <c r="E6607" s="12">
        <f t="shared" si="103"/>
        <v>48045</v>
      </c>
    </row>
    <row r="6608" spans="1:5" x14ac:dyDescent="0.25">
      <c r="A6608" s="2">
        <f>IF(B6608="","",SUBTOTAL(3,$B$2:B6608))</f>
        <v>6607</v>
      </c>
      <c r="B6608" s="9" t="s">
        <v>53</v>
      </c>
      <c r="C6608" s="10" t="s">
        <v>54</v>
      </c>
      <c r="D6608" s="11">
        <v>9.1585994669695125</v>
      </c>
      <c r="E6608" s="12">
        <f t="shared" si="103"/>
        <v>48046</v>
      </c>
    </row>
    <row r="6609" spans="1:5" x14ac:dyDescent="0.25">
      <c r="A6609" s="2">
        <f>IF(B6609="","",SUBTOTAL(3,$B$2:B6609))</f>
        <v>6608</v>
      </c>
      <c r="B6609" s="9" t="s">
        <v>51</v>
      </c>
      <c r="C6609" s="10" t="s">
        <v>54</v>
      </c>
      <c r="D6609" s="11">
        <v>211.79709837975219</v>
      </c>
      <c r="E6609" s="12">
        <f t="shared" si="103"/>
        <v>48047</v>
      </c>
    </row>
    <row r="6610" spans="1:5" x14ac:dyDescent="0.25">
      <c r="A6610" s="2">
        <f>IF(B6610="","",SUBTOTAL(3,$B$2:B6610))</f>
        <v>6609</v>
      </c>
      <c r="B6610" s="9" t="s">
        <v>50</v>
      </c>
      <c r="C6610" s="10" t="s">
        <v>49</v>
      </c>
      <c r="D6610" s="11">
        <v>220.45855379188714</v>
      </c>
      <c r="E6610" s="12">
        <f t="shared" si="103"/>
        <v>48048</v>
      </c>
    </row>
    <row r="6611" spans="1:5" x14ac:dyDescent="0.25">
      <c r="A6611" s="2">
        <f>IF(B6611="","",SUBTOTAL(3,$B$2:B6611))</f>
        <v>6610</v>
      </c>
      <c r="B6611" s="9" t="s">
        <v>48</v>
      </c>
      <c r="C6611" s="10" t="s">
        <v>52</v>
      </c>
      <c r="D6611" s="11">
        <v>128.48020762401552</v>
      </c>
      <c r="E6611" s="12">
        <f t="shared" si="103"/>
        <v>48049</v>
      </c>
    </row>
    <row r="6612" spans="1:5" x14ac:dyDescent="0.25">
      <c r="A6612" s="2">
        <f>IF(B6612="","",SUBTOTAL(3,$B$2:B6612))</f>
        <v>6611</v>
      </c>
      <c r="B6612" s="9" t="s">
        <v>50</v>
      </c>
      <c r="C6612" s="10" t="s">
        <v>49</v>
      </c>
      <c r="D6612" s="11">
        <v>220.45855379188714</v>
      </c>
      <c r="E6612" s="12">
        <f t="shared" si="103"/>
        <v>48050</v>
      </c>
    </row>
    <row r="6613" spans="1:5" x14ac:dyDescent="0.25">
      <c r="A6613" s="2">
        <f>IF(B6613="","",SUBTOTAL(3,$B$2:B6613))</f>
        <v>6612</v>
      </c>
      <c r="B6613" s="9" t="s">
        <v>48</v>
      </c>
      <c r="C6613" s="10" t="s">
        <v>49</v>
      </c>
      <c r="D6613" s="11">
        <v>68.941744226128904</v>
      </c>
      <c r="E6613" s="12">
        <f t="shared" si="103"/>
        <v>48051</v>
      </c>
    </row>
    <row r="6614" spans="1:5" x14ac:dyDescent="0.25">
      <c r="A6614" s="2">
        <f>IF(B6614="","",SUBTOTAL(3,$B$2:B6614))</f>
        <v>6613</v>
      </c>
      <c r="B6614" s="9" t="s">
        <v>48</v>
      </c>
      <c r="C6614" s="10" t="s">
        <v>56</v>
      </c>
      <c r="D6614" s="11">
        <v>103.41261633919338</v>
      </c>
      <c r="E6614" s="12">
        <f t="shared" si="103"/>
        <v>48052</v>
      </c>
    </row>
    <row r="6615" spans="1:5" x14ac:dyDescent="0.25">
      <c r="A6615" s="2">
        <f>IF(B6615="","",SUBTOTAL(3,$B$2:B6615))</f>
        <v>6614</v>
      </c>
      <c r="B6615" s="9" t="s">
        <v>48</v>
      </c>
      <c r="C6615" s="10" t="s">
        <v>49</v>
      </c>
      <c r="D6615" s="11">
        <v>206.82523267838675</v>
      </c>
      <c r="E6615" s="12">
        <f t="shared" si="103"/>
        <v>48053</v>
      </c>
    </row>
    <row r="6616" spans="1:5" x14ac:dyDescent="0.25">
      <c r="A6616" s="2">
        <f>IF(B6616="","",SUBTOTAL(3,$B$2:B6616))</f>
        <v>6615</v>
      </c>
      <c r="B6616" s="9" t="s">
        <v>48</v>
      </c>
      <c r="C6616" s="10" t="s">
        <v>54</v>
      </c>
      <c r="D6616" s="11">
        <v>246.45717806531115</v>
      </c>
      <c r="E6616" s="12">
        <f t="shared" si="103"/>
        <v>48054</v>
      </c>
    </row>
    <row r="6617" spans="1:5" x14ac:dyDescent="0.25">
      <c r="A6617" s="2">
        <f>IF(B6617="","",SUBTOTAL(3,$B$2:B6617))</f>
        <v>6616</v>
      </c>
      <c r="B6617" s="9" t="s">
        <v>48</v>
      </c>
      <c r="C6617" s="10" t="s">
        <v>49</v>
      </c>
      <c r="D6617" s="11">
        <v>308.07147258163894</v>
      </c>
      <c r="E6617" s="12">
        <f t="shared" si="103"/>
        <v>48055</v>
      </c>
    </row>
    <row r="6618" spans="1:5" x14ac:dyDescent="0.25">
      <c r="A6618" s="2">
        <f>IF(B6618="","",SUBTOTAL(3,$B$2:B6618))</f>
        <v>6617</v>
      </c>
      <c r="B6618" s="9" t="s">
        <v>55</v>
      </c>
      <c r="C6618" s="10" t="s">
        <v>52</v>
      </c>
      <c r="D6618" s="11">
        <v>200</v>
      </c>
      <c r="E6618" s="12">
        <f t="shared" si="103"/>
        <v>48056</v>
      </c>
    </row>
    <row r="6619" spans="1:5" x14ac:dyDescent="0.25">
      <c r="A6619" s="2">
        <f>IF(B6619="","",SUBTOTAL(3,$B$2:B6619))</f>
        <v>6618</v>
      </c>
      <c r="B6619" s="9" t="s">
        <v>53</v>
      </c>
      <c r="C6619" s="10" t="s">
        <v>49</v>
      </c>
      <c r="D6619" s="11">
        <v>73.2687957357561</v>
      </c>
      <c r="E6619" s="12">
        <f t="shared" si="103"/>
        <v>48057</v>
      </c>
    </row>
    <row r="6620" spans="1:5" x14ac:dyDescent="0.25">
      <c r="A6620" s="2">
        <f>IF(B6620="","",SUBTOTAL(3,$B$2:B6620))</f>
        <v>6619</v>
      </c>
      <c r="B6620" s="9" t="s">
        <v>53</v>
      </c>
      <c r="C6620" s="10" t="s">
        <v>52</v>
      </c>
      <c r="D6620" s="11">
        <v>137.37899200454268</v>
      </c>
      <c r="E6620" s="12">
        <f t="shared" si="103"/>
        <v>48058</v>
      </c>
    </row>
    <row r="6621" spans="1:5" x14ac:dyDescent="0.25">
      <c r="A6621" s="2">
        <f>IF(B6621="","",SUBTOTAL(3,$B$2:B6621))</f>
        <v>6620</v>
      </c>
      <c r="B6621" s="9" t="s">
        <v>48</v>
      </c>
      <c r="C6621" s="10" t="s">
        <v>49</v>
      </c>
      <c r="D6621" s="11">
        <v>34.470872113064452</v>
      </c>
      <c r="E6621" s="12">
        <f t="shared" si="103"/>
        <v>48059</v>
      </c>
    </row>
    <row r="6622" spans="1:5" x14ac:dyDescent="0.25">
      <c r="A6622" s="2">
        <f>IF(B6622="","",SUBTOTAL(3,$B$2:B6622))</f>
        <v>6621</v>
      </c>
      <c r="B6622" s="9" t="s">
        <v>48</v>
      </c>
      <c r="C6622" s="10" t="s">
        <v>49</v>
      </c>
      <c r="D6622" s="11">
        <v>5385.2981730437778</v>
      </c>
      <c r="E6622" s="12">
        <f t="shared" si="103"/>
        <v>48060</v>
      </c>
    </row>
    <row r="6623" spans="1:5" x14ac:dyDescent="0.25">
      <c r="A6623" s="2">
        <f>IF(B6623="","",SUBTOTAL(3,$B$2:B6623))</f>
        <v>6622</v>
      </c>
      <c r="B6623" s="9" t="s">
        <v>48</v>
      </c>
      <c r="C6623" s="10" t="s">
        <v>49</v>
      </c>
      <c r="D6623" s="11">
        <v>34.470872113064452</v>
      </c>
      <c r="E6623" s="12">
        <f t="shared" si="103"/>
        <v>48061</v>
      </c>
    </row>
    <row r="6624" spans="1:5" x14ac:dyDescent="0.25">
      <c r="A6624" s="2">
        <f>IF(B6624="","",SUBTOTAL(3,$B$2:B6624))</f>
        <v>6623</v>
      </c>
      <c r="B6624" s="9" t="s">
        <v>55</v>
      </c>
      <c r="C6624" s="10" t="s">
        <v>49</v>
      </c>
      <c r="D6624" s="11">
        <v>32.675999999999995</v>
      </c>
      <c r="E6624" s="12">
        <f t="shared" si="103"/>
        <v>48062</v>
      </c>
    </row>
    <row r="6625" spans="1:5" x14ac:dyDescent="0.25">
      <c r="A6625" s="2">
        <f>IF(B6625="","",SUBTOTAL(3,$B$2:B6625))</f>
        <v>6624</v>
      </c>
      <c r="B6625" s="9" t="s">
        <v>50</v>
      </c>
      <c r="C6625" s="10" t="s">
        <v>52</v>
      </c>
      <c r="D6625" s="11">
        <v>10</v>
      </c>
      <c r="E6625" s="12">
        <f t="shared" si="103"/>
        <v>48063</v>
      </c>
    </row>
    <row r="6626" spans="1:5" x14ac:dyDescent="0.25">
      <c r="A6626" s="2">
        <f>IF(B6626="","",SUBTOTAL(3,$B$2:B6626))</f>
        <v>6625</v>
      </c>
      <c r="B6626" s="9" t="s">
        <v>51</v>
      </c>
      <c r="C6626" s="10" t="s">
        <v>52</v>
      </c>
      <c r="D6626" s="11">
        <v>105.89854918987609</v>
      </c>
      <c r="E6626" s="12">
        <f t="shared" si="103"/>
        <v>48064</v>
      </c>
    </row>
    <row r="6627" spans="1:5" x14ac:dyDescent="0.25">
      <c r="A6627" s="2">
        <f>IF(B6627="","",SUBTOTAL(3,$B$2:B6627))</f>
        <v>6626</v>
      </c>
      <c r="B6627" s="9" t="s">
        <v>48</v>
      </c>
      <c r="C6627" s="10" t="s">
        <v>49</v>
      </c>
      <c r="D6627" s="11">
        <v>537.74560496380548</v>
      </c>
      <c r="E6627" s="12">
        <f t="shared" si="103"/>
        <v>48065</v>
      </c>
    </row>
    <row r="6628" spans="1:5" x14ac:dyDescent="0.25">
      <c r="A6628" s="2">
        <f>IF(B6628="","",SUBTOTAL(3,$B$2:B6628))</f>
        <v>6627</v>
      </c>
      <c r="B6628" s="9" t="s">
        <v>48</v>
      </c>
      <c r="C6628" s="10" t="s">
        <v>49</v>
      </c>
      <c r="D6628" s="11">
        <v>3.4470872113064459</v>
      </c>
      <c r="E6628" s="12">
        <f t="shared" si="103"/>
        <v>48066</v>
      </c>
    </row>
    <row r="6629" spans="1:5" x14ac:dyDescent="0.25">
      <c r="A6629" s="2">
        <f>IF(B6629="","",SUBTOTAL(3,$B$2:B6629))</f>
        <v>6628</v>
      </c>
      <c r="B6629" s="9" t="s">
        <v>48</v>
      </c>
      <c r="C6629" s="10" t="s">
        <v>49</v>
      </c>
      <c r="D6629" s="11">
        <v>107.70596346087555</v>
      </c>
      <c r="E6629" s="12">
        <f t="shared" si="103"/>
        <v>48067</v>
      </c>
    </row>
    <row r="6630" spans="1:5" x14ac:dyDescent="0.25">
      <c r="A6630" s="2">
        <f>IF(B6630="","",SUBTOTAL(3,$B$2:B6630))</f>
        <v>6629</v>
      </c>
      <c r="B6630" s="9" t="s">
        <v>48</v>
      </c>
      <c r="C6630" s="10" t="s">
        <v>49</v>
      </c>
      <c r="D6630" s="11">
        <v>107.70596346087555</v>
      </c>
      <c r="E6630" s="12">
        <f t="shared" si="103"/>
        <v>48068</v>
      </c>
    </row>
    <row r="6631" spans="1:5" x14ac:dyDescent="0.25">
      <c r="A6631" s="2">
        <f>IF(B6631="","",SUBTOTAL(3,$B$2:B6631))</f>
        <v>6630</v>
      </c>
      <c r="B6631" s="9" t="s">
        <v>48</v>
      </c>
      <c r="C6631" s="10" t="s">
        <v>54</v>
      </c>
      <c r="D6631" s="11">
        <v>53.912507701786815</v>
      </c>
      <c r="E6631" s="12">
        <f t="shared" si="103"/>
        <v>48069</v>
      </c>
    </row>
    <row r="6632" spans="1:5" x14ac:dyDescent="0.25">
      <c r="A6632" s="2">
        <f>IF(B6632="","",SUBTOTAL(3,$B$2:B6632))</f>
        <v>6631</v>
      </c>
      <c r="B6632" s="9" t="s">
        <v>48</v>
      </c>
      <c r="C6632" s="10" t="s">
        <v>52</v>
      </c>
      <c r="D6632" s="11">
        <v>123.22858903265558</v>
      </c>
      <c r="E6632" s="12">
        <f t="shared" si="103"/>
        <v>48070</v>
      </c>
    </row>
    <row r="6633" spans="1:5" x14ac:dyDescent="0.25">
      <c r="A6633" s="2">
        <f>IF(B6633="","",SUBTOTAL(3,$B$2:B6633))</f>
        <v>6632</v>
      </c>
      <c r="B6633" s="9" t="s">
        <v>50</v>
      </c>
      <c r="C6633" s="10" t="s">
        <v>49</v>
      </c>
      <c r="D6633" s="11">
        <v>187.38977072310408</v>
      </c>
      <c r="E6633" s="12">
        <f t="shared" si="103"/>
        <v>48071</v>
      </c>
    </row>
    <row r="6634" spans="1:5" x14ac:dyDescent="0.25">
      <c r="A6634" s="2">
        <f>IF(B6634="","",SUBTOTAL(3,$B$2:B6634))</f>
        <v>6633</v>
      </c>
      <c r="B6634" s="9" t="s">
        <v>51</v>
      </c>
      <c r="C6634" s="10" t="s">
        <v>52</v>
      </c>
      <c r="D6634" s="11">
        <v>26.474637297469023</v>
      </c>
      <c r="E6634" s="12">
        <f t="shared" si="103"/>
        <v>48072</v>
      </c>
    </row>
    <row r="6635" spans="1:5" x14ac:dyDescent="0.25">
      <c r="A6635" s="2">
        <f>IF(B6635="","",SUBTOTAL(3,$B$2:B6635))</f>
        <v>6634</v>
      </c>
      <c r="B6635" s="9" t="s">
        <v>50</v>
      </c>
      <c r="C6635" s="10" t="s">
        <v>52</v>
      </c>
      <c r="D6635" s="11">
        <v>220.45855379188714</v>
      </c>
      <c r="E6635" s="12">
        <f t="shared" si="103"/>
        <v>48073</v>
      </c>
    </row>
    <row r="6636" spans="1:5" x14ac:dyDescent="0.25">
      <c r="A6636" s="2">
        <f>IF(B6636="","",SUBTOTAL(3,$B$2:B6636))</f>
        <v>6635</v>
      </c>
      <c r="B6636" s="9" t="s">
        <v>55</v>
      </c>
      <c r="C6636" s="10" t="s">
        <v>52</v>
      </c>
      <c r="D6636" s="11">
        <v>88.45</v>
      </c>
      <c r="E6636" s="12">
        <f t="shared" si="103"/>
        <v>48074</v>
      </c>
    </row>
    <row r="6637" spans="1:5" x14ac:dyDescent="0.25">
      <c r="A6637" s="2">
        <f>IF(B6637="","",SUBTOTAL(3,$B$2:B6637))</f>
        <v>6636</v>
      </c>
      <c r="B6637" s="9" t="s">
        <v>48</v>
      </c>
      <c r="C6637" s="10" t="s">
        <v>49</v>
      </c>
      <c r="D6637" s="11">
        <v>68.941744226128904</v>
      </c>
      <c r="E6637" s="12">
        <f t="shared" si="103"/>
        <v>48075</v>
      </c>
    </row>
    <row r="6638" spans="1:5" x14ac:dyDescent="0.25">
      <c r="A6638" s="2">
        <f>IF(B6638="","",SUBTOTAL(3,$B$2:B6638))</f>
        <v>6637</v>
      </c>
      <c r="B6638" s="9" t="s">
        <v>48</v>
      </c>
      <c r="C6638" s="10" t="s">
        <v>49</v>
      </c>
      <c r="D6638" s="11">
        <v>58.60048259220958</v>
      </c>
      <c r="E6638" s="12">
        <f t="shared" si="103"/>
        <v>48076</v>
      </c>
    </row>
    <row r="6639" spans="1:5" x14ac:dyDescent="0.25">
      <c r="A6639" s="2">
        <f>IF(B6639="","",SUBTOTAL(3,$B$2:B6639))</f>
        <v>6638</v>
      </c>
      <c r="B6639" s="9" t="s">
        <v>48</v>
      </c>
      <c r="C6639" s="10" t="s">
        <v>56</v>
      </c>
      <c r="D6639" s="11">
        <v>19.27203114360233</v>
      </c>
      <c r="E6639" s="12">
        <f t="shared" si="103"/>
        <v>48077</v>
      </c>
    </row>
    <row r="6640" spans="1:5" x14ac:dyDescent="0.25">
      <c r="A6640" s="2">
        <f>IF(B6640="","",SUBTOTAL(3,$B$2:B6640))</f>
        <v>6639</v>
      </c>
      <c r="B6640" s="9" t="s">
        <v>48</v>
      </c>
      <c r="C6640" s="10" t="s">
        <v>56</v>
      </c>
      <c r="D6640" s="11">
        <v>38.54406228720466</v>
      </c>
      <c r="E6640" s="12">
        <f t="shared" si="103"/>
        <v>48078</v>
      </c>
    </row>
    <row r="6641" spans="1:5" x14ac:dyDescent="0.25">
      <c r="A6641" s="2">
        <f>IF(B6641="","",SUBTOTAL(3,$B$2:B6641))</f>
        <v>6640</v>
      </c>
      <c r="B6641" s="9" t="s">
        <v>50</v>
      </c>
      <c r="C6641" s="10" t="s">
        <v>57</v>
      </c>
      <c r="D6641" s="11">
        <v>440.91710758377428</v>
      </c>
      <c r="E6641" s="12">
        <f t="shared" si="103"/>
        <v>48079</v>
      </c>
    </row>
    <row r="6642" spans="1:5" x14ac:dyDescent="0.25">
      <c r="A6642" s="2">
        <f>IF(B6642="","",SUBTOTAL(3,$B$2:B6642))</f>
        <v>6641</v>
      </c>
      <c r="B6642" s="9" t="s">
        <v>50</v>
      </c>
      <c r="C6642" s="10" t="s">
        <v>49</v>
      </c>
      <c r="D6642" s="11">
        <v>154.32098765432099</v>
      </c>
      <c r="E6642" s="12">
        <f t="shared" si="103"/>
        <v>48080</v>
      </c>
    </row>
    <row r="6643" spans="1:5" x14ac:dyDescent="0.25">
      <c r="A6643" s="2">
        <f>IF(B6643="","",SUBTOTAL(3,$B$2:B6643))</f>
        <v>6642</v>
      </c>
      <c r="B6643" s="9" t="s">
        <v>50</v>
      </c>
      <c r="C6643" s="10" t="s">
        <v>52</v>
      </c>
      <c r="D6643" s="11">
        <v>110.22927689594357</v>
      </c>
      <c r="E6643" s="12">
        <f t="shared" si="103"/>
        <v>48081</v>
      </c>
    </row>
    <row r="6644" spans="1:5" x14ac:dyDescent="0.25">
      <c r="A6644" s="2">
        <f>IF(B6644="","",SUBTOTAL(3,$B$2:B6644))</f>
        <v>6643</v>
      </c>
      <c r="B6644" s="9" t="s">
        <v>50</v>
      </c>
      <c r="C6644" s="10" t="s">
        <v>49</v>
      </c>
      <c r="D6644" s="11">
        <v>110.22927689594357</v>
      </c>
      <c r="E6644" s="12">
        <f t="shared" si="103"/>
        <v>48082</v>
      </c>
    </row>
    <row r="6645" spans="1:5" x14ac:dyDescent="0.25">
      <c r="A6645" s="2">
        <f>IF(B6645="","",SUBTOTAL(3,$B$2:B6645))</f>
        <v>6644</v>
      </c>
      <c r="B6645" s="9" t="s">
        <v>48</v>
      </c>
      <c r="C6645" s="10" t="s">
        <v>49</v>
      </c>
      <c r="D6645" s="11">
        <v>150.78834884522578</v>
      </c>
      <c r="E6645" s="12">
        <f t="shared" si="103"/>
        <v>48083</v>
      </c>
    </row>
    <row r="6646" spans="1:5" x14ac:dyDescent="0.25">
      <c r="A6646" s="2">
        <f>IF(B6646="","",SUBTOTAL(3,$B$2:B6646))</f>
        <v>6645</v>
      </c>
      <c r="B6646" s="9" t="s">
        <v>48</v>
      </c>
      <c r="C6646" s="10" t="s">
        <v>49</v>
      </c>
      <c r="D6646" s="11">
        <v>141.71837297483626</v>
      </c>
      <c r="E6646" s="12">
        <f t="shared" si="103"/>
        <v>48084</v>
      </c>
    </row>
    <row r="6647" spans="1:5" x14ac:dyDescent="0.25">
      <c r="A6647" s="2">
        <f>IF(B6647="","",SUBTOTAL(3,$B$2:B6647))</f>
        <v>6646</v>
      </c>
      <c r="B6647" s="9" t="s">
        <v>48</v>
      </c>
      <c r="C6647" s="10" t="s">
        <v>52</v>
      </c>
      <c r="D6647" s="11">
        <v>127.54653567735262</v>
      </c>
      <c r="E6647" s="12">
        <f t="shared" si="103"/>
        <v>48085</v>
      </c>
    </row>
    <row r="6648" spans="1:5" x14ac:dyDescent="0.25">
      <c r="A6648" s="2">
        <f>IF(B6648="","",SUBTOTAL(3,$B$2:B6648))</f>
        <v>6647</v>
      </c>
      <c r="B6648" s="9" t="s">
        <v>48</v>
      </c>
      <c r="C6648" s="10" t="s">
        <v>49</v>
      </c>
      <c r="D6648" s="11">
        <v>308.07147258163894</v>
      </c>
      <c r="E6648" s="12">
        <f t="shared" si="103"/>
        <v>48086</v>
      </c>
    </row>
    <row r="6649" spans="1:5" x14ac:dyDescent="0.25">
      <c r="A6649" s="2">
        <f>IF(B6649="","",SUBTOTAL(3,$B$2:B6649))</f>
        <v>6648</v>
      </c>
      <c r="B6649" s="9" t="s">
        <v>48</v>
      </c>
      <c r="C6649" s="10" t="s">
        <v>49</v>
      </c>
      <c r="D6649" s="11">
        <v>1232.2858903265558</v>
      </c>
      <c r="E6649" s="12">
        <f t="shared" si="103"/>
        <v>48087</v>
      </c>
    </row>
    <row r="6650" spans="1:5" x14ac:dyDescent="0.25">
      <c r="A6650" s="2">
        <f>IF(B6650="","",SUBTOTAL(3,$B$2:B6650))</f>
        <v>6649</v>
      </c>
      <c r="B6650" s="9" t="s">
        <v>50</v>
      </c>
      <c r="C6650" s="10" t="s">
        <v>49</v>
      </c>
      <c r="D6650" s="11">
        <v>66.137566137566139</v>
      </c>
      <c r="E6650" s="12">
        <f t="shared" si="103"/>
        <v>48088</v>
      </c>
    </row>
    <row r="6651" spans="1:5" x14ac:dyDescent="0.25">
      <c r="A6651" s="2">
        <f>IF(B6651="","",SUBTOTAL(3,$B$2:B6651))</f>
        <v>6650</v>
      </c>
      <c r="B6651" s="9" t="s">
        <v>51</v>
      </c>
      <c r="C6651" s="10" t="s">
        <v>54</v>
      </c>
      <c r="D6651" s="11">
        <v>211.79709837975219</v>
      </c>
      <c r="E6651" s="12">
        <f t="shared" si="103"/>
        <v>48089</v>
      </c>
    </row>
    <row r="6652" spans="1:5" x14ac:dyDescent="0.25">
      <c r="A6652" s="2">
        <f>IF(B6652="","",SUBTOTAL(3,$B$2:B6652))</f>
        <v>6651</v>
      </c>
      <c r="B6652" s="9" t="s">
        <v>48</v>
      </c>
      <c r="C6652" s="10" t="s">
        <v>49</v>
      </c>
      <c r="D6652" s="11">
        <v>103.41261633919338</v>
      </c>
      <c r="E6652" s="12">
        <f t="shared" si="103"/>
        <v>48090</v>
      </c>
    </row>
    <row r="6653" spans="1:5" x14ac:dyDescent="0.25">
      <c r="A6653" s="2">
        <f>IF(B6653="","",SUBTOTAL(3,$B$2:B6653))</f>
        <v>6652</v>
      </c>
      <c r="B6653" s="9" t="s">
        <v>48</v>
      </c>
      <c r="C6653" s="10" t="s">
        <v>52</v>
      </c>
      <c r="D6653" s="11">
        <v>61.614294516327789</v>
      </c>
      <c r="E6653" s="12">
        <f t="shared" si="103"/>
        <v>48091</v>
      </c>
    </row>
    <row r="6654" spans="1:5" x14ac:dyDescent="0.25">
      <c r="A6654" s="2">
        <f>IF(B6654="","",SUBTOTAL(3,$B$2:B6654))</f>
        <v>6653</v>
      </c>
      <c r="B6654" s="9" t="s">
        <v>48</v>
      </c>
      <c r="C6654" s="10" t="s">
        <v>49</v>
      </c>
      <c r="D6654" s="11">
        <v>123.22858903265558</v>
      </c>
      <c r="E6654" s="12">
        <f t="shared" si="103"/>
        <v>48092</v>
      </c>
    </row>
    <row r="6655" spans="1:5" x14ac:dyDescent="0.25">
      <c r="A6655" s="2">
        <f>IF(B6655="","",SUBTOTAL(3,$B$2:B6655))</f>
        <v>6654</v>
      </c>
      <c r="B6655" s="9" t="s">
        <v>48</v>
      </c>
      <c r="C6655" s="10" t="s">
        <v>49</v>
      </c>
      <c r="D6655" s="11">
        <v>77.017868145409736</v>
      </c>
      <c r="E6655" s="12">
        <f t="shared" si="103"/>
        <v>48093</v>
      </c>
    </row>
    <row r="6656" spans="1:5" x14ac:dyDescent="0.25">
      <c r="A6656" s="2">
        <f>IF(B6656="","",SUBTOTAL(3,$B$2:B6656))</f>
        <v>6655</v>
      </c>
      <c r="B6656" s="9" t="s">
        <v>48</v>
      </c>
      <c r="C6656" s="10" t="s">
        <v>52</v>
      </c>
      <c r="D6656" s="11">
        <v>46.210720887245841</v>
      </c>
      <c r="E6656" s="12">
        <f t="shared" si="103"/>
        <v>48094</v>
      </c>
    </row>
    <row r="6657" spans="1:5" x14ac:dyDescent="0.25">
      <c r="A6657" s="2">
        <f>IF(B6657="","",SUBTOTAL(3,$B$2:B6657))</f>
        <v>6656</v>
      </c>
      <c r="B6657" s="9" t="s">
        <v>48</v>
      </c>
      <c r="C6657" s="10" t="s">
        <v>52</v>
      </c>
      <c r="D6657" s="11">
        <v>77.017868145409736</v>
      </c>
      <c r="E6657" s="12">
        <f t="shared" si="103"/>
        <v>48095</v>
      </c>
    </row>
    <row r="6658" spans="1:5" x14ac:dyDescent="0.25">
      <c r="A6658" s="2">
        <f>IF(B6658="","",SUBTOTAL(3,$B$2:B6658))</f>
        <v>6657</v>
      </c>
      <c r="B6658" s="9" t="s">
        <v>51</v>
      </c>
      <c r="C6658" s="10" t="s">
        <v>49</v>
      </c>
      <c r="D6658" s="11">
        <v>84.718839351900883</v>
      </c>
      <c r="E6658" s="12">
        <f t="shared" si="103"/>
        <v>48096</v>
      </c>
    </row>
    <row r="6659" spans="1:5" x14ac:dyDescent="0.25">
      <c r="A6659" s="2">
        <f>IF(B6659="","",SUBTOTAL(3,$B$2:B6659))</f>
        <v>6658</v>
      </c>
      <c r="B6659" s="9" t="s">
        <v>51</v>
      </c>
      <c r="C6659" s="10" t="s">
        <v>56</v>
      </c>
      <c r="D6659" s="11">
        <v>6353.9129513925654</v>
      </c>
      <c r="E6659" s="12">
        <f t="shared" si="103"/>
        <v>48097</v>
      </c>
    </row>
    <row r="6660" spans="1:5" x14ac:dyDescent="0.25">
      <c r="A6660" s="2">
        <f>IF(B6660="","",SUBTOTAL(3,$B$2:B6660))</f>
        <v>6659</v>
      </c>
      <c r="B6660" s="9" t="s">
        <v>48</v>
      </c>
      <c r="C6660" s="10" t="s">
        <v>52</v>
      </c>
      <c r="D6660" s="11">
        <v>77.017868145409736</v>
      </c>
      <c r="E6660" s="12">
        <f t="shared" ref="E6660:E6723" si="104">E6659+1</f>
        <v>48098</v>
      </c>
    </row>
    <row r="6661" spans="1:5" x14ac:dyDescent="0.25">
      <c r="A6661" s="2">
        <f>IF(B6661="","",SUBTOTAL(3,$B$2:B6661))</f>
        <v>6660</v>
      </c>
      <c r="B6661" s="9" t="s">
        <v>48</v>
      </c>
      <c r="C6661" s="10" t="s">
        <v>52</v>
      </c>
      <c r="D6661" s="11">
        <v>308.07147258163894</v>
      </c>
      <c r="E6661" s="12">
        <f t="shared" si="104"/>
        <v>48099</v>
      </c>
    </row>
    <row r="6662" spans="1:5" x14ac:dyDescent="0.25">
      <c r="A6662" s="2">
        <f>IF(B6662="","",SUBTOTAL(3,$B$2:B6662))</f>
        <v>6661</v>
      </c>
      <c r="B6662" s="9" t="s">
        <v>48</v>
      </c>
      <c r="C6662" s="10" t="s">
        <v>49</v>
      </c>
      <c r="D6662" s="11">
        <v>74.871842267406038</v>
      </c>
      <c r="E6662" s="12">
        <f t="shared" si="104"/>
        <v>48100</v>
      </c>
    </row>
    <row r="6663" spans="1:5" x14ac:dyDescent="0.25">
      <c r="A6663" s="2">
        <f>IF(B6663="","",SUBTOTAL(3,$B$2:B6663))</f>
        <v>6662</v>
      </c>
      <c r="B6663" s="9" t="s">
        <v>48</v>
      </c>
      <c r="C6663" s="10" t="s">
        <v>54</v>
      </c>
      <c r="D6663" s="11">
        <v>70.931146025877993</v>
      </c>
      <c r="E6663" s="12">
        <f t="shared" si="104"/>
        <v>48101</v>
      </c>
    </row>
    <row r="6664" spans="1:5" x14ac:dyDescent="0.25">
      <c r="A6664" s="2">
        <f>IF(B6664="","",SUBTOTAL(3,$B$2:B6664))</f>
        <v>6663</v>
      </c>
      <c r="B6664" s="9" t="s">
        <v>48</v>
      </c>
      <c r="C6664" s="10" t="s">
        <v>52</v>
      </c>
      <c r="D6664" s="11">
        <v>92.88354898336415</v>
      </c>
      <c r="E6664" s="12">
        <f t="shared" si="104"/>
        <v>48102</v>
      </c>
    </row>
    <row r="6665" spans="1:5" x14ac:dyDescent="0.25">
      <c r="A6665" s="2">
        <f>IF(B6665="","",SUBTOTAL(3,$B$2:B6665))</f>
        <v>6664</v>
      </c>
      <c r="B6665" s="9" t="s">
        <v>50</v>
      </c>
      <c r="C6665" s="10" t="s">
        <v>49</v>
      </c>
      <c r="D6665" s="11">
        <v>44.091710758377424</v>
      </c>
      <c r="E6665" s="12">
        <f t="shared" si="104"/>
        <v>48103</v>
      </c>
    </row>
    <row r="6666" spans="1:5" x14ac:dyDescent="0.25">
      <c r="A6666" s="2">
        <f>IF(B6666="","",SUBTOTAL(3,$B$2:B6666))</f>
        <v>6665</v>
      </c>
      <c r="B6666" s="9" t="s">
        <v>50</v>
      </c>
      <c r="C6666" s="10" t="s">
        <v>49</v>
      </c>
      <c r="D6666" s="11">
        <v>88.183421516754848</v>
      </c>
      <c r="E6666" s="12">
        <f t="shared" si="104"/>
        <v>48104</v>
      </c>
    </row>
    <row r="6667" spans="1:5" x14ac:dyDescent="0.25">
      <c r="A6667" s="2">
        <f>IF(B6667="","",SUBTOTAL(3,$B$2:B6667))</f>
        <v>6666</v>
      </c>
      <c r="B6667" s="9" t="s">
        <v>50</v>
      </c>
      <c r="C6667" s="10" t="s">
        <v>49</v>
      </c>
      <c r="D6667" s="11">
        <v>88.183421516754848</v>
      </c>
      <c r="E6667" s="12">
        <f t="shared" si="104"/>
        <v>48105</v>
      </c>
    </row>
    <row r="6668" spans="1:5" x14ac:dyDescent="0.25">
      <c r="A6668" s="2">
        <f>IF(B6668="","",SUBTOTAL(3,$B$2:B6668))</f>
        <v>6667</v>
      </c>
      <c r="B6668" s="9" t="s">
        <v>55</v>
      </c>
      <c r="C6668" s="10" t="s">
        <v>52</v>
      </c>
      <c r="D6668" s="11">
        <v>40.121970791205264</v>
      </c>
      <c r="E6668" s="12">
        <f t="shared" si="104"/>
        <v>48106</v>
      </c>
    </row>
    <row r="6669" spans="1:5" x14ac:dyDescent="0.25">
      <c r="A6669" s="2">
        <f>IF(B6669="","",SUBTOTAL(3,$B$2:B6669))</f>
        <v>6668</v>
      </c>
      <c r="B6669" s="9" t="s">
        <v>50</v>
      </c>
      <c r="C6669" s="10" t="s">
        <v>49</v>
      </c>
      <c r="D6669" s="11">
        <v>1543.2098765432099</v>
      </c>
      <c r="E6669" s="12">
        <f t="shared" si="104"/>
        <v>48107</v>
      </c>
    </row>
    <row r="6670" spans="1:5" x14ac:dyDescent="0.25">
      <c r="A6670" s="2">
        <f>IF(B6670="","",SUBTOTAL(3,$B$2:B6670))</f>
        <v>6669</v>
      </c>
      <c r="B6670" s="9" t="s">
        <v>55</v>
      </c>
      <c r="C6670" s="10" t="s">
        <v>56</v>
      </c>
      <c r="D6670" s="11">
        <v>9.7767638911520294</v>
      </c>
      <c r="E6670" s="12">
        <f t="shared" si="104"/>
        <v>48108</v>
      </c>
    </row>
    <row r="6671" spans="1:5" x14ac:dyDescent="0.25">
      <c r="A6671" s="2">
        <f>IF(B6671="","",SUBTOTAL(3,$B$2:B6671))</f>
        <v>6670</v>
      </c>
      <c r="B6671" s="9" t="s">
        <v>51</v>
      </c>
      <c r="C6671" s="10" t="s">
        <v>52</v>
      </c>
      <c r="D6671" s="11">
        <v>317.69564756962825</v>
      </c>
      <c r="E6671" s="12">
        <f t="shared" si="104"/>
        <v>48109</v>
      </c>
    </row>
    <row r="6672" spans="1:5" x14ac:dyDescent="0.25">
      <c r="A6672" s="2">
        <f>IF(B6672="","",SUBTOTAL(3,$B$2:B6672))</f>
        <v>6671</v>
      </c>
      <c r="B6672" s="9" t="s">
        <v>51</v>
      </c>
      <c r="C6672" s="10" t="s">
        <v>52</v>
      </c>
      <c r="D6672" s="11">
        <v>40.515355319666149</v>
      </c>
      <c r="E6672" s="12">
        <f t="shared" si="104"/>
        <v>48110</v>
      </c>
    </row>
    <row r="6673" spans="1:5" x14ac:dyDescent="0.25">
      <c r="A6673" s="2">
        <f>IF(B6673="","",SUBTOTAL(3,$B$2:B6673))</f>
        <v>6672</v>
      </c>
      <c r="B6673" s="9" t="s">
        <v>55</v>
      </c>
      <c r="C6673" s="10" t="s">
        <v>56</v>
      </c>
      <c r="D6673" s="11">
        <v>136.87469447612841</v>
      </c>
      <c r="E6673" s="12">
        <f t="shared" si="104"/>
        <v>48111</v>
      </c>
    </row>
    <row r="6674" spans="1:5" x14ac:dyDescent="0.25">
      <c r="A6674" s="2">
        <f>IF(B6674="","",SUBTOTAL(3,$B$2:B6674))</f>
        <v>6673</v>
      </c>
      <c r="B6674" s="9" t="s">
        <v>48</v>
      </c>
      <c r="C6674" s="10" t="s">
        <v>56</v>
      </c>
      <c r="D6674" s="11">
        <v>7.5835918648741805</v>
      </c>
      <c r="E6674" s="12">
        <f t="shared" si="104"/>
        <v>48112</v>
      </c>
    </row>
    <row r="6675" spans="1:5" x14ac:dyDescent="0.25">
      <c r="A6675" s="2">
        <f>IF(B6675="","",SUBTOTAL(3,$B$2:B6675))</f>
        <v>6674</v>
      </c>
      <c r="B6675" s="9" t="s">
        <v>48</v>
      </c>
      <c r="C6675" s="10" t="s">
        <v>54</v>
      </c>
      <c r="D6675" s="11">
        <v>16.546018614270938</v>
      </c>
      <c r="E6675" s="12">
        <f t="shared" si="104"/>
        <v>48113</v>
      </c>
    </row>
    <row r="6676" spans="1:5" x14ac:dyDescent="0.25">
      <c r="A6676" s="2">
        <f>IF(B6676="","",SUBTOTAL(3,$B$2:B6676))</f>
        <v>6675</v>
      </c>
      <c r="B6676" s="9" t="s">
        <v>48</v>
      </c>
      <c r="C6676" s="10" t="s">
        <v>49</v>
      </c>
      <c r="D6676" s="11">
        <v>224.06066873491898</v>
      </c>
      <c r="E6676" s="12">
        <f t="shared" si="104"/>
        <v>48114</v>
      </c>
    </row>
    <row r="6677" spans="1:5" x14ac:dyDescent="0.25">
      <c r="A6677" s="2">
        <f>IF(B6677="","",SUBTOTAL(3,$B$2:B6677))</f>
        <v>6676</v>
      </c>
      <c r="B6677" s="9" t="s">
        <v>51</v>
      </c>
      <c r="C6677" s="10" t="s">
        <v>49</v>
      </c>
      <c r="D6677" s="11">
        <v>120</v>
      </c>
      <c r="E6677" s="12">
        <f t="shared" si="104"/>
        <v>48115</v>
      </c>
    </row>
    <row r="6678" spans="1:5" x14ac:dyDescent="0.25">
      <c r="A6678" s="2">
        <f>IF(B6678="","",SUBTOTAL(3,$B$2:B6678))</f>
        <v>6677</v>
      </c>
      <c r="B6678" s="9" t="s">
        <v>51</v>
      </c>
      <c r="C6678" s="10" t="s">
        <v>49</v>
      </c>
      <c r="D6678" s="11">
        <v>211.79709837975219</v>
      </c>
      <c r="E6678" s="12">
        <f t="shared" si="104"/>
        <v>48116</v>
      </c>
    </row>
    <row r="6679" spans="1:5" x14ac:dyDescent="0.25">
      <c r="A6679" s="2">
        <f>IF(B6679="","",SUBTOTAL(3,$B$2:B6679))</f>
        <v>6678</v>
      </c>
      <c r="B6679" s="9" t="s">
        <v>50</v>
      </c>
      <c r="C6679" s="10" t="s">
        <v>49</v>
      </c>
      <c r="D6679" s="11">
        <v>40.343915343915349</v>
      </c>
      <c r="E6679" s="12">
        <f t="shared" si="104"/>
        <v>48117</v>
      </c>
    </row>
    <row r="6680" spans="1:5" x14ac:dyDescent="0.25">
      <c r="A6680" s="2">
        <f>IF(B6680="","",SUBTOTAL(3,$B$2:B6680))</f>
        <v>6679</v>
      </c>
      <c r="B6680" s="9" t="s">
        <v>53</v>
      </c>
      <c r="C6680" s="10" t="s">
        <v>49</v>
      </c>
      <c r="D6680" s="11">
        <v>27.475798400908538</v>
      </c>
      <c r="E6680" s="12">
        <f t="shared" si="104"/>
        <v>48118</v>
      </c>
    </row>
    <row r="6681" spans="1:5" x14ac:dyDescent="0.25">
      <c r="A6681" s="2">
        <f>IF(B6681="","",SUBTOTAL(3,$B$2:B6681))</f>
        <v>6680</v>
      </c>
      <c r="B6681" s="9" t="s">
        <v>48</v>
      </c>
      <c r="C6681" s="10" t="s">
        <v>49</v>
      </c>
      <c r="D6681" s="11">
        <v>146.33394947627849</v>
      </c>
      <c r="E6681" s="12">
        <f t="shared" si="104"/>
        <v>48119</v>
      </c>
    </row>
    <row r="6682" spans="1:5" x14ac:dyDescent="0.25">
      <c r="A6682" s="2">
        <f>IF(B6682="","",SUBTOTAL(3,$B$2:B6682))</f>
        <v>6681</v>
      </c>
      <c r="B6682" s="9" t="s">
        <v>48</v>
      </c>
      <c r="C6682" s="10" t="s">
        <v>57</v>
      </c>
      <c r="D6682" s="11">
        <v>462.10720887245844</v>
      </c>
      <c r="E6682" s="12">
        <f t="shared" si="104"/>
        <v>48120</v>
      </c>
    </row>
    <row r="6683" spans="1:5" x14ac:dyDescent="0.25">
      <c r="A6683" s="2">
        <f>IF(B6683="","",SUBTOTAL(3,$B$2:B6683))</f>
        <v>6682</v>
      </c>
      <c r="B6683" s="9" t="s">
        <v>48</v>
      </c>
      <c r="C6683" s="10" t="s">
        <v>57</v>
      </c>
      <c r="D6683" s="11">
        <v>462.10720887245844</v>
      </c>
      <c r="E6683" s="12">
        <f t="shared" si="104"/>
        <v>48121</v>
      </c>
    </row>
    <row r="6684" spans="1:5" x14ac:dyDescent="0.25">
      <c r="A6684" s="2">
        <f>IF(B6684="","",SUBTOTAL(3,$B$2:B6684))</f>
        <v>6683</v>
      </c>
      <c r="B6684" s="9" t="s">
        <v>48</v>
      </c>
      <c r="C6684" s="10" t="s">
        <v>49</v>
      </c>
      <c r="D6684" s="11">
        <v>924.21441774491689</v>
      </c>
      <c r="E6684" s="12">
        <f t="shared" si="104"/>
        <v>48122</v>
      </c>
    </row>
    <row r="6685" spans="1:5" x14ac:dyDescent="0.25">
      <c r="A6685" s="2">
        <f>IF(B6685="","",SUBTOTAL(3,$B$2:B6685))</f>
        <v>6684</v>
      </c>
      <c r="B6685" s="9" t="s">
        <v>48</v>
      </c>
      <c r="C6685" s="10" t="s">
        <v>49</v>
      </c>
      <c r="D6685" s="11">
        <v>616.14294516327789</v>
      </c>
      <c r="E6685" s="12">
        <f t="shared" si="104"/>
        <v>48123</v>
      </c>
    </row>
    <row r="6686" spans="1:5" x14ac:dyDescent="0.25">
      <c r="A6686" s="2">
        <f>IF(B6686="","",SUBTOTAL(3,$B$2:B6686))</f>
        <v>6685</v>
      </c>
      <c r="B6686" s="9" t="s">
        <v>50</v>
      </c>
      <c r="C6686" s="10" t="s">
        <v>49</v>
      </c>
      <c r="D6686" s="11">
        <v>145</v>
      </c>
      <c r="E6686" s="12">
        <f t="shared" si="104"/>
        <v>48124</v>
      </c>
    </row>
    <row r="6687" spans="1:5" x14ac:dyDescent="0.25">
      <c r="A6687" s="2">
        <f>IF(B6687="","",SUBTOTAL(3,$B$2:B6687))</f>
        <v>6686</v>
      </c>
      <c r="B6687" s="9" t="s">
        <v>50</v>
      </c>
      <c r="C6687" s="10" t="s">
        <v>49</v>
      </c>
      <c r="D6687" s="11">
        <v>165</v>
      </c>
      <c r="E6687" s="12">
        <f t="shared" si="104"/>
        <v>48125</v>
      </c>
    </row>
    <row r="6688" spans="1:5" x14ac:dyDescent="0.25">
      <c r="A6688" s="2">
        <f>IF(B6688="","",SUBTOTAL(3,$B$2:B6688))</f>
        <v>6687</v>
      </c>
      <c r="B6688" s="9" t="s">
        <v>50</v>
      </c>
      <c r="C6688" s="10" t="s">
        <v>52</v>
      </c>
      <c r="D6688" s="11">
        <v>104.76190476190476</v>
      </c>
      <c r="E6688" s="12">
        <f t="shared" si="104"/>
        <v>48126</v>
      </c>
    </row>
    <row r="6689" spans="1:5" x14ac:dyDescent="0.25">
      <c r="A6689" s="2">
        <f>IF(B6689="","",SUBTOTAL(3,$B$2:B6689))</f>
        <v>6688</v>
      </c>
      <c r="B6689" s="9" t="s">
        <v>48</v>
      </c>
      <c r="C6689" s="10" t="s">
        <v>49</v>
      </c>
      <c r="D6689" s="11">
        <v>46.210720887245841</v>
      </c>
      <c r="E6689" s="12">
        <f t="shared" si="104"/>
        <v>48127</v>
      </c>
    </row>
    <row r="6690" spans="1:5" x14ac:dyDescent="0.25">
      <c r="A6690" s="2">
        <f>IF(B6690="","",SUBTOTAL(3,$B$2:B6690))</f>
        <v>6689</v>
      </c>
      <c r="B6690" s="9" t="s">
        <v>51</v>
      </c>
      <c r="C6690" s="10" t="s">
        <v>49</v>
      </c>
      <c r="D6690" s="11">
        <v>105.89854918987609</v>
      </c>
      <c r="E6690" s="12">
        <f t="shared" si="104"/>
        <v>48128</v>
      </c>
    </row>
    <row r="6691" spans="1:5" x14ac:dyDescent="0.25">
      <c r="A6691" s="2">
        <f>IF(B6691="","",SUBTOTAL(3,$B$2:B6691))</f>
        <v>6690</v>
      </c>
      <c r="B6691" s="9" t="s">
        <v>48</v>
      </c>
      <c r="C6691" s="10" t="s">
        <v>52</v>
      </c>
      <c r="D6691" s="11">
        <v>77.017868145409736</v>
      </c>
      <c r="E6691" s="12">
        <f t="shared" si="104"/>
        <v>48129</v>
      </c>
    </row>
    <row r="6692" spans="1:5" x14ac:dyDescent="0.25">
      <c r="A6692" s="2">
        <f>IF(B6692="","",SUBTOTAL(3,$B$2:B6692))</f>
        <v>6691</v>
      </c>
      <c r="B6692" s="9" t="s">
        <v>55</v>
      </c>
      <c r="C6692" s="10" t="s">
        <v>49</v>
      </c>
      <c r="D6692" s="11">
        <v>37.850875178021781</v>
      </c>
      <c r="E6692" s="12">
        <f t="shared" si="104"/>
        <v>48130</v>
      </c>
    </row>
    <row r="6693" spans="1:5" x14ac:dyDescent="0.25">
      <c r="A6693" s="2">
        <f>IF(B6693="","",SUBTOTAL(3,$B$2:B6693))</f>
        <v>6692</v>
      </c>
      <c r="B6693" s="9" t="s">
        <v>50</v>
      </c>
      <c r="C6693" s="10" t="s">
        <v>49</v>
      </c>
      <c r="D6693" s="11">
        <v>195.868430335097</v>
      </c>
      <c r="E6693" s="12">
        <f t="shared" si="104"/>
        <v>48131</v>
      </c>
    </row>
    <row r="6694" spans="1:5" x14ac:dyDescent="0.25">
      <c r="A6694" s="2">
        <f>IF(B6694="","",SUBTOTAL(3,$B$2:B6694))</f>
        <v>6693</v>
      </c>
      <c r="B6694" s="9" t="s">
        <v>55</v>
      </c>
      <c r="C6694" s="10" t="s">
        <v>52</v>
      </c>
      <c r="D6694" s="11">
        <v>0</v>
      </c>
      <c r="E6694" s="12">
        <f t="shared" si="104"/>
        <v>48132</v>
      </c>
    </row>
    <row r="6695" spans="1:5" x14ac:dyDescent="0.25">
      <c r="A6695" s="2">
        <f>IF(B6695="","",SUBTOTAL(3,$B$2:B6695))</f>
        <v>6694</v>
      </c>
      <c r="B6695" s="9" t="s">
        <v>50</v>
      </c>
      <c r="C6695" s="10" t="s">
        <v>49</v>
      </c>
      <c r="D6695" s="11">
        <v>66.137566137566139</v>
      </c>
      <c r="E6695" s="12">
        <f t="shared" si="104"/>
        <v>48133</v>
      </c>
    </row>
    <row r="6696" spans="1:5" x14ac:dyDescent="0.25">
      <c r="A6696" s="2">
        <f>IF(B6696="","",SUBTOTAL(3,$B$2:B6696))</f>
        <v>6695</v>
      </c>
      <c r="B6696" s="9" t="s">
        <v>51</v>
      </c>
      <c r="C6696" s="10" t="s">
        <v>52</v>
      </c>
      <c r="D6696" s="11">
        <v>52.949274594938046</v>
      </c>
      <c r="E6696" s="12">
        <f t="shared" si="104"/>
        <v>48134</v>
      </c>
    </row>
    <row r="6697" spans="1:5" x14ac:dyDescent="0.25">
      <c r="A6697" s="2">
        <f>IF(B6697="","",SUBTOTAL(3,$B$2:B6697))</f>
        <v>6696</v>
      </c>
      <c r="B6697" s="9" t="s">
        <v>48</v>
      </c>
      <c r="C6697" s="10" t="s">
        <v>52</v>
      </c>
      <c r="D6697" s="11">
        <v>68.993871494096339</v>
      </c>
      <c r="E6697" s="12">
        <f t="shared" si="104"/>
        <v>48135</v>
      </c>
    </row>
    <row r="6698" spans="1:5" x14ac:dyDescent="0.25">
      <c r="A6698" s="2">
        <f>IF(B6698="","",SUBTOTAL(3,$B$2:B6698))</f>
        <v>6697</v>
      </c>
      <c r="B6698" s="9" t="s">
        <v>48</v>
      </c>
      <c r="C6698" s="10" t="s">
        <v>49</v>
      </c>
      <c r="D6698" s="11">
        <v>77.017868145409736</v>
      </c>
      <c r="E6698" s="12">
        <f t="shared" si="104"/>
        <v>48136</v>
      </c>
    </row>
    <row r="6699" spans="1:5" x14ac:dyDescent="0.25">
      <c r="A6699" s="2">
        <f>IF(B6699="","",SUBTOTAL(3,$B$2:B6699))</f>
        <v>6698</v>
      </c>
      <c r="B6699" s="9" t="s">
        <v>48</v>
      </c>
      <c r="C6699" s="10" t="s">
        <v>49</v>
      </c>
      <c r="D6699" s="11">
        <v>123.22858903265558</v>
      </c>
      <c r="E6699" s="12">
        <f t="shared" si="104"/>
        <v>48137</v>
      </c>
    </row>
    <row r="6700" spans="1:5" x14ac:dyDescent="0.25">
      <c r="A6700" s="2">
        <f>IF(B6700="","",SUBTOTAL(3,$B$2:B6700))</f>
        <v>6699</v>
      </c>
      <c r="B6700" s="9" t="s">
        <v>50</v>
      </c>
      <c r="C6700" s="10" t="s">
        <v>49</v>
      </c>
      <c r="D6700" s="11">
        <v>110.22927689594357</v>
      </c>
      <c r="E6700" s="12">
        <f t="shared" si="104"/>
        <v>48138</v>
      </c>
    </row>
    <row r="6701" spans="1:5" x14ac:dyDescent="0.25">
      <c r="A6701" s="2">
        <f>IF(B6701="","",SUBTOTAL(3,$B$2:B6701))</f>
        <v>6700</v>
      </c>
      <c r="B6701" s="9" t="s">
        <v>48</v>
      </c>
      <c r="C6701" s="10" t="s">
        <v>49</v>
      </c>
      <c r="D6701" s="11">
        <v>170.87867613994067</v>
      </c>
      <c r="E6701" s="12">
        <f t="shared" si="104"/>
        <v>48139</v>
      </c>
    </row>
    <row r="6702" spans="1:5" x14ac:dyDescent="0.25">
      <c r="A6702" s="2">
        <f>IF(B6702="","",SUBTOTAL(3,$B$2:B6702))</f>
        <v>6701</v>
      </c>
      <c r="B6702" s="9" t="s">
        <v>51</v>
      </c>
      <c r="C6702" s="10" t="s">
        <v>52</v>
      </c>
      <c r="D6702" s="11">
        <v>162.0614212786646</v>
      </c>
      <c r="E6702" s="12">
        <f t="shared" si="104"/>
        <v>48140</v>
      </c>
    </row>
    <row r="6703" spans="1:5" x14ac:dyDescent="0.25">
      <c r="A6703" s="2">
        <f>IF(B6703="","",SUBTOTAL(3,$B$2:B6703))</f>
        <v>6702</v>
      </c>
      <c r="B6703" s="9" t="s">
        <v>51</v>
      </c>
      <c r="C6703" s="10" t="s">
        <v>49</v>
      </c>
      <c r="D6703" s="11">
        <v>529.49274594938049</v>
      </c>
      <c r="E6703" s="12">
        <f t="shared" si="104"/>
        <v>48141</v>
      </c>
    </row>
    <row r="6704" spans="1:5" x14ac:dyDescent="0.25">
      <c r="A6704" s="2">
        <f>IF(B6704="","",SUBTOTAL(3,$B$2:B6704))</f>
        <v>6703</v>
      </c>
      <c r="B6704" s="9" t="s">
        <v>48</v>
      </c>
      <c r="C6704" s="10" t="s">
        <v>52</v>
      </c>
      <c r="D6704" s="11">
        <v>92.88354898336415</v>
      </c>
      <c r="E6704" s="12">
        <f t="shared" si="104"/>
        <v>48142</v>
      </c>
    </row>
    <row r="6705" spans="1:5" x14ac:dyDescent="0.25">
      <c r="A6705" s="2">
        <f>IF(B6705="","",SUBTOTAL(3,$B$2:B6705))</f>
        <v>6704</v>
      </c>
      <c r="B6705" s="9" t="s">
        <v>48</v>
      </c>
      <c r="C6705" s="10" t="s">
        <v>52</v>
      </c>
      <c r="D6705" s="11">
        <v>539.12507701786819</v>
      </c>
      <c r="E6705" s="12">
        <f t="shared" si="104"/>
        <v>48143</v>
      </c>
    </row>
    <row r="6706" spans="1:5" x14ac:dyDescent="0.25">
      <c r="A6706" s="2">
        <f>IF(B6706="","",SUBTOTAL(3,$B$2:B6706))</f>
        <v>6705</v>
      </c>
      <c r="B6706" s="9" t="s">
        <v>48</v>
      </c>
      <c r="C6706" s="10" t="s">
        <v>49</v>
      </c>
      <c r="D6706" s="11">
        <v>770.17868145409739</v>
      </c>
      <c r="E6706" s="12">
        <f t="shared" si="104"/>
        <v>48144</v>
      </c>
    </row>
    <row r="6707" spans="1:5" x14ac:dyDescent="0.25">
      <c r="A6707" s="2">
        <f>IF(B6707="","",SUBTOTAL(3,$B$2:B6707))</f>
        <v>6706</v>
      </c>
      <c r="B6707" s="9" t="s">
        <v>50</v>
      </c>
      <c r="C6707" s="10" t="s">
        <v>49</v>
      </c>
      <c r="D6707" s="11">
        <v>68.342151675485013</v>
      </c>
      <c r="E6707" s="12">
        <f t="shared" si="104"/>
        <v>48145</v>
      </c>
    </row>
    <row r="6708" spans="1:5" x14ac:dyDescent="0.25">
      <c r="A6708" s="2">
        <f>IF(B6708="","",SUBTOTAL(3,$B$2:B6708))</f>
        <v>6707</v>
      </c>
      <c r="B6708" s="9" t="s">
        <v>48</v>
      </c>
      <c r="C6708" s="10" t="s">
        <v>54</v>
      </c>
      <c r="D6708" s="11">
        <v>38.83262883352819</v>
      </c>
      <c r="E6708" s="12">
        <f t="shared" si="104"/>
        <v>48146</v>
      </c>
    </row>
    <row r="6709" spans="1:5" x14ac:dyDescent="0.25">
      <c r="A6709" s="2">
        <f>IF(B6709="","",SUBTOTAL(3,$B$2:B6709))</f>
        <v>6708</v>
      </c>
      <c r="B6709" s="9" t="s">
        <v>48</v>
      </c>
      <c r="C6709" s="10" t="s">
        <v>49</v>
      </c>
      <c r="D6709" s="11">
        <v>6.2047569803516023</v>
      </c>
      <c r="E6709" s="12">
        <f t="shared" si="104"/>
        <v>48147</v>
      </c>
    </row>
    <row r="6710" spans="1:5" x14ac:dyDescent="0.25">
      <c r="A6710" s="2">
        <f>IF(B6710="","",SUBTOTAL(3,$B$2:B6710))</f>
        <v>6709</v>
      </c>
      <c r="B6710" s="9" t="s">
        <v>55</v>
      </c>
      <c r="C6710" s="10" t="s">
        <v>49</v>
      </c>
      <c r="D6710" s="11">
        <v>2.204585537918871</v>
      </c>
      <c r="E6710" s="12">
        <f t="shared" si="104"/>
        <v>48148</v>
      </c>
    </row>
    <row r="6711" spans="1:5" x14ac:dyDescent="0.25">
      <c r="A6711" s="2">
        <f>IF(B6711="","",SUBTOTAL(3,$B$2:B6711))</f>
        <v>6710</v>
      </c>
      <c r="B6711" s="9" t="s">
        <v>51</v>
      </c>
      <c r="C6711" s="10" t="s">
        <v>52</v>
      </c>
      <c r="D6711" s="11">
        <v>211.79709837975219</v>
      </c>
      <c r="E6711" s="12">
        <f t="shared" si="104"/>
        <v>48149</v>
      </c>
    </row>
    <row r="6712" spans="1:5" x14ac:dyDescent="0.25">
      <c r="A6712" s="2">
        <f>IF(B6712="","",SUBTOTAL(3,$B$2:B6712))</f>
        <v>6711</v>
      </c>
      <c r="B6712" s="9" t="s">
        <v>48</v>
      </c>
      <c r="C6712" s="10" t="s">
        <v>49</v>
      </c>
      <c r="D6712" s="11">
        <v>26.542571527059632</v>
      </c>
      <c r="E6712" s="12">
        <f t="shared" si="104"/>
        <v>48150</v>
      </c>
    </row>
    <row r="6713" spans="1:5" x14ac:dyDescent="0.25">
      <c r="A6713" s="2">
        <f>IF(B6713="","",SUBTOTAL(3,$B$2:B6713))</f>
        <v>6712</v>
      </c>
      <c r="B6713" s="9" t="s">
        <v>50</v>
      </c>
      <c r="C6713" s="10" t="s">
        <v>49</v>
      </c>
      <c r="D6713" s="11">
        <v>66.137566137566139</v>
      </c>
      <c r="E6713" s="12">
        <f t="shared" si="104"/>
        <v>48151</v>
      </c>
    </row>
    <row r="6714" spans="1:5" x14ac:dyDescent="0.25">
      <c r="A6714" s="2">
        <f>IF(B6714="","",SUBTOTAL(3,$B$2:B6714))</f>
        <v>6713</v>
      </c>
      <c r="B6714" s="9" t="s">
        <v>53</v>
      </c>
      <c r="C6714" s="10" t="s">
        <v>49</v>
      </c>
      <c r="D6714" s="11">
        <v>64.110196268786581</v>
      </c>
      <c r="E6714" s="12">
        <f t="shared" si="104"/>
        <v>48152</v>
      </c>
    </row>
    <row r="6715" spans="1:5" x14ac:dyDescent="0.25">
      <c r="A6715" s="2">
        <f>IF(B6715="","",SUBTOTAL(3,$B$2:B6715))</f>
        <v>6714</v>
      </c>
      <c r="B6715" s="9" t="s">
        <v>53</v>
      </c>
      <c r="C6715" s="10" t="s">
        <v>49</v>
      </c>
      <c r="D6715" s="11">
        <v>366.3439786787805</v>
      </c>
      <c r="E6715" s="12">
        <f t="shared" si="104"/>
        <v>48153</v>
      </c>
    </row>
    <row r="6716" spans="1:5" x14ac:dyDescent="0.25">
      <c r="A6716" s="2">
        <f>IF(B6716="","",SUBTOTAL(3,$B$2:B6716))</f>
        <v>6715</v>
      </c>
      <c r="B6716" s="9" t="s">
        <v>53</v>
      </c>
      <c r="C6716" s="10" t="s">
        <v>54</v>
      </c>
      <c r="D6716" s="11">
        <v>137.37899200454268</v>
      </c>
      <c r="E6716" s="12">
        <f t="shared" si="104"/>
        <v>48154</v>
      </c>
    </row>
    <row r="6717" spans="1:5" x14ac:dyDescent="0.25">
      <c r="A6717" s="2">
        <f>IF(B6717="","",SUBTOTAL(3,$B$2:B6717))</f>
        <v>6716</v>
      </c>
      <c r="B6717" s="9" t="s">
        <v>53</v>
      </c>
      <c r="C6717" s="10" t="s">
        <v>49</v>
      </c>
      <c r="D6717" s="11">
        <v>73.2687957357561</v>
      </c>
      <c r="E6717" s="12">
        <f t="shared" si="104"/>
        <v>48155</v>
      </c>
    </row>
    <row r="6718" spans="1:5" x14ac:dyDescent="0.25">
      <c r="A6718" s="2">
        <f>IF(B6718="","",SUBTOTAL(3,$B$2:B6718))</f>
        <v>6717</v>
      </c>
      <c r="B6718" s="9" t="s">
        <v>53</v>
      </c>
      <c r="C6718" s="10" t="s">
        <v>49</v>
      </c>
      <c r="D6718" s="11">
        <v>366.3439786787805</v>
      </c>
      <c r="E6718" s="12">
        <f t="shared" si="104"/>
        <v>48156</v>
      </c>
    </row>
    <row r="6719" spans="1:5" x14ac:dyDescent="0.25">
      <c r="A6719" s="2">
        <f>IF(B6719="","",SUBTOTAL(3,$B$2:B6719))</f>
        <v>6718</v>
      </c>
      <c r="B6719" s="9" t="s">
        <v>50</v>
      </c>
      <c r="C6719" s="10" t="s">
        <v>49</v>
      </c>
      <c r="D6719" s="11">
        <v>110.22927689594357</v>
      </c>
      <c r="E6719" s="12">
        <f t="shared" si="104"/>
        <v>48157</v>
      </c>
    </row>
    <row r="6720" spans="1:5" x14ac:dyDescent="0.25">
      <c r="A6720" s="2">
        <f>IF(B6720="","",SUBTOTAL(3,$B$2:B6720))</f>
        <v>6719</v>
      </c>
      <c r="B6720" s="9" t="s">
        <v>48</v>
      </c>
      <c r="C6720" s="10" t="s">
        <v>52</v>
      </c>
      <c r="D6720" s="11">
        <v>0</v>
      </c>
      <c r="E6720" s="12">
        <f t="shared" si="104"/>
        <v>48158</v>
      </c>
    </row>
    <row r="6721" spans="1:5" x14ac:dyDescent="0.25">
      <c r="A6721" s="2">
        <f>IF(B6721="","",SUBTOTAL(3,$B$2:B6721))</f>
        <v>6720</v>
      </c>
      <c r="B6721" s="9" t="s">
        <v>50</v>
      </c>
      <c r="C6721" s="10" t="s">
        <v>52</v>
      </c>
      <c r="D6721" s="11">
        <v>1.5432098765432098</v>
      </c>
      <c r="E6721" s="12">
        <f t="shared" si="104"/>
        <v>48159</v>
      </c>
    </row>
    <row r="6722" spans="1:5" x14ac:dyDescent="0.25">
      <c r="A6722" s="2">
        <f>IF(B6722="","",SUBTOTAL(3,$B$2:B6722))</f>
        <v>6721</v>
      </c>
      <c r="B6722" s="9" t="s">
        <v>51</v>
      </c>
      <c r="C6722" s="10" t="s">
        <v>52</v>
      </c>
      <c r="D6722" s="11">
        <v>21.179709837975221</v>
      </c>
      <c r="E6722" s="12">
        <f t="shared" si="104"/>
        <v>48160</v>
      </c>
    </row>
    <row r="6723" spans="1:5" x14ac:dyDescent="0.25">
      <c r="A6723" s="2">
        <f>IF(B6723="","",SUBTOTAL(3,$B$2:B6723))</f>
        <v>6722</v>
      </c>
      <c r="B6723" s="9" t="s">
        <v>51</v>
      </c>
      <c r="C6723" s="10" t="s">
        <v>52</v>
      </c>
      <c r="D6723" s="11">
        <v>1058.985491898761</v>
      </c>
      <c r="E6723" s="12">
        <f t="shared" si="104"/>
        <v>48161</v>
      </c>
    </row>
    <row r="6724" spans="1:5" x14ac:dyDescent="0.25">
      <c r="A6724" s="2">
        <f>IF(B6724="","",SUBTOTAL(3,$B$2:B6724))</f>
        <v>6723</v>
      </c>
      <c r="B6724" s="9" t="s">
        <v>48</v>
      </c>
      <c r="C6724" s="10" t="s">
        <v>49</v>
      </c>
      <c r="D6724" s="11">
        <v>205.56833219842486</v>
      </c>
      <c r="E6724" s="12">
        <f t="shared" ref="E6724:E6787" si="105">E6723+1</f>
        <v>48162</v>
      </c>
    </row>
    <row r="6725" spans="1:5" x14ac:dyDescent="0.25">
      <c r="A6725" s="2">
        <f>IF(B6725="","",SUBTOTAL(3,$B$2:B6725))</f>
        <v>6724</v>
      </c>
      <c r="B6725" s="9" t="s">
        <v>51</v>
      </c>
      <c r="C6725" s="10" t="s">
        <v>52</v>
      </c>
      <c r="D6725" s="11">
        <v>741.28984432913273</v>
      </c>
      <c r="E6725" s="12">
        <f t="shared" si="105"/>
        <v>48163</v>
      </c>
    </row>
    <row r="6726" spans="1:5" x14ac:dyDescent="0.25">
      <c r="A6726" s="2">
        <f>IF(B6726="","",SUBTOTAL(3,$B$2:B6726))</f>
        <v>6725</v>
      </c>
      <c r="B6726" s="9" t="s">
        <v>51</v>
      </c>
      <c r="C6726" s="10" t="s">
        <v>52</v>
      </c>
      <c r="D6726" s="11">
        <v>52.949274594938046</v>
      </c>
      <c r="E6726" s="12">
        <f t="shared" si="105"/>
        <v>48164</v>
      </c>
    </row>
    <row r="6727" spans="1:5" x14ac:dyDescent="0.25">
      <c r="A6727" s="2">
        <f>IF(B6727="","",SUBTOTAL(3,$B$2:B6727))</f>
        <v>6726</v>
      </c>
      <c r="B6727" s="9" t="s">
        <v>48</v>
      </c>
      <c r="C6727" s="10" t="s">
        <v>49</v>
      </c>
      <c r="D6727" s="11">
        <v>77.017868145409736</v>
      </c>
      <c r="E6727" s="12">
        <f t="shared" si="105"/>
        <v>48165</v>
      </c>
    </row>
    <row r="6728" spans="1:5" x14ac:dyDescent="0.25">
      <c r="A6728" s="2">
        <f>IF(B6728="","",SUBTOTAL(3,$B$2:B6728))</f>
        <v>6727</v>
      </c>
      <c r="B6728" s="9" t="s">
        <v>51</v>
      </c>
      <c r="C6728" s="10" t="s">
        <v>52</v>
      </c>
      <c r="D6728" s="11">
        <v>52.949274594938046</v>
      </c>
      <c r="E6728" s="12">
        <f t="shared" si="105"/>
        <v>48166</v>
      </c>
    </row>
    <row r="6729" spans="1:5" x14ac:dyDescent="0.25">
      <c r="A6729" s="2">
        <f>IF(B6729="","",SUBTOTAL(3,$B$2:B6729))</f>
        <v>6728</v>
      </c>
      <c r="B6729" s="9" t="s">
        <v>50</v>
      </c>
      <c r="C6729" s="10" t="s">
        <v>49</v>
      </c>
      <c r="D6729" s="11">
        <v>132.27513227513228</v>
      </c>
      <c r="E6729" s="12">
        <f t="shared" si="105"/>
        <v>48167</v>
      </c>
    </row>
    <row r="6730" spans="1:5" x14ac:dyDescent="0.25">
      <c r="A6730" s="2">
        <f>IF(B6730="","",SUBTOTAL(3,$B$2:B6730))</f>
        <v>6729</v>
      </c>
      <c r="B6730" s="9" t="s">
        <v>48</v>
      </c>
      <c r="C6730" s="10" t="s">
        <v>52</v>
      </c>
      <c r="D6730" s="11">
        <v>75.803322498169166</v>
      </c>
      <c r="E6730" s="12">
        <f t="shared" si="105"/>
        <v>48168</v>
      </c>
    </row>
    <row r="6731" spans="1:5" x14ac:dyDescent="0.25">
      <c r="A6731" s="2">
        <f>IF(B6731="","",SUBTOTAL(3,$B$2:B6731))</f>
        <v>6730</v>
      </c>
      <c r="B6731" s="9" t="s">
        <v>51</v>
      </c>
      <c r="C6731" s="10" t="s">
        <v>52</v>
      </c>
      <c r="D6731" s="11">
        <v>105.89854918987609</v>
      </c>
      <c r="E6731" s="12">
        <f t="shared" si="105"/>
        <v>48169</v>
      </c>
    </row>
    <row r="6732" spans="1:5" x14ac:dyDescent="0.25">
      <c r="A6732" s="2">
        <f>IF(B6732="","",SUBTOTAL(3,$B$2:B6732))</f>
        <v>6731</v>
      </c>
      <c r="B6732" s="9" t="s">
        <v>48</v>
      </c>
      <c r="C6732" s="10" t="s">
        <v>56</v>
      </c>
      <c r="D6732" s="11">
        <v>12.848020762401553</v>
      </c>
      <c r="E6732" s="12">
        <f t="shared" si="105"/>
        <v>48170</v>
      </c>
    </row>
    <row r="6733" spans="1:5" x14ac:dyDescent="0.25">
      <c r="A6733" s="2">
        <f>IF(B6733="","",SUBTOTAL(3,$B$2:B6733))</f>
        <v>6732</v>
      </c>
      <c r="B6733" s="9" t="s">
        <v>55</v>
      </c>
      <c r="C6733" s="10" t="s">
        <v>49</v>
      </c>
      <c r="D6733" s="11">
        <v>498.82140000000004</v>
      </c>
      <c r="E6733" s="12">
        <f t="shared" si="105"/>
        <v>48171</v>
      </c>
    </row>
    <row r="6734" spans="1:5" x14ac:dyDescent="0.25">
      <c r="A6734" s="2">
        <f>IF(B6734="","",SUBTOTAL(3,$B$2:B6734))</f>
        <v>6733</v>
      </c>
      <c r="B6734" s="9" t="s">
        <v>55</v>
      </c>
      <c r="C6734" s="10" t="s">
        <v>52</v>
      </c>
      <c r="D6734" s="11">
        <v>3.1598500896203361</v>
      </c>
      <c r="E6734" s="12">
        <f t="shared" si="105"/>
        <v>48172</v>
      </c>
    </row>
    <row r="6735" spans="1:5" x14ac:dyDescent="0.25">
      <c r="A6735" s="2">
        <f>IF(B6735="","",SUBTOTAL(3,$B$2:B6735))</f>
        <v>6734</v>
      </c>
      <c r="B6735" s="9" t="s">
        <v>51</v>
      </c>
      <c r="C6735" s="10" t="s">
        <v>52</v>
      </c>
      <c r="D6735" s="11">
        <v>211.79709837975219</v>
      </c>
      <c r="E6735" s="12">
        <f t="shared" si="105"/>
        <v>48173</v>
      </c>
    </row>
    <row r="6736" spans="1:5" x14ac:dyDescent="0.25">
      <c r="A6736" s="2">
        <f>IF(B6736="","",SUBTOTAL(3,$B$2:B6736))</f>
        <v>6735</v>
      </c>
      <c r="B6736" s="9" t="s">
        <v>51</v>
      </c>
      <c r="C6736" s="10" t="s">
        <v>52</v>
      </c>
      <c r="D6736" s="11">
        <v>158.84782378481412</v>
      </c>
      <c r="E6736" s="12">
        <f t="shared" si="105"/>
        <v>48174</v>
      </c>
    </row>
    <row r="6737" spans="1:5" x14ac:dyDescent="0.25">
      <c r="A6737" s="2">
        <f>IF(B6737="","",SUBTOTAL(3,$B$2:B6737))</f>
        <v>6736</v>
      </c>
      <c r="B6737" s="9" t="s">
        <v>50</v>
      </c>
      <c r="C6737" s="10" t="s">
        <v>52</v>
      </c>
      <c r="D6737" s="11">
        <v>6.3932980599647271</v>
      </c>
      <c r="E6737" s="12">
        <f t="shared" si="105"/>
        <v>48175</v>
      </c>
    </row>
    <row r="6738" spans="1:5" x14ac:dyDescent="0.25">
      <c r="A6738" s="2">
        <f>IF(B6738="","",SUBTOTAL(3,$B$2:B6738))</f>
        <v>6737</v>
      </c>
      <c r="B6738" s="9" t="s">
        <v>51</v>
      </c>
      <c r="C6738" s="10" t="s">
        <v>52</v>
      </c>
      <c r="D6738" s="11">
        <v>21.179709837975221</v>
      </c>
      <c r="E6738" s="12">
        <f t="shared" si="105"/>
        <v>48176</v>
      </c>
    </row>
    <row r="6739" spans="1:5" x14ac:dyDescent="0.25">
      <c r="A6739" s="2">
        <f>IF(B6739="","",SUBTOTAL(3,$B$2:B6739))</f>
        <v>6738</v>
      </c>
      <c r="B6739" s="9" t="s">
        <v>48</v>
      </c>
      <c r="C6739" s="10" t="s">
        <v>49</v>
      </c>
      <c r="D6739" s="11">
        <v>616.14294516327789</v>
      </c>
      <c r="E6739" s="12">
        <f t="shared" si="105"/>
        <v>48177</v>
      </c>
    </row>
    <row r="6740" spans="1:5" x14ac:dyDescent="0.25">
      <c r="A6740" s="2">
        <f>IF(B6740="","",SUBTOTAL(3,$B$2:B6740))</f>
        <v>6739</v>
      </c>
      <c r="B6740" s="9" t="s">
        <v>55</v>
      </c>
      <c r="C6740" s="10" t="s">
        <v>49</v>
      </c>
      <c r="D6740" s="11">
        <v>15.968714355548315</v>
      </c>
      <c r="E6740" s="12">
        <f t="shared" si="105"/>
        <v>48178</v>
      </c>
    </row>
    <row r="6741" spans="1:5" x14ac:dyDescent="0.25">
      <c r="A6741" s="2">
        <f>IF(B6741="","",SUBTOTAL(3,$B$2:B6741))</f>
        <v>6740</v>
      </c>
      <c r="B6741" s="9" t="s">
        <v>50</v>
      </c>
      <c r="C6741" s="10" t="s">
        <v>49</v>
      </c>
      <c r="D6741" s="11">
        <v>1.1946649029982364</v>
      </c>
      <c r="E6741" s="12">
        <f t="shared" si="105"/>
        <v>48179</v>
      </c>
    </row>
    <row r="6742" spans="1:5" x14ac:dyDescent="0.25">
      <c r="A6742" s="2">
        <f>IF(B6742="","",SUBTOTAL(3,$B$2:B6742))</f>
        <v>6741</v>
      </c>
      <c r="B6742" s="9" t="s">
        <v>50</v>
      </c>
      <c r="C6742" s="10" t="s">
        <v>52</v>
      </c>
      <c r="D6742" s="11">
        <v>20</v>
      </c>
      <c r="E6742" s="12">
        <f t="shared" si="105"/>
        <v>48180</v>
      </c>
    </row>
    <row r="6743" spans="1:5" x14ac:dyDescent="0.25">
      <c r="A6743" s="2">
        <f>IF(B6743="","",SUBTOTAL(3,$B$2:B6743))</f>
        <v>6742</v>
      </c>
      <c r="B6743" s="9" t="s">
        <v>55</v>
      </c>
      <c r="C6743" s="10" t="s">
        <v>49</v>
      </c>
      <c r="D6743" s="11">
        <v>150</v>
      </c>
      <c r="E6743" s="12">
        <f t="shared" si="105"/>
        <v>48181</v>
      </c>
    </row>
    <row r="6744" spans="1:5" x14ac:dyDescent="0.25">
      <c r="A6744" s="2">
        <f>IF(B6744="","",SUBTOTAL(3,$B$2:B6744))</f>
        <v>6743</v>
      </c>
      <c r="B6744" s="9" t="s">
        <v>48</v>
      </c>
      <c r="C6744" s="10" t="s">
        <v>52</v>
      </c>
      <c r="D6744" s="11">
        <v>23.126437372322794</v>
      </c>
      <c r="E6744" s="12">
        <f t="shared" si="105"/>
        <v>48182</v>
      </c>
    </row>
    <row r="6745" spans="1:5" x14ac:dyDescent="0.25">
      <c r="A6745" s="2">
        <f>IF(B6745="","",SUBTOTAL(3,$B$2:B6745))</f>
        <v>6744</v>
      </c>
      <c r="B6745" s="9" t="s">
        <v>48</v>
      </c>
      <c r="C6745" s="10" t="s">
        <v>52</v>
      </c>
      <c r="D6745" s="11">
        <v>81.330868761552694</v>
      </c>
      <c r="E6745" s="12">
        <f t="shared" si="105"/>
        <v>48183</v>
      </c>
    </row>
    <row r="6746" spans="1:5" x14ac:dyDescent="0.25">
      <c r="A6746" s="2">
        <f>IF(B6746="","",SUBTOTAL(3,$B$2:B6746))</f>
        <v>6745</v>
      </c>
      <c r="B6746" s="9" t="s">
        <v>51</v>
      </c>
      <c r="C6746" s="10" t="s">
        <v>54</v>
      </c>
      <c r="D6746" s="11">
        <v>317.69564756962825</v>
      </c>
      <c r="E6746" s="12">
        <f t="shared" si="105"/>
        <v>48184</v>
      </c>
    </row>
    <row r="6747" spans="1:5" x14ac:dyDescent="0.25">
      <c r="A6747" s="2">
        <f>IF(B6747="","",SUBTOTAL(3,$B$2:B6747))</f>
        <v>6746</v>
      </c>
      <c r="B6747" s="9" t="s">
        <v>48</v>
      </c>
      <c r="C6747" s="10" t="s">
        <v>49</v>
      </c>
      <c r="D6747" s="11">
        <v>134.43640124095137</v>
      </c>
      <c r="E6747" s="12">
        <f t="shared" si="105"/>
        <v>48185</v>
      </c>
    </row>
    <row r="6748" spans="1:5" x14ac:dyDescent="0.25">
      <c r="A6748" s="2">
        <f>IF(B6748="","",SUBTOTAL(3,$B$2:B6748))</f>
        <v>6747</v>
      </c>
      <c r="B6748" s="9" t="s">
        <v>48</v>
      </c>
      <c r="C6748" s="10" t="s">
        <v>49</v>
      </c>
      <c r="D6748" s="11">
        <v>308.07147258163894</v>
      </c>
      <c r="E6748" s="12">
        <f t="shared" si="105"/>
        <v>48186</v>
      </c>
    </row>
    <row r="6749" spans="1:5" x14ac:dyDescent="0.25">
      <c r="A6749" s="2">
        <f>IF(B6749="","",SUBTOTAL(3,$B$2:B6749))</f>
        <v>6748</v>
      </c>
      <c r="B6749" s="9" t="s">
        <v>48</v>
      </c>
      <c r="C6749" s="10" t="s">
        <v>49</v>
      </c>
      <c r="D6749" s="11">
        <v>308.07147258163894</v>
      </c>
      <c r="E6749" s="12">
        <f t="shared" si="105"/>
        <v>48187</v>
      </c>
    </row>
    <row r="6750" spans="1:5" x14ac:dyDescent="0.25">
      <c r="A6750" s="2">
        <f>IF(B6750="","",SUBTOTAL(3,$B$2:B6750))</f>
        <v>6749</v>
      </c>
      <c r="B6750" s="9" t="s">
        <v>48</v>
      </c>
      <c r="C6750" s="10" t="s">
        <v>52</v>
      </c>
      <c r="D6750" s="11">
        <v>154.03573629081947</v>
      </c>
      <c r="E6750" s="12">
        <f t="shared" si="105"/>
        <v>48188</v>
      </c>
    </row>
    <row r="6751" spans="1:5" x14ac:dyDescent="0.25">
      <c r="A6751" s="2">
        <f>IF(B6751="","",SUBTOTAL(3,$B$2:B6751))</f>
        <v>6750</v>
      </c>
      <c r="B6751" s="9" t="s">
        <v>55</v>
      </c>
      <c r="C6751" s="10" t="s">
        <v>49</v>
      </c>
      <c r="D6751" s="11">
        <v>8.2260113058299389</v>
      </c>
      <c r="E6751" s="12">
        <f t="shared" si="105"/>
        <v>48189</v>
      </c>
    </row>
    <row r="6752" spans="1:5" x14ac:dyDescent="0.25">
      <c r="A6752" s="2">
        <f>IF(B6752="","",SUBTOTAL(3,$B$2:B6752))</f>
        <v>6751</v>
      </c>
      <c r="B6752" s="9" t="s">
        <v>50</v>
      </c>
      <c r="C6752" s="10" t="s">
        <v>49</v>
      </c>
      <c r="D6752" s="11">
        <v>391.73677248677251</v>
      </c>
      <c r="E6752" s="12">
        <f t="shared" si="105"/>
        <v>48190</v>
      </c>
    </row>
    <row r="6753" spans="1:5" x14ac:dyDescent="0.25">
      <c r="A6753" s="2">
        <f>IF(B6753="","",SUBTOTAL(3,$B$2:B6753))</f>
        <v>6752</v>
      </c>
      <c r="B6753" s="9" t="s">
        <v>48</v>
      </c>
      <c r="C6753" s="10" t="s">
        <v>57</v>
      </c>
      <c r="D6753" s="11">
        <v>616.14294516327789</v>
      </c>
      <c r="E6753" s="12">
        <f t="shared" si="105"/>
        <v>48191</v>
      </c>
    </row>
    <row r="6754" spans="1:5" x14ac:dyDescent="0.25">
      <c r="A6754" s="2">
        <f>IF(B6754="","",SUBTOTAL(3,$B$2:B6754))</f>
        <v>6753</v>
      </c>
      <c r="B6754" s="9" t="s">
        <v>48</v>
      </c>
      <c r="C6754" s="10" t="s">
        <v>52</v>
      </c>
      <c r="D6754" s="11">
        <v>308.07147258163894</v>
      </c>
      <c r="E6754" s="12">
        <f t="shared" si="105"/>
        <v>48192</v>
      </c>
    </row>
    <row r="6755" spans="1:5" x14ac:dyDescent="0.25">
      <c r="A6755" s="2">
        <f>IF(B6755="","",SUBTOTAL(3,$B$2:B6755))</f>
        <v>6754</v>
      </c>
      <c r="B6755" s="9" t="s">
        <v>48</v>
      </c>
      <c r="C6755" s="10" t="s">
        <v>52</v>
      </c>
      <c r="D6755" s="11">
        <v>354.28219346888477</v>
      </c>
      <c r="E6755" s="12">
        <f t="shared" si="105"/>
        <v>48193</v>
      </c>
    </row>
    <row r="6756" spans="1:5" x14ac:dyDescent="0.25">
      <c r="A6756" s="2">
        <f>IF(B6756="","",SUBTOTAL(3,$B$2:B6756))</f>
        <v>6755</v>
      </c>
      <c r="B6756" s="9" t="s">
        <v>48</v>
      </c>
      <c r="C6756" s="10" t="s">
        <v>49</v>
      </c>
      <c r="D6756" s="11">
        <v>115.52680221811461</v>
      </c>
      <c r="E6756" s="12">
        <f t="shared" si="105"/>
        <v>48194</v>
      </c>
    </row>
    <row r="6757" spans="1:5" x14ac:dyDescent="0.25">
      <c r="A6757" s="2">
        <f>IF(B6757="","",SUBTOTAL(3,$B$2:B6757))</f>
        <v>6756</v>
      </c>
      <c r="B6757" s="9" t="s">
        <v>48</v>
      </c>
      <c r="C6757" s="10" t="s">
        <v>52</v>
      </c>
      <c r="D6757" s="11">
        <v>59.23875539125077</v>
      </c>
      <c r="E6757" s="12">
        <f t="shared" si="105"/>
        <v>48195</v>
      </c>
    </row>
    <row r="6758" spans="1:5" x14ac:dyDescent="0.25">
      <c r="A6758" s="2">
        <f>IF(B6758="","",SUBTOTAL(3,$B$2:B6758))</f>
        <v>6757</v>
      </c>
      <c r="B6758" s="9" t="s">
        <v>48</v>
      </c>
      <c r="C6758" s="10" t="s">
        <v>52</v>
      </c>
      <c r="D6758" s="11">
        <v>25.783117683302528</v>
      </c>
      <c r="E6758" s="12">
        <f t="shared" si="105"/>
        <v>48196</v>
      </c>
    </row>
    <row r="6759" spans="1:5" x14ac:dyDescent="0.25">
      <c r="A6759" s="2">
        <f>IF(B6759="","",SUBTOTAL(3,$B$2:B6759))</f>
        <v>6758</v>
      </c>
      <c r="B6759" s="9" t="s">
        <v>48</v>
      </c>
      <c r="C6759" s="10" t="s">
        <v>57</v>
      </c>
      <c r="D6759" s="11">
        <v>30.807147258163894</v>
      </c>
      <c r="E6759" s="12">
        <f t="shared" si="105"/>
        <v>48197</v>
      </c>
    </row>
    <row r="6760" spans="1:5" x14ac:dyDescent="0.25">
      <c r="A6760" s="2">
        <f>IF(B6760="","",SUBTOTAL(3,$B$2:B6760))</f>
        <v>6759</v>
      </c>
      <c r="B6760" s="9" t="s">
        <v>50</v>
      </c>
      <c r="C6760" s="10" t="s">
        <v>49</v>
      </c>
      <c r="D6760" s="11">
        <v>48.500881834215171</v>
      </c>
      <c r="E6760" s="12">
        <f t="shared" si="105"/>
        <v>48198</v>
      </c>
    </row>
    <row r="6761" spans="1:5" x14ac:dyDescent="0.25">
      <c r="A6761" s="2">
        <f>IF(B6761="","",SUBTOTAL(3,$B$2:B6761))</f>
        <v>6760</v>
      </c>
      <c r="B6761" s="9" t="s">
        <v>48</v>
      </c>
      <c r="C6761" s="10" t="s">
        <v>49</v>
      </c>
      <c r="D6761" s="11">
        <v>1034.1261633919337</v>
      </c>
      <c r="E6761" s="12">
        <f t="shared" si="105"/>
        <v>48199</v>
      </c>
    </row>
    <row r="6762" spans="1:5" x14ac:dyDescent="0.25">
      <c r="A6762" s="2">
        <f>IF(B6762="","",SUBTOTAL(3,$B$2:B6762))</f>
        <v>6761</v>
      </c>
      <c r="B6762" s="9" t="s">
        <v>48</v>
      </c>
      <c r="C6762" s="10" t="s">
        <v>49</v>
      </c>
      <c r="D6762" s="11">
        <v>149.41466420209488</v>
      </c>
      <c r="E6762" s="12">
        <f t="shared" si="105"/>
        <v>48200</v>
      </c>
    </row>
    <row r="6763" spans="1:5" x14ac:dyDescent="0.25">
      <c r="A6763" s="2">
        <f>IF(B6763="","",SUBTOTAL(3,$B$2:B6763))</f>
        <v>6762</v>
      </c>
      <c r="B6763" s="9" t="s">
        <v>53</v>
      </c>
      <c r="C6763" s="10" t="s">
        <v>49</v>
      </c>
      <c r="D6763" s="11">
        <v>137.37899200454268</v>
      </c>
      <c r="E6763" s="12">
        <f t="shared" si="105"/>
        <v>48201</v>
      </c>
    </row>
    <row r="6764" spans="1:5" x14ac:dyDescent="0.25">
      <c r="A6764" s="2">
        <f>IF(B6764="","",SUBTOTAL(3,$B$2:B6764))</f>
        <v>6763</v>
      </c>
      <c r="B6764" s="9" t="s">
        <v>55</v>
      </c>
      <c r="C6764" s="10" t="s">
        <v>52</v>
      </c>
      <c r="D6764" s="11">
        <v>78.461250000000007</v>
      </c>
      <c r="E6764" s="12">
        <f t="shared" si="105"/>
        <v>48202</v>
      </c>
    </row>
    <row r="6765" spans="1:5" x14ac:dyDescent="0.25">
      <c r="A6765" s="2">
        <f>IF(B6765="","",SUBTOTAL(3,$B$2:B6765))</f>
        <v>6764</v>
      </c>
      <c r="B6765" s="9" t="s">
        <v>50</v>
      </c>
      <c r="C6765" s="10" t="s">
        <v>52</v>
      </c>
      <c r="D6765" s="11">
        <v>110.22927689594357</v>
      </c>
      <c r="E6765" s="12">
        <f t="shared" si="105"/>
        <v>48203</v>
      </c>
    </row>
    <row r="6766" spans="1:5" x14ac:dyDescent="0.25">
      <c r="A6766" s="2">
        <f>IF(B6766="","",SUBTOTAL(3,$B$2:B6766))</f>
        <v>6765</v>
      </c>
      <c r="B6766" s="9" t="s">
        <v>48</v>
      </c>
      <c r="C6766" s="10" t="s">
        <v>52</v>
      </c>
      <c r="D6766" s="11">
        <v>92.421441774491683</v>
      </c>
      <c r="E6766" s="12">
        <f t="shared" si="105"/>
        <v>48204</v>
      </c>
    </row>
    <row r="6767" spans="1:5" x14ac:dyDescent="0.25">
      <c r="A6767" s="2">
        <f>IF(B6767="","",SUBTOTAL(3,$B$2:B6767))</f>
        <v>6766</v>
      </c>
      <c r="B6767" s="9" t="s">
        <v>55</v>
      </c>
      <c r="C6767" s="10" t="s">
        <v>52</v>
      </c>
      <c r="D6767" s="11">
        <v>0</v>
      </c>
      <c r="E6767" s="12">
        <f t="shared" si="105"/>
        <v>48205</v>
      </c>
    </row>
    <row r="6768" spans="1:5" x14ac:dyDescent="0.25">
      <c r="A6768" s="2">
        <f>IF(B6768="","",SUBTOTAL(3,$B$2:B6768))</f>
        <v>6767</v>
      </c>
      <c r="B6768" s="9" t="s">
        <v>48</v>
      </c>
      <c r="C6768" s="10" t="s">
        <v>52</v>
      </c>
      <c r="D6768" s="11">
        <v>123.22858903265558</v>
      </c>
      <c r="E6768" s="12">
        <f t="shared" si="105"/>
        <v>48206</v>
      </c>
    </row>
    <row r="6769" spans="1:5" x14ac:dyDescent="0.25">
      <c r="A6769" s="2">
        <f>IF(B6769="","",SUBTOTAL(3,$B$2:B6769))</f>
        <v>6768</v>
      </c>
      <c r="B6769" s="9" t="s">
        <v>55</v>
      </c>
      <c r="C6769" s="10" t="s">
        <v>49</v>
      </c>
      <c r="D6769" s="11">
        <v>97.112856444516879</v>
      </c>
      <c r="E6769" s="12">
        <f t="shared" si="105"/>
        <v>48207</v>
      </c>
    </row>
    <row r="6770" spans="1:5" x14ac:dyDescent="0.25">
      <c r="A6770" s="2">
        <f>IF(B6770="","",SUBTOTAL(3,$B$2:B6770))</f>
        <v>6769</v>
      </c>
      <c r="B6770" s="9" t="s">
        <v>55</v>
      </c>
      <c r="C6770" s="10" t="s">
        <v>49</v>
      </c>
      <c r="D6770" s="11">
        <v>1.0911012082510221</v>
      </c>
      <c r="E6770" s="12">
        <f t="shared" si="105"/>
        <v>48208</v>
      </c>
    </row>
    <row r="6771" spans="1:5" x14ac:dyDescent="0.25">
      <c r="A6771" s="2">
        <f>IF(B6771="","",SUBTOTAL(3,$B$2:B6771))</f>
        <v>6770</v>
      </c>
      <c r="B6771" s="9" t="s">
        <v>48</v>
      </c>
      <c r="C6771" s="10" t="s">
        <v>54</v>
      </c>
      <c r="D6771" s="11">
        <v>107.82501540357363</v>
      </c>
      <c r="E6771" s="12">
        <f t="shared" si="105"/>
        <v>48209</v>
      </c>
    </row>
    <row r="6772" spans="1:5" x14ac:dyDescent="0.25">
      <c r="A6772" s="2">
        <f>IF(B6772="","",SUBTOTAL(3,$B$2:B6772))</f>
        <v>6771</v>
      </c>
      <c r="B6772" s="9" t="s">
        <v>48</v>
      </c>
      <c r="C6772" s="10" t="s">
        <v>54</v>
      </c>
      <c r="D6772" s="11">
        <v>123.22858903265558</v>
      </c>
      <c r="E6772" s="12">
        <f t="shared" si="105"/>
        <v>48210</v>
      </c>
    </row>
    <row r="6773" spans="1:5" x14ac:dyDescent="0.25">
      <c r="A6773" s="2">
        <f>IF(B6773="","",SUBTOTAL(3,$B$2:B6773))</f>
        <v>6772</v>
      </c>
      <c r="B6773" s="9" t="s">
        <v>55</v>
      </c>
      <c r="C6773" s="10" t="s">
        <v>49</v>
      </c>
      <c r="D6773" s="11">
        <v>325.89212970506765</v>
      </c>
      <c r="E6773" s="12">
        <f t="shared" si="105"/>
        <v>48211</v>
      </c>
    </row>
    <row r="6774" spans="1:5" x14ac:dyDescent="0.25">
      <c r="A6774" s="2">
        <f>IF(B6774="","",SUBTOTAL(3,$B$2:B6774))</f>
        <v>6773</v>
      </c>
      <c r="B6774" s="9" t="s">
        <v>50</v>
      </c>
      <c r="C6774" s="10" t="s">
        <v>49</v>
      </c>
      <c r="D6774" s="11">
        <v>176.3668430335097</v>
      </c>
      <c r="E6774" s="12">
        <f t="shared" si="105"/>
        <v>48212</v>
      </c>
    </row>
    <row r="6775" spans="1:5" x14ac:dyDescent="0.25">
      <c r="A6775" s="2">
        <f>IF(B6775="","",SUBTOTAL(3,$B$2:B6775))</f>
        <v>6774</v>
      </c>
      <c r="B6775" s="9" t="s">
        <v>48</v>
      </c>
      <c r="C6775" s="10" t="s">
        <v>56</v>
      </c>
      <c r="D6775" s="11">
        <v>38.54406228720466</v>
      </c>
      <c r="E6775" s="12">
        <f t="shared" si="105"/>
        <v>48213</v>
      </c>
    </row>
    <row r="6776" spans="1:5" x14ac:dyDescent="0.25">
      <c r="A6776" s="2">
        <f>IF(B6776="","",SUBTOTAL(3,$B$2:B6776))</f>
        <v>6775</v>
      </c>
      <c r="B6776" s="9" t="s">
        <v>53</v>
      </c>
      <c r="C6776" s="10" t="s">
        <v>49</v>
      </c>
      <c r="D6776" s="11">
        <v>137.37899200454268</v>
      </c>
      <c r="E6776" s="12">
        <f t="shared" si="105"/>
        <v>48214</v>
      </c>
    </row>
    <row r="6777" spans="1:5" x14ac:dyDescent="0.25">
      <c r="A6777" s="2">
        <f>IF(B6777="","",SUBTOTAL(3,$B$2:B6777))</f>
        <v>6776</v>
      </c>
      <c r="B6777" s="9" t="s">
        <v>48</v>
      </c>
      <c r="C6777" s="10" t="s">
        <v>49</v>
      </c>
      <c r="D6777" s="11">
        <v>27.726432532347506</v>
      </c>
      <c r="E6777" s="12">
        <f t="shared" si="105"/>
        <v>48215</v>
      </c>
    </row>
    <row r="6778" spans="1:5" x14ac:dyDescent="0.25">
      <c r="A6778" s="2">
        <f>IF(B6778="","",SUBTOTAL(3,$B$2:B6778))</f>
        <v>6777</v>
      </c>
      <c r="B6778" s="9" t="s">
        <v>48</v>
      </c>
      <c r="C6778" s="10" t="s">
        <v>49</v>
      </c>
      <c r="D6778" s="11">
        <v>1.5403573629081948</v>
      </c>
      <c r="E6778" s="12">
        <f t="shared" si="105"/>
        <v>48216</v>
      </c>
    </row>
    <row r="6779" spans="1:5" x14ac:dyDescent="0.25">
      <c r="A6779" s="2">
        <f>IF(B6779="","",SUBTOTAL(3,$B$2:B6779))</f>
        <v>6778</v>
      </c>
      <c r="B6779" s="9" t="s">
        <v>50</v>
      </c>
      <c r="C6779" s="10" t="s">
        <v>49</v>
      </c>
      <c r="D6779" s="11">
        <v>55.114638447971785</v>
      </c>
      <c r="E6779" s="12">
        <f t="shared" si="105"/>
        <v>48217</v>
      </c>
    </row>
    <row r="6780" spans="1:5" x14ac:dyDescent="0.25">
      <c r="A6780" s="2">
        <f>IF(B6780="","",SUBTOTAL(3,$B$2:B6780))</f>
        <v>6779</v>
      </c>
      <c r="B6780" s="9" t="s">
        <v>50</v>
      </c>
      <c r="C6780" s="10" t="s">
        <v>49</v>
      </c>
      <c r="D6780" s="11">
        <v>88.183421516754848</v>
      </c>
      <c r="E6780" s="12">
        <f t="shared" si="105"/>
        <v>48218</v>
      </c>
    </row>
    <row r="6781" spans="1:5" x14ac:dyDescent="0.25">
      <c r="A6781" s="2">
        <f>IF(B6781="","",SUBTOTAL(3,$B$2:B6781))</f>
        <v>6780</v>
      </c>
      <c r="B6781" s="9" t="s">
        <v>50</v>
      </c>
      <c r="C6781" s="10" t="s">
        <v>49</v>
      </c>
      <c r="D6781" s="11">
        <v>77.160493827160494</v>
      </c>
      <c r="E6781" s="12">
        <f t="shared" si="105"/>
        <v>48219</v>
      </c>
    </row>
    <row r="6782" spans="1:5" x14ac:dyDescent="0.25">
      <c r="A6782" s="2">
        <f>IF(B6782="","",SUBTOTAL(3,$B$2:B6782))</f>
        <v>6781</v>
      </c>
      <c r="B6782" s="9" t="s">
        <v>50</v>
      </c>
      <c r="C6782" s="10" t="s">
        <v>52</v>
      </c>
      <c r="D6782" s="11">
        <v>110.22927689594357</v>
      </c>
      <c r="E6782" s="12">
        <f t="shared" si="105"/>
        <v>48220</v>
      </c>
    </row>
    <row r="6783" spans="1:5" x14ac:dyDescent="0.25">
      <c r="A6783" s="2">
        <f>IF(B6783="","",SUBTOTAL(3,$B$2:B6783))</f>
        <v>6782</v>
      </c>
      <c r="B6783" s="9" t="s">
        <v>55</v>
      </c>
      <c r="C6783" s="10" t="s">
        <v>52</v>
      </c>
      <c r="D6783" s="11">
        <v>0</v>
      </c>
      <c r="E6783" s="12">
        <f t="shared" si="105"/>
        <v>48221</v>
      </c>
    </row>
    <row r="6784" spans="1:5" x14ac:dyDescent="0.25">
      <c r="A6784" s="2">
        <f>IF(B6784="","",SUBTOTAL(3,$B$2:B6784))</f>
        <v>6783</v>
      </c>
      <c r="B6784" s="9" t="s">
        <v>50</v>
      </c>
      <c r="C6784" s="10" t="s">
        <v>52</v>
      </c>
      <c r="D6784" s="11">
        <v>55.114638447971785</v>
      </c>
      <c r="E6784" s="12">
        <f t="shared" si="105"/>
        <v>48222</v>
      </c>
    </row>
    <row r="6785" spans="1:5" x14ac:dyDescent="0.25">
      <c r="A6785" s="2">
        <f>IF(B6785="","",SUBTOTAL(3,$B$2:B6785))</f>
        <v>6784</v>
      </c>
      <c r="B6785" s="9" t="s">
        <v>48</v>
      </c>
      <c r="C6785" s="10" t="s">
        <v>56</v>
      </c>
      <c r="D6785" s="11">
        <v>385.44062287204662</v>
      </c>
      <c r="E6785" s="12">
        <f t="shared" si="105"/>
        <v>48223</v>
      </c>
    </row>
    <row r="6786" spans="1:5" x14ac:dyDescent="0.25">
      <c r="A6786" s="2">
        <f>IF(B6786="","",SUBTOTAL(3,$B$2:B6786))</f>
        <v>6785</v>
      </c>
      <c r="B6786" s="9" t="s">
        <v>48</v>
      </c>
      <c r="C6786" s="10" t="s">
        <v>49</v>
      </c>
      <c r="D6786" s="11">
        <v>3.4470872113064459</v>
      </c>
      <c r="E6786" s="12">
        <f t="shared" si="105"/>
        <v>48224</v>
      </c>
    </row>
    <row r="6787" spans="1:5" x14ac:dyDescent="0.25">
      <c r="A6787" s="2">
        <f>IF(B6787="","",SUBTOTAL(3,$B$2:B6787))</f>
        <v>6786</v>
      </c>
      <c r="B6787" s="9" t="s">
        <v>55</v>
      </c>
      <c r="C6787" s="10" t="s">
        <v>52</v>
      </c>
      <c r="D6787" s="11">
        <v>0</v>
      </c>
      <c r="E6787" s="12">
        <f t="shared" si="105"/>
        <v>48225</v>
      </c>
    </row>
    <row r="6788" spans="1:5" x14ac:dyDescent="0.25">
      <c r="A6788" s="2">
        <f>IF(B6788="","",SUBTOTAL(3,$B$2:B6788))</f>
        <v>6787</v>
      </c>
      <c r="B6788" s="9" t="s">
        <v>48</v>
      </c>
      <c r="C6788" s="10" t="s">
        <v>52</v>
      </c>
      <c r="D6788" s="11">
        <v>154.03573629081947</v>
      </c>
      <c r="E6788" s="12">
        <f t="shared" ref="E6788:E6851" si="106">E6787+1</f>
        <v>48226</v>
      </c>
    </row>
    <row r="6789" spans="1:5" x14ac:dyDescent="0.25">
      <c r="A6789" s="2">
        <f>IF(B6789="","",SUBTOTAL(3,$B$2:B6789))</f>
        <v>6788</v>
      </c>
      <c r="B6789" s="9" t="s">
        <v>48</v>
      </c>
      <c r="C6789" s="10" t="s">
        <v>52</v>
      </c>
      <c r="D6789" s="11">
        <v>154.03573629081947</v>
      </c>
      <c r="E6789" s="12">
        <f t="shared" si="106"/>
        <v>48227</v>
      </c>
    </row>
    <row r="6790" spans="1:5" x14ac:dyDescent="0.25">
      <c r="A6790" s="2">
        <f>IF(B6790="","",SUBTOTAL(3,$B$2:B6790))</f>
        <v>6789</v>
      </c>
      <c r="B6790" s="9" t="s">
        <v>48</v>
      </c>
      <c r="C6790" s="10" t="s">
        <v>52</v>
      </c>
      <c r="D6790" s="11">
        <v>154.03573629081947</v>
      </c>
      <c r="E6790" s="12">
        <f t="shared" si="106"/>
        <v>48228</v>
      </c>
    </row>
    <row r="6791" spans="1:5" x14ac:dyDescent="0.25">
      <c r="A6791" s="2">
        <f>IF(B6791="","",SUBTOTAL(3,$B$2:B6791))</f>
        <v>6790</v>
      </c>
      <c r="B6791" s="9" t="s">
        <v>48</v>
      </c>
      <c r="C6791" s="10" t="s">
        <v>54</v>
      </c>
      <c r="D6791" s="11">
        <v>1.0782501540357363</v>
      </c>
      <c r="E6791" s="12">
        <f t="shared" si="106"/>
        <v>48229</v>
      </c>
    </row>
    <row r="6792" spans="1:5" x14ac:dyDescent="0.25">
      <c r="A6792" s="2">
        <f>IF(B6792="","",SUBTOTAL(3,$B$2:B6792))</f>
        <v>6791</v>
      </c>
      <c r="B6792" s="9" t="s">
        <v>48</v>
      </c>
      <c r="C6792" s="10" t="s">
        <v>49</v>
      </c>
      <c r="D6792" s="11">
        <v>9.7042513863216264</v>
      </c>
      <c r="E6792" s="12">
        <f t="shared" si="106"/>
        <v>48230</v>
      </c>
    </row>
    <row r="6793" spans="1:5" x14ac:dyDescent="0.25">
      <c r="A6793" s="2">
        <f>IF(B6793="","",SUBTOTAL(3,$B$2:B6793))</f>
        <v>6792</v>
      </c>
      <c r="B6793" s="9" t="s">
        <v>48</v>
      </c>
      <c r="C6793" s="10" t="s">
        <v>54</v>
      </c>
      <c r="D6793" s="11">
        <v>214.41</v>
      </c>
      <c r="E6793" s="12">
        <f t="shared" si="106"/>
        <v>48231</v>
      </c>
    </row>
    <row r="6794" spans="1:5" x14ac:dyDescent="0.25">
      <c r="A6794" s="2">
        <f>IF(B6794="","",SUBTOTAL(3,$B$2:B6794))</f>
        <v>6793</v>
      </c>
      <c r="B6794" s="9" t="s">
        <v>48</v>
      </c>
      <c r="C6794" s="10" t="s">
        <v>52</v>
      </c>
      <c r="D6794" s="11">
        <v>642.4010381200776</v>
      </c>
      <c r="E6794" s="12">
        <f t="shared" si="106"/>
        <v>48232</v>
      </c>
    </row>
    <row r="6795" spans="1:5" x14ac:dyDescent="0.25">
      <c r="A6795" s="2">
        <f>IF(B6795="","",SUBTOTAL(3,$B$2:B6795))</f>
        <v>6794</v>
      </c>
      <c r="B6795" s="9" t="s">
        <v>51</v>
      </c>
      <c r="C6795" s="10" t="s">
        <v>52</v>
      </c>
      <c r="D6795" s="11">
        <v>73.361153877319509</v>
      </c>
      <c r="E6795" s="12">
        <f t="shared" si="106"/>
        <v>48233</v>
      </c>
    </row>
    <row r="6796" spans="1:5" x14ac:dyDescent="0.25">
      <c r="A6796" s="2">
        <f>IF(B6796="","",SUBTOTAL(3,$B$2:B6796))</f>
        <v>6795</v>
      </c>
      <c r="B6796" s="9" t="s">
        <v>51</v>
      </c>
      <c r="C6796" s="10" t="s">
        <v>52</v>
      </c>
      <c r="D6796" s="11">
        <v>24.309213191799692</v>
      </c>
      <c r="E6796" s="12">
        <f t="shared" si="106"/>
        <v>48234</v>
      </c>
    </row>
    <row r="6797" spans="1:5" x14ac:dyDescent="0.25">
      <c r="A6797" s="2">
        <f>IF(B6797="","",SUBTOTAL(3,$B$2:B6797))</f>
        <v>6796</v>
      </c>
      <c r="B6797" s="9" t="s">
        <v>51</v>
      </c>
      <c r="C6797" s="10" t="s">
        <v>52</v>
      </c>
      <c r="D6797" s="11">
        <v>11.344299489506524</v>
      </c>
      <c r="E6797" s="12">
        <f t="shared" si="106"/>
        <v>48235</v>
      </c>
    </row>
    <row r="6798" spans="1:5" x14ac:dyDescent="0.25">
      <c r="A6798" s="2">
        <f>IF(B6798="","",SUBTOTAL(3,$B$2:B6798))</f>
        <v>6797</v>
      </c>
      <c r="B6798" s="9" t="s">
        <v>51</v>
      </c>
      <c r="C6798" s="10" t="s">
        <v>52</v>
      </c>
      <c r="D6798" s="11">
        <v>14.220889717202821</v>
      </c>
      <c r="E6798" s="12">
        <f t="shared" si="106"/>
        <v>48236</v>
      </c>
    </row>
    <row r="6799" spans="1:5" x14ac:dyDescent="0.25">
      <c r="A6799" s="2">
        <f>IF(B6799="","",SUBTOTAL(3,$B$2:B6799))</f>
        <v>6798</v>
      </c>
      <c r="B6799" s="9" t="s">
        <v>51</v>
      </c>
      <c r="C6799" s="10" t="s">
        <v>52</v>
      </c>
      <c r="D6799" s="11">
        <v>44.554898306458149</v>
      </c>
      <c r="E6799" s="12">
        <f t="shared" si="106"/>
        <v>48237</v>
      </c>
    </row>
    <row r="6800" spans="1:5" x14ac:dyDescent="0.25">
      <c r="A6800" s="2">
        <f>IF(B6800="","",SUBTOTAL(3,$B$2:B6800))</f>
        <v>6799</v>
      </c>
      <c r="B6800" s="9" t="s">
        <v>51</v>
      </c>
      <c r="C6800" s="10" t="s">
        <v>52</v>
      </c>
      <c r="D6800" s="11">
        <v>162.0614212786646</v>
      </c>
      <c r="E6800" s="12">
        <f t="shared" si="106"/>
        <v>48238</v>
      </c>
    </row>
    <row r="6801" spans="1:5" x14ac:dyDescent="0.25">
      <c r="A6801" s="2">
        <f>IF(B6801="","",SUBTOTAL(3,$B$2:B6801))</f>
        <v>6800</v>
      </c>
      <c r="B6801" s="9" t="s">
        <v>48</v>
      </c>
      <c r="C6801" s="10" t="s">
        <v>52</v>
      </c>
      <c r="D6801" s="11">
        <v>154.03573629081947</v>
      </c>
      <c r="E6801" s="12">
        <f t="shared" si="106"/>
        <v>48239</v>
      </c>
    </row>
    <row r="6802" spans="1:5" x14ac:dyDescent="0.25">
      <c r="A6802" s="2">
        <f>IF(B6802="","",SUBTOTAL(3,$B$2:B6802))</f>
        <v>6801</v>
      </c>
      <c r="B6802" s="9" t="s">
        <v>48</v>
      </c>
      <c r="C6802" s="10" t="s">
        <v>52</v>
      </c>
      <c r="D6802" s="11">
        <v>123.22858903265558</v>
      </c>
      <c r="E6802" s="12">
        <f t="shared" si="106"/>
        <v>48240</v>
      </c>
    </row>
    <row r="6803" spans="1:5" x14ac:dyDescent="0.25">
      <c r="A6803" s="2">
        <f>IF(B6803="","",SUBTOTAL(3,$B$2:B6803))</f>
        <v>6802</v>
      </c>
      <c r="B6803" s="9" t="s">
        <v>48</v>
      </c>
      <c r="C6803" s="10" t="s">
        <v>52</v>
      </c>
      <c r="D6803" s="11">
        <v>130.93037584719656</v>
      </c>
      <c r="E6803" s="12">
        <f t="shared" si="106"/>
        <v>48241</v>
      </c>
    </row>
    <row r="6804" spans="1:5" x14ac:dyDescent="0.25">
      <c r="A6804" s="2">
        <f>IF(B6804="","",SUBTOTAL(3,$B$2:B6804))</f>
        <v>6803</v>
      </c>
      <c r="B6804" s="9" t="s">
        <v>48</v>
      </c>
      <c r="C6804" s="10" t="s">
        <v>52</v>
      </c>
      <c r="D6804" s="11">
        <v>200.24645717806533</v>
      </c>
      <c r="E6804" s="12">
        <f t="shared" si="106"/>
        <v>48242</v>
      </c>
    </row>
    <row r="6805" spans="1:5" x14ac:dyDescent="0.25">
      <c r="A6805" s="2">
        <f>IF(B6805="","",SUBTOTAL(3,$B$2:B6805))</f>
        <v>6804</v>
      </c>
      <c r="B6805" s="9" t="s">
        <v>48</v>
      </c>
      <c r="C6805" s="10" t="s">
        <v>52</v>
      </c>
      <c r="D6805" s="11">
        <v>207.94824399260631</v>
      </c>
      <c r="E6805" s="12">
        <f t="shared" si="106"/>
        <v>48243</v>
      </c>
    </row>
    <row r="6806" spans="1:5" x14ac:dyDescent="0.25">
      <c r="A6806" s="2">
        <f>IF(B6806="","",SUBTOTAL(3,$B$2:B6806))</f>
        <v>6805</v>
      </c>
      <c r="B6806" s="9" t="s">
        <v>48</v>
      </c>
      <c r="C6806" s="10" t="s">
        <v>52</v>
      </c>
      <c r="D6806" s="11">
        <v>130.93037584719656</v>
      </c>
      <c r="E6806" s="12">
        <f t="shared" si="106"/>
        <v>48244</v>
      </c>
    </row>
    <row r="6807" spans="1:5" x14ac:dyDescent="0.25">
      <c r="A6807" s="2">
        <f>IF(B6807="","",SUBTOTAL(3,$B$2:B6807))</f>
        <v>6806</v>
      </c>
      <c r="B6807" s="9" t="s">
        <v>48</v>
      </c>
      <c r="C6807" s="10" t="s">
        <v>52</v>
      </c>
      <c r="D6807" s="11">
        <v>150.95502156500308</v>
      </c>
      <c r="E6807" s="12">
        <f t="shared" si="106"/>
        <v>48245</v>
      </c>
    </row>
    <row r="6808" spans="1:5" x14ac:dyDescent="0.25">
      <c r="A6808" s="2">
        <f>IF(B6808="","",SUBTOTAL(3,$B$2:B6808))</f>
        <v>6807</v>
      </c>
      <c r="B6808" s="9" t="s">
        <v>48</v>
      </c>
      <c r="C6808" s="10" t="s">
        <v>52</v>
      </c>
      <c r="D6808" s="11">
        <v>184.84288354898337</v>
      </c>
      <c r="E6808" s="12">
        <f t="shared" si="106"/>
        <v>48246</v>
      </c>
    </row>
    <row r="6809" spans="1:5" x14ac:dyDescent="0.25">
      <c r="A6809" s="2">
        <f>IF(B6809="","",SUBTOTAL(3,$B$2:B6809))</f>
        <v>6808</v>
      </c>
      <c r="B6809" s="9" t="s">
        <v>48</v>
      </c>
      <c r="C6809" s="10" t="s">
        <v>49</v>
      </c>
      <c r="D6809" s="11">
        <v>308.07147258163894</v>
      </c>
      <c r="E6809" s="12">
        <f t="shared" si="106"/>
        <v>48247</v>
      </c>
    </row>
    <row r="6810" spans="1:5" x14ac:dyDescent="0.25">
      <c r="A6810" s="2">
        <f>IF(B6810="","",SUBTOTAL(3,$B$2:B6810))</f>
        <v>6809</v>
      </c>
      <c r="B6810" s="9" t="s">
        <v>48</v>
      </c>
      <c r="C6810" s="10" t="s">
        <v>49</v>
      </c>
      <c r="D6810" s="11">
        <v>6.1614294516327792</v>
      </c>
      <c r="E6810" s="12">
        <f t="shared" si="106"/>
        <v>48248</v>
      </c>
    </row>
    <row r="6811" spans="1:5" x14ac:dyDescent="0.25">
      <c r="A6811" s="2">
        <f>IF(B6811="","",SUBTOTAL(3,$B$2:B6811))</f>
        <v>6810</v>
      </c>
      <c r="B6811" s="9" t="s">
        <v>48</v>
      </c>
      <c r="C6811" s="10" t="s">
        <v>49</v>
      </c>
      <c r="D6811" s="11">
        <v>61.614294516327789</v>
      </c>
      <c r="E6811" s="12">
        <f t="shared" si="106"/>
        <v>48249</v>
      </c>
    </row>
    <row r="6812" spans="1:5" x14ac:dyDescent="0.25">
      <c r="A6812" s="2">
        <f>IF(B6812="","",SUBTOTAL(3,$B$2:B6812))</f>
        <v>6811</v>
      </c>
      <c r="B6812" s="9" t="s">
        <v>51</v>
      </c>
      <c r="C6812" s="10" t="s">
        <v>52</v>
      </c>
      <c r="D6812" s="11">
        <v>20.257677659833075</v>
      </c>
      <c r="E6812" s="12">
        <f t="shared" si="106"/>
        <v>48250</v>
      </c>
    </row>
    <row r="6813" spans="1:5" x14ac:dyDescent="0.25">
      <c r="A6813" s="2">
        <f>IF(B6813="","",SUBTOTAL(3,$B$2:B6813))</f>
        <v>6812</v>
      </c>
      <c r="B6813" s="9" t="s">
        <v>51</v>
      </c>
      <c r="C6813" s="10" t="s">
        <v>52</v>
      </c>
      <c r="D6813" s="11">
        <v>202.57677659833075</v>
      </c>
      <c r="E6813" s="12">
        <f t="shared" si="106"/>
        <v>48251</v>
      </c>
    </row>
    <row r="6814" spans="1:5" x14ac:dyDescent="0.25">
      <c r="A6814" s="2">
        <f>IF(B6814="","",SUBTOTAL(3,$B$2:B6814))</f>
        <v>6813</v>
      </c>
      <c r="B6814" s="9" t="s">
        <v>48</v>
      </c>
      <c r="C6814" s="10" t="s">
        <v>49</v>
      </c>
      <c r="D6814" s="11">
        <v>15.88</v>
      </c>
      <c r="E6814" s="12">
        <f t="shared" si="106"/>
        <v>48252</v>
      </c>
    </row>
    <row r="6815" spans="1:5" x14ac:dyDescent="0.25">
      <c r="A6815" s="2">
        <f>IF(B6815="","",SUBTOTAL(3,$B$2:B6815))</f>
        <v>6814</v>
      </c>
      <c r="B6815" s="9" t="s">
        <v>48</v>
      </c>
      <c r="C6815" s="10" t="s">
        <v>49</v>
      </c>
      <c r="D6815" s="11">
        <v>127.056</v>
      </c>
      <c r="E6815" s="12">
        <f t="shared" si="106"/>
        <v>48253</v>
      </c>
    </row>
    <row r="6816" spans="1:5" x14ac:dyDescent="0.25">
      <c r="A6816" s="2">
        <f>IF(B6816="","",SUBTOTAL(3,$B$2:B6816))</f>
        <v>6815</v>
      </c>
      <c r="B6816" s="9" t="s">
        <v>48</v>
      </c>
      <c r="C6816" s="10" t="s">
        <v>49</v>
      </c>
      <c r="D6816" s="11">
        <v>127.056</v>
      </c>
      <c r="E6816" s="12">
        <f t="shared" si="106"/>
        <v>48254</v>
      </c>
    </row>
    <row r="6817" spans="1:5" x14ac:dyDescent="0.25">
      <c r="A6817" s="2">
        <f>IF(B6817="","",SUBTOTAL(3,$B$2:B6817))</f>
        <v>6816</v>
      </c>
      <c r="B6817" s="9" t="s">
        <v>48</v>
      </c>
      <c r="C6817" s="10" t="s">
        <v>49</v>
      </c>
      <c r="D6817" s="11">
        <v>117.06715958102281</v>
      </c>
      <c r="E6817" s="12">
        <f t="shared" si="106"/>
        <v>48255</v>
      </c>
    </row>
    <row r="6818" spans="1:5" x14ac:dyDescent="0.25">
      <c r="A6818" s="2">
        <f>IF(B6818="","",SUBTOTAL(3,$B$2:B6818))</f>
        <v>6817</v>
      </c>
      <c r="B6818" s="9" t="s">
        <v>48</v>
      </c>
      <c r="C6818" s="10" t="s">
        <v>52</v>
      </c>
      <c r="D6818" s="11">
        <v>154.03573629081947</v>
      </c>
      <c r="E6818" s="12">
        <f t="shared" si="106"/>
        <v>48256</v>
      </c>
    </row>
    <row r="6819" spans="1:5" x14ac:dyDescent="0.25">
      <c r="A6819" s="2">
        <f>IF(B6819="","",SUBTOTAL(3,$B$2:B6819))</f>
        <v>6818</v>
      </c>
      <c r="B6819" s="9" t="s">
        <v>48</v>
      </c>
      <c r="C6819" s="10" t="s">
        <v>52</v>
      </c>
      <c r="D6819" s="11">
        <v>192.54467036352435</v>
      </c>
      <c r="E6819" s="12">
        <f t="shared" si="106"/>
        <v>48257</v>
      </c>
    </row>
    <row r="6820" spans="1:5" x14ac:dyDescent="0.25">
      <c r="A6820" s="2">
        <f>IF(B6820="","",SUBTOTAL(3,$B$2:B6820))</f>
        <v>6819</v>
      </c>
      <c r="B6820" s="9" t="s">
        <v>48</v>
      </c>
      <c r="C6820" s="10" t="s">
        <v>49</v>
      </c>
      <c r="D6820" s="11">
        <v>30.807147258163894</v>
      </c>
      <c r="E6820" s="12">
        <f t="shared" si="106"/>
        <v>48258</v>
      </c>
    </row>
    <row r="6821" spans="1:5" x14ac:dyDescent="0.25">
      <c r="A6821" s="2">
        <f>IF(B6821="","",SUBTOTAL(3,$B$2:B6821))</f>
        <v>6820</v>
      </c>
      <c r="B6821" s="9" t="s">
        <v>48</v>
      </c>
      <c r="C6821" s="10" t="s">
        <v>49</v>
      </c>
      <c r="D6821" s="11">
        <v>770.17868145409739</v>
      </c>
      <c r="E6821" s="12">
        <f t="shared" si="106"/>
        <v>48259</v>
      </c>
    </row>
    <row r="6822" spans="1:5" x14ac:dyDescent="0.25">
      <c r="A6822" s="2">
        <f>IF(B6822="","",SUBTOTAL(3,$B$2:B6822))</f>
        <v>6821</v>
      </c>
      <c r="B6822" s="9" t="s">
        <v>48</v>
      </c>
      <c r="C6822" s="10" t="s">
        <v>49</v>
      </c>
      <c r="D6822" s="11">
        <v>92.421441774491683</v>
      </c>
      <c r="E6822" s="12">
        <f t="shared" si="106"/>
        <v>48260</v>
      </c>
    </row>
    <row r="6823" spans="1:5" x14ac:dyDescent="0.25">
      <c r="A6823" s="2">
        <f>IF(B6823="","",SUBTOTAL(3,$B$2:B6823))</f>
        <v>6822</v>
      </c>
      <c r="B6823" s="9" t="s">
        <v>53</v>
      </c>
      <c r="C6823" s="10" t="s">
        <v>49</v>
      </c>
      <c r="D6823" s="11">
        <v>91.585994669695125</v>
      </c>
      <c r="E6823" s="12">
        <f t="shared" si="106"/>
        <v>48261</v>
      </c>
    </row>
    <row r="6824" spans="1:5" x14ac:dyDescent="0.25">
      <c r="A6824" s="2">
        <f>IF(B6824="","",SUBTOTAL(3,$B$2:B6824))</f>
        <v>6823</v>
      </c>
      <c r="B6824" s="9" t="s">
        <v>53</v>
      </c>
      <c r="C6824" s="10" t="s">
        <v>49</v>
      </c>
      <c r="D6824" s="11">
        <v>54.951596801817075</v>
      </c>
      <c r="E6824" s="12">
        <f t="shared" si="106"/>
        <v>48262</v>
      </c>
    </row>
    <row r="6825" spans="1:5" x14ac:dyDescent="0.25">
      <c r="A6825" s="2">
        <f>IF(B6825="","",SUBTOTAL(3,$B$2:B6825))</f>
        <v>6824</v>
      </c>
      <c r="B6825" s="9" t="s">
        <v>53</v>
      </c>
      <c r="C6825" s="10" t="s">
        <v>49</v>
      </c>
      <c r="D6825" s="11">
        <v>348.02677974484146</v>
      </c>
      <c r="E6825" s="12">
        <f t="shared" si="106"/>
        <v>48263</v>
      </c>
    </row>
    <row r="6826" spans="1:5" x14ac:dyDescent="0.25">
      <c r="A6826" s="2">
        <f>IF(B6826="","",SUBTOTAL(3,$B$2:B6826))</f>
        <v>6825</v>
      </c>
      <c r="B6826" s="9" t="s">
        <v>50</v>
      </c>
      <c r="C6826" s="10" t="s">
        <v>49</v>
      </c>
      <c r="D6826" s="11">
        <v>10</v>
      </c>
      <c r="E6826" s="12">
        <f t="shared" si="106"/>
        <v>48264</v>
      </c>
    </row>
    <row r="6827" spans="1:5" x14ac:dyDescent="0.25">
      <c r="A6827" s="2">
        <f>IF(B6827="","",SUBTOTAL(3,$B$2:B6827))</f>
        <v>6826</v>
      </c>
      <c r="B6827" s="9" t="s">
        <v>50</v>
      </c>
      <c r="C6827" s="10" t="s">
        <v>49</v>
      </c>
      <c r="D6827" s="11">
        <v>1</v>
      </c>
      <c r="E6827" s="12">
        <f t="shared" si="106"/>
        <v>48265</v>
      </c>
    </row>
    <row r="6828" spans="1:5" x14ac:dyDescent="0.25">
      <c r="A6828" s="2">
        <f>IF(B6828="","",SUBTOTAL(3,$B$2:B6828))</f>
        <v>6827</v>
      </c>
      <c r="B6828" s="9" t="s">
        <v>50</v>
      </c>
      <c r="C6828" s="10" t="s">
        <v>49</v>
      </c>
      <c r="D6828" s="11">
        <v>206.71296296296299</v>
      </c>
      <c r="E6828" s="12">
        <f t="shared" si="106"/>
        <v>48266</v>
      </c>
    </row>
    <row r="6829" spans="1:5" x14ac:dyDescent="0.25">
      <c r="A6829" s="2">
        <f>IF(B6829="","",SUBTOTAL(3,$B$2:B6829))</f>
        <v>6828</v>
      </c>
      <c r="B6829" s="9" t="s">
        <v>48</v>
      </c>
      <c r="C6829" s="10" t="s">
        <v>52</v>
      </c>
      <c r="D6829" s="11">
        <v>164.81823783117684</v>
      </c>
      <c r="E6829" s="12">
        <f t="shared" si="106"/>
        <v>48267</v>
      </c>
    </row>
    <row r="6830" spans="1:5" x14ac:dyDescent="0.25">
      <c r="A6830" s="2">
        <f>IF(B6830="","",SUBTOTAL(3,$B$2:B6830))</f>
        <v>6829</v>
      </c>
      <c r="B6830" s="9" t="s">
        <v>51</v>
      </c>
      <c r="C6830" s="10" t="s">
        <v>49</v>
      </c>
      <c r="D6830" s="11">
        <v>529.49274594938049</v>
      </c>
      <c r="E6830" s="12">
        <f t="shared" si="106"/>
        <v>48268</v>
      </c>
    </row>
    <row r="6831" spans="1:5" x14ac:dyDescent="0.25">
      <c r="A6831" s="2">
        <f>IF(B6831="","",SUBTOTAL(3,$B$2:B6831))</f>
        <v>6830</v>
      </c>
      <c r="B6831" s="9" t="s">
        <v>55</v>
      </c>
      <c r="C6831" s="10" t="s">
        <v>52</v>
      </c>
      <c r="D6831" s="11">
        <v>47.397751344305043</v>
      </c>
      <c r="E6831" s="12">
        <f t="shared" si="106"/>
        <v>48269</v>
      </c>
    </row>
    <row r="6832" spans="1:5" x14ac:dyDescent="0.25">
      <c r="A6832" s="2">
        <f>IF(B6832="","",SUBTOTAL(3,$B$2:B6832))</f>
        <v>6831</v>
      </c>
      <c r="B6832" s="9" t="s">
        <v>48</v>
      </c>
      <c r="C6832" s="10" t="s">
        <v>56</v>
      </c>
      <c r="D6832" s="11">
        <v>18.269562219924161</v>
      </c>
      <c r="E6832" s="12">
        <f t="shared" si="106"/>
        <v>48270</v>
      </c>
    </row>
    <row r="6833" spans="1:5" x14ac:dyDescent="0.25">
      <c r="A6833" s="2">
        <f>IF(B6833="","",SUBTOTAL(3,$B$2:B6833))</f>
        <v>6832</v>
      </c>
      <c r="B6833" s="9" t="s">
        <v>55</v>
      </c>
      <c r="C6833" s="10" t="s">
        <v>49</v>
      </c>
      <c r="D6833" s="11">
        <v>10.053120417141926</v>
      </c>
      <c r="E6833" s="12">
        <f t="shared" si="106"/>
        <v>48271</v>
      </c>
    </row>
    <row r="6834" spans="1:5" x14ac:dyDescent="0.25">
      <c r="A6834" s="2">
        <f>IF(B6834="","",SUBTOTAL(3,$B$2:B6834))</f>
        <v>6833</v>
      </c>
      <c r="B6834" s="9" t="s">
        <v>48</v>
      </c>
      <c r="C6834" s="10" t="s">
        <v>52</v>
      </c>
      <c r="D6834" s="11">
        <v>77.345084989657352</v>
      </c>
      <c r="E6834" s="12">
        <f t="shared" si="106"/>
        <v>48272</v>
      </c>
    </row>
    <row r="6835" spans="1:5" x14ac:dyDescent="0.25">
      <c r="A6835" s="2">
        <f>IF(B6835="","",SUBTOTAL(3,$B$2:B6835))</f>
        <v>6834</v>
      </c>
      <c r="B6835" s="9" t="s">
        <v>55</v>
      </c>
      <c r="C6835" s="10" t="s">
        <v>52</v>
      </c>
      <c r="D6835" s="11">
        <v>31.598500896203358</v>
      </c>
      <c r="E6835" s="12">
        <f t="shared" si="106"/>
        <v>48273</v>
      </c>
    </row>
    <row r="6836" spans="1:5" x14ac:dyDescent="0.25">
      <c r="A6836" s="2">
        <f>IF(B6836="","",SUBTOTAL(3,$B$2:B6836))</f>
        <v>6835</v>
      </c>
      <c r="B6836" s="9" t="s">
        <v>53</v>
      </c>
      <c r="C6836" s="10" t="s">
        <v>56</v>
      </c>
      <c r="D6836" s="11">
        <v>2564.4078507514632</v>
      </c>
      <c r="E6836" s="12">
        <f t="shared" si="106"/>
        <v>48274</v>
      </c>
    </row>
    <row r="6837" spans="1:5" x14ac:dyDescent="0.25">
      <c r="A6837" s="2">
        <f>IF(B6837="","",SUBTOTAL(3,$B$2:B6837))</f>
        <v>6836</v>
      </c>
      <c r="B6837" s="9" t="s">
        <v>48</v>
      </c>
      <c r="C6837" s="10" t="s">
        <v>49</v>
      </c>
      <c r="D6837" s="11">
        <v>25.696041524803107</v>
      </c>
      <c r="E6837" s="12">
        <f t="shared" si="106"/>
        <v>48275</v>
      </c>
    </row>
    <row r="6838" spans="1:5" x14ac:dyDescent="0.25">
      <c r="A6838" s="2">
        <f>IF(B6838="","",SUBTOTAL(3,$B$2:B6838))</f>
        <v>6837</v>
      </c>
      <c r="B6838" s="9" t="s">
        <v>55</v>
      </c>
      <c r="C6838" s="10" t="s">
        <v>49</v>
      </c>
      <c r="D6838" s="11">
        <v>98.339601690632605</v>
      </c>
      <c r="E6838" s="12">
        <f t="shared" si="106"/>
        <v>48276</v>
      </c>
    </row>
    <row r="6839" spans="1:5" x14ac:dyDescent="0.25">
      <c r="A6839" s="2">
        <f>IF(B6839="","",SUBTOTAL(3,$B$2:B6839))</f>
        <v>6838</v>
      </c>
      <c r="B6839" s="9" t="s">
        <v>55</v>
      </c>
      <c r="C6839" s="10" t="s">
        <v>52</v>
      </c>
      <c r="D6839" s="11">
        <v>6.2115989801075022</v>
      </c>
      <c r="E6839" s="12">
        <f t="shared" si="106"/>
        <v>48277</v>
      </c>
    </row>
    <row r="6840" spans="1:5" x14ac:dyDescent="0.25">
      <c r="A6840" s="2">
        <f>IF(B6840="","",SUBTOTAL(3,$B$2:B6840))</f>
        <v>6839</v>
      </c>
      <c r="B6840" s="9" t="s">
        <v>50</v>
      </c>
      <c r="C6840" s="10" t="s">
        <v>49</v>
      </c>
      <c r="D6840" s="11">
        <v>176.3668430335097</v>
      </c>
      <c r="E6840" s="12">
        <f t="shared" si="106"/>
        <v>48278</v>
      </c>
    </row>
    <row r="6841" spans="1:5" x14ac:dyDescent="0.25">
      <c r="A6841" s="2">
        <f>IF(B6841="","",SUBTOTAL(3,$B$2:B6841))</f>
        <v>6840</v>
      </c>
      <c r="B6841" s="9" t="s">
        <v>53</v>
      </c>
      <c r="C6841" s="10" t="s">
        <v>49</v>
      </c>
      <c r="D6841" s="11">
        <v>137.37899200454268</v>
      </c>
      <c r="E6841" s="12">
        <f t="shared" si="106"/>
        <v>48279</v>
      </c>
    </row>
    <row r="6842" spans="1:5" x14ac:dyDescent="0.25">
      <c r="A6842" s="2">
        <f>IF(B6842="","",SUBTOTAL(3,$B$2:B6842))</f>
        <v>6841</v>
      </c>
      <c r="B6842" s="9" t="s">
        <v>48</v>
      </c>
      <c r="C6842" s="10" t="s">
        <v>52</v>
      </c>
      <c r="D6842" s="11">
        <v>77.017868145409736</v>
      </c>
      <c r="E6842" s="12">
        <f t="shared" si="106"/>
        <v>48280</v>
      </c>
    </row>
    <row r="6843" spans="1:5" x14ac:dyDescent="0.25">
      <c r="A6843" s="2">
        <f>IF(B6843="","",SUBTOTAL(3,$B$2:B6843))</f>
        <v>6842</v>
      </c>
      <c r="B6843" s="9" t="s">
        <v>48</v>
      </c>
      <c r="C6843" s="10" t="s">
        <v>52</v>
      </c>
      <c r="D6843" s="11">
        <v>154.03573629081947</v>
      </c>
      <c r="E6843" s="12">
        <f t="shared" si="106"/>
        <v>48281</v>
      </c>
    </row>
    <row r="6844" spans="1:5" x14ac:dyDescent="0.25">
      <c r="A6844" s="2">
        <f>IF(B6844="","",SUBTOTAL(3,$B$2:B6844))</f>
        <v>6843</v>
      </c>
      <c r="B6844" s="9" t="s">
        <v>48</v>
      </c>
      <c r="C6844" s="10" t="s">
        <v>52</v>
      </c>
      <c r="D6844" s="11">
        <v>154.03573629081947</v>
      </c>
      <c r="E6844" s="12">
        <f t="shared" si="106"/>
        <v>48282</v>
      </c>
    </row>
    <row r="6845" spans="1:5" x14ac:dyDescent="0.25">
      <c r="A6845" s="2">
        <f>IF(B6845="","",SUBTOTAL(3,$B$2:B6845))</f>
        <v>6844</v>
      </c>
      <c r="B6845" s="9" t="s">
        <v>48</v>
      </c>
      <c r="C6845" s="10" t="s">
        <v>52</v>
      </c>
      <c r="D6845" s="11">
        <v>231.05360443622922</v>
      </c>
      <c r="E6845" s="12">
        <f t="shared" si="106"/>
        <v>48283</v>
      </c>
    </row>
    <row r="6846" spans="1:5" x14ac:dyDescent="0.25">
      <c r="A6846" s="2">
        <f>IF(B6846="","",SUBTOTAL(3,$B$2:B6846))</f>
        <v>6845</v>
      </c>
      <c r="B6846" s="9" t="s">
        <v>48</v>
      </c>
      <c r="C6846" s="10" t="s">
        <v>52</v>
      </c>
      <c r="D6846" s="11">
        <v>154.03573629081947</v>
      </c>
      <c r="E6846" s="12">
        <f t="shared" si="106"/>
        <v>48284</v>
      </c>
    </row>
    <row r="6847" spans="1:5" x14ac:dyDescent="0.25">
      <c r="A6847" s="2">
        <f>IF(B6847="","",SUBTOTAL(3,$B$2:B6847))</f>
        <v>6846</v>
      </c>
      <c r="B6847" s="9" t="s">
        <v>48</v>
      </c>
      <c r="C6847" s="10" t="s">
        <v>52</v>
      </c>
      <c r="D6847" s="11">
        <v>92.421441774491683</v>
      </c>
      <c r="E6847" s="12">
        <f t="shared" si="106"/>
        <v>48285</v>
      </c>
    </row>
    <row r="6848" spans="1:5" x14ac:dyDescent="0.25">
      <c r="A6848" s="2">
        <f>IF(B6848="","",SUBTOTAL(3,$B$2:B6848))</f>
        <v>6847</v>
      </c>
      <c r="B6848" s="9" t="s">
        <v>48</v>
      </c>
      <c r="C6848" s="10" t="s">
        <v>52</v>
      </c>
      <c r="D6848" s="11">
        <v>46.210720887245841</v>
      </c>
      <c r="E6848" s="12">
        <f t="shared" si="106"/>
        <v>48286</v>
      </c>
    </row>
    <row r="6849" spans="1:5" x14ac:dyDescent="0.25">
      <c r="A6849" s="2">
        <f>IF(B6849="","",SUBTOTAL(3,$B$2:B6849))</f>
        <v>6848</v>
      </c>
      <c r="B6849" s="9" t="s">
        <v>48</v>
      </c>
      <c r="C6849" s="10" t="s">
        <v>49</v>
      </c>
      <c r="D6849" s="11">
        <v>92.421441774491683</v>
      </c>
      <c r="E6849" s="12">
        <f t="shared" si="106"/>
        <v>48287</v>
      </c>
    </row>
    <row r="6850" spans="1:5" x14ac:dyDescent="0.25">
      <c r="A6850" s="2">
        <f>IF(B6850="","",SUBTOTAL(3,$B$2:B6850))</f>
        <v>6849</v>
      </c>
      <c r="B6850" s="9" t="s">
        <v>48</v>
      </c>
      <c r="C6850" s="10" t="s">
        <v>49</v>
      </c>
      <c r="D6850" s="11">
        <v>30.807147258163894</v>
      </c>
      <c r="E6850" s="12">
        <f t="shared" si="106"/>
        <v>48288</v>
      </c>
    </row>
    <row r="6851" spans="1:5" x14ac:dyDescent="0.25">
      <c r="A6851" s="2">
        <f>IF(B6851="","",SUBTOTAL(3,$B$2:B6851))</f>
        <v>6850</v>
      </c>
      <c r="B6851" s="9" t="s">
        <v>48</v>
      </c>
      <c r="C6851" s="10" t="s">
        <v>52</v>
      </c>
      <c r="D6851" s="11">
        <v>41.148798521256936</v>
      </c>
      <c r="E6851" s="12">
        <f t="shared" si="106"/>
        <v>48289</v>
      </c>
    </row>
    <row r="6852" spans="1:5" x14ac:dyDescent="0.25">
      <c r="A6852" s="2">
        <f>IF(B6852="","",SUBTOTAL(3,$B$2:B6852))</f>
        <v>6851</v>
      </c>
      <c r="B6852" s="9" t="s">
        <v>50</v>
      </c>
      <c r="C6852" s="10" t="s">
        <v>49</v>
      </c>
      <c r="D6852" s="11">
        <v>176.3668430335097</v>
      </c>
      <c r="E6852" s="12">
        <f t="shared" ref="E6852:E6915" si="107">E6851+1</f>
        <v>48290</v>
      </c>
    </row>
    <row r="6853" spans="1:5" x14ac:dyDescent="0.25">
      <c r="A6853" s="2">
        <f>IF(B6853="","",SUBTOTAL(3,$B$2:B6853))</f>
        <v>6852</v>
      </c>
      <c r="B6853" s="9" t="s">
        <v>48</v>
      </c>
      <c r="C6853" s="10" t="s">
        <v>54</v>
      </c>
      <c r="D6853" s="11">
        <v>256.96041524803104</v>
      </c>
      <c r="E6853" s="12">
        <f t="shared" si="107"/>
        <v>48291</v>
      </c>
    </row>
    <row r="6854" spans="1:5" x14ac:dyDescent="0.25">
      <c r="A6854" s="2">
        <f>IF(B6854="","",SUBTOTAL(3,$B$2:B6854))</f>
        <v>6853</v>
      </c>
      <c r="B6854" s="9" t="s">
        <v>48</v>
      </c>
      <c r="C6854" s="10" t="s">
        <v>49</v>
      </c>
      <c r="D6854" s="11">
        <v>15.511892450879007</v>
      </c>
      <c r="E6854" s="12">
        <f t="shared" si="107"/>
        <v>48292</v>
      </c>
    </row>
    <row r="6855" spans="1:5" x14ac:dyDescent="0.25">
      <c r="A6855" s="2">
        <f>IF(B6855="","",SUBTOTAL(3,$B$2:B6855))</f>
        <v>6854</v>
      </c>
      <c r="B6855" s="9" t="s">
        <v>55</v>
      </c>
      <c r="C6855" s="10" t="s">
        <v>52</v>
      </c>
      <c r="D6855" s="11">
        <v>75</v>
      </c>
      <c r="E6855" s="12">
        <f t="shared" si="107"/>
        <v>48293</v>
      </c>
    </row>
    <row r="6856" spans="1:5" x14ac:dyDescent="0.25">
      <c r="A6856" s="2">
        <f>IF(B6856="","",SUBTOTAL(3,$B$2:B6856))</f>
        <v>6855</v>
      </c>
      <c r="B6856" s="9" t="s">
        <v>48</v>
      </c>
      <c r="C6856" s="10" t="s">
        <v>49</v>
      </c>
      <c r="D6856" s="11">
        <v>9.4574861367837322</v>
      </c>
      <c r="E6856" s="12">
        <f t="shared" si="107"/>
        <v>48294</v>
      </c>
    </row>
    <row r="6857" spans="1:5" x14ac:dyDescent="0.25">
      <c r="A6857" s="2">
        <f>IF(B6857="","",SUBTOTAL(3,$B$2:B6857))</f>
        <v>6856</v>
      </c>
      <c r="B6857" s="9" t="s">
        <v>48</v>
      </c>
      <c r="C6857" s="10" t="s">
        <v>49</v>
      </c>
      <c r="D6857" s="11">
        <v>44.923105360443621</v>
      </c>
      <c r="E6857" s="12">
        <f t="shared" si="107"/>
        <v>48295</v>
      </c>
    </row>
    <row r="6858" spans="1:5" x14ac:dyDescent="0.25">
      <c r="A6858" s="2">
        <f>IF(B6858="","",SUBTOTAL(3,$B$2:B6858))</f>
        <v>6857</v>
      </c>
      <c r="B6858" s="9" t="s">
        <v>48</v>
      </c>
      <c r="C6858" s="10" t="s">
        <v>49</v>
      </c>
      <c r="D6858" s="11">
        <v>22.461552680221811</v>
      </c>
      <c r="E6858" s="12">
        <f t="shared" si="107"/>
        <v>48296</v>
      </c>
    </row>
    <row r="6859" spans="1:5" x14ac:dyDescent="0.25">
      <c r="A6859" s="2">
        <f>IF(B6859="","",SUBTOTAL(3,$B$2:B6859))</f>
        <v>6858</v>
      </c>
      <c r="B6859" s="9" t="s">
        <v>48</v>
      </c>
      <c r="C6859" s="10" t="s">
        <v>49</v>
      </c>
      <c r="D6859" s="11">
        <v>1.723543605653223</v>
      </c>
      <c r="E6859" s="12">
        <f t="shared" si="107"/>
        <v>48297</v>
      </c>
    </row>
    <row r="6860" spans="1:5" x14ac:dyDescent="0.25">
      <c r="A6860" s="2">
        <f>IF(B6860="","",SUBTOTAL(3,$B$2:B6860))</f>
        <v>6859</v>
      </c>
      <c r="B6860" s="9" t="s">
        <v>48</v>
      </c>
      <c r="C6860" s="10" t="s">
        <v>56</v>
      </c>
      <c r="D6860" s="11">
        <v>34.470872113064452</v>
      </c>
      <c r="E6860" s="12">
        <f t="shared" si="107"/>
        <v>48298</v>
      </c>
    </row>
    <row r="6861" spans="1:5" x14ac:dyDescent="0.25">
      <c r="A6861" s="2">
        <f>IF(B6861="","",SUBTOTAL(3,$B$2:B6861))</f>
        <v>6860</v>
      </c>
      <c r="B6861" s="9" t="s">
        <v>48</v>
      </c>
      <c r="C6861" s="10" t="s">
        <v>49</v>
      </c>
      <c r="D6861" s="11">
        <v>5.8600482592209584</v>
      </c>
      <c r="E6861" s="12">
        <f t="shared" si="107"/>
        <v>48299</v>
      </c>
    </row>
    <row r="6862" spans="1:5" x14ac:dyDescent="0.25">
      <c r="A6862" s="2">
        <f>IF(B6862="","",SUBTOTAL(3,$B$2:B6862))</f>
        <v>6861</v>
      </c>
      <c r="B6862" s="9" t="s">
        <v>50</v>
      </c>
      <c r="C6862" s="10" t="s">
        <v>49</v>
      </c>
      <c r="D6862" s="11">
        <v>20</v>
      </c>
      <c r="E6862" s="12">
        <f t="shared" si="107"/>
        <v>48300</v>
      </c>
    </row>
    <row r="6863" spans="1:5" x14ac:dyDescent="0.25">
      <c r="A6863" s="2">
        <f>IF(B6863="","",SUBTOTAL(3,$B$2:B6863))</f>
        <v>6862</v>
      </c>
      <c r="B6863" s="9" t="s">
        <v>48</v>
      </c>
      <c r="C6863" s="10" t="s">
        <v>49</v>
      </c>
      <c r="D6863" s="11">
        <v>154.03573629081947</v>
      </c>
      <c r="E6863" s="12">
        <f t="shared" si="107"/>
        <v>48301</v>
      </c>
    </row>
    <row r="6864" spans="1:5" x14ac:dyDescent="0.25">
      <c r="A6864" s="2">
        <f>IF(B6864="","",SUBTOTAL(3,$B$2:B6864))</f>
        <v>6863</v>
      </c>
      <c r="B6864" s="9" t="s">
        <v>48</v>
      </c>
      <c r="C6864" s="10" t="s">
        <v>49</v>
      </c>
      <c r="D6864" s="11">
        <v>38.607376766632193</v>
      </c>
      <c r="E6864" s="12">
        <f t="shared" si="107"/>
        <v>48302</v>
      </c>
    </row>
    <row r="6865" spans="1:5" x14ac:dyDescent="0.25">
      <c r="A6865" s="2">
        <f>IF(B6865="","",SUBTOTAL(3,$B$2:B6865))</f>
        <v>6864</v>
      </c>
      <c r="B6865" s="9" t="s">
        <v>48</v>
      </c>
      <c r="C6865" s="10" t="s">
        <v>49</v>
      </c>
      <c r="D6865" s="11">
        <v>100.12322858903266</v>
      </c>
      <c r="E6865" s="12">
        <f t="shared" si="107"/>
        <v>48303</v>
      </c>
    </row>
    <row r="6866" spans="1:5" x14ac:dyDescent="0.25">
      <c r="A6866" s="2">
        <f>IF(B6866="","",SUBTOTAL(3,$B$2:B6866))</f>
        <v>6865</v>
      </c>
      <c r="B6866" s="9" t="s">
        <v>48</v>
      </c>
      <c r="C6866" s="10" t="s">
        <v>49</v>
      </c>
      <c r="D6866" s="11">
        <v>77.017868145409736</v>
      </c>
      <c r="E6866" s="12">
        <f t="shared" si="107"/>
        <v>48304</v>
      </c>
    </row>
    <row r="6867" spans="1:5" x14ac:dyDescent="0.25">
      <c r="A6867" s="2">
        <f>IF(B6867="","",SUBTOTAL(3,$B$2:B6867))</f>
        <v>6866</v>
      </c>
      <c r="B6867" s="9" t="s">
        <v>48</v>
      </c>
      <c r="C6867" s="10" t="s">
        <v>54</v>
      </c>
      <c r="D6867" s="11">
        <v>77.017868145409736</v>
      </c>
      <c r="E6867" s="12">
        <f t="shared" si="107"/>
        <v>48305</v>
      </c>
    </row>
    <row r="6868" spans="1:5" x14ac:dyDescent="0.25">
      <c r="A6868" s="2">
        <f>IF(B6868="","",SUBTOTAL(3,$B$2:B6868))</f>
        <v>6867</v>
      </c>
      <c r="B6868" s="9" t="s">
        <v>48</v>
      </c>
      <c r="C6868" s="10" t="s">
        <v>49</v>
      </c>
      <c r="D6868" s="11">
        <v>6.2047569803516023</v>
      </c>
      <c r="E6868" s="12">
        <f t="shared" si="107"/>
        <v>48306</v>
      </c>
    </row>
    <row r="6869" spans="1:5" x14ac:dyDescent="0.25">
      <c r="A6869" s="2">
        <f>IF(B6869="","",SUBTOTAL(3,$B$2:B6869))</f>
        <v>6868</v>
      </c>
      <c r="B6869" s="9" t="s">
        <v>50</v>
      </c>
      <c r="C6869" s="10" t="s">
        <v>49</v>
      </c>
      <c r="D6869" s="11">
        <v>33.06878306878307</v>
      </c>
      <c r="E6869" s="12">
        <f t="shared" si="107"/>
        <v>48307</v>
      </c>
    </row>
    <row r="6870" spans="1:5" x14ac:dyDescent="0.25">
      <c r="A6870" s="2">
        <f>IF(B6870="","",SUBTOTAL(3,$B$2:B6870))</f>
        <v>6869</v>
      </c>
      <c r="B6870" s="9" t="s">
        <v>50</v>
      </c>
      <c r="C6870" s="10" t="s">
        <v>49</v>
      </c>
      <c r="D6870" s="11">
        <v>110.22927689594357</v>
      </c>
      <c r="E6870" s="12">
        <f t="shared" si="107"/>
        <v>48308</v>
      </c>
    </row>
    <row r="6871" spans="1:5" x14ac:dyDescent="0.25">
      <c r="A6871" s="2">
        <f>IF(B6871="","",SUBTOTAL(3,$B$2:B6871))</f>
        <v>6870</v>
      </c>
      <c r="B6871" s="9" t="s">
        <v>50</v>
      </c>
      <c r="C6871" s="10" t="s">
        <v>49</v>
      </c>
      <c r="D6871" s="11">
        <v>198.4126984126984</v>
      </c>
      <c r="E6871" s="12">
        <f t="shared" si="107"/>
        <v>48309</v>
      </c>
    </row>
    <row r="6872" spans="1:5" x14ac:dyDescent="0.25">
      <c r="A6872" s="2">
        <f>IF(B6872="","",SUBTOTAL(3,$B$2:B6872))</f>
        <v>6871</v>
      </c>
      <c r="B6872" s="9" t="s">
        <v>50</v>
      </c>
      <c r="C6872" s="10" t="s">
        <v>49</v>
      </c>
      <c r="D6872" s="11">
        <v>198.4126984126984</v>
      </c>
      <c r="E6872" s="12">
        <f t="shared" si="107"/>
        <v>48310</v>
      </c>
    </row>
    <row r="6873" spans="1:5" x14ac:dyDescent="0.25">
      <c r="A6873" s="2">
        <f>IF(B6873="","",SUBTOTAL(3,$B$2:B6873))</f>
        <v>6872</v>
      </c>
      <c r="B6873" s="9" t="s">
        <v>50</v>
      </c>
      <c r="C6873" s="10" t="s">
        <v>49</v>
      </c>
      <c r="D6873" s="11">
        <v>220.45855379188714</v>
      </c>
      <c r="E6873" s="12">
        <f t="shared" si="107"/>
        <v>48311</v>
      </c>
    </row>
    <row r="6874" spans="1:5" x14ac:dyDescent="0.25">
      <c r="A6874" s="2">
        <f>IF(B6874="","",SUBTOTAL(3,$B$2:B6874))</f>
        <v>6873</v>
      </c>
      <c r="B6874" s="9" t="s">
        <v>50</v>
      </c>
      <c r="C6874" s="10" t="s">
        <v>49</v>
      </c>
      <c r="D6874" s="11">
        <v>88.183421516754848</v>
      </c>
      <c r="E6874" s="12">
        <f t="shared" si="107"/>
        <v>48312</v>
      </c>
    </row>
    <row r="6875" spans="1:5" x14ac:dyDescent="0.25">
      <c r="A6875" s="2">
        <f>IF(B6875="","",SUBTOTAL(3,$B$2:B6875))</f>
        <v>6874</v>
      </c>
      <c r="B6875" s="9" t="s">
        <v>55</v>
      </c>
      <c r="C6875" s="10" t="s">
        <v>52</v>
      </c>
      <c r="D6875" s="11">
        <v>120</v>
      </c>
      <c r="E6875" s="12">
        <f t="shared" si="107"/>
        <v>48313</v>
      </c>
    </row>
    <row r="6876" spans="1:5" x14ac:dyDescent="0.25">
      <c r="A6876" s="2">
        <f>IF(B6876="","",SUBTOTAL(3,$B$2:B6876))</f>
        <v>6875</v>
      </c>
      <c r="B6876" s="9" t="s">
        <v>48</v>
      </c>
      <c r="C6876" s="10" t="s">
        <v>49</v>
      </c>
      <c r="D6876" s="11">
        <v>11.396194416250177</v>
      </c>
      <c r="E6876" s="12">
        <f t="shared" si="107"/>
        <v>48314</v>
      </c>
    </row>
    <row r="6877" spans="1:5" x14ac:dyDescent="0.25">
      <c r="A6877" s="2">
        <f>IF(B6877="","",SUBTOTAL(3,$B$2:B6877))</f>
        <v>6876</v>
      </c>
      <c r="B6877" s="9" t="s">
        <v>53</v>
      </c>
      <c r="C6877" s="10" t="s">
        <v>54</v>
      </c>
      <c r="D6877" s="11">
        <v>91.585994669695125</v>
      </c>
      <c r="E6877" s="12">
        <f t="shared" si="107"/>
        <v>48315</v>
      </c>
    </row>
    <row r="6878" spans="1:5" x14ac:dyDescent="0.25">
      <c r="A6878" s="2">
        <f>IF(B6878="","",SUBTOTAL(3,$B$2:B6878))</f>
        <v>6877</v>
      </c>
      <c r="B6878" s="9" t="s">
        <v>50</v>
      </c>
      <c r="C6878" s="10" t="s">
        <v>49</v>
      </c>
      <c r="D6878" s="11">
        <v>59.006900352733687</v>
      </c>
      <c r="E6878" s="12">
        <f t="shared" si="107"/>
        <v>48316</v>
      </c>
    </row>
    <row r="6879" spans="1:5" x14ac:dyDescent="0.25">
      <c r="A6879" s="2">
        <f>IF(B6879="","",SUBTOTAL(3,$B$2:B6879))</f>
        <v>6878</v>
      </c>
      <c r="B6879" s="9" t="s">
        <v>55</v>
      </c>
      <c r="C6879" s="10" t="s">
        <v>52</v>
      </c>
      <c r="D6879" s="11">
        <v>20</v>
      </c>
      <c r="E6879" s="12">
        <f t="shared" si="107"/>
        <v>48317</v>
      </c>
    </row>
    <row r="6880" spans="1:5" x14ac:dyDescent="0.25">
      <c r="A6880" s="2">
        <f>IF(B6880="","",SUBTOTAL(3,$B$2:B6880))</f>
        <v>6879</v>
      </c>
      <c r="B6880" s="9" t="s">
        <v>48</v>
      </c>
      <c r="C6880" s="10" t="s">
        <v>56</v>
      </c>
      <c r="D6880" s="11">
        <v>12.064805239572561</v>
      </c>
      <c r="E6880" s="12">
        <f t="shared" si="107"/>
        <v>48318</v>
      </c>
    </row>
    <row r="6881" spans="1:5" x14ac:dyDescent="0.25">
      <c r="A6881" s="2">
        <f>IF(B6881="","",SUBTOTAL(3,$B$2:B6881))</f>
        <v>6880</v>
      </c>
      <c r="B6881" s="9" t="s">
        <v>48</v>
      </c>
      <c r="C6881" s="10" t="s">
        <v>56</v>
      </c>
      <c r="D6881" s="11">
        <v>6.8941744226128918</v>
      </c>
      <c r="E6881" s="12">
        <f t="shared" si="107"/>
        <v>48319</v>
      </c>
    </row>
    <row r="6882" spans="1:5" x14ac:dyDescent="0.25">
      <c r="A6882" s="2">
        <f>IF(B6882="","",SUBTOTAL(3,$B$2:B6882))</f>
        <v>6881</v>
      </c>
      <c r="B6882" s="9" t="s">
        <v>55</v>
      </c>
      <c r="C6882" s="10" t="s">
        <v>52</v>
      </c>
      <c r="D6882" s="11">
        <v>10</v>
      </c>
      <c r="E6882" s="12">
        <f t="shared" si="107"/>
        <v>48320</v>
      </c>
    </row>
    <row r="6883" spans="1:5" x14ac:dyDescent="0.25">
      <c r="A6883" s="2">
        <f>IF(B6883="","",SUBTOTAL(3,$B$2:B6883))</f>
        <v>6882</v>
      </c>
      <c r="B6883" s="9" t="s">
        <v>48</v>
      </c>
      <c r="C6883" s="10" t="s">
        <v>52</v>
      </c>
      <c r="D6883" s="11">
        <v>150.18484288354898</v>
      </c>
      <c r="E6883" s="12">
        <f t="shared" si="107"/>
        <v>48321</v>
      </c>
    </row>
    <row r="6884" spans="1:5" x14ac:dyDescent="0.25">
      <c r="A6884" s="2">
        <f>IF(B6884="","",SUBTOTAL(3,$B$2:B6884))</f>
        <v>6883</v>
      </c>
      <c r="B6884" s="9" t="s">
        <v>48</v>
      </c>
      <c r="C6884" s="10" t="s">
        <v>49</v>
      </c>
      <c r="D6884" s="11">
        <v>69.316081330868769</v>
      </c>
      <c r="E6884" s="12">
        <f t="shared" si="107"/>
        <v>48322</v>
      </c>
    </row>
    <row r="6885" spans="1:5" x14ac:dyDescent="0.25">
      <c r="A6885" s="2">
        <f>IF(B6885="","",SUBTOTAL(3,$B$2:B6885))</f>
        <v>6884</v>
      </c>
      <c r="B6885" s="9" t="s">
        <v>48</v>
      </c>
      <c r="C6885" s="10" t="s">
        <v>52</v>
      </c>
      <c r="D6885" s="11">
        <v>150.18484288354898</v>
      </c>
      <c r="E6885" s="12">
        <f t="shared" si="107"/>
        <v>48323</v>
      </c>
    </row>
    <row r="6886" spans="1:5" x14ac:dyDescent="0.25">
      <c r="A6886" s="2">
        <f>IF(B6886="","",SUBTOTAL(3,$B$2:B6886))</f>
        <v>6885</v>
      </c>
      <c r="B6886" s="9" t="s">
        <v>48</v>
      </c>
      <c r="C6886" s="10" t="s">
        <v>49</v>
      </c>
      <c r="D6886" s="11">
        <v>61.614294516327789</v>
      </c>
      <c r="E6886" s="12">
        <f t="shared" si="107"/>
        <v>48324</v>
      </c>
    </row>
    <row r="6887" spans="1:5" x14ac:dyDescent="0.25">
      <c r="A6887" s="2">
        <f>IF(B6887="","",SUBTOTAL(3,$B$2:B6887))</f>
        <v>6886</v>
      </c>
      <c r="B6887" s="9" t="s">
        <v>48</v>
      </c>
      <c r="C6887" s="10" t="s">
        <v>49</v>
      </c>
      <c r="D6887" s="11">
        <v>92.421441774491683</v>
      </c>
      <c r="E6887" s="12">
        <f t="shared" si="107"/>
        <v>48325</v>
      </c>
    </row>
    <row r="6888" spans="1:5" x14ac:dyDescent="0.25">
      <c r="A6888" s="2">
        <f>IF(B6888="","",SUBTOTAL(3,$B$2:B6888))</f>
        <v>6887</v>
      </c>
      <c r="B6888" s="9" t="s">
        <v>48</v>
      </c>
      <c r="C6888" s="10" t="s">
        <v>49</v>
      </c>
      <c r="D6888" s="11">
        <v>61.614294516327789</v>
      </c>
      <c r="E6888" s="12">
        <f t="shared" si="107"/>
        <v>48326</v>
      </c>
    </row>
    <row r="6889" spans="1:5" x14ac:dyDescent="0.25">
      <c r="A6889" s="2">
        <f>IF(B6889="","",SUBTOTAL(3,$B$2:B6889))</f>
        <v>6888</v>
      </c>
      <c r="B6889" s="9" t="s">
        <v>48</v>
      </c>
      <c r="C6889" s="10" t="s">
        <v>49</v>
      </c>
      <c r="D6889" s="11">
        <v>98.582871226124468</v>
      </c>
      <c r="E6889" s="12">
        <f t="shared" si="107"/>
        <v>48327</v>
      </c>
    </row>
    <row r="6890" spans="1:5" x14ac:dyDescent="0.25">
      <c r="A6890" s="2">
        <f>IF(B6890="","",SUBTOTAL(3,$B$2:B6890))</f>
        <v>6889</v>
      </c>
      <c r="B6890" s="9" t="s">
        <v>48</v>
      </c>
      <c r="C6890" s="10" t="s">
        <v>52</v>
      </c>
      <c r="D6890" s="11">
        <v>77.017868145409736</v>
      </c>
      <c r="E6890" s="12">
        <f t="shared" si="107"/>
        <v>48328</v>
      </c>
    </row>
    <row r="6891" spans="1:5" x14ac:dyDescent="0.25">
      <c r="A6891" s="2">
        <f>IF(B6891="","",SUBTOTAL(3,$B$2:B6891))</f>
        <v>6890</v>
      </c>
      <c r="B6891" s="9" t="s">
        <v>48</v>
      </c>
      <c r="C6891" s="10" t="s">
        <v>57</v>
      </c>
      <c r="D6891" s="11">
        <v>77.017868145409736</v>
      </c>
      <c r="E6891" s="12">
        <f t="shared" si="107"/>
        <v>48329</v>
      </c>
    </row>
    <row r="6892" spans="1:5" x14ac:dyDescent="0.25">
      <c r="A6892" s="2">
        <f>IF(B6892="","",SUBTOTAL(3,$B$2:B6892))</f>
        <v>6891</v>
      </c>
      <c r="B6892" s="9" t="s">
        <v>48</v>
      </c>
      <c r="C6892" s="10" t="s">
        <v>49</v>
      </c>
      <c r="D6892" s="11">
        <v>61.614294516327789</v>
      </c>
      <c r="E6892" s="12">
        <f t="shared" si="107"/>
        <v>48330</v>
      </c>
    </row>
    <row r="6893" spans="1:5" x14ac:dyDescent="0.25">
      <c r="A6893" s="2">
        <f>IF(B6893="","",SUBTOTAL(3,$B$2:B6893))</f>
        <v>6892</v>
      </c>
      <c r="B6893" s="9" t="s">
        <v>53</v>
      </c>
      <c r="C6893" s="10" t="s">
        <v>49</v>
      </c>
      <c r="D6893" s="11">
        <v>137.37899200454268</v>
      </c>
      <c r="E6893" s="12">
        <f t="shared" si="107"/>
        <v>48331</v>
      </c>
    </row>
    <row r="6894" spans="1:5" x14ac:dyDescent="0.25">
      <c r="A6894" s="2">
        <f>IF(B6894="","",SUBTOTAL(3,$B$2:B6894))</f>
        <v>6893</v>
      </c>
      <c r="B6894" s="9" t="s">
        <v>48</v>
      </c>
      <c r="C6894" s="10" t="s">
        <v>49</v>
      </c>
      <c r="D6894" s="11">
        <v>6.8941744226128918</v>
      </c>
      <c r="E6894" s="12">
        <f t="shared" si="107"/>
        <v>48332</v>
      </c>
    </row>
    <row r="6895" spans="1:5" x14ac:dyDescent="0.25">
      <c r="A6895" s="2">
        <f>IF(B6895="","",SUBTOTAL(3,$B$2:B6895))</f>
        <v>6894</v>
      </c>
      <c r="B6895" s="9" t="s">
        <v>48</v>
      </c>
      <c r="C6895" s="10" t="s">
        <v>49</v>
      </c>
      <c r="D6895" s="11">
        <v>86.177180282661155</v>
      </c>
      <c r="E6895" s="12">
        <f t="shared" si="107"/>
        <v>48333</v>
      </c>
    </row>
    <row r="6896" spans="1:5" x14ac:dyDescent="0.25">
      <c r="A6896" s="2">
        <f>IF(B6896="","",SUBTOTAL(3,$B$2:B6896))</f>
        <v>6895</v>
      </c>
      <c r="B6896" s="9" t="s">
        <v>48</v>
      </c>
      <c r="C6896" s="10" t="s">
        <v>56</v>
      </c>
      <c r="D6896" s="11">
        <v>13.788348845225784</v>
      </c>
      <c r="E6896" s="12">
        <f t="shared" si="107"/>
        <v>48334</v>
      </c>
    </row>
    <row r="6897" spans="1:5" x14ac:dyDescent="0.25">
      <c r="A6897" s="2">
        <f>IF(B6897="","",SUBTOTAL(3,$B$2:B6897))</f>
        <v>6896</v>
      </c>
      <c r="B6897" s="9" t="s">
        <v>48</v>
      </c>
      <c r="C6897" s="10" t="s">
        <v>54</v>
      </c>
      <c r="D6897" s="11">
        <v>45.022233712512929</v>
      </c>
      <c r="E6897" s="12">
        <f t="shared" si="107"/>
        <v>48335</v>
      </c>
    </row>
    <row r="6898" spans="1:5" x14ac:dyDescent="0.25">
      <c r="A6898" s="2">
        <f>IF(B6898="","",SUBTOTAL(3,$B$2:B6898))</f>
        <v>6897</v>
      </c>
      <c r="B6898" s="9" t="s">
        <v>53</v>
      </c>
      <c r="C6898" s="10" t="s">
        <v>54</v>
      </c>
      <c r="D6898" s="11">
        <v>91.585994669695125</v>
      </c>
      <c r="E6898" s="12">
        <f t="shared" si="107"/>
        <v>48336</v>
      </c>
    </row>
    <row r="6899" spans="1:5" x14ac:dyDescent="0.25">
      <c r="A6899" s="2">
        <f>IF(B6899="","",SUBTOTAL(3,$B$2:B6899))</f>
        <v>6898</v>
      </c>
      <c r="B6899" s="9" t="s">
        <v>53</v>
      </c>
      <c r="C6899" s="10" t="s">
        <v>49</v>
      </c>
      <c r="D6899" s="11">
        <v>54.951596801817075</v>
      </c>
      <c r="E6899" s="12">
        <f t="shared" si="107"/>
        <v>48337</v>
      </c>
    </row>
    <row r="6900" spans="1:5" x14ac:dyDescent="0.25">
      <c r="A6900" s="2">
        <f>IF(B6900="","",SUBTOTAL(3,$B$2:B6900))</f>
        <v>6899</v>
      </c>
      <c r="B6900" s="9" t="s">
        <v>51</v>
      </c>
      <c r="C6900" s="10" t="s">
        <v>49</v>
      </c>
      <c r="D6900" s="11">
        <v>529.49274594938049</v>
      </c>
      <c r="E6900" s="12">
        <f t="shared" si="107"/>
        <v>48338</v>
      </c>
    </row>
    <row r="6901" spans="1:5" x14ac:dyDescent="0.25">
      <c r="A6901" s="2">
        <f>IF(B6901="","",SUBTOTAL(3,$B$2:B6901))</f>
        <v>6900</v>
      </c>
      <c r="B6901" s="9" t="s">
        <v>48</v>
      </c>
      <c r="C6901" s="10" t="s">
        <v>49</v>
      </c>
      <c r="D6901" s="11">
        <v>13.788348845225784</v>
      </c>
      <c r="E6901" s="12">
        <f t="shared" si="107"/>
        <v>48339</v>
      </c>
    </row>
    <row r="6902" spans="1:5" x14ac:dyDescent="0.25">
      <c r="A6902" s="2">
        <f>IF(B6902="","",SUBTOTAL(3,$B$2:B6902))</f>
        <v>6901</v>
      </c>
      <c r="B6902" s="9" t="s">
        <v>48</v>
      </c>
      <c r="C6902" s="10" t="s">
        <v>49</v>
      </c>
      <c r="D6902" s="11">
        <v>10.341261633919338</v>
      </c>
      <c r="E6902" s="12">
        <f t="shared" si="107"/>
        <v>48340</v>
      </c>
    </row>
    <row r="6903" spans="1:5" x14ac:dyDescent="0.25">
      <c r="A6903" s="2">
        <f>IF(B6903="","",SUBTOTAL(3,$B$2:B6903))</f>
        <v>6902</v>
      </c>
      <c r="B6903" s="9" t="s">
        <v>55</v>
      </c>
      <c r="C6903" s="10" t="s">
        <v>54</v>
      </c>
      <c r="D6903" s="11">
        <v>26.655369072836894</v>
      </c>
      <c r="E6903" s="12">
        <f t="shared" si="107"/>
        <v>48341</v>
      </c>
    </row>
    <row r="6904" spans="1:5" x14ac:dyDescent="0.25">
      <c r="A6904" s="2">
        <f>IF(B6904="","",SUBTOTAL(3,$B$2:B6904))</f>
        <v>6903</v>
      </c>
      <c r="B6904" s="9" t="s">
        <v>50</v>
      </c>
      <c r="C6904" s="10" t="s">
        <v>49</v>
      </c>
      <c r="D6904" s="11">
        <v>1102.2927689594355</v>
      </c>
      <c r="E6904" s="12">
        <f t="shared" si="107"/>
        <v>48342</v>
      </c>
    </row>
    <row r="6905" spans="1:5" x14ac:dyDescent="0.25">
      <c r="A6905" s="2">
        <f>IF(B6905="","",SUBTOTAL(3,$B$2:B6905))</f>
        <v>6904</v>
      </c>
      <c r="B6905" s="9" t="s">
        <v>50</v>
      </c>
      <c r="C6905" s="10" t="s">
        <v>49</v>
      </c>
      <c r="D6905" s="11">
        <v>66.137566137566139</v>
      </c>
      <c r="E6905" s="12">
        <f t="shared" si="107"/>
        <v>48343</v>
      </c>
    </row>
    <row r="6906" spans="1:5" x14ac:dyDescent="0.25">
      <c r="A6906" s="2">
        <f>IF(B6906="","",SUBTOTAL(3,$B$2:B6906))</f>
        <v>6905</v>
      </c>
      <c r="B6906" s="9" t="s">
        <v>53</v>
      </c>
      <c r="C6906" s="10" t="s">
        <v>49</v>
      </c>
      <c r="D6906" s="11">
        <v>293.0751829430244</v>
      </c>
      <c r="E6906" s="12">
        <f t="shared" si="107"/>
        <v>48344</v>
      </c>
    </row>
    <row r="6907" spans="1:5" x14ac:dyDescent="0.25">
      <c r="A6907" s="2">
        <f>IF(B6907="","",SUBTOTAL(3,$B$2:B6907))</f>
        <v>6906</v>
      </c>
      <c r="B6907" s="9" t="s">
        <v>53</v>
      </c>
      <c r="C6907" s="10" t="s">
        <v>52</v>
      </c>
      <c r="D6907" s="11">
        <v>183.17198933939025</v>
      </c>
      <c r="E6907" s="12">
        <f t="shared" si="107"/>
        <v>48345</v>
      </c>
    </row>
    <row r="6908" spans="1:5" x14ac:dyDescent="0.25">
      <c r="A6908" s="2">
        <f>IF(B6908="","",SUBTOTAL(3,$B$2:B6908))</f>
        <v>6907</v>
      </c>
      <c r="B6908" s="9" t="s">
        <v>48</v>
      </c>
      <c r="C6908" s="10" t="s">
        <v>49</v>
      </c>
      <c r="D6908" s="11">
        <v>10.782501540357364</v>
      </c>
      <c r="E6908" s="12">
        <f t="shared" si="107"/>
        <v>48346</v>
      </c>
    </row>
    <row r="6909" spans="1:5" x14ac:dyDescent="0.25">
      <c r="A6909" s="2">
        <f>IF(B6909="","",SUBTOTAL(3,$B$2:B6909))</f>
        <v>6908</v>
      </c>
      <c r="B6909" s="9" t="s">
        <v>50</v>
      </c>
      <c r="C6909" s="10" t="s">
        <v>49</v>
      </c>
      <c r="D6909" s="11">
        <v>35.273368606701936</v>
      </c>
      <c r="E6909" s="12">
        <f t="shared" si="107"/>
        <v>48347</v>
      </c>
    </row>
    <row r="6910" spans="1:5" x14ac:dyDescent="0.25">
      <c r="A6910" s="2">
        <f>IF(B6910="","",SUBTOTAL(3,$B$2:B6910))</f>
        <v>6909</v>
      </c>
      <c r="B6910" s="9" t="s">
        <v>55</v>
      </c>
      <c r="C6910" s="10" t="s">
        <v>52</v>
      </c>
      <c r="D6910" s="11">
        <v>24.846395920430009</v>
      </c>
      <c r="E6910" s="12">
        <f t="shared" si="107"/>
        <v>48348</v>
      </c>
    </row>
    <row r="6911" spans="1:5" x14ac:dyDescent="0.25">
      <c r="A6911" s="2">
        <f>IF(B6911="","",SUBTOTAL(3,$B$2:B6911))</f>
        <v>6910</v>
      </c>
      <c r="B6911" s="9" t="s">
        <v>48</v>
      </c>
      <c r="C6911" s="10" t="s">
        <v>49</v>
      </c>
      <c r="D6911" s="11">
        <v>30.807147258163894</v>
      </c>
      <c r="E6911" s="12">
        <f t="shared" si="107"/>
        <v>48349</v>
      </c>
    </row>
    <row r="6912" spans="1:5" x14ac:dyDescent="0.25">
      <c r="A6912" s="2">
        <f>IF(B6912="","",SUBTOTAL(3,$B$2:B6912))</f>
        <v>6911</v>
      </c>
      <c r="B6912" s="9" t="s">
        <v>48</v>
      </c>
      <c r="C6912" s="10" t="s">
        <v>49</v>
      </c>
      <c r="D6912" s="11">
        <v>30.807147258163894</v>
      </c>
      <c r="E6912" s="12">
        <f t="shared" si="107"/>
        <v>48350</v>
      </c>
    </row>
    <row r="6913" spans="1:5" x14ac:dyDescent="0.25">
      <c r="A6913" s="2">
        <f>IF(B6913="","",SUBTOTAL(3,$B$2:B6913))</f>
        <v>6912</v>
      </c>
      <c r="B6913" s="9" t="s">
        <v>51</v>
      </c>
      <c r="C6913" s="10" t="s">
        <v>49</v>
      </c>
      <c r="D6913" s="11">
        <v>7.4128984432913265</v>
      </c>
      <c r="E6913" s="12">
        <f t="shared" si="107"/>
        <v>48351</v>
      </c>
    </row>
    <row r="6914" spans="1:5" x14ac:dyDescent="0.25">
      <c r="A6914" s="2">
        <f>IF(B6914="","",SUBTOTAL(3,$B$2:B6914))</f>
        <v>6913</v>
      </c>
      <c r="B6914" s="9" t="s">
        <v>48</v>
      </c>
      <c r="C6914" s="10" t="s">
        <v>49</v>
      </c>
      <c r="D6914" s="11">
        <v>23.105360443622921</v>
      </c>
      <c r="E6914" s="12">
        <f t="shared" si="107"/>
        <v>48352</v>
      </c>
    </row>
    <row r="6915" spans="1:5" x14ac:dyDescent="0.25">
      <c r="A6915" s="2">
        <f>IF(B6915="","",SUBTOTAL(3,$B$2:B6915))</f>
        <v>6914</v>
      </c>
      <c r="B6915" s="9" t="s">
        <v>50</v>
      </c>
      <c r="C6915" s="10" t="s">
        <v>49</v>
      </c>
      <c r="D6915" s="11">
        <v>66.137566137566139</v>
      </c>
      <c r="E6915" s="12">
        <f t="shared" si="107"/>
        <v>48353</v>
      </c>
    </row>
    <row r="6916" spans="1:5" x14ac:dyDescent="0.25">
      <c r="A6916" s="2">
        <f>IF(B6916="","",SUBTOTAL(3,$B$2:B6916))</f>
        <v>6915</v>
      </c>
      <c r="B6916" s="9" t="s">
        <v>48</v>
      </c>
      <c r="C6916" s="10" t="s">
        <v>49</v>
      </c>
      <c r="D6916" s="11">
        <v>12.848020762401553</v>
      </c>
      <c r="E6916" s="12">
        <f t="shared" ref="E6916:E6979" si="108">E6915+1</f>
        <v>48354</v>
      </c>
    </row>
    <row r="6917" spans="1:5" x14ac:dyDescent="0.25">
      <c r="A6917" s="2">
        <f>IF(B6917="","",SUBTOTAL(3,$B$2:B6917))</f>
        <v>6916</v>
      </c>
      <c r="B6917" s="9" t="s">
        <v>55</v>
      </c>
      <c r="C6917" s="10" t="s">
        <v>49</v>
      </c>
      <c r="D6917" s="11">
        <v>6.5178425941013529</v>
      </c>
      <c r="E6917" s="12">
        <f t="shared" si="108"/>
        <v>48355</v>
      </c>
    </row>
    <row r="6918" spans="1:5" x14ac:dyDescent="0.25">
      <c r="A6918" s="2">
        <f>IF(B6918="","",SUBTOTAL(3,$B$2:B6918))</f>
        <v>6917</v>
      </c>
      <c r="B6918" s="9" t="s">
        <v>50</v>
      </c>
      <c r="C6918" s="10" t="s">
        <v>49</v>
      </c>
      <c r="D6918" s="11">
        <v>66.137566137566139</v>
      </c>
      <c r="E6918" s="12">
        <f t="shared" si="108"/>
        <v>48356</v>
      </c>
    </row>
    <row r="6919" spans="1:5" x14ac:dyDescent="0.25">
      <c r="A6919" s="2">
        <f>IF(B6919="","",SUBTOTAL(3,$B$2:B6919))</f>
        <v>6918</v>
      </c>
      <c r="B6919" s="9" t="s">
        <v>50</v>
      </c>
      <c r="C6919" s="10" t="s">
        <v>49</v>
      </c>
      <c r="D6919" s="11">
        <v>34.277006172839506</v>
      </c>
      <c r="E6919" s="12">
        <f t="shared" si="108"/>
        <v>48357</v>
      </c>
    </row>
    <row r="6920" spans="1:5" x14ac:dyDescent="0.25">
      <c r="A6920" s="2">
        <f>IF(B6920="","",SUBTOTAL(3,$B$2:B6920))</f>
        <v>6919</v>
      </c>
      <c r="B6920" s="9" t="s">
        <v>51</v>
      </c>
      <c r="C6920" s="10" t="s">
        <v>49</v>
      </c>
      <c r="D6920" s="11">
        <v>52.949274594938046</v>
      </c>
      <c r="E6920" s="12">
        <f t="shared" si="108"/>
        <v>48358</v>
      </c>
    </row>
    <row r="6921" spans="1:5" x14ac:dyDescent="0.25">
      <c r="A6921" s="2">
        <f>IF(B6921="","",SUBTOTAL(3,$B$2:B6921))</f>
        <v>6920</v>
      </c>
      <c r="B6921" s="9" t="s">
        <v>51</v>
      </c>
      <c r="C6921" s="10" t="s">
        <v>49</v>
      </c>
      <c r="D6921" s="11">
        <v>264.74637297469025</v>
      </c>
      <c r="E6921" s="12">
        <f t="shared" si="108"/>
        <v>48359</v>
      </c>
    </row>
    <row r="6922" spans="1:5" x14ac:dyDescent="0.25">
      <c r="A6922" s="2">
        <f>IF(B6922="","",SUBTOTAL(3,$B$2:B6922))</f>
        <v>6921</v>
      </c>
      <c r="B6922" s="9" t="s">
        <v>48</v>
      </c>
      <c r="C6922" s="10" t="s">
        <v>49</v>
      </c>
      <c r="D6922" s="11">
        <v>28.955532574974146</v>
      </c>
      <c r="E6922" s="12">
        <f t="shared" si="108"/>
        <v>48360</v>
      </c>
    </row>
    <row r="6923" spans="1:5" x14ac:dyDescent="0.25">
      <c r="A6923" s="2">
        <f>IF(B6923="","",SUBTOTAL(3,$B$2:B6923))</f>
        <v>6922</v>
      </c>
      <c r="B6923" s="9" t="s">
        <v>55</v>
      </c>
      <c r="C6923" s="10" t="s">
        <v>49</v>
      </c>
      <c r="D6923" s="11">
        <v>16.294606485253382</v>
      </c>
      <c r="E6923" s="12">
        <f t="shared" si="108"/>
        <v>48361</v>
      </c>
    </row>
    <row r="6924" spans="1:5" x14ac:dyDescent="0.25">
      <c r="A6924" s="2">
        <f>IF(B6924="","",SUBTOTAL(3,$B$2:B6924))</f>
        <v>6923</v>
      </c>
      <c r="B6924" s="9" t="s">
        <v>50</v>
      </c>
      <c r="C6924" s="10" t="s">
        <v>49</v>
      </c>
      <c r="D6924" s="11">
        <v>48.963844797178126</v>
      </c>
      <c r="E6924" s="12">
        <f t="shared" si="108"/>
        <v>48362</v>
      </c>
    </row>
    <row r="6925" spans="1:5" x14ac:dyDescent="0.25">
      <c r="A6925" s="2">
        <f>IF(B6925="","",SUBTOTAL(3,$B$2:B6925))</f>
        <v>6924</v>
      </c>
      <c r="B6925" s="9" t="s">
        <v>53</v>
      </c>
      <c r="C6925" s="10" t="s">
        <v>49</v>
      </c>
      <c r="D6925" s="11">
        <v>118.14593312390672</v>
      </c>
      <c r="E6925" s="12">
        <f t="shared" si="108"/>
        <v>48363</v>
      </c>
    </row>
    <row r="6926" spans="1:5" x14ac:dyDescent="0.25">
      <c r="A6926" s="2">
        <f>IF(B6926="","",SUBTOTAL(3,$B$2:B6926))</f>
        <v>6925</v>
      </c>
      <c r="B6926" s="9" t="s">
        <v>51</v>
      </c>
      <c r="C6926" s="10" t="s">
        <v>52</v>
      </c>
      <c r="D6926" s="11">
        <v>370.64492216456637</v>
      </c>
      <c r="E6926" s="12">
        <f t="shared" si="108"/>
        <v>48364</v>
      </c>
    </row>
    <row r="6927" spans="1:5" x14ac:dyDescent="0.25">
      <c r="A6927" s="2">
        <f>IF(B6927="","",SUBTOTAL(3,$B$2:B6927))</f>
        <v>6926</v>
      </c>
      <c r="B6927" s="9" t="s">
        <v>51</v>
      </c>
      <c r="C6927" s="10" t="s">
        <v>49</v>
      </c>
      <c r="D6927" s="11">
        <v>26.474637297469023</v>
      </c>
      <c r="E6927" s="12">
        <f t="shared" si="108"/>
        <v>48365</v>
      </c>
    </row>
    <row r="6928" spans="1:5" x14ac:dyDescent="0.25">
      <c r="A6928" s="2">
        <f>IF(B6928="","",SUBTOTAL(3,$B$2:B6928))</f>
        <v>6927</v>
      </c>
      <c r="B6928" s="9" t="s">
        <v>51</v>
      </c>
      <c r="C6928" s="10" t="s">
        <v>52</v>
      </c>
      <c r="D6928" s="11">
        <v>63.539129513925651</v>
      </c>
      <c r="E6928" s="12">
        <f t="shared" si="108"/>
        <v>48366</v>
      </c>
    </row>
    <row r="6929" spans="1:5" x14ac:dyDescent="0.25">
      <c r="A6929" s="2">
        <f>IF(B6929="","",SUBTOTAL(3,$B$2:B6929))</f>
        <v>6928</v>
      </c>
      <c r="B6929" s="9" t="s">
        <v>50</v>
      </c>
      <c r="C6929" s="10" t="s">
        <v>49</v>
      </c>
      <c r="D6929" s="11">
        <v>88.183421516754848</v>
      </c>
      <c r="E6929" s="12">
        <f t="shared" si="108"/>
        <v>48367</v>
      </c>
    </row>
    <row r="6930" spans="1:5" x14ac:dyDescent="0.25">
      <c r="A6930" s="2">
        <f>IF(B6930="","",SUBTOTAL(3,$B$2:B6930))</f>
        <v>6929</v>
      </c>
      <c r="B6930" s="9" t="s">
        <v>48</v>
      </c>
      <c r="C6930" s="10" t="s">
        <v>49</v>
      </c>
      <c r="D6930" s="11">
        <v>123.22858903265558</v>
      </c>
      <c r="E6930" s="12">
        <f t="shared" si="108"/>
        <v>48368</v>
      </c>
    </row>
    <row r="6931" spans="1:5" x14ac:dyDescent="0.25">
      <c r="A6931" s="2">
        <f>IF(B6931="","",SUBTOTAL(3,$B$2:B6931))</f>
        <v>6930</v>
      </c>
      <c r="B6931" s="9" t="s">
        <v>48</v>
      </c>
      <c r="C6931" s="10" t="s">
        <v>52</v>
      </c>
      <c r="D6931" s="11">
        <v>92.421441774491683</v>
      </c>
      <c r="E6931" s="12">
        <f t="shared" si="108"/>
        <v>48369</v>
      </c>
    </row>
    <row r="6932" spans="1:5" x14ac:dyDescent="0.25">
      <c r="A6932" s="2">
        <f>IF(B6932="","",SUBTOTAL(3,$B$2:B6932))</f>
        <v>6931</v>
      </c>
      <c r="B6932" s="9" t="s">
        <v>48</v>
      </c>
      <c r="C6932" s="10" t="s">
        <v>49</v>
      </c>
      <c r="D6932" s="11">
        <v>123.22858903265558</v>
      </c>
      <c r="E6932" s="12">
        <f t="shared" si="108"/>
        <v>48370</v>
      </c>
    </row>
    <row r="6933" spans="1:5" x14ac:dyDescent="0.25">
      <c r="A6933" s="2">
        <f>IF(B6933="","",SUBTOTAL(3,$B$2:B6933))</f>
        <v>6932</v>
      </c>
      <c r="B6933" s="9" t="s">
        <v>48</v>
      </c>
      <c r="C6933" s="10" t="s">
        <v>49</v>
      </c>
      <c r="D6933" s="11">
        <v>100.12322858903266</v>
      </c>
      <c r="E6933" s="12">
        <f t="shared" si="108"/>
        <v>48371</v>
      </c>
    </row>
    <row r="6934" spans="1:5" x14ac:dyDescent="0.25">
      <c r="A6934" s="2">
        <f>IF(B6934="","",SUBTOTAL(3,$B$2:B6934))</f>
        <v>6933</v>
      </c>
      <c r="B6934" s="9" t="s">
        <v>50</v>
      </c>
      <c r="C6934" s="10" t="s">
        <v>49</v>
      </c>
      <c r="D6934" s="11">
        <v>39.173721340388006</v>
      </c>
      <c r="E6934" s="12">
        <f t="shared" si="108"/>
        <v>48372</v>
      </c>
    </row>
    <row r="6935" spans="1:5" x14ac:dyDescent="0.25">
      <c r="A6935" s="2">
        <f>IF(B6935="","",SUBTOTAL(3,$B$2:B6935))</f>
        <v>6934</v>
      </c>
      <c r="B6935" s="9" t="s">
        <v>55</v>
      </c>
      <c r="C6935" s="10" t="s">
        <v>49</v>
      </c>
      <c r="D6935" s="11">
        <v>66.779758349795557</v>
      </c>
      <c r="E6935" s="12">
        <f t="shared" si="108"/>
        <v>48373</v>
      </c>
    </row>
    <row r="6936" spans="1:5" x14ac:dyDescent="0.25">
      <c r="A6936" s="2">
        <f>IF(B6936="","",SUBTOTAL(3,$B$2:B6936))</f>
        <v>6935</v>
      </c>
      <c r="B6936" s="9" t="s">
        <v>55</v>
      </c>
      <c r="C6936" s="10" t="s">
        <v>49</v>
      </c>
      <c r="D6936" s="11">
        <v>7.5701750356043558</v>
      </c>
      <c r="E6936" s="12">
        <f t="shared" si="108"/>
        <v>48374</v>
      </c>
    </row>
    <row r="6937" spans="1:5" x14ac:dyDescent="0.25">
      <c r="A6937" s="2">
        <f>IF(B6937="","",SUBTOTAL(3,$B$2:B6937))</f>
        <v>6936</v>
      </c>
      <c r="B6937" s="9" t="s">
        <v>51</v>
      </c>
      <c r="C6937" s="10" t="s">
        <v>49</v>
      </c>
      <c r="D6937" s="11">
        <v>370.64492216456637</v>
      </c>
      <c r="E6937" s="12">
        <f t="shared" si="108"/>
        <v>48375</v>
      </c>
    </row>
    <row r="6938" spans="1:5" x14ac:dyDescent="0.25">
      <c r="A6938" s="2">
        <f>IF(B6938="","",SUBTOTAL(3,$B$2:B6938))</f>
        <v>6937</v>
      </c>
      <c r="B6938" s="9" t="s">
        <v>55</v>
      </c>
      <c r="C6938" s="10" t="s">
        <v>49</v>
      </c>
      <c r="D6938" s="11">
        <v>200</v>
      </c>
      <c r="E6938" s="12">
        <f t="shared" si="108"/>
        <v>48376</v>
      </c>
    </row>
    <row r="6939" spans="1:5" x14ac:dyDescent="0.25">
      <c r="A6939" s="2">
        <f>IF(B6939="","",SUBTOTAL(3,$B$2:B6939))</f>
        <v>6938</v>
      </c>
      <c r="B6939" s="9" t="s">
        <v>50</v>
      </c>
      <c r="C6939" s="10" t="s">
        <v>52</v>
      </c>
      <c r="D6939" s="11">
        <v>154.32098765432099</v>
      </c>
      <c r="E6939" s="12">
        <f t="shared" si="108"/>
        <v>48377</v>
      </c>
    </row>
    <row r="6940" spans="1:5" x14ac:dyDescent="0.25">
      <c r="A6940" s="2">
        <f>IF(B6940="","",SUBTOTAL(3,$B$2:B6940))</f>
        <v>6939</v>
      </c>
      <c r="B6940" s="9" t="s">
        <v>48</v>
      </c>
      <c r="C6940" s="10" t="s">
        <v>49</v>
      </c>
      <c r="D6940" s="11">
        <v>25</v>
      </c>
      <c r="E6940" s="12">
        <f t="shared" si="108"/>
        <v>48378</v>
      </c>
    </row>
    <row r="6941" spans="1:5" x14ac:dyDescent="0.25">
      <c r="A6941" s="2">
        <f>IF(B6941="","",SUBTOTAL(3,$B$2:B6941))</f>
        <v>6940</v>
      </c>
      <c r="B6941" s="9" t="s">
        <v>48</v>
      </c>
      <c r="C6941" s="10" t="s">
        <v>54</v>
      </c>
      <c r="D6941" s="11">
        <v>308.07147258163894</v>
      </c>
      <c r="E6941" s="12">
        <f t="shared" si="108"/>
        <v>48379</v>
      </c>
    </row>
    <row r="6942" spans="1:5" x14ac:dyDescent="0.25">
      <c r="A6942" s="2">
        <f>IF(B6942="","",SUBTOTAL(3,$B$2:B6942))</f>
        <v>6941</v>
      </c>
      <c r="B6942" s="9" t="s">
        <v>48</v>
      </c>
      <c r="C6942" s="10" t="s">
        <v>52</v>
      </c>
      <c r="D6942" s="11">
        <v>231.05360443622922</v>
      </c>
      <c r="E6942" s="12">
        <f t="shared" si="108"/>
        <v>48380</v>
      </c>
    </row>
    <row r="6943" spans="1:5" x14ac:dyDescent="0.25">
      <c r="A6943" s="2">
        <f>IF(B6943="","",SUBTOTAL(3,$B$2:B6943))</f>
        <v>6942</v>
      </c>
      <c r="B6943" s="9" t="s">
        <v>55</v>
      </c>
      <c r="C6943" s="10" t="s">
        <v>49</v>
      </c>
      <c r="D6943" s="11">
        <v>97.767638911520294</v>
      </c>
      <c r="E6943" s="12">
        <f t="shared" si="108"/>
        <v>48381</v>
      </c>
    </row>
    <row r="6944" spans="1:5" x14ac:dyDescent="0.25">
      <c r="A6944" s="2">
        <f>IF(B6944="","",SUBTOTAL(3,$B$2:B6944))</f>
        <v>6943</v>
      </c>
      <c r="B6944" s="9" t="s">
        <v>50</v>
      </c>
      <c r="C6944" s="10" t="s">
        <v>49</v>
      </c>
      <c r="D6944" s="11">
        <v>194.00352733686069</v>
      </c>
      <c r="E6944" s="12">
        <f t="shared" si="108"/>
        <v>48382</v>
      </c>
    </row>
    <row r="6945" spans="1:5" x14ac:dyDescent="0.25">
      <c r="A6945" s="2">
        <f>IF(B6945="","",SUBTOTAL(3,$B$2:B6945))</f>
        <v>6944</v>
      </c>
      <c r="B6945" s="9" t="s">
        <v>50</v>
      </c>
      <c r="C6945" s="10" t="s">
        <v>49</v>
      </c>
      <c r="D6945" s="11">
        <v>551.14638447971777</v>
      </c>
      <c r="E6945" s="12">
        <f t="shared" si="108"/>
        <v>48383</v>
      </c>
    </row>
    <row r="6946" spans="1:5" x14ac:dyDescent="0.25">
      <c r="A6946" s="2">
        <f>IF(B6946="","",SUBTOTAL(3,$B$2:B6946))</f>
        <v>6945</v>
      </c>
      <c r="B6946" s="9" t="s">
        <v>50</v>
      </c>
      <c r="C6946" s="10" t="s">
        <v>52</v>
      </c>
      <c r="D6946" s="11">
        <v>99.206349206349202</v>
      </c>
      <c r="E6946" s="12">
        <f t="shared" si="108"/>
        <v>48384</v>
      </c>
    </row>
    <row r="6947" spans="1:5" x14ac:dyDescent="0.25">
      <c r="A6947" s="2">
        <f>IF(B6947="","",SUBTOTAL(3,$B$2:B6947))</f>
        <v>6946</v>
      </c>
      <c r="B6947" s="9" t="s">
        <v>48</v>
      </c>
      <c r="C6947" s="10" t="s">
        <v>56</v>
      </c>
      <c r="D6947" s="11">
        <v>12.848020762401553</v>
      </c>
      <c r="E6947" s="12">
        <f t="shared" si="108"/>
        <v>48385</v>
      </c>
    </row>
    <row r="6948" spans="1:5" x14ac:dyDescent="0.25">
      <c r="A6948" s="2">
        <f>IF(B6948="","",SUBTOTAL(3,$B$2:B6948))</f>
        <v>6947</v>
      </c>
      <c r="B6948" s="9" t="s">
        <v>50</v>
      </c>
      <c r="C6948" s="10" t="s">
        <v>49</v>
      </c>
      <c r="D6948" s="11">
        <v>97.001763668430343</v>
      </c>
      <c r="E6948" s="12">
        <f t="shared" si="108"/>
        <v>48386</v>
      </c>
    </row>
    <row r="6949" spans="1:5" x14ac:dyDescent="0.25">
      <c r="A6949" s="2">
        <f>IF(B6949="","",SUBTOTAL(3,$B$2:B6949))</f>
        <v>6948</v>
      </c>
      <c r="B6949" s="9" t="s">
        <v>50</v>
      </c>
      <c r="C6949" s="10" t="s">
        <v>49</v>
      </c>
      <c r="D6949" s="11">
        <v>143.29805996472663</v>
      </c>
      <c r="E6949" s="12">
        <f t="shared" si="108"/>
        <v>48387</v>
      </c>
    </row>
    <row r="6950" spans="1:5" x14ac:dyDescent="0.25">
      <c r="A6950" s="2">
        <f>IF(B6950="","",SUBTOTAL(3,$B$2:B6950))</f>
        <v>6949</v>
      </c>
      <c r="B6950" s="9" t="s">
        <v>51</v>
      </c>
      <c r="C6950" s="10" t="s">
        <v>49</v>
      </c>
      <c r="D6950" s="11">
        <v>47.654347135444247</v>
      </c>
      <c r="E6950" s="12">
        <f t="shared" si="108"/>
        <v>48388</v>
      </c>
    </row>
    <row r="6951" spans="1:5" x14ac:dyDescent="0.25">
      <c r="A6951" s="2">
        <f>IF(B6951="","",SUBTOTAL(3,$B$2:B6951))</f>
        <v>6950</v>
      </c>
      <c r="B6951" s="9" t="s">
        <v>51</v>
      </c>
      <c r="C6951" s="10" t="s">
        <v>52</v>
      </c>
      <c r="D6951" s="11">
        <v>127.0782590278513</v>
      </c>
      <c r="E6951" s="12">
        <f t="shared" si="108"/>
        <v>48389</v>
      </c>
    </row>
    <row r="6952" spans="1:5" x14ac:dyDescent="0.25">
      <c r="A6952" s="2">
        <f>IF(B6952="","",SUBTOTAL(3,$B$2:B6952))</f>
        <v>6951</v>
      </c>
      <c r="B6952" s="9" t="s">
        <v>51</v>
      </c>
      <c r="C6952" s="10" t="s">
        <v>49</v>
      </c>
      <c r="D6952" s="11">
        <v>264.74637297469025</v>
      </c>
      <c r="E6952" s="12">
        <f t="shared" si="108"/>
        <v>48390</v>
      </c>
    </row>
    <row r="6953" spans="1:5" x14ac:dyDescent="0.25">
      <c r="A6953" s="2">
        <f>IF(B6953="","",SUBTOTAL(3,$B$2:B6953))</f>
        <v>6952</v>
      </c>
      <c r="B6953" s="9" t="s">
        <v>55</v>
      </c>
      <c r="C6953" s="10" t="s">
        <v>49</v>
      </c>
      <c r="D6953" s="11">
        <v>1.4013361577317907</v>
      </c>
      <c r="E6953" s="12">
        <f t="shared" si="108"/>
        <v>48391</v>
      </c>
    </row>
    <row r="6954" spans="1:5" x14ac:dyDescent="0.25">
      <c r="A6954" s="2">
        <f>IF(B6954="","",SUBTOTAL(3,$B$2:B6954))</f>
        <v>6953</v>
      </c>
      <c r="B6954" s="9" t="s">
        <v>55</v>
      </c>
      <c r="C6954" s="10" t="s">
        <v>49</v>
      </c>
      <c r="D6954" s="11">
        <v>308.21426930674875</v>
      </c>
      <c r="E6954" s="12">
        <f t="shared" si="108"/>
        <v>48392</v>
      </c>
    </row>
    <row r="6955" spans="1:5" x14ac:dyDescent="0.25">
      <c r="A6955" s="2">
        <f>IF(B6955="","",SUBTOTAL(3,$B$2:B6955))</f>
        <v>6954</v>
      </c>
      <c r="B6955" s="9" t="s">
        <v>53</v>
      </c>
      <c r="C6955" s="10" t="s">
        <v>54</v>
      </c>
      <c r="D6955" s="11">
        <v>10.990319360363413</v>
      </c>
      <c r="E6955" s="12">
        <f t="shared" si="108"/>
        <v>48393</v>
      </c>
    </row>
    <row r="6956" spans="1:5" x14ac:dyDescent="0.25">
      <c r="A6956" s="2">
        <f>IF(B6956="","",SUBTOTAL(3,$B$2:B6956))</f>
        <v>6955</v>
      </c>
      <c r="B6956" s="9" t="s">
        <v>48</v>
      </c>
      <c r="C6956" s="10" t="s">
        <v>49</v>
      </c>
      <c r="D6956" s="11">
        <v>184.84288354898337</v>
      </c>
      <c r="E6956" s="12">
        <f t="shared" si="108"/>
        <v>48394</v>
      </c>
    </row>
    <row r="6957" spans="1:5" x14ac:dyDescent="0.25">
      <c r="A6957" s="2">
        <f>IF(B6957="","",SUBTOTAL(3,$B$2:B6957))</f>
        <v>6956</v>
      </c>
      <c r="B6957" s="9" t="s">
        <v>51</v>
      </c>
      <c r="C6957" s="10" t="s">
        <v>52</v>
      </c>
      <c r="D6957" s="11">
        <v>52.949274594938046</v>
      </c>
      <c r="E6957" s="12">
        <f t="shared" si="108"/>
        <v>48395</v>
      </c>
    </row>
    <row r="6958" spans="1:5" x14ac:dyDescent="0.25">
      <c r="A6958" s="2">
        <f>IF(B6958="","",SUBTOTAL(3,$B$2:B6958))</f>
        <v>6957</v>
      </c>
      <c r="B6958" s="9" t="s">
        <v>51</v>
      </c>
      <c r="C6958" s="10" t="s">
        <v>52</v>
      </c>
      <c r="D6958" s="11">
        <v>1058.985491898761</v>
      </c>
      <c r="E6958" s="12">
        <f t="shared" si="108"/>
        <v>48396</v>
      </c>
    </row>
    <row r="6959" spans="1:5" x14ac:dyDescent="0.25">
      <c r="A6959" s="2">
        <f>IF(B6959="","",SUBTOTAL(3,$B$2:B6959))</f>
        <v>6958</v>
      </c>
      <c r="B6959" s="9" t="s">
        <v>48</v>
      </c>
      <c r="C6959" s="10" t="s">
        <v>49</v>
      </c>
      <c r="D6959" s="11">
        <v>13.11</v>
      </c>
      <c r="E6959" s="12">
        <f t="shared" si="108"/>
        <v>48397</v>
      </c>
    </row>
    <row r="6960" spans="1:5" x14ac:dyDescent="0.25">
      <c r="A6960" s="2">
        <f>IF(B6960="","",SUBTOTAL(3,$B$2:B6960))</f>
        <v>6959</v>
      </c>
      <c r="B6960" s="9" t="s">
        <v>48</v>
      </c>
      <c r="C6960" s="10" t="s">
        <v>49</v>
      </c>
      <c r="D6960" s="11">
        <v>92.421441774491683</v>
      </c>
      <c r="E6960" s="12">
        <f t="shared" si="108"/>
        <v>48398</v>
      </c>
    </row>
    <row r="6961" spans="1:5" x14ac:dyDescent="0.25">
      <c r="A6961" s="2">
        <f>IF(B6961="","",SUBTOTAL(3,$B$2:B6961))</f>
        <v>6960</v>
      </c>
      <c r="B6961" s="9" t="s">
        <v>48</v>
      </c>
      <c r="C6961" s="10" t="s">
        <v>54</v>
      </c>
      <c r="D6961" s="11">
        <v>80.171649557385678</v>
      </c>
      <c r="E6961" s="12">
        <f t="shared" si="108"/>
        <v>48399</v>
      </c>
    </row>
    <row r="6962" spans="1:5" x14ac:dyDescent="0.25">
      <c r="A6962" s="2">
        <f>IF(B6962="","",SUBTOTAL(3,$B$2:B6962))</f>
        <v>6961</v>
      </c>
      <c r="B6962" s="9" t="s">
        <v>55</v>
      </c>
      <c r="C6962" s="10" t="s">
        <v>54</v>
      </c>
      <c r="D6962" s="11">
        <v>60</v>
      </c>
      <c r="E6962" s="12">
        <f t="shared" si="108"/>
        <v>48400</v>
      </c>
    </row>
    <row r="6963" spans="1:5" x14ac:dyDescent="0.25">
      <c r="A6963" s="2">
        <f>IF(B6963="","",SUBTOTAL(3,$B$2:B6963))</f>
        <v>6962</v>
      </c>
      <c r="B6963" s="9" t="s">
        <v>55</v>
      </c>
      <c r="C6963" s="10" t="s">
        <v>52</v>
      </c>
      <c r="D6963" s="11">
        <v>73.2</v>
      </c>
      <c r="E6963" s="12">
        <f t="shared" si="108"/>
        <v>48401</v>
      </c>
    </row>
    <row r="6964" spans="1:5" x14ac:dyDescent="0.25">
      <c r="A6964" s="2">
        <f>IF(B6964="","",SUBTOTAL(3,$B$2:B6964))</f>
        <v>6963</v>
      </c>
      <c r="B6964" s="9" t="s">
        <v>48</v>
      </c>
      <c r="C6964" s="10" t="s">
        <v>54</v>
      </c>
      <c r="D6964" s="11">
        <v>15.403573629081947</v>
      </c>
      <c r="E6964" s="12">
        <f t="shared" si="108"/>
        <v>48402</v>
      </c>
    </row>
    <row r="6965" spans="1:5" x14ac:dyDescent="0.25">
      <c r="A6965" s="2">
        <f>IF(B6965="","",SUBTOTAL(3,$B$2:B6965))</f>
        <v>6964</v>
      </c>
      <c r="B6965" s="9" t="s">
        <v>48</v>
      </c>
      <c r="C6965" s="10" t="s">
        <v>52</v>
      </c>
      <c r="D6965" s="11">
        <v>38.508934072704868</v>
      </c>
      <c r="E6965" s="12">
        <f t="shared" si="108"/>
        <v>48403</v>
      </c>
    </row>
    <row r="6966" spans="1:5" x14ac:dyDescent="0.25">
      <c r="A6966" s="2">
        <f>IF(B6966="","",SUBTOTAL(3,$B$2:B6966))</f>
        <v>6965</v>
      </c>
      <c r="B6966" s="9" t="s">
        <v>48</v>
      </c>
      <c r="C6966" s="10" t="s">
        <v>52</v>
      </c>
      <c r="D6966" s="11">
        <v>38.508934072704868</v>
      </c>
      <c r="E6966" s="12">
        <f t="shared" si="108"/>
        <v>48404</v>
      </c>
    </row>
    <row r="6967" spans="1:5" x14ac:dyDescent="0.25">
      <c r="A6967" s="2">
        <f>IF(B6967="","",SUBTOTAL(3,$B$2:B6967))</f>
        <v>6966</v>
      </c>
      <c r="B6967" s="9" t="s">
        <v>48</v>
      </c>
      <c r="C6967" s="10" t="s">
        <v>52</v>
      </c>
      <c r="D6967" s="11">
        <v>38.508934072704868</v>
      </c>
      <c r="E6967" s="12">
        <f t="shared" si="108"/>
        <v>48405</v>
      </c>
    </row>
    <row r="6968" spans="1:5" x14ac:dyDescent="0.25">
      <c r="A6968" s="2">
        <f>IF(B6968="","",SUBTOTAL(3,$B$2:B6968))</f>
        <v>6967</v>
      </c>
      <c r="B6968" s="9" t="s">
        <v>48</v>
      </c>
      <c r="C6968" s="10" t="s">
        <v>52</v>
      </c>
      <c r="D6968" s="11">
        <v>38.508934072704868</v>
      </c>
      <c r="E6968" s="12">
        <f t="shared" si="108"/>
        <v>48406</v>
      </c>
    </row>
    <row r="6969" spans="1:5" x14ac:dyDescent="0.25">
      <c r="A6969" s="2">
        <f>IF(B6969="","",SUBTOTAL(3,$B$2:B6969))</f>
        <v>6968</v>
      </c>
      <c r="B6969" s="9" t="s">
        <v>48</v>
      </c>
      <c r="C6969" s="10" t="s">
        <v>52</v>
      </c>
      <c r="D6969" s="11">
        <v>38.508934072704868</v>
      </c>
      <c r="E6969" s="12">
        <f t="shared" si="108"/>
        <v>48407</v>
      </c>
    </row>
    <row r="6970" spans="1:5" x14ac:dyDescent="0.25">
      <c r="A6970" s="2">
        <f>IF(B6970="","",SUBTOTAL(3,$B$2:B6970))</f>
        <v>6969</v>
      </c>
      <c r="B6970" s="9" t="s">
        <v>50</v>
      </c>
      <c r="C6970" s="10" t="s">
        <v>49</v>
      </c>
      <c r="D6970" s="11">
        <v>195.868430335097</v>
      </c>
      <c r="E6970" s="12">
        <f t="shared" si="108"/>
        <v>48408</v>
      </c>
    </row>
    <row r="6971" spans="1:5" x14ac:dyDescent="0.25">
      <c r="A6971" s="2">
        <f>IF(B6971="","",SUBTOTAL(3,$B$2:B6971))</f>
        <v>6970</v>
      </c>
      <c r="B6971" s="9" t="s">
        <v>48</v>
      </c>
      <c r="C6971" s="10" t="s">
        <v>56</v>
      </c>
      <c r="D6971" s="11">
        <v>34.470872113064452</v>
      </c>
      <c r="E6971" s="12">
        <f t="shared" si="108"/>
        <v>48409</v>
      </c>
    </row>
    <row r="6972" spans="1:5" x14ac:dyDescent="0.25">
      <c r="A6972" s="2">
        <f>IF(B6972="","",SUBTOTAL(3,$B$2:B6972))</f>
        <v>6971</v>
      </c>
      <c r="B6972" s="9" t="s">
        <v>50</v>
      </c>
      <c r="C6972" s="10" t="s">
        <v>52</v>
      </c>
      <c r="D6972" s="11">
        <v>94.832716049382711</v>
      </c>
      <c r="E6972" s="12">
        <f t="shared" si="108"/>
        <v>48410</v>
      </c>
    </row>
    <row r="6973" spans="1:5" x14ac:dyDescent="0.25">
      <c r="A6973" s="2">
        <f>IF(B6973="","",SUBTOTAL(3,$B$2:B6973))</f>
        <v>6972</v>
      </c>
      <c r="B6973" s="9" t="s">
        <v>50</v>
      </c>
      <c r="C6973" s="10" t="s">
        <v>54</v>
      </c>
      <c r="D6973" s="11">
        <v>56.701940035273374</v>
      </c>
      <c r="E6973" s="12">
        <f t="shared" si="108"/>
        <v>48411</v>
      </c>
    </row>
    <row r="6974" spans="1:5" x14ac:dyDescent="0.25">
      <c r="A6974" s="2">
        <f>IF(B6974="","",SUBTOTAL(3,$B$2:B6974))</f>
        <v>6973</v>
      </c>
      <c r="B6974" s="9" t="s">
        <v>55</v>
      </c>
      <c r="C6974" s="10" t="s">
        <v>56</v>
      </c>
      <c r="D6974" s="11">
        <v>16.294606485253382</v>
      </c>
      <c r="E6974" s="12">
        <f t="shared" si="108"/>
        <v>48412</v>
      </c>
    </row>
    <row r="6975" spans="1:5" x14ac:dyDescent="0.25">
      <c r="A6975" s="2">
        <f>IF(B6975="","",SUBTOTAL(3,$B$2:B6975))</f>
        <v>6974</v>
      </c>
      <c r="B6975" s="9" t="s">
        <v>55</v>
      </c>
      <c r="C6975" s="10" t="s">
        <v>54</v>
      </c>
      <c r="D6975" s="11">
        <v>171.76503177448265</v>
      </c>
      <c r="E6975" s="12">
        <f t="shared" si="108"/>
        <v>48413</v>
      </c>
    </row>
    <row r="6976" spans="1:5" x14ac:dyDescent="0.25">
      <c r="A6976" s="2">
        <f>IF(B6976="","",SUBTOTAL(3,$B$2:B6976))</f>
        <v>6975</v>
      </c>
      <c r="B6976" s="9" t="s">
        <v>50</v>
      </c>
      <c r="C6976" s="10" t="s">
        <v>49</v>
      </c>
      <c r="D6976" s="11">
        <v>132.27513227513228</v>
      </c>
      <c r="E6976" s="12">
        <f t="shared" si="108"/>
        <v>48414</v>
      </c>
    </row>
    <row r="6977" spans="1:5" x14ac:dyDescent="0.25">
      <c r="A6977" s="2">
        <f>IF(B6977="","",SUBTOTAL(3,$B$2:B6977))</f>
        <v>6976</v>
      </c>
      <c r="B6977" s="9" t="s">
        <v>51</v>
      </c>
      <c r="C6977" s="10" t="s">
        <v>56</v>
      </c>
      <c r="D6977" s="11">
        <v>31.769564756962826</v>
      </c>
      <c r="E6977" s="12">
        <f t="shared" si="108"/>
        <v>48415</v>
      </c>
    </row>
    <row r="6978" spans="1:5" x14ac:dyDescent="0.25">
      <c r="A6978" s="2">
        <f>IF(B6978="","",SUBTOTAL(3,$B$2:B6978))</f>
        <v>6977</v>
      </c>
      <c r="B6978" s="9" t="s">
        <v>50</v>
      </c>
      <c r="C6978" s="10" t="s">
        <v>49</v>
      </c>
      <c r="D6978" s="11">
        <v>88.183421516754848</v>
      </c>
      <c r="E6978" s="12">
        <f t="shared" si="108"/>
        <v>48416</v>
      </c>
    </row>
    <row r="6979" spans="1:5" x14ac:dyDescent="0.25">
      <c r="A6979" s="2">
        <f>IF(B6979="","",SUBTOTAL(3,$B$2:B6979))</f>
        <v>6978</v>
      </c>
      <c r="B6979" s="9" t="s">
        <v>48</v>
      </c>
      <c r="C6979" s="10" t="s">
        <v>49</v>
      </c>
      <c r="D6979" s="11">
        <v>12.322858903265558</v>
      </c>
      <c r="E6979" s="12">
        <f t="shared" si="108"/>
        <v>48417</v>
      </c>
    </row>
    <row r="6980" spans="1:5" x14ac:dyDescent="0.25">
      <c r="A6980" s="2">
        <f>IF(B6980="","",SUBTOTAL(3,$B$2:B6980))</f>
        <v>6979</v>
      </c>
      <c r="B6980" s="9" t="s">
        <v>48</v>
      </c>
      <c r="C6980" s="10" t="s">
        <v>49</v>
      </c>
      <c r="D6980" s="11">
        <v>77.017868145409736</v>
      </c>
      <c r="E6980" s="12">
        <f t="shared" ref="E6980:E7043" si="109">E6979+1</f>
        <v>48418</v>
      </c>
    </row>
    <row r="6981" spans="1:5" x14ac:dyDescent="0.25">
      <c r="A6981" s="2">
        <f>IF(B6981="","",SUBTOTAL(3,$B$2:B6981))</f>
        <v>6980</v>
      </c>
      <c r="B6981" s="9" t="s">
        <v>48</v>
      </c>
      <c r="C6981" s="10" t="s">
        <v>49</v>
      </c>
      <c r="D6981" s="11">
        <v>46.210720887245841</v>
      </c>
      <c r="E6981" s="12">
        <f t="shared" si="109"/>
        <v>48419</v>
      </c>
    </row>
    <row r="6982" spans="1:5" x14ac:dyDescent="0.25">
      <c r="A6982" s="2">
        <f>IF(B6982="","",SUBTOTAL(3,$B$2:B6982))</f>
        <v>6981</v>
      </c>
      <c r="B6982" s="9" t="s">
        <v>48</v>
      </c>
      <c r="C6982" s="10" t="s">
        <v>52</v>
      </c>
      <c r="D6982" s="11">
        <v>277.26432532347508</v>
      </c>
      <c r="E6982" s="12">
        <f t="shared" si="109"/>
        <v>48420</v>
      </c>
    </row>
    <row r="6983" spans="1:5" x14ac:dyDescent="0.25">
      <c r="A6983" s="2">
        <f>IF(B6983="","",SUBTOTAL(3,$B$2:B6983))</f>
        <v>6982</v>
      </c>
      <c r="B6983" s="9" t="s">
        <v>48</v>
      </c>
      <c r="C6983" s="10" t="s">
        <v>52</v>
      </c>
      <c r="D6983" s="11">
        <v>462.10720887245844</v>
      </c>
      <c r="E6983" s="12">
        <f t="shared" si="109"/>
        <v>48421</v>
      </c>
    </row>
    <row r="6984" spans="1:5" x14ac:dyDescent="0.25">
      <c r="A6984" s="2">
        <f>IF(B6984="","",SUBTOTAL(3,$B$2:B6984))</f>
        <v>6983</v>
      </c>
      <c r="B6984" s="9" t="s">
        <v>48</v>
      </c>
      <c r="C6984" s="10" t="s">
        <v>52</v>
      </c>
      <c r="D6984" s="11">
        <v>199.93838570548368</v>
      </c>
      <c r="E6984" s="12">
        <f t="shared" si="109"/>
        <v>48422</v>
      </c>
    </row>
    <row r="6985" spans="1:5" x14ac:dyDescent="0.25">
      <c r="A6985" s="2">
        <f>IF(B6985="","",SUBTOTAL(3,$B$2:B6985))</f>
        <v>6984</v>
      </c>
      <c r="B6985" s="9" t="s">
        <v>48</v>
      </c>
      <c r="C6985" s="10" t="s">
        <v>52</v>
      </c>
      <c r="D6985" s="11">
        <v>308.07147258163894</v>
      </c>
      <c r="E6985" s="12">
        <f t="shared" si="109"/>
        <v>48423</v>
      </c>
    </row>
    <row r="6986" spans="1:5" x14ac:dyDescent="0.25">
      <c r="A6986" s="2">
        <f>IF(B6986="","",SUBTOTAL(3,$B$2:B6986))</f>
        <v>6985</v>
      </c>
      <c r="B6986" s="9" t="s">
        <v>48</v>
      </c>
      <c r="C6986" s="10" t="s">
        <v>52</v>
      </c>
      <c r="D6986" s="11">
        <v>308.07147258163894</v>
      </c>
      <c r="E6986" s="12">
        <f t="shared" si="109"/>
        <v>48424</v>
      </c>
    </row>
    <row r="6987" spans="1:5" x14ac:dyDescent="0.25">
      <c r="A6987" s="2">
        <f>IF(B6987="","",SUBTOTAL(3,$B$2:B6987))</f>
        <v>6986</v>
      </c>
      <c r="B6987" s="9" t="s">
        <v>48</v>
      </c>
      <c r="C6987" s="10" t="s">
        <v>49</v>
      </c>
      <c r="D6987" s="11">
        <v>154.03573629081947</v>
      </c>
      <c r="E6987" s="12">
        <f t="shared" si="109"/>
        <v>48425</v>
      </c>
    </row>
    <row r="6988" spans="1:5" x14ac:dyDescent="0.25">
      <c r="A6988" s="2">
        <f>IF(B6988="","",SUBTOTAL(3,$B$2:B6988))</f>
        <v>6987</v>
      </c>
      <c r="B6988" s="9" t="s">
        <v>48</v>
      </c>
      <c r="C6988" s="10" t="s">
        <v>52</v>
      </c>
      <c r="D6988" s="11">
        <v>770.17868145409739</v>
      </c>
      <c r="E6988" s="12">
        <f t="shared" si="109"/>
        <v>48426</v>
      </c>
    </row>
    <row r="6989" spans="1:5" x14ac:dyDescent="0.25">
      <c r="A6989" s="2">
        <f>IF(B6989="","",SUBTOTAL(3,$B$2:B6989))</f>
        <v>6988</v>
      </c>
      <c r="B6989" s="9" t="s">
        <v>48</v>
      </c>
      <c r="C6989" s="10" t="s">
        <v>54</v>
      </c>
      <c r="D6989" s="11">
        <v>7.7017868145409736</v>
      </c>
      <c r="E6989" s="12">
        <f t="shared" si="109"/>
        <v>48427</v>
      </c>
    </row>
    <row r="6990" spans="1:5" x14ac:dyDescent="0.25">
      <c r="A6990" s="2">
        <f>IF(B6990="","",SUBTOTAL(3,$B$2:B6990))</f>
        <v>6989</v>
      </c>
      <c r="B6990" s="9" t="s">
        <v>48</v>
      </c>
      <c r="C6990" s="10" t="s">
        <v>49</v>
      </c>
      <c r="D6990" s="11">
        <v>44.670363524337645</v>
      </c>
      <c r="E6990" s="12">
        <f t="shared" si="109"/>
        <v>48428</v>
      </c>
    </row>
    <row r="6991" spans="1:5" x14ac:dyDescent="0.25">
      <c r="A6991" s="2">
        <f>IF(B6991="","",SUBTOTAL(3,$B$2:B6991))</f>
        <v>6990</v>
      </c>
      <c r="B6991" s="9" t="s">
        <v>48</v>
      </c>
      <c r="C6991" s="10" t="s">
        <v>49</v>
      </c>
      <c r="D6991" s="11">
        <v>44.670363524337645</v>
      </c>
      <c r="E6991" s="12">
        <f t="shared" si="109"/>
        <v>48429</v>
      </c>
    </row>
    <row r="6992" spans="1:5" x14ac:dyDescent="0.25">
      <c r="A6992" s="2">
        <f>IF(B6992="","",SUBTOTAL(3,$B$2:B6992))</f>
        <v>6991</v>
      </c>
      <c r="B6992" s="9" t="s">
        <v>48</v>
      </c>
      <c r="C6992" s="10" t="s">
        <v>52</v>
      </c>
      <c r="D6992" s="11">
        <v>77.017868145409736</v>
      </c>
      <c r="E6992" s="12">
        <f t="shared" si="109"/>
        <v>48430</v>
      </c>
    </row>
    <row r="6993" spans="1:5" x14ac:dyDescent="0.25">
      <c r="A6993" s="2">
        <f>IF(B6993="","",SUBTOTAL(3,$B$2:B6993))</f>
        <v>6992</v>
      </c>
      <c r="B6993" s="9" t="s">
        <v>48</v>
      </c>
      <c r="C6993" s="10" t="s">
        <v>52</v>
      </c>
      <c r="D6993" s="11">
        <v>77.017868145409736</v>
      </c>
      <c r="E6993" s="12">
        <f t="shared" si="109"/>
        <v>48431</v>
      </c>
    </row>
    <row r="6994" spans="1:5" x14ac:dyDescent="0.25">
      <c r="A6994" s="2">
        <f>IF(B6994="","",SUBTOTAL(3,$B$2:B6994))</f>
        <v>6993</v>
      </c>
      <c r="B6994" s="9" t="s">
        <v>55</v>
      </c>
      <c r="C6994" s="10" t="s">
        <v>52</v>
      </c>
      <c r="D6994" s="11">
        <v>32.158772453714342</v>
      </c>
      <c r="E6994" s="12">
        <f t="shared" si="109"/>
        <v>48432</v>
      </c>
    </row>
    <row r="6995" spans="1:5" x14ac:dyDescent="0.25">
      <c r="A6995" s="2">
        <f>IF(B6995="","",SUBTOTAL(3,$B$2:B6995))</f>
        <v>6994</v>
      </c>
      <c r="B6995" s="9" t="s">
        <v>55</v>
      </c>
      <c r="C6995" s="10" t="s">
        <v>52</v>
      </c>
      <c r="D6995" s="11">
        <v>22.970551752653101</v>
      </c>
      <c r="E6995" s="12">
        <f t="shared" si="109"/>
        <v>48433</v>
      </c>
    </row>
    <row r="6996" spans="1:5" x14ac:dyDescent="0.25">
      <c r="A6996" s="2">
        <f>IF(B6996="","",SUBTOTAL(3,$B$2:B6996))</f>
        <v>6995</v>
      </c>
      <c r="B6996" s="9" t="s">
        <v>55</v>
      </c>
      <c r="C6996" s="10" t="s">
        <v>52</v>
      </c>
      <c r="D6996" s="11">
        <v>22.970551752653101</v>
      </c>
      <c r="E6996" s="12">
        <f t="shared" si="109"/>
        <v>48434</v>
      </c>
    </row>
    <row r="6997" spans="1:5" x14ac:dyDescent="0.25">
      <c r="A6997" s="2">
        <f>IF(B6997="","",SUBTOTAL(3,$B$2:B6997))</f>
        <v>6996</v>
      </c>
      <c r="B6997" s="9" t="s">
        <v>48</v>
      </c>
      <c r="C6997" s="10" t="s">
        <v>49</v>
      </c>
      <c r="D6997" s="11">
        <v>61.614294516327789</v>
      </c>
      <c r="E6997" s="12">
        <f t="shared" si="109"/>
        <v>48435</v>
      </c>
    </row>
    <row r="6998" spans="1:5" x14ac:dyDescent="0.25">
      <c r="A6998" s="2">
        <f>IF(B6998="","",SUBTOTAL(3,$B$2:B6998))</f>
        <v>6997</v>
      </c>
      <c r="B6998" s="9" t="s">
        <v>48</v>
      </c>
      <c r="C6998" s="10" t="s">
        <v>52</v>
      </c>
      <c r="D6998" s="11">
        <v>8.617718028266113</v>
      </c>
      <c r="E6998" s="12">
        <f t="shared" si="109"/>
        <v>48436</v>
      </c>
    </row>
    <row r="6999" spans="1:5" x14ac:dyDescent="0.25">
      <c r="A6999" s="2">
        <f>IF(B6999="","",SUBTOTAL(3,$B$2:B6999))</f>
        <v>6998</v>
      </c>
      <c r="B6999" s="9" t="s">
        <v>51</v>
      </c>
      <c r="C6999" s="10" t="s">
        <v>49</v>
      </c>
      <c r="D6999" s="11">
        <v>529.49274594938049</v>
      </c>
      <c r="E6999" s="12">
        <f t="shared" si="109"/>
        <v>48437</v>
      </c>
    </row>
    <row r="7000" spans="1:5" x14ac:dyDescent="0.25">
      <c r="A7000" s="2">
        <f>IF(B7000="","",SUBTOTAL(3,$B$2:B7000))</f>
        <v>6999</v>
      </c>
      <c r="B7000" s="9" t="s">
        <v>55</v>
      </c>
      <c r="C7000" s="10" t="s">
        <v>52</v>
      </c>
      <c r="D7000" s="11">
        <v>114.85275876326548</v>
      </c>
      <c r="E7000" s="12">
        <f t="shared" si="109"/>
        <v>48438</v>
      </c>
    </row>
    <row r="7001" spans="1:5" x14ac:dyDescent="0.25">
      <c r="A7001" s="2">
        <f>IF(B7001="","",SUBTOTAL(3,$B$2:B7001))</f>
        <v>7000</v>
      </c>
      <c r="B7001" s="9" t="s">
        <v>48</v>
      </c>
      <c r="C7001" s="10" t="s">
        <v>49</v>
      </c>
      <c r="D7001" s="11">
        <v>154.03573629081947</v>
      </c>
      <c r="E7001" s="12">
        <f t="shared" si="109"/>
        <v>48439</v>
      </c>
    </row>
    <row r="7002" spans="1:5" x14ac:dyDescent="0.25">
      <c r="A7002" s="2">
        <f>IF(B7002="","",SUBTOTAL(3,$B$2:B7002))</f>
        <v>7001</v>
      </c>
      <c r="B7002" s="9" t="s">
        <v>48</v>
      </c>
      <c r="C7002" s="10" t="s">
        <v>49</v>
      </c>
      <c r="D7002" s="11">
        <v>154.03573629081947</v>
      </c>
      <c r="E7002" s="12">
        <f t="shared" si="109"/>
        <v>48440</v>
      </c>
    </row>
    <row r="7003" spans="1:5" x14ac:dyDescent="0.25">
      <c r="A7003" s="2">
        <f>IF(B7003="","",SUBTOTAL(3,$B$2:B7003))</f>
        <v>7002</v>
      </c>
      <c r="B7003" s="9" t="s">
        <v>48</v>
      </c>
      <c r="C7003" s="10" t="s">
        <v>52</v>
      </c>
      <c r="D7003" s="11">
        <v>41.365046535677351</v>
      </c>
      <c r="E7003" s="12">
        <f t="shared" si="109"/>
        <v>48441</v>
      </c>
    </row>
    <row r="7004" spans="1:5" x14ac:dyDescent="0.25">
      <c r="A7004" s="2">
        <f>IF(B7004="","",SUBTOTAL(3,$B$2:B7004))</f>
        <v>7003</v>
      </c>
      <c r="B7004" s="9" t="s">
        <v>48</v>
      </c>
      <c r="C7004" s="10" t="s">
        <v>49</v>
      </c>
      <c r="D7004" s="11">
        <v>165.4601861427094</v>
      </c>
      <c r="E7004" s="12">
        <f t="shared" si="109"/>
        <v>48442</v>
      </c>
    </row>
    <row r="7005" spans="1:5" x14ac:dyDescent="0.25">
      <c r="A7005" s="2">
        <f>IF(B7005="","",SUBTOTAL(3,$B$2:B7005))</f>
        <v>7004</v>
      </c>
      <c r="B7005" s="9" t="s">
        <v>48</v>
      </c>
      <c r="C7005" s="10" t="s">
        <v>49</v>
      </c>
      <c r="D7005" s="11">
        <v>179.24853498793519</v>
      </c>
      <c r="E7005" s="12">
        <f t="shared" si="109"/>
        <v>48443</v>
      </c>
    </row>
    <row r="7006" spans="1:5" x14ac:dyDescent="0.25">
      <c r="A7006" s="2">
        <f>IF(B7006="","",SUBTOTAL(3,$B$2:B7006))</f>
        <v>7005</v>
      </c>
      <c r="B7006" s="9" t="s">
        <v>48</v>
      </c>
      <c r="C7006" s="10" t="s">
        <v>49</v>
      </c>
      <c r="D7006" s="11">
        <v>179.24853498793519</v>
      </c>
      <c r="E7006" s="12">
        <f t="shared" si="109"/>
        <v>48444</v>
      </c>
    </row>
    <row r="7007" spans="1:5" x14ac:dyDescent="0.25">
      <c r="A7007" s="2">
        <f>IF(B7007="","",SUBTOTAL(3,$B$2:B7007))</f>
        <v>7006</v>
      </c>
      <c r="B7007" s="9" t="s">
        <v>48</v>
      </c>
      <c r="C7007" s="10" t="s">
        <v>49</v>
      </c>
      <c r="D7007" s="11">
        <v>103.41261633919338</v>
      </c>
      <c r="E7007" s="12">
        <f t="shared" si="109"/>
        <v>48445</v>
      </c>
    </row>
    <row r="7008" spans="1:5" x14ac:dyDescent="0.25">
      <c r="A7008" s="2">
        <f>IF(B7008="","",SUBTOTAL(3,$B$2:B7008))</f>
        <v>7007</v>
      </c>
      <c r="B7008" s="9" t="s">
        <v>48</v>
      </c>
      <c r="C7008" s="10" t="s">
        <v>49</v>
      </c>
      <c r="D7008" s="11">
        <v>151.67183729748362</v>
      </c>
      <c r="E7008" s="12">
        <f t="shared" si="109"/>
        <v>48446</v>
      </c>
    </row>
    <row r="7009" spans="1:5" x14ac:dyDescent="0.25">
      <c r="A7009" s="2">
        <f>IF(B7009="","",SUBTOTAL(3,$B$2:B7009))</f>
        <v>7008</v>
      </c>
      <c r="B7009" s="9" t="s">
        <v>48</v>
      </c>
      <c r="C7009" s="10" t="s">
        <v>49</v>
      </c>
      <c r="D7009" s="11">
        <v>38.54406228720466</v>
      </c>
      <c r="E7009" s="12">
        <f t="shared" si="109"/>
        <v>48447</v>
      </c>
    </row>
    <row r="7010" spans="1:5" x14ac:dyDescent="0.25">
      <c r="A7010" s="2">
        <f>IF(B7010="","",SUBTOTAL(3,$B$2:B7010))</f>
        <v>7009</v>
      </c>
      <c r="B7010" s="9" t="s">
        <v>50</v>
      </c>
      <c r="C7010" s="10" t="s">
        <v>49</v>
      </c>
      <c r="D7010" s="11">
        <v>158.73015873015873</v>
      </c>
      <c r="E7010" s="12">
        <f t="shared" si="109"/>
        <v>48448</v>
      </c>
    </row>
    <row r="7011" spans="1:5" x14ac:dyDescent="0.25">
      <c r="A7011" s="2">
        <f>IF(B7011="","",SUBTOTAL(3,$B$2:B7011))</f>
        <v>7010</v>
      </c>
      <c r="B7011" s="9" t="s">
        <v>50</v>
      </c>
      <c r="C7011" s="10" t="s">
        <v>49</v>
      </c>
      <c r="D7011" s="11">
        <v>18.040564373897709</v>
      </c>
      <c r="E7011" s="12">
        <f t="shared" si="109"/>
        <v>48449</v>
      </c>
    </row>
    <row r="7012" spans="1:5" x14ac:dyDescent="0.25">
      <c r="A7012" s="2">
        <f>IF(B7012="","",SUBTOTAL(3,$B$2:B7012))</f>
        <v>7011</v>
      </c>
      <c r="B7012" s="9" t="s">
        <v>50</v>
      </c>
      <c r="C7012" s="10" t="s">
        <v>52</v>
      </c>
      <c r="D7012" s="11">
        <v>55.114638447971785</v>
      </c>
      <c r="E7012" s="12">
        <f t="shared" si="109"/>
        <v>48450</v>
      </c>
    </row>
    <row r="7013" spans="1:5" x14ac:dyDescent="0.25">
      <c r="A7013" s="2">
        <f>IF(B7013="","",SUBTOTAL(3,$B$2:B7013))</f>
        <v>7012</v>
      </c>
      <c r="B7013" s="9" t="s">
        <v>50</v>
      </c>
      <c r="C7013" s="10" t="s">
        <v>52</v>
      </c>
      <c r="D7013" s="11">
        <v>6.6137566137566139</v>
      </c>
      <c r="E7013" s="12">
        <f t="shared" si="109"/>
        <v>48451</v>
      </c>
    </row>
    <row r="7014" spans="1:5" x14ac:dyDescent="0.25">
      <c r="A7014" s="2">
        <f>IF(B7014="","",SUBTOTAL(3,$B$2:B7014))</f>
        <v>7013</v>
      </c>
      <c r="B7014" s="9" t="s">
        <v>50</v>
      </c>
      <c r="C7014" s="10" t="s">
        <v>52</v>
      </c>
      <c r="D7014" s="11">
        <v>6.6137566137566139</v>
      </c>
      <c r="E7014" s="12">
        <f t="shared" si="109"/>
        <v>48452</v>
      </c>
    </row>
    <row r="7015" spans="1:5" x14ac:dyDescent="0.25">
      <c r="A7015" s="2">
        <f>IF(B7015="","",SUBTOTAL(3,$B$2:B7015))</f>
        <v>7014</v>
      </c>
      <c r="B7015" s="9" t="s">
        <v>51</v>
      </c>
      <c r="C7015" s="10" t="s">
        <v>49</v>
      </c>
      <c r="D7015" s="11">
        <v>81.030710639332298</v>
      </c>
      <c r="E7015" s="12">
        <f t="shared" si="109"/>
        <v>48453</v>
      </c>
    </row>
    <row r="7016" spans="1:5" x14ac:dyDescent="0.25">
      <c r="A7016" s="2">
        <f>IF(B7016="","",SUBTOTAL(3,$B$2:B7016))</f>
        <v>7015</v>
      </c>
      <c r="B7016" s="9" t="s">
        <v>51</v>
      </c>
      <c r="C7016" s="10" t="s">
        <v>52</v>
      </c>
      <c r="D7016" s="11">
        <v>423.59419675950437</v>
      </c>
      <c r="E7016" s="12">
        <f t="shared" si="109"/>
        <v>48454</v>
      </c>
    </row>
    <row r="7017" spans="1:5" x14ac:dyDescent="0.25">
      <c r="A7017" s="2">
        <f>IF(B7017="","",SUBTOTAL(3,$B$2:B7017))</f>
        <v>7016</v>
      </c>
      <c r="B7017" s="9" t="s">
        <v>50</v>
      </c>
      <c r="C7017" s="10" t="s">
        <v>54</v>
      </c>
      <c r="D7017" s="11">
        <v>189.68306878306879</v>
      </c>
      <c r="E7017" s="12">
        <f t="shared" si="109"/>
        <v>48455</v>
      </c>
    </row>
    <row r="7018" spans="1:5" x14ac:dyDescent="0.25">
      <c r="A7018" s="2">
        <f>IF(B7018="","",SUBTOTAL(3,$B$2:B7018))</f>
        <v>7017</v>
      </c>
      <c r="B7018" s="9" t="s">
        <v>55</v>
      </c>
      <c r="C7018" s="10" t="s">
        <v>49</v>
      </c>
      <c r="D7018" s="11">
        <v>2.0107544402802673</v>
      </c>
      <c r="E7018" s="12">
        <f t="shared" si="109"/>
        <v>48456</v>
      </c>
    </row>
    <row r="7019" spans="1:5" x14ac:dyDescent="0.25">
      <c r="A7019" s="2">
        <f>IF(B7019="","",SUBTOTAL(3,$B$2:B7019))</f>
        <v>7018</v>
      </c>
      <c r="B7019" s="9" t="s">
        <v>48</v>
      </c>
      <c r="C7019" s="10" t="s">
        <v>49</v>
      </c>
      <c r="D7019" s="11">
        <v>172.35436056532231</v>
      </c>
      <c r="E7019" s="12">
        <f t="shared" si="109"/>
        <v>48457</v>
      </c>
    </row>
    <row r="7020" spans="1:5" x14ac:dyDescent="0.25">
      <c r="A7020" s="2">
        <f>IF(B7020="","",SUBTOTAL(3,$B$2:B7020))</f>
        <v>7019</v>
      </c>
      <c r="B7020" s="9" t="s">
        <v>48</v>
      </c>
      <c r="C7020" s="10" t="s">
        <v>52</v>
      </c>
      <c r="D7020" s="11">
        <v>77.017868145409736</v>
      </c>
      <c r="E7020" s="12">
        <f t="shared" si="109"/>
        <v>48458</v>
      </c>
    </row>
    <row r="7021" spans="1:5" x14ac:dyDescent="0.25">
      <c r="A7021" s="2">
        <f>IF(B7021="","",SUBTOTAL(3,$B$2:B7021))</f>
        <v>7020</v>
      </c>
      <c r="B7021" s="9" t="s">
        <v>48</v>
      </c>
      <c r="C7021" s="10" t="s">
        <v>49</v>
      </c>
      <c r="D7021" s="11">
        <v>23.105360443622921</v>
      </c>
      <c r="E7021" s="12">
        <f t="shared" si="109"/>
        <v>48459</v>
      </c>
    </row>
    <row r="7022" spans="1:5" x14ac:dyDescent="0.25">
      <c r="A7022" s="2">
        <f>IF(B7022="","",SUBTOTAL(3,$B$2:B7022))</f>
        <v>7021</v>
      </c>
      <c r="B7022" s="9" t="s">
        <v>48</v>
      </c>
      <c r="C7022" s="10" t="s">
        <v>52</v>
      </c>
      <c r="D7022" s="11">
        <v>27.110289587184226</v>
      </c>
      <c r="E7022" s="12">
        <f t="shared" si="109"/>
        <v>48460</v>
      </c>
    </row>
    <row r="7023" spans="1:5" x14ac:dyDescent="0.25">
      <c r="A7023" s="2">
        <f>IF(B7023="","",SUBTOTAL(3,$B$2:B7023))</f>
        <v>7022</v>
      </c>
      <c r="B7023" s="9" t="s">
        <v>48</v>
      </c>
      <c r="C7023" s="10" t="s">
        <v>49</v>
      </c>
      <c r="D7023" s="11">
        <v>154.03573629081947</v>
      </c>
      <c r="E7023" s="12">
        <f t="shared" si="109"/>
        <v>48461</v>
      </c>
    </row>
    <row r="7024" spans="1:5" x14ac:dyDescent="0.25">
      <c r="A7024" s="2">
        <f>IF(B7024="","",SUBTOTAL(3,$B$2:B7024))</f>
        <v>7023</v>
      </c>
      <c r="B7024" s="9" t="s">
        <v>48</v>
      </c>
      <c r="C7024" s="10" t="s">
        <v>52</v>
      </c>
      <c r="D7024" s="11">
        <v>462.10720887245844</v>
      </c>
      <c r="E7024" s="12">
        <f t="shared" si="109"/>
        <v>48462</v>
      </c>
    </row>
    <row r="7025" spans="1:5" x14ac:dyDescent="0.25">
      <c r="A7025" s="2">
        <f>IF(B7025="","",SUBTOTAL(3,$B$2:B7025))</f>
        <v>7024</v>
      </c>
      <c r="B7025" s="9" t="s">
        <v>48</v>
      </c>
      <c r="C7025" s="10" t="s">
        <v>52</v>
      </c>
      <c r="D7025" s="11">
        <v>1540.3573629081948</v>
      </c>
      <c r="E7025" s="12">
        <f t="shared" si="109"/>
        <v>48463</v>
      </c>
    </row>
    <row r="7026" spans="1:5" x14ac:dyDescent="0.25">
      <c r="A7026" s="2">
        <f>IF(B7026="","",SUBTOTAL(3,$B$2:B7026))</f>
        <v>7025</v>
      </c>
      <c r="B7026" s="9" t="s">
        <v>50</v>
      </c>
      <c r="C7026" s="10" t="s">
        <v>52</v>
      </c>
      <c r="D7026" s="11">
        <v>77.160493827160494</v>
      </c>
      <c r="E7026" s="12">
        <f t="shared" si="109"/>
        <v>48464</v>
      </c>
    </row>
    <row r="7027" spans="1:5" x14ac:dyDescent="0.25">
      <c r="A7027" s="2">
        <f>IF(B7027="","",SUBTOTAL(3,$B$2:B7027))</f>
        <v>7026</v>
      </c>
      <c r="B7027" s="9" t="s">
        <v>55</v>
      </c>
      <c r="C7027" s="10" t="s">
        <v>52</v>
      </c>
      <c r="D7027" s="11">
        <v>81.473032426266911</v>
      </c>
      <c r="E7027" s="12">
        <f t="shared" si="109"/>
        <v>48465</v>
      </c>
    </row>
    <row r="7028" spans="1:5" x14ac:dyDescent="0.25">
      <c r="A7028" s="2">
        <f>IF(B7028="","",SUBTOTAL(3,$B$2:B7028))</f>
        <v>7027</v>
      </c>
      <c r="B7028" s="9" t="s">
        <v>50</v>
      </c>
      <c r="C7028" s="10" t="s">
        <v>52</v>
      </c>
      <c r="D7028" s="11">
        <v>66.137566137566139</v>
      </c>
      <c r="E7028" s="12">
        <f t="shared" si="109"/>
        <v>48466</v>
      </c>
    </row>
    <row r="7029" spans="1:5" x14ac:dyDescent="0.25">
      <c r="A7029" s="2">
        <f>IF(B7029="","",SUBTOTAL(3,$B$2:B7029))</f>
        <v>7028</v>
      </c>
      <c r="B7029" s="9" t="s">
        <v>51</v>
      </c>
      <c r="C7029" s="10" t="s">
        <v>49</v>
      </c>
      <c r="D7029" s="11">
        <v>158.84782378481412</v>
      </c>
      <c r="E7029" s="12">
        <f t="shared" si="109"/>
        <v>48467</v>
      </c>
    </row>
    <row r="7030" spans="1:5" x14ac:dyDescent="0.25">
      <c r="A7030" s="2">
        <f>IF(B7030="","",SUBTOTAL(3,$B$2:B7030))</f>
        <v>7029</v>
      </c>
      <c r="B7030" s="9" t="s">
        <v>50</v>
      </c>
      <c r="C7030" s="10" t="s">
        <v>52</v>
      </c>
      <c r="D7030" s="11">
        <v>55.114638447971785</v>
      </c>
      <c r="E7030" s="12">
        <f t="shared" si="109"/>
        <v>48468</v>
      </c>
    </row>
    <row r="7031" spans="1:5" x14ac:dyDescent="0.25">
      <c r="A7031" s="2">
        <f>IF(B7031="","",SUBTOTAL(3,$B$2:B7031))</f>
        <v>7030</v>
      </c>
      <c r="B7031" s="9" t="s">
        <v>51</v>
      </c>
      <c r="C7031" s="10" t="s">
        <v>49</v>
      </c>
      <c r="D7031" s="11">
        <v>8.1030710639332302</v>
      </c>
      <c r="E7031" s="12">
        <f t="shared" si="109"/>
        <v>48469</v>
      </c>
    </row>
    <row r="7032" spans="1:5" x14ac:dyDescent="0.25">
      <c r="A7032" s="2">
        <f>IF(B7032="","",SUBTOTAL(3,$B$2:B7032))</f>
        <v>7031</v>
      </c>
      <c r="B7032" s="9" t="s">
        <v>48</v>
      </c>
      <c r="C7032" s="10" t="s">
        <v>57</v>
      </c>
      <c r="D7032" s="11">
        <v>1232.2858903265558</v>
      </c>
      <c r="E7032" s="12">
        <f t="shared" si="109"/>
        <v>48470</v>
      </c>
    </row>
    <row r="7033" spans="1:5" x14ac:dyDescent="0.25">
      <c r="A7033" s="2">
        <f>IF(B7033="","",SUBTOTAL(3,$B$2:B7033))</f>
        <v>7032</v>
      </c>
      <c r="B7033" s="9" t="s">
        <v>48</v>
      </c>
      <c r="C7033" s="10" t="s">
        <v>49</v>
      </c>
      <c r="D7033" s="11">
        <v>19.254467036352434</v>
      </c>
      <c r="E7033" s="12">
        <f t="shared" si="109"/>
        <v>48471</v>
      </c>
    </row>
    <row r="7034" spans="1:5" x14ac:dyDescent="0.25">
      <c r="A7034" s="2">
        <f>IF(B7034="","",SUBTOTAL(3,$B$2:B7034))</f>
        <v>7033</v>
      </c>
      <c r="B7034" s="9" t="s">
        <v>51</v>
      </c>
      <c r="C7034" s="10" t="s">
        <v>49</v>
      </c>
      <c r="D7034" s="11">
        <v>8.1030710639332302</v>
      </c>
      <c r="E7034" s="12">
        <f t="shared" si="109"/>
        <v>48472</v>
      </c>
    </row>
    <row r="7035" spans="1:5" x14ac:dyDescent="0.25">
      <c r="A7035" s="2">
        <f>IF(B7035="","",SUBTOTAL(3,$B$2:B7035))</f>
        <v>7034</v>
      </c>
      <c r="B7035" s="9" t="s">
        <v>51</v>
      </c>
      <c r="C7035" s="10" t="s">
        <v>49</v>
      </c>
      <c r="D7035" s="11">
        <v>8.1030710639332302</v>
      </c>
      <c r="E7035" s="12">
        <f t="shared" si="109"/>
        <v>48473</v>
      </c>
    </row>
    <row r="7036" spans="1:5" x14ac:dyDescent="0.25">
      <c r="A7036" s="2">
        <f>IF(B7036="","",SUBTOTAL(3,$B$2:B7036))</f>
        <v>7035</v>
      </c>
      <c r="B7036" s="9" t="s">
        <v>48</v>
      </c>
      <c r="C7036" s="10" t="s">
        <v>54</v>
      </c>
      <c r="D7036" s="11">
        <v>68.941744226128904</v>
      </c>
      <c r="E7036" s="12">
        <f t="shared" si="109"/>
        <v>48474</v>
      </c>
    </row>
    <row r="7037" spans="1:5" x14ac:dyDescent="0.25">
      <c r="A7037" s="2">
        <f>IF(B7037="","",SUBTOTAL(3,$B$2:B7037))</f>
        <v>7036</v>
      </c>
      <c r="B7037" s="9" t="s">
        <v>48</v>
      </c>
      <c r="C7037" s="10" t="s">
        <v>56</v>
      </c>
      <c r="D7037" s="11">
        <v>17.235436056532226</v>
      </c>
      <c r="E7037" s="12">
        <f t="shared" si="109"/>
        <v>48475</v>
      </c>
    </row>
    <row r="7038" spans="1:5" x14ac:dyDescent="0.25">
      <c r="A7038" s="2">
        <f>IF(B7038="","",SUBTOTAL(3,$B$2:B7038))</f>
        <v>7037</v>
      </c>
      <c r="B7038" s="9" t="s">
        <v>48</v>
      </c>
      <c r="C7038" s="10" t="s">
        <v>54</v>
      </c>
      <c r="D7038" s="11">
        <v>6.8941744226128918</v>
      </c>
      <c r="E7038" s="12">
        <f t="shared" si="109"/>
        <v>48476</v>
      </c>
    </row>
    <row r="7039" spans="1:5" x14ac:dyDescent="0.25">
      <c r="A7039" s="2">
        <f>IF(B7039="","",SUBTOTAL(3,$B$2:B7039))</f>
        <v>7038</v>
      </c>
      <c r="B7039" s="9" t="s">
        <v>51</v>
      </c>
      <c r="C7039" s="10" t="s">
        <v>49</v>
      </c>
      <c r="D7039" s="11">
        <v>8.1030710639332302</v>
      </c>
      <c r="E7039" s="12">
        <f t="shared" si="109"/>
        <v>48477</v>
      </c>
    </row>
    <row r="7040" spans="1:5" x14ac:dyDescent="0.25">
      <c r="A7040" s="2">
        <f>IF(B7040="","",SUBTOTAL(3,$B$2:B7040))</f>
        <v>7039</v>
      </c>
      <c r="B7040" s="9" t="s">
        <v>50</v>
      </c>
      <c r="C7040" s="10" t="s">
        <v>49</v>
      </c>
      <c r="D7040" s="11">
        <v>66.137566137566139</v>
      </c>
      <c r="E7040" s="12">
        <f t="shared" si="109"/>
        <v>48478</v>
      </c>
    </row>
    <row r="7041" spans="1:5" x14ac:dyDescent="0.25">
      <c r="A7041" s="2">
        <f>IF(B7041="","",SUBTOTAL(3,$B$2:B7041))</f>
        <v>7040</v>
      </c>
      <c r="B7041" s="9" t="s">
        <v>50</v>
      </c>
      <c r="C7041" s="10" t="s">
        <v>49</v>
      </c>
      <c r="D7041" s="11">
        <v>55.114638447971785</v>
      </c>
      <c r="E7041" s="12">
        <f t="shared" si="109"/>
        <v>48479</v>
      </c>
    </row>
    <row r="7042" spans="1:5" x14ac:dyDescent="0.25">
      <c r="A7042" s="2">
        <f>IF(B7042="","",SUBTOTAL(3,$B$2:B7042))</f>
        <v>7041</v>
      </c>
      <c r="B7042" s="9" t="s">
        <v>48</v>
      </c>
      <c r="C7042" s="10" t="s">
        <v>49</v>
      </c>
      <c r="D7042" s="11">
        <v>77.017868145409736</v>
      </c>
      <c r="E7042" s="12">
        <f t="shared" si="109"/>
        <v>48480</v>
      </c>
    </row>
    <row r="7043" spans="1:5" x14ac:dyDescent="0.25">
      <c r="A7043" s="2">
        <f>IF(B7043="","",SUBTOTAL(3,$B$2:B7043))</f>
        <v>7042</v>
      </c>
      <c r="B7043" s="9" t="s">
        <v>48</v>
      </c>
      <c r="C7043" s="10" t="s">
        <v>49</v>
      </c>
      <c r="D7043" s="11">
        <v>770.17868145409739</v>
      </c>
      <c r="E7043" s="12">
        <f t="shared" si="109"/>
        <v>48481</v>
      </c>
    </row>
    <row r="7044" spans="1:5" x14ac:dyDescent="0.25">
      <c r="A7044" s="2">
        <f>IF(B7044="","",SUBTOTAL(3,$B$2:B7044))</f>
        <v>7043</v>
      </c>
      <c r="B7044" s="9" t="s">
        <v>48</v>
      </c>
      <c r="C7044" s="10" t="s">
        <v>52</v>
      </c>
      <c r="D7044" s="11">
        <v>61.614294516327789</v>
      </c>
      <c r="E7044" s="12">
        <f t="shared" ref="E7044:E7107" si="110">E7043+1</f>
        <v>48482</v>
      </c>
    </row>
    <row r="7045" spans="1:5" x14ac:dyDescent="0.25">
      <c r="A7045" s="2">
        <f>IF(B7045="","",SUBTOTAL(3,$B$2:B7045))</f>
        <v>7044</v>
      </c>
      <c r="B7045" s="9" t="s">
        <v>48</v>
      </c>
      <c r="C7045" s="10" t="s">
        <v>52</v>
      </c>
      <c r="D7045" s="11">
        <v>154.03573629081947</v>
      </c>
      <c r="E7045" s="12">
        <f t="shared" si="110"/>
        <v>48483</v>
      </c>
    </row>
    <row r="7046" spans="1:5" x14ac:dyDescent="0.25">
      <c r="A7046" s="2">
        <f>IF(B7046="","",SUBTOTAL(3,$B$2:B7046))</f>
        <v>7045</v>
      </c>
      <c r="B7046" s="9" t="s">
        <v>48</v>
      </c>
      <c r="C7046" s="10" t="s">
        <v>52</v>
      </c>
      <c r="D7046" s="11">
        <v>77.017868145409736</v>
      </c>
      <c r="E7046" s="12">
        <f t="shared" si="110"/>
        <v>48484</v>
      </c>
    </row>
    <row r="7047" spans="1:5" x14ac:dyDescent="0.25">
      <c r="A7047" s="2">
        <f>IF(B7047="","",SUBTOTAL(3,$B$2:B7047))</f>
        <v>7046</v>
      </c>
      <c r="B7047" s="9" t="s">
        <v>55</v>
      </c>
      <c r="C7047" s="10" t="s">
        <v>52</v>
      </c>
      <c r="D7047" s="11">
        <v>12.633803463959204</v>
      </c>
      <c r="E7047" s="12">
        <f t="shared" si="110"/>
        <v>48485</v>
      </c>
    </row>
    <row r="7048" spans="1:5" x14ac:dyDescent="0.25">
      <c r="A7048" s="2">
        <f>IF(B7048="","",SUBTOTAL(3,$B$2:B7048))</f>
        <v>7047</v>
      </c>
      <c r="B7048" s="9" t="s">
        <v>50</v>
      </c>
      <c r="C7048" s="10" t="s">
        <v>52</v>
      </c>
      <c r="D7048" s="11">
        <v>44.091710758377424</v>
      </c>
      <c r="E7048" s="12">
        <f t="shared" si="110"/>
        <v>48486</v>
      </c>
    </row>
    <row r="7049" spans="1:5" x14ac:dyDescent="0.25">
      <c r="A7049" s="2">
        <f>IF(B7049="","",SUBTOTAL(3,$B$2:B7049))</f>
        <v>7048</v>
      </c>
      <c r="B7049" s="9" t="s">
        <v>55</v>
      </c>
      <c r="C7049" s="10" t="s">
        <v>49</v>
      </c>
      <c r="D7049" s="11">
        <v>7.5</v>
      </c>
      <c r="E7049" s="12">
        <f t="shared" si="110"/>
        <v>48487</v>
      </c>
    </row>
    <row r="7050" spans="1:5" x14ac:dyDescent="0.25">
      <c r="A7050" s="2">
        <f>IF(B7050="","",SUBTOTAL(3,$B$2:B7050))</f>
        <v>7049</v>
      </c>
      <c r="B7050" s="9" t="s">
        <v>55</v>
      </c>
      <c r="C7050" s="10" t="s">
        <v>49</v>
      </c>
      <c r="D7050" s="11">
        <v>28.5</v>
      </c>
      <c r="E7050" s="12">
        <f t="shared" si="110"/>
        <v>48488</v>
      </c>
    </row>
    <row r="7051" spans="1:5" x14ac:dyDescent="0.25">
      <c r="A7051" s="2">
        <f>IF(B7051="","",SUBTOTAL(3,$B$2:B7051))</f>
        <v>7050</v>
      </c>
      <c r="B7051" s="9" t="s">
        <v>55</v>
      </c>
      <c r="C7051" s="10" t="s">
        <v>49</v>
      </c>
      <c r="D7051" s="11">
        <v>50</v>
      </c>
      <c r="E7051" s="12">
        <f t="shared" si="110"/>
        <v>48489</v>
      </c>
    </row>
    <row r="7052" spans="1:5" x14ac:dyDescent="0.25">
      <c r="A7052" s="2">
        <f>IF(B7052="","",SUBTOTAL(3,$B$2:B7052))</f>
        <v>7051</v>
      </c>
      <c r="B7052" s="9" t="s">
        <v>55</v>
      </c>
      <c r="C7052" s="10" t="s">
        <v>49</v>
      </c>
      <c r="D7052" s="11">
        <v>95</v>
      </c>
      <c r="E7052" s="12">
        <f t="shared" si="110"/>
        <v>48490</v>
      </c>
    </row>
    <row r="7053" spans="1:5" x14ac:dyDescent="0.25">
      <c r="A7053" s="2">
        <f>IF(B7053="","",SUBTOTAL(3,$B$2:B7053))</f>
        <v>7052</v>
      </c>
      <c r="B7053" s="9" t="s">
        <v>55</v>
      </c>
      <c r="C7053" s="10" t="s">
        <v>49</v>
      </c>
      <c r="D7053" s="11">
        <v>50</v>
      </c>
      <c r="E7053" s="12">
        <f t="shared" si="110"/>
        <v>48491</v>
      </c>
    </row>
    <row r="7054" spans="1:5" x14ac:dyDescent="0.25">
      <c r="A7054" s="2">
        <f>IF(B7054="","",SUBTOTAL(3,$B$2:B7054))</f>
        <v>7053</v>
      </c>
      <c r="B7054" s="9" t="s">
        <v>55</v>
      </c>
      <c r="C7054" s="10" t="s">
        <v>49</v>
      </c>
      <c r="D7054" s="11">
        <v>10</v>
      </c>
      <c r="E7054" s="12">
        <f t="shared" si="110"/>
        <v>48492</v>
      </c>
    </row>
    <row r="7055" spans="1:5" x14ac:dyDescent="0.25">
      <c r="A7055" s="2">
        <f>IF(B7055="","",SUBTOTAL(3,$B$2:B7055))</f>
        <v>7054</v>
      </c>
      <c r="B7055" s="9" t="s">
        <v>55</v>
      </c>
      <c r="C7055" s="10" t="s">
        <v>49</v>
      </c>
      <c r="D7055" s="11">
        <v>30</v>
      </c>
      <c r="E7055" s="12">
        <f t="shared" si="110"/>
        <v>48493</v>
      </c>
    </row>
    <row r="7056" spans="1:5" x14ac:dyDescent="0.25">
      <c r="A7056" s="2">
        <f>IF(B7056="","",SUBTOTAL(3,$B$2:B7056))</f>
        <v>7055</v>
      </c>
      <c r="B7056" s="9" t="s">
        <v>55</v>
      </c>
      <c r="C7056" s="10" t="s">
        <v>49</v>
      </c>
      <c r="D7056" s="11">
        <v>25</v>
      </c>
      <c r="E7056" s="12">
        <f t="shared" si="110"/>
        <v>48494</v>
      </c>
    </row>
    <row r="7057" spans="1:5" x14ac:dyDescent="0.25">
      <c r="A7057" s="2">
        <f>IF(B7057="","",SUBTOTAL(3,$B$2:B7057))</f>
        <v>7056</v>
      </c>
      <c r="B7057" s="9" t="s">
        <v>55</v>
      </c>
      <c r="C7057" s="10" t="s">
        <v>49</v>
      </c>
      <c r="D7057" s="11">
        <v>50</v>
      </c>
      <c r="E7057" s="12">
        <f t="shared" si="110"/>
        <v>48495</v>
      </c>
    </row>
    <row r="7058" spans="1:5" x14ac:dyDescent="0.25">
      <c r="A7058" s="2">
        <f>IF(B7058="","",SUBTOTAL(3,$B$2:B7058))</f>
        <v>7057</v>
      </c>
      <c r="B7058" s="9" t="s">
        <v>51</v>
      </c>
      <c r="C7058" s="10" t="s">
        <v>56</v>
      </c>
      <c r="D7058" s="11">
        <v>264.74637297469025</v>
      </c>
      <c r="E7058" s="12">
        <f t="shared" si="110"/>
        <v>48496</v>
      </c>
    </row>
    <row r="7059" spans="1:5" x14ac:dyDescent="0.25">
      <c r="A7059" s="2">
        <f>IF(B7059="","",SUBTOTAL(3,$B$2:B7059))</f>
        <v>7058</v>
      </c>
      <c r="B7059" s="9" t="s">
        <v>48</v>
      </c>
      <c r="C7059" s="10" t="s">
        <v>49</v>
      </c>
      <c r="D7059" s="11">
        <v>15.403573629081947</v>
      </c>
      <c r="E7059" s="12">
        <f t="shared" si="110"/>
        <v>48497</v>
      </c>
    </row>
    <row r="7060" spans="1:5" x14ac:dyDescent="0.25">
      <c r="A7060" s="2">
        <f>IF(B7060="","",SUBTOTAL(3,$B$2:B7060))</f>
        <v>7059</v>
      </c>
      <c r="B7060" s="9" t="s">
        <v>55</v>
      </c>
      <c r="C7060" s="10" t="s">
        <v>49</v>
      </c>
      <c r="D7060" s="11">
        <v>7.5914457665273121</v>
      </c>
      <c r="E7060" s="12">
        <f t="shared" si="110"/>
        <v>48498</v>
      </c>
    </row>
    <row r="7061" spans="1:5" x14ac:dyDescent="0.25">
      <c r="A7061" s="2">
        <f>IF(B7061="","",SUBTOTAL(3,$B$2:B7061))</f>
        <v>7060</v>
      </c>
      <c r="B7061" s="9" t="s">
        <v>51</v>
      </c>
      <c r="C7061" s="10" t="s">
        <v>52</v>
      </c>
      <c r="D7061" s="11">
        <v>81.030710639332298</v>
      </c>
      <c r="E7061" s="12">
        <f t="shared" si="110"/>
        <v>48499</v>
      </c>
    </row>
    <row r="7062" spans="1:5" x14ac:dyDescent="0.25">
      <c r="A7062" s="2">
        <f>IF(B7062="","",SUBTOTAL(3,$B$2:B7062))</f>
        <v>7061</v>
      </c>
      <c r="B7062" s="9" t="s">
        <v>48</v>
      </c>
      <c r="C7062" s="10" t="s">
        <v>49</v>
      </c>
      <c r="D7062" s="11">
        <v>3850.8934072704869</v>
      </c>
      <c r="E7062" s="12">
        <f t="shared" si="110"/>
        <v>48500</v>
      </c>
    </row>
    <row r="7063" spans="1:5" x14ac:dyDescent="0.25">
      <c r="A7063" s="2">
        <f>IF(B7063="","",SUBTOTAL(3,$B$2:B7063))</f>
        <v>7062</v>
      </c>
      <c r="B7063" s="9" t="s">
        <v>48</v>
      </c>
      <c r="C7063" s="10" t="s">
        <v>49</v>
      </c>
      <c r="D7063" s="11">
        <v>1.0782501540357363</v>
      </c>
      <c r="E7063" s="12">
        <f t="shared" si="110"/>
        <v>48501</v>
      </c>
    </row>
    <row r="7064" spans="1:5" x14ac:dyDescent="0.25">
      <c r="A7064" s="2">
        <f>IF(B7064="","",SUBTOTAL(3,$B$2:B7064))</f>
        <v>7063</v>
      </c>
      <c r="B7064" s="9" t="s">
        <v>48</v>
      </c>
      <c r="C7064" s="10" t="s">
        <v>49</v>
      </c>
      <c r="D7064" s="11">
        <v>46.210720887245841</v>
      </c>
      <c r="E7064" s="12">
        <f t="shared" si="110"/>
        <v>48502</v>
      </c>
    </row>
    <row r="7065" spans="1:5" x14ac:dyDescent="0.25">
      <c r="A7065" s="2">
        <f>IF(B7065="","",SUBTOTAL(3,$B$2:B7065))</f>
        <v>7064</v>
      </c>
      <c r="B7065" s="9" t="s">
        <v>48</v>
      </c>
      <c r="C7065" s="10" t="s">
        <v>49</v>
      </c>
      <c r="D7065" s="11">
        <v>23.105360443622921</v>
      </c>
      <c r="E7065" s="12">
        <f t="shared" si="110"/>
        <v>48503</v>
      </c>
    </row>
    <row r="7066" spans="1:5" x14ac:dyDescent="0.25">
      <c r="A7066" s="2">
        <f>IF(B7066="","",SUBTOTAL(3,$B$2:B7066))</f>
        <v>7065</v>
      </c>
      <c r="B7066" s="9" t="s">
        <v>48</v>
      </c>
      <c r="C7066" s="10" t="s">
        <v>49</v>
      </c>
      <c r="D7066" s="11">
        <v>7.7017868145409736</v>
      </c>
      <c r="E7066" s="12">
        <f t="shared" si="110"/>
        <v>48504</v>
      </c>
    </row>
    <row r="7067" spans="1:5" x14ac:dyDescent="0.25">
      <c r="A7067" s="2">
        <f>IF(B7067="","",SUBTOTAL(3,$B$2:B7067))</f>
        <v>7066</v>
      </c>
      <c r="B7067" s="9" t="s">
        <v>48</v>
      </c>
      <c r="C7067" s="10" t="s">
        <v>49</v>
      </c>
      <c r="D7067" s="11">
        <v>7.7017868145409736</v>
      </c>
      <c r="E7067" s="12">
        <f t="shared" si="110"/>
        <v>48505</v>
      </c>
    </row>
    <row r="7068" spans="1:5" x14ac:dyDescent="0.25">
      <c r="A7068" s="2">
        <f>IF(B7068="","",SUBTOTAL(3,$B$2:B7068))</f>
        <v>7067</v>
      </c>
      <c r="B7068" s="9" t="s">
        <v>48</v>
      </c>
      <c r="C7068" s="10" t="s">
        <v>49</v>
      </c>
      <c r="D7068" s="11">
        <v>12.322858903265558</v>
      </c>
      <c r="E7068" s="12">
        <f t="shared" si="110"/>
        <v>48506</v>
      </c>
    </row>
    <row r="7069" spans="1:5" x14ac:dyDescent="0.25">
      <c r="A7069" s="2">
        <f>IF(B7069="","",SUBTOTAL(3,$B$2:B7069))</f>
        <v>7068</v>
      </c>
      <c r="B7069" s="9" t="s">
        <v>48</v>
      </c>
      <c r="C7069" s="10" t="s">
        <v>49</v>
      </c>
      <c r="D7069" s="11">
        <v>12.322858903265558</v>
      </c>
      <c r="E7069" s="12">
        <f t="shared" si="110"/>
        <v>48507</v>
      </c>
    </row>
    <row r="7070" spans="1:5" x14ac:dyDescent="0.25">
      <c r="A7070" s="2">
        <f>IF(B7070="","",SUBTOTAL(3,$B$2:B7070))</f>
        <v>7069</v>
      </c>
      <c r="B7070" s="9" t="s">
        <v>55</v>
      </c>
      <c r="C7070" s="10" t="s">
        <v>49</v>
      </c>
      <c r="D7070" s="11">
        <v>390.4993797951027</v>
      </c>
      <c r="E7070" s="12">
        <f t="shared" si="110"/>
        <v>48508</v>
      </c>
    </row>
    <row r="7071" spans="1:5" x14ac:dyDescent="0.25">
      <c r="A7071" s="2">
        <f>IF(B7071="","",SUBTOTAL(3,$B$2:B7071))</f>
        <v>7070</v>
      </c>
      <c r="B7071" s="9" t="s">
        <v>48</v>
      </c>
      <c r="C7071" s="10" t="s">
        <v>54</v>
      </c>
      <c r="D7071" s="11">
        <v>20.682523267838675</v>
      </c>
      <c r="E7071" s="12">
        <f t="shared" si="110"/>
        <v>48509</v>
      </c>
    </row>
    <row r="7072" spans="1:5" x14ac:dyDescent="0.25">
      <c r="A7072" s="2">
        <f>IF(B7072="","",SUBTOTAL(3,$B$2:B7072))</f>
        <v>7071</v>
      </c>
      <c r="B7072" s="9" t="s">
        <v>48</v>
      </c>
      <c r="C7072" s="10" t="s">
        <v>49</v>
      </c>
      <c r="D7072" s="11">
        <v>34.470872113064452</v>
      </c>
      <c r="E7072" s="12">
        <f t="shared" si="110"/>
        <v>48510</v>
      </c>
    </row>
    <row r="7073" spans="1:5" x14ac:dyDescent="0.25">
      <c r="A7073" s="2">
        <f>IF(B7073="","",SUBTOTAL(3,$B$2:B7073))</f>
        <v>7072</v>
      </c>
      <c r="B7073" s="9" t="s">
        <v>48</v>
      </c>
      <c r="C7073" s="10" t="s">
        <v>49</v>
      </c>
      <c r="D7073" s="11">
        <v>34.470872113064452</v>
      </c>
      <c r="E7073" s="12">
        <f t="shared" si="110"/>
        <v>48511</v>
      </c>
    </row>
    <row r="7074" spans="1:5" x14ac:dyDescent="0.25">
      <c r="A7074" s="2">
        <f>IF(B7074="","",SUBTOTAL(3,$B$2:B7074))</f>
        <v>7073</v>
      </c>
      <c r="B7074" s="9" t="s">
        <v>48</v>
      </c>
      <c r="C7074" s="10" t="s">
        <v>49</v>
      </c>
      <c r="D7074" s="11">
        <v>34.470872113064452</v>
      </c>
      <c r="E7074" s="12">
        <f t="shared" si="110"/>
        <v>48512</v>
      </c>
    </row>
    <row r="7075" spans="1:5" x14ac:dyDescent="0.25">
      <c r="A7075" s="2">
        <f>IF(B7075="","",SUBTOTAL(3,$B$2:B7075))</f>
        <v>7074</v>
      </c>
      <c r="B7075" s="9" t="s">
        <v>48</v>
      </c>
      <c r="C7075" s="10" t="s">
        <v>54</v>
      </c>
      <c r="D7075" s="11">
        <v>68.941744226128904</v>
      </c>
      <c r="E7075" s="12">
        <f t="shared" si="110"/>
        <v>48513</v>
      </c>
    </row>
    <row r="7076" spans="1:5" x14ac:dyDescent="0.25">
      <c r="A7076" s="2">
        <f>IF(B7076="","",SUBTOTAL(3,$B$2:B7076))</f>
        <v>7075</v>
      </c>
      <c r="B7076" s="9" t="s">
        <v>48</v>
      </c>
      <c r="C7076" s="10" t="s">
        <v>54</v>
      </c>
      <c r="D7076" s="11">
        <v>34.470872113064452</v>
      </c>
      <c r="E7076" s="12">
        <f t="shared" si="110"/>
        <v>48514</v>
      </c>
    </row>
    <row r="7077" spans="1:5" x14ac:dyDescent="0.25">
      <c r="A7077" s="2">
        <f>IF(B7077="","",SUBTOTAL(3,$B$2:B7077))</f>
        <v>7076</v>
      </c>
      <c r="B7077" s="9" t="s">
        <v>48</v>
      </c>
      <c r="C7077" s="10" t="s">
        <v>49</v>
      </c>
      <c r="D7077" s="11">
        <v>68.941744226128904</v>
      </c>
      <c r="E7077" s="12">
        <f t="shared" si="110"/>
        <v>48515</v>
      </c>
    </row>
    <row r="7078" spans="1:5" x14ac:dyDescent="0.25">
      <c r="A7078" s="2">
        <f>IF(B7078="","",SUBTOTAL(3,$B$2:B7078))</f>
        <v>7077</v>
      </c>
      <c r="B7078" s="9" t="s">
        <v>48</v>
      </c>
      <c r="C7078" s="10" t="s">
        <v>49</v>
      </c>
      <c r="D7078" s="11">
        <v>51.706308169596689</v>
      </c>
      <c r="E7078" s="12">
        <f t="shared" si="110"/>
        <v>48516</v>
      </c>
    </row>
    <row r="7079" spans="1:5" x14ac:dyDescent="0.25">
      <c r="A7079" s="2">
        <f>IF(B7079="","",SUBTOTAL(3,$B$2:B7079))</f>
        <v>7078</v>
      </c>
      <c r="B7079" s="9" t="s">
        <v>48</v>
      </c>
      <c r="C7079" s="10" t="s">
        <v>57</v>
      </c>
      <c r="D7079" s="11">
        <v>30.807147258163894</v>
      </c>
      <c r="E7079" s="12">
        <f t="shared" si="110"/>
        <v>48517</v>
      </c>
    </row>
    <row r="7080" spans="1:5" x14ac:dyDescent="0.25">
      <c r="A7080" s="2">
        <f>IF(B7080="","",SUBTOTAL(3,$B$2:B7080))</f>
        <v>7079</v>
      </c>
      <c r="B7080" s="9" t="s">
        <v>48</v>
      </c>
      <c r="C7080" s="10" t="s">
        <v>52</v>
      </c>
      <c r="D7080" s="11">
        <v>61.614294516327789</v>
      </c>
      <c r="E7080" s="12">
        <f t="shared" si="110"/>
        <v>48518</v>
      </c>
    </row>
    <row r="7081" spans="1:5" x14ac:dyDescent="0.25">
      <c r="A7081" s="2">
        <f>IF(B7081="","",SUBTOTAL(3,$B$2:B7081))</f>
        <v>7080</v>
      </c>
      <c r="B7081" s="9" t="s">
        <v>48</v>
      </c>
      <c r="C7081" s="10" t="s">
        <v>52</v>
      </c>
      <c r="D7081" s="11">
        <v>77.017868145409736</v>
      </c>
      <c r="E7081" s="12">
        <f t="shared" si="110"/>
        <v>48519</v>
      </c>
    </row>
    <row r="7082" spans="1:5" x14ac:dyDescent="0.25">
      <c r="A7082" s="2">
        <f>IF(B7082="","",SUBTOTAL(3,$B$2:B7082))</f>
        <v>7081</v>
      </c>
      <c r="B7082" s="9" t="s">
        <v>48</v>
      </c>
      <c r="C7082" s="10" t="s">
        <v>52</v>
      </c>
      <c r="D7082" s="11">
        <v>77.017868145409736</v>
      </c>
      <c r="E7082" s="12">
        <f t="shared" si="110"/>
        <v>48520</v>
      </c>
    </row>
    <row r="7083" spans="1:5" x14ac:dyDescent="0.25">
      <c r="A7083" s="2">
        <f>IF(B7083="","",SUBTOTAL(3,$B$2:B7083))</f>
        <v>7082</v>
      </c>
      <c r="B7083" s="9" t="s">
        <v>48</v>
      </c>
      <c r="C7083" s="10" t="s">
        <v>52</v>
      </c>
      <c r="D7083" s="11">
        <v>77.017868145409736</v>
      </c>
      <c r="E7083" s="12">
        <f t="shared" si="110"/>
        <v>48521</v>
      </c>
    </row>
    <row r="7084" spans="1:5" x14ac:dyDescent="0.25">
      <c r="A7084" s="2">
        <f>IF(B7084="","",SUBTOTAL(3,$B$2:B7084))</f>
        <v>7083</v>
      </c>
      <c r="B7084" s="9" t="s">
        <v>48</v>
      </c>
      <c r="C7084" s="10" t="s">
        <v>52</v>
      </c>
      <c r="D7084" s="11">
        <v>77.017868145409736</v>
      </c>
      <c r="E7084" s="12">
        <f t="shared" si="110"/>
        <v>48522</v>
      </c>
    </row>
    <row r="7085" spans="1:5" x14ac:dyDescent="0.25">
      <c r="A7085" s="2">
        <f>IF(B7085="","",SUBTOTAL(3,$B$2:B7085))</f>
        <v>7084</v>
      </c>
      <c r="B7085" s="9" t="s">
        <v>48</v>
      </c>
      <c r="C7085" s="10" t="s">
        <v>52</v>
      </c>
      <c r="D7085" s="11">
        <v>92.421441774491683</v>
      </c>
      <c r="E7085" s="12">
        <f t="shared" si="110"/>
        <v>48523</v>
      </c>
    </row>
    <row r="7086" spans="1:5" x14ac:dyDescent="0.25">
      <c r="A7086" s="2">
        <f>IF(B7086="","",SUBTOTAL(3,$B$2:B7086))</f>
        <v>7085</v>
      </c>
      <c r="B7086" s="9" t="s">
        <v>48</v>
      </c>
      <c r="C7086" s="10" t="s">
        <v>52</v>
      </c>
      <c r="D7086" s="11">
        <v>77.017868145409736</v>
      </c>
      <c r="E7086" s="12">
        <f t="shared" si="110"/>
        <v>48524</v>
      </c>
    </row>
    <row r="7087" spans="1:5" x14ac:dyDescent="0.25">
      <c r="A7087" s="2">
        <f>IF(B7087="","",SUBTOTAL(3,$B$2:B7087))</f>
        <v>7086</v>
      </c>
      <c r="B7087" s="9" t="s">
        <v>50</v>
      </c>
      <c r="C7087" s="10" t="s">
        <v>49</v>
      </c>
      <c r="D7087" s="11">
        <v>15.5</v>
      </c>
      <c r="E7087" s="12">
        <f t="shared" si="110"/>
        <v>48525</v>
      </c>
    </row>
    <row r="7088" spans="1:5" x14ac:dyDescent="0.25">
      <c r="A7088" s="2">
        <f>IF(B7088="","",SUBTOTAL(3,$B$2:B7088))</f>
        <v>7087</v>
      </c>
      <c r="B7088" s="9" t="s">
        <v>50</v>
      </c>
      <c r="C7088" s="10" t="s">
        <v>49</v>
      </c>
      <c r="D7088" s="11">
        <v>352.73368606701939</v>
      </c>
      <c r="E7088" s="12">
        <f t="shared" si="110"/>
        <v>48526</v>
      </c>
    </row>
    <row r="7089" spans="1:5" x14ac:dyDescent="0.25">
      <c r="A7089" s="2">
        <f>IF(B7089="","",SUBTOTAL(3,$B$2:B7089))</f>
        <v>7088</v>
      </c>
      <c r="B7089" s="9" t="s">
        <v>48</v>
      </c>
      <c r="C7089" s="10" t="s">
        <v>52</v>
      </c>
      <c r="D7089" s="11">
        <v>77.017868145409736</v>
      </c>
      <c r="E7089" s="12">
        <f t="shared" si="110"/>
        <v>48527</v>
      </c>
    </row>
    <row r="7090" spans="1:5" x14ac:dyDescent="0.25">
      <c r="A7090" s="2">
        <f>IF(B7090="","",SUBTOTAL(3,$B$2:B7090))</f>
        <v>7089</v>
      </c>
      <c r="B7090" s="9" t="s">
        <v>55</v>
      </c>
      <c r="C7090" s="10" t="s">
        <v>56</v>
      </c>
      <c r="D7090" s="11">
        <v>500</v>
      </c>
      <c r="E7090" s="12">
        <f t="shared" si="110"/>
        <v>48528</v>
      </c>
    </row>
    <row r="7091" spans="1:5" x14ac:dyDescent="0.25">
      <c r="A7091" s="2">
        <f>IF(B7091="","",SUBTOTAL(3,$B$2:B7091))</f>
        <v>7090</v>
      </c>
      <c r="B7091" s="9" t="s">
        <v>50</v>
      </c>
      <c r="C7091" s="10" t="s">
        <v>49</v>
      </c>
      <c r="D7091" s="11">
        <v>195.868430335097</v>
      </c>
      <c r="E7091" s="12">
        <f t="shared" si="110"/>
        <v>48529</v>
      </c>
    </row>
    <row r="7092" spans="1:5" x14ac:dyDescent="0.25">
      <c r="A7092" s="2">
        <f>IF(B7092="","",SUBTOTAL(3,$B$2:B7092))</f>
        <v>7091</v>
      </c>
      <c r="B7092" s="9" t="s">
        <v>51</v>
      </c>
      <c r="C7092" s="10" t="s">
        <v>49</v>
      </c>
      <c r="D7092" s="11">
        <v>264.74637297469025</v>
      </c>
      <c r="E7092" s="12">
        <f t="shared" si="110"/>
        <v>48530</v>
      </c>
    </row>
    <row r="7093" spans="1:5" x14ac:dyDescent="0.25">
      <c r="A7093" s="2">
        <f>IF(B7093="","",SUBTOTAL(3,$B$2:B7093))</f>
        <v>7092</v>
      </c>
      <c r="B7093" s="9" t="s">
        <v>51</v>
      </c>
      <c r="C7093" s="10" t="s">
        <v>56</v>
      </c>
      <c r="D7093" s="11">
        <v>317.69564756962825</v>
      </c>
      <c r="E7093" s="12">
        <f t="shared" si="110"/>
        <v>48531</v>
      </c>
    </row>
    <row r="7094" spans="1:5" x14ac:dyDescent="0.25">
      <c r="A7094" s="2">
        <f>IF(B7094="","",SUBTOTAL(3,$B$2:B7094))</f>
        <v>7093</v>
      </c>
      <c r="B7094" s="9" t="s">
        <v>51</v>
      </c>
      <c r="C7094" s="10" t="s">
        <v>52</v>
      </c>
      <c r="D7094" s="11">
        <v>23.472413427936036</v>
      </c>
      <c r="E7094" s="12">
        <f t="shared" si="110"/>
        <v>48532</v>
      </c>
    </row>
    <row r="7095" spans="1:5" x14ac:dyDescent="0.25">
      <c r="A7095" s="2">
        <f>IF(B7095="","",SUBTOTAL(3,$B$2:B7095))</f>
        <v>7094</v>
      </c>
      <c r="B7095" s="9" t="s">
        <v>51</v>
      </c>
      <c r="C7095" s="10" t="s">
        <v>52</v>
      </c>
      <c r="D7095" s="11">
        <v>51.195594620353702</v>
      </c>
      <c r="E7095" s="12">
        <f t="shared" si="110"/>
        <v>48533</v>
      </c>
    </row>
    <row r="7096" spans="1:5" x14ac:dyDescent="0.25">
      <c r="A7096" s="2">
        <f>IF(B7096="","",SUBTOTAL(3,$B$2:B7096))</f>
        <v>7095</v>
      </c>
      <c r="B7096" s="9" t="s">
        <v>50</v>
      </c>
      <c r="C7096" s="10" t="s">
        <v>49</v>
      </c>
      <c r="D7096" s="11">
        <v>661.37566137566137</v>
      </c>
      <c r="E7096" s="12">
        <f t="shared" si="110"/>
        <v>48534</v>
      </c>
    </row>
    <row r="7097" spans="1:5" x14ac:dyDescent="0.25">
      <c r="A7097" s="2">
        <f>IF(B7097="","",SUBTOTAL(3,$B$2:B7097))</f>
        <v>7096</v>
      </c>
      <c r="B7097" s="9" t="s">
        <v>51</v>
      </c>
      <c r="C7097" s="10" t="s">
        <v>52</v>
      </c>
      <c r="D7097" s="11">
        <v>10.58985491898761</v>
      </c>
      <c r="E7097" s="12">
        <f t="shared" si="110"/>
        <v>48535</v>
      </c>
    </row>
    <row r="7098" spans="1:5" x14ac:dyDescent="0.25">
      <c r="A7098" s="2">
        <f>IF(B7098="","",SUBTOTAL(3,$B$2:B7098))</f>
        <v>7097</v>
      </c>
      <c r="B7098" s="9" t="s">
        <v>51</v>
      </c>
      <c r="C7098" s="10" t="s">
        <v>52</v>
      </c>
      <c r="D7098" s="11">
        <v>1323.7318648734513</v>
      </c>
      <c r="E7098" s="12">
        <f t="shared" si="110"/>
        <v>48536</v>
      </c>
    </row>
    <row r="7099" spans="1:5" x14ac:dyDescent="0.25">
      <c r="A7099" s="2">
        <f>IF(B7099="","",SUBTOTAL(3,$B$2:B7099))</f>
        <v>7098</v>
      </c>
      <c r="B7099" s="9" t="s">
        <v>55</v>
      </c>
      <c r="C7099" s="10" t="s">
        <v>49</v>
      </c>
      <c r="D7099" s="11">
        <v>170.8</v>
      </c>
      <c r="E7099" s="12">
        <f t="shared" si="110"/>
        <v>48537</v>
      </c>
    </row>
    <row r="7100" spans="1:5" x14ac:dyDescent="0.25">
      <c r="A7100" s="2">
        <f>IF(B7100="","",SUBTOTAL(3,$B$2:B7100))</f>
        <v>7099</v>
      </c>
      <c r="B7100" s="9" t="s">
        <v>48</v>
      </c>
      <c r="C7100" s="10" t="s">
        <v>56</v>
      </c>
      <c r="D7100" s="11">
        <v>206.82523267838675</v>
      </c>
      <c r="E7100" s="12">
        <f t="shared" si="110"/>
        <v>48538</v>
      </c>
    </row>
    <row r="7101" spans="1:5" x14ac:dyDescent="0.25">
      <c r="A7101" s="2">
        <f>IF(B7101="","",SUBTOTAL(3,$B$2:B7101))</f>
        <v>7100</v>
      </c>
      <c r="B7101" s="9" t="s">
        <v>50</v>
      </c>
      <c r="C7101" s="10" t="s">
        <v>52</v>
      </c>
      <c r="D7101" s="11">
        <v>165.34391534391534</v>
      </c>
      <c r="E7101" s="12">
        <f t="shared" si="110"/>
        <v>48539</v>
      </c>
    </row>
    <row r="7102" spans="1:5" x14ac:dyDescent="0.25">
      <c r="A7102" s="2">
        <f>IF(B7102="","",SUBTOTAL(3,$B$2:B7102))</f>
        <v>7101</v>
      </c>
      <c r="B7102" s="9" t="s">
        <v>53</v>
      </c>
      <c r="C7102" s="10" t="s">
        <v>56</v>
      </c>
      <c r="D7102" s="11">
        <v>18.317198933939025</v>
      </c>
      <c r="E7102" s="12">
        <f t="shared" si="110"/>
        <v>48540</v>
      </c>
    </row>
    <row r="7103" spans="1:5" x14ac:dyDescent="0.25">
      <c r="A7103" s="2">
        <f>IF(B7103="","",SUBTOTAL(3,$B$2:B7103))</f>
        <v>7102</v>
      </c>
      <c r="B7103" s="9" t="s">
        <v>48</v>
      </c>
      <c r="C7103" s="10" t="s">
        <v>52</v>
      </c>
      <c r="D7103" s="11">
        <v>45.748613678373381</v>
      </c>
      <c r="E7103" s="12">
        <f t="shared" si="110"/>
        <v>48541</v>
      </c>
    </row>
    <row r="7104" spans="1:5" x14ac:dyDescent="0.25">
      <c r="A7104" s="2">
        <f>IF(B7104="","",SUBTOTAL(3,$B$2:B7104))</f>
        <v>7103</v>
      </c>
      <c r="B7104" s="9" t="s">
        <v>48</v>
      </c>
      <c r="C7104" s="10" t="s">
        <v>52</v>
      </c>
      <c r="D7104" s="11">
        <v>50.83179297597043</v>
      </c>
      <c r="E7104" s="12">
        <f t="shared" si="110"/>
        <v>48542</v>
      </c>
    </row>
    <row r="7105" spans="1:5" x14ac:dyDescent="0.25">
      <c r="A7105" s="2">
        <f>IF(B7105="","",SUBTOTAL(3,$B$2:B7105))</f>
        <v>7104</v>
      </c>
      <c r="B7105" s="9" t="s">
        <v>48</v>
      </c>
      <c r="C7105" s="10" t="s">
        <v>52</v>
      </c>
      <c r="D7105" s="11">
        <v>60.998151571164513</v>
      </c>
      <c r="E7105" s="12">
        <f t="shared" si="110"/>
        <v>48543</v>
      </c>
    </row>
    <row r="7106" spans="1:5" x14ac:dyDescent="0.25">
      <c r="A7106" s="2">
        <f>IF(B7106="","",SUBTOTAL(3,$B$2:B7106))</f>
        <v>7105</v>
      </c>
      <c r="B7106" s="9" t="s">
        <v>48</v>
      </c>
      <c r="C7106" s="10" t="s">
        <v>56</v>
      </c>
      <c r="D7106" s="11">
        <v>12.848020762401553</v>
      </c>
      <c r="E7106" s="12">
        <f t="shared" si="110"/>
        <v>48544</v>
      </c>
    </row>
    <row r="7107" spans="1:5" x14ac:dyDescent="0.25">
      <c r="A7107" s="2">
        <f>IF(B7107="","",SUBTOTAL(3,$B$2:B7107))</f>
        <v>7106</v>
      </c>
      <c r="B7107" s="9" t="s">
        <v>55</v>
      </c>
      <c r="C7107" s="10" t="s">
        <v>52</v>
      </c>
      <c r="D7107" s="11">
        <v>0</v>
      </c>
      <c r="E7107" s="12">
        <f t="shared" si="110"/>
        <v>48545</v>
      </c>
    </row>
    <row r="7108" spans="1:5" x14ac:dyDescent="0.25">
      <c r="A7108" s="2">
        <f>IF(B7108="","",SUBTOTAL(3,$B$2:B7108))</f>
        <v>7107</v>
      </c>
      <c r="B7108" s="9" t="s">
        <v>48</v>
      </c>
      <c r="C7108" s="10" t="s">
        <v>49</v>
      </c>
      <c r="D7108" s="11">
        <v>61.614294516327789</v>
      </c>
      <c r="E7108" s="12">
        <f t="shared" ref="E7108:E7171" si="111">E7107+1</f>
        <v>48546</v>
      </c>
    </row>
    <row r="7109" spans="1:5" x14ac:dyDescent="0.25">
      <c r="A7109" s="2">
        <f>IF(B7109="","",SUBTOTAL(3,$B$2:B7109))</f>
        <v>7108</v>
      </c>
      <c r="B7109" s="9" t="s">
        <v>50</v>
      </c>
      <c r="C7109" s="10" t="s">
        <v>49</v>
      </c>
      <c r="D7109" s="11">
        <v>66.137566137566139</v>
      </c>
      <c r="E7109" s="12">
        <f t="shared" si="111"/>
        <v>48547</v>
      </c>
    </row>
    <row r="7110" spans="1:5" x14ac:dyDescent="0.25">
      <c r="A7110" s="2">
        <f>IF(B7110="","",SUBTOTAL(3,$B$2:B7110))</f>
        <v>7109</v>
      </c>
      <c r="B7110" s="9" t="s">
        <v>50</v>
      </c>
      <c r="C7110" s="10" t="s">
        <v>49</v>
      </c>
      <c r="D7110" s="11">
        <v>110.22927689594357</v>
      </c>
      <c r="E7110" s="12">
        <f t="shared" si="111"/>
        <v>48548</v>
      </c>
    </row>
    <row r="7111" spans="1:5" x14ac:dyDescent="0.25">
      <c r="A7111" s="2">
        <f>IF(B7111="","",SUBTOTAL(3,$B$2:B7111))</f>
        <v>7110</v>
      </c>
      <c r="B7111" s="9" t="s">
        <v>50</v>
      </c>
      <c r="C7111" s="10" t="s">
        <v>52</v>
      </c>
      <c r="D7111" s="11">
        <v>242.50440917107585</v>
      </c>
      <c r="E7111" s="12">
        <f t="shared" si="111"/>
        <v>48549</v>
      </c>
    </row>
    <row r="7112" spans="1:5" x14ac:dyDescent="0.25">
      <c r="A7112" s="2">
        <f>IF(B7112="","",SUBTOTAL(3,$B$2:B7112))</f>
        <v>7111</v>
      </c>
      <c r="B7112" s="9" t="s">
        <v>50</v>
      </c>
      <c r="C7112" s="10" t="s">
        <v>49</v>
      </c>
      <c r="D7112" s="11">
        <v>638.00705467372131</v>
      </c>
      <c r="E7112" s="12">
        <f t="shared" si="111"/>
        <v>48550</v>
      </c>
    </row>
    <row r="7113" spans="1:5" x14ac:dyDescent="0.25">
      <c r="A7113" s="2">
        <f>IF(B7113="","",SUBTOTAL(3,$B$2:B7113))</f>
        <v>7112</v>
      </c>
      <c r="B7113" s="9" t="s">
        <v>50</v>
      </c>
      <c r="C7113" s="10" t="s">
        <v>52</v>
      </c>
      <c r="D7113" s="11">
        <v>110.22927689594357</v>
      </c>
      <c r="E7113" s="12">
        <f t="shared" si="111"/>
        <v>48551</v>
      </c>
    </row>
    <row r="7114" spans="1:5" x14ac:dyDescent="0.25">
      <c r="A7114" s="2">
        <f>IF(B7114="","",SUBTOTAL(3,$B$2:B7114))</f>
        <v>7113</v>
      </c>
      <c r="B7114" s="9" t="s">
        <v>48</v>
      </c>
      <c r="C7114" s="10" t="s">
        <v>49</v>
      </c>
      <c r="D7114" s="11">
        <v>77.017868145409736</v>
      </c>
      <c r="E7114" s="12">
        <f t="shared" si="111"/>
        <v>48552</v>
      </c>
    </row>
    <row r="7115" spans="1:5" x14ac:dyDescent="0.25">
      <c r="A7115" s="2">
        <f>IF(B7115="","",SUBTOTAL(3,$B$2:B7115))</f>
        <v>7114</v>
      </c>
      <c r="B7115" s="9" t="s">
        <v>53</v>
      </c>
      <c r="C7115" s="10" t="s">
        <v>52</v>
      </c>
      <c r="D7115" s="11">
        <v>137.37899200454268</v>
      </c>
      <c r="E7115" s="12">
        <f t="shared" si="111"/>
        <v>48553</v>
      </c>
    </row>
    <row r="7116" spans="1:5" x14ac:dyDescent="0.25">
      <c r="A7116" s="2">
        <f>IF(B7116="","",SUBTOTAL(3,$B$2:B7116))</f>
        <v>7115</v>
      </c>
      <c r="B7116" s="9" t="s">
        <v>51</v>
      </c>
      <c r="C7116" s="10" t="s">
        <v>49</v>
      </c>
      <c r="D7116" s="11">
        <v>423.59419675950437</v>
      </c>
      <c r="E7116" s="12">
        <f t="shared" si="111"/>
        <v>48554</v>
      </c>
    </row>
    <row r="7117" spans="1:5" x14ac:dyDescent="0.25">
      <c r="A7117" s="2">
        <f>IF(B7117="","",SUBTOTAL(3,$B$2:B7117))</f>
        <v>7116</v>
      </c>
      <c r="B7117" s="9" t="s">
        <v>51</v>
      </c>
      <c r="C7117" s="10" t="s">
        <v>54</v>
      </c>
      <c r="D7117" s="11">
        <v>63.697977337710469</v>
      </c>
      <c r="E7117" s="12">
        <f t="shared" si="111"/>
        <v>48555</v>
      </c>
    </row>
    <row r="7118" spans="1:5" x14ac:dyDescent="0.25">
      <c r="A7118" s="2">
        <f>IF(B7118="","",SUBTOTAL(3,$B$2:B7118))</f>
        <v>7117</v>
      </c>
      <c r="B7118" s="9" t="s">
        <v>55</v>
      </c>
      <c r="C7118" s="10" t="s">
        <v>49</v>
      </c>
      <c r="D7118" s="11">
        <v>102.73808976891625</v>
      </c>
      <c r="E7118" s="12">
        <f t="shared" si="111"/>
        <v>48556</v>
      </c>
    </row>
    <row r="7119" spans="1:5" x14ac:dyDescent="0.25">
      <c r="A7119" s="2">
        <f>IF(B7119="","",SUBTOTAL(3,$B$2:B7119))</f>
        <v>7118</v>
      </c>
      <c r="B7119" s="9" t="s">
        <v>48</v>
      </c>
      <c r="C7119" s="10" t="s">
        <v>52</v>
      </c>
      <c r="D7119" s="11">
        <v>154.03573629081947</v>
      </c>
      <c r="E7119" s="12">
        <f t="shared" si="111"/>
        <v>48557</v>
      </c>
    </row>
    <row r="7120" spans="1:5" x14ac:dyDescent="0.25">
      <c r="A7120" s="2">
        <f>IF(B7120="","",SUBTOTAL(3,$B$2:B7120))</f>
        <v>7119</v>
      </c>
      <c r="B7120" s="9" t="s">
        <v>51</v>
      </c>
      <c r="C7120" s="10" t="s">
        <v>56</v>
      </c>
      <c r="D7120" s="11">
        <v>158.84782378481412</v>
      </c>
      <c r="E7120" s="12">
        <f t="shared" si="111"/>
        <v>48558</v>
      </c>
    </row>
    <row r="7121" spans="1:5" x14ac:dyDescent="0.25">
      <c r="A7121" s="2">
        <f>IF(B7121="","",SUBTOTAL(3,$B$2:B7121))</f>
        <v>7120</v>
      </c>
      <c r="B7121" s="9" t="s">
        <v>55</v>
      </c>
      <c r="C7121" s="10" t="s">
        <v>49</v>
      </c>
      <c r="D7121" s="11">
        <v>80.424963337135409</v>
      </c>
      <c r="E7121" s="12">
        <f t="shared" si="111"/>
        <v>48559</v>
      </c>
    </row>
    <row r="7122" spans="1:5" x14ac:dyDescent="0.25">
      <c r="A7122" s="2">
        <f>IF(B7122="","",SUBTOTAL(3,$B$2:B7122))</f>
        <v>7121</v>
      </c>
      <c r="B7122" s="9" t="s">
        <v>51</v>
      </c>
      <c r="C7122" s="10" t="s">
        <v>52</v>
      </c>
      <c r="D7122" s="11">
        <v>158.84782378481412</v>
      </c>
      <c r="E7122" s="12">
        <f t="shared" si="111"/>
        <v>48560</v>
      </c>
    </row>
    <row r="7123" spans="1:5" x14ac:dyDescent="0.25">
      <c r="A7123" s="2">
        <f>IF(B7123="","",SUBTOTAL(3,$B$2:B7123))</f>
        <v>7122</v>
      </c>
      <c r="B7123" s="9" t="s">
        <v>48</v>
      </c>
      <c r="C7123" s="10" t="s">
        <v>52</v>
      </c>
      <c r="D7123" s="11">
        <v>40.665434380776347</v>
      </c>
      <c r="E7123" s="12">
        <f t="shared" si="111"/>
        <v>48561</v>
      </c>
    </row>
    <row r="7124" spans="1:5" x14ac:dyDescent="0.25">
      <c r="A7124" s="2">
        <f>IF(B7124="","",SUBTOTAL(3,$B$2:B7124))</f>
        <v>7123</v>
      </c>
      <c r="B7124" s="9" t="s">
        <v>48</v>
      </c>
      <c r="C7124" s="10" t="s">
        <v>49</v>
      </c>
      <c r="D7124" s="11">
        <v>61.614294516327789</v>
      </c>
      <c r="E7124" s="12">
        <f t="shared" si="111"/>
        <v>48562</v>
      </c>
    </row>
    <row r="7125" spans="1:5" x14ac:dyDescent="0.25">
      <c r="A7125" s="2">
        <f>IF(B7125="","",SUBTOTAL(3,$B$2:B7125))</f>
        <v>7124</v>
      </c>
      <c r="B7125" s="9" t="s">
        <v>48</v>
      </c>
      <c r="C7125" s="10" t="s">
        <v>49</v>
      </c>
      <c r="D7125" s="11">
        <v>23.105360443622921</v>
      </c>
      <c r="E7125" s="12">
        <f t="shared" si="111"/>
        <v>48563</v>
      </c>
    </row>
    <row r="7126" spans="1:5" x14ac:dyDescent="0.25">
      <c r="A7126" s="2">
        <f>IF(B7126="","",SUBTOTAL(3,$B$2:B7126))</f>
        <v>7125</v>
      </c>
      <c r="B7126" s="9" t="s">
        <v>48</v>
      </c>
      <c r="C7126" s="10" t="s">
        <v>54</v>
      </c>
      <c r="D7126" s="11">
        <v>27.726432532347506</v>
      </c>
      <c r="E7126" s="12">
        <f t="shared" si="111"/>
        <v>48564</v>
      </c>
    </row>
    <row r="7127" spans="1:5" x14ac:dyDescent="0.25">
      <c r="A7127" s="2">
        <f>IF(B7127="","",SUBTOTAL(3,$B$2:B7127))</f>
        <v>7126</v>
      </c>
      <c r="B7127" s="9" t="s">
        <v>48</v>
      </c>
      <c r="C7127" s="10" t="s">
        <v>54</v>
      </c>
      <c r="D7127" s="11">
        <v>34.470872113064452</v>
      </c>
      <c r="E7127" s="12">
        <f t="shared" si="111"/>
        <v>48565</v>
      </c>
    </row>
    <row r="7128" spans="1:5" x14ac:dyDescent="0.25">
      <c r="A7128" s="2">
        <f>IF(B7128="","",SUBTOTAL(3,$B$2:B7128))</f>
        <v>7127</v>
      </c>
      <c r="B7128" s="9" t="s">
        <v>55</v>
      </c>
      <c r="C7128" s="10" t="s">
        <v>49</v>
      </c>
      <c r="D7128" s="11">
        <v>2.0107544402802673</v>
      </c>
      <c r="E7128" s="12">
        <f t="shared" si="111"/>
        <v>48566</v>
      </c>
    </row>
    <row r="7129" spans="1:5" x14ac:dyDescent="0.25">
      <c r="A7129" s="2">
        <f>IF(B7129="","",SUBTOTAL(3,$B$2:B7129))</f>
        <v>7128</v>
      </c>
      <c r="B7129" s="9" t="s">
        <v>48</v>
      </c>
      <c r="C7129" s="10" t="s">
        <v>56</v>
      </c>
      <c r="D7129" s="11">
        <v>1232.2858903265558</v>
      </c>
      <c r="E7129" s="12">
        <f t="shared" si="111"/>
        <v>48567</v>
      </c>
    </row>
    <row r="7130" spans="1:5" x14ac:dyDescent="0.25">
      <c r="A7130" s="2">
        <f>IF(B7130="","",SUBTOTAL(3,$B$2:B7130))</f>
        <v>7129</v>
      </c>
      <c r="B7130" s="9" t="s">
        <v>48</v>
      </c>
      <c r="C7130" s="10" t="s">
        <v>52</v>
      </c>
      <c r="D7130" s="11">
        <v>246.45717806531115</v>
      </c>
      <c r="E7130" s="12">
        <f t="shared" si="111"/>
        <v>48568</v>
      </c>
    </row>
    <row r="7131" spans="1:5" x14ac:dyDescent="0.25">
      <c r="A7131" s="2">
        <f>IF(B7131="","",SUBTOTAL(3,$B$2:B7131))</f>
        <v>7130</v>
      </c>
      <c r="B7131" s="9" t="s">
        <v>53</v>
      </c>
      <c r="C7131" s="10" t="s">
        <v>52</v>
      </c>
      <c r="D7131" s="11">
        <v>137.37899200454268</v>
      </c>
      <c r="E7131" s="12">
        <f t="shared" si="111"/>
        <v>48569</v>
      </c>
    </row>
    <row r="7132" spans="1:5" x14ac:dyDescent="0.25">
      <c r="A7132" s="2">
        <f>IF(B7132="","",SUBTOTAL(3,$B$2:B7132))</f>
        <v>7131</v>
      </c>
      <c r="B7132" s="9" t="s">
        <v>48</v>
      </c>
      <c r="C7132" s="10" t="s">
        <v>52</v>
      </c>
      <c r="D7132" s="11">
        <v>45.748613678373381</v>
      </c>
      <c r="E7132" s="12">
        <f t="shared" si="111"/>
        <v>48570</v>
      </c>
    </row>
    <row r="7133" spans="1:5" x14ac:dyDescent="0.25">
      <c r="A7133" s="2">
        <f>IF(B7133="","",SUBTOTAL(3,$B$2:B7133))</f>
        <v>7132</v>
      </c>
      <c r="B7133" s="9" t="s">
        <v>48</v>
      </c>
      <c r="C7133" s="10" t="s">
        <v>52</v>
      </c>
      <c r="D7133" s="11">
        <v>40.665434380776347</v>
      </c>
      <c r="E7133" s="12">
        <f t="shared" si="111"/>
        <v>48571</v>
      </c>
    </row>
    <row r="7134" spans="1:5" x14ac:dyDescent="0.25">
      <c r="A7134" s="2">
        <f>IF(B7134="","",SUBTOTAL(3,$B$2:B7134))</f>
        <v>7133</v>
      </c>
      <c r="B7134" s="9" t="s">
        <v>48</v>
      </c>
      <c r="C7134" s="10" t="s">
        <v>52</v>
      </c>
      <c r="D7134" s="11">
        <v>81.330868761552694</v>
      </c>
      <c r="E7134" s="12">
        <f t="shared" si="111"/>
        <v>48572</v>
      </c>
    </row>
    <row r="7135" spans="1:5" x14ac:dyDescent="0.25">
      <c r="A7135" s="2">
        <f>IF(B7135="","",SUBTOTAL(3,$B$2:B7135))</f>
        <v>7134</v>
      </c>
      <c r="B7135" s="9" t="s">
        <v>48</v>
      </c>
      <c r="C7135" s="10" t="s">
        <v>49</v>
      </c>
      <c r="D7135" s="11">
        <v>80.098582871226128</v>
      </c>
      <c r="E7135" s="12">
        <f t="shared" si="111"/>
        <v>48573</v>
      </c>
    </row>
    <row r="7136" spans="1:5" x14ac:dyDescent="0.25">
      <c r="A7136" s="2">
        <f>IF(B7136="","",SUBTOTAL(3,$B$2:B7136))</f>
        <v>7135</v>
      </c>
      <c r="B7136" s="9" t="s">
        <v>48</v>
      </c>
      <c r="C7136" s="10" t="s">
        <v>52</v>
      </c>
      <c r="D7136" s="11">
        <v>154.03573629081947</v>
      </c>
      <c r="E7136" s="12">
        <f t="shared" si="111"/>
        <v>48574</v>
      </c>
    </row>
    <row r="7137" spans="1:5" x14ac:dyDescent="0.25">
      <c r="A7137" s="2">
        <f>IF(B7137="","",SUBTOTAL(3,$B$2:B7137))</f>
        <v>7136</v>
      </c>
      <c r="B7137" s="9" t="s">
        <v>53</v>
      </c>
      <c r="C7137" s="10" t="s">
        <v>49</v>
      </c>
      <c r="D7137" s="11">
        <v>27.475798400908538</v>
      </c>
      <c r="E7137" s="12">
        <f t="shared" si="111"/>
        <v>48575</v>
      </c>
    </row>
    <row r="7138" spans="1:5" x14ac:dyDescent="0.25">
      <c r="A7138" s="2">
        <f>IF(B7138="","",SUBTOTAL(3,$B$2:B7138))</f>
        <v>7137</v>
      </c>
      <c r="B7138" s="9" t="s">
        <v>50</v>
      </c>
      <c r="C7138" s="10" t="s">
        <v>49</v>
      </c>
      <c r="D7138" s="11">
        <v>132.27513227513228</v>
      </c>
      <c r="E7138" s="12">
        <f t="shared" si="111"/>
        <v>48576</v>
      </c>
    </row>
    <row r="7139" spans="1:5" x14ac:dyDescent="0.25">
      <c r="A7139" s="2">
        <f>IF(B7139="","",SUBTOTAL(3,$B$2:B7139))</f>
        <v>7138</v>
      </c>
      <c r="B7139" s="9" t="s">
        <v>51</v>
      </c>
      <c r="C7139" s="10" t="s">
        <v>56</v>
      </c>
      <c r="D7139" s="11">
        <v>52.949274594938046</v>
      </c>
      <c r="E7139" s="12">
        <f t="shared" si="111"/>
        <v>48577</v>
      </c>
    </row>
    <row r="7140" spans="1:5" x14ac:dyDescent="0.25">
      <c r="A7140" s="2">
        <f>IF(B7140="","",SUBTOTAL(3,$B$2:B7140))</f>
        <v>7139</v>
      </c>
      <c r="B7140" s="9" t="s">
        <v>48</v>
      </c>
      <c r="C7140" s="10" t="s">
        <v>49</v>
      </c>
      <c r="D7140" s="11">
        <v>23.105360443622921</v>
      </c>
      <c r="E7140" s="12">
        <f t="shared" si="111"/>
        <v>48578</v>
      </c>
    </row>
    <row r="7141" spans="1:5" x14ac:dyDescent="0.25">
      <c r="A7141" s="2">
        <f>IF(B7141="","",SUBTOTAL(3,$B$2:B7141))</f>
        <v>7140</v>
      </c>
      <c r="B7141" s="9" t="s">
        <v>48</v>
      </c>
      <c r="C7141" s="10" t="s">
        <v>49</v>
      </c>
      <c r="D7141" s="11">
        <v>6.1614294516327792</v>
      </c>
      <c r="E7141" s="12">
        <f t="shared" si="111"/>
        <v>48579</v>
      </c>
    </row>
    <row r="7142" spans="1:5" x14ac:dyDescent="0.25">
      <c r="A7142" s="2">
        <f>IF(B7142="","",SUBTOTAL(3,$B$2:B7142))</f>
        <v>7141</v>
      </c>
      <c r="B7142" s="9" t="s">
        <v>50</v>
      </c>
      <c r="C7142" s="10" t="s">
        <v>52</v>
      </c>
      <c r="D7142" s="11">
        <v>25</v>
      </c>
      <c r="E7142" s="12">
        <f t="shared" si="111"/>
        <v>48580</v>
      </c>
    </row>
    <row r="7143" spans="1:5" x14ac:dyDescent="0.25">
      <c r="A7143" s="2">
        <f>IF(B7143="","",SUBTOTAL(3,$B$2:B7143))</f>
        <v>7142</v>
      </c>
      <c r="B7143" s="9" t="s">
        <v>48</v>
      </c>
      <c r="C7143" s="10" t="s">
        <v>49</v>
      </c>
      <c r="D7143" s="11">
        <v>27.726432532347506</v>
      </c>
      <c r="E7143" s="12">
        <f t="shared" si="111"/>
        <v>48581</v>
      </c>
    </row>
    <row r="7144" spans="1:5" x14ac:dyDescent="0.25">
      <c r="A7144" s="2">
        <f>IF(B7144="","",SUBTOTAL(3,$B$2:B7144))</f>
        <v>7143</v>
      </c>
      <c r="B7144" s="9" t="s">
        <v>48</v>
      </c>
      <c r="C7144" s="10" t="s">
        <v>49</v>
      </c>
      <c r="D7144" s="11">
        <v>123.22858903265558</v>
      </c>
      <c r="E7144" s="12">
        <f t="shared" si="111"/>
        <v>48582</v>
      </c>
    </row>
    <row r="7145" spans="1:5" x14ac:dyDescent="0.25">
      <c r="A7145" s="2">
        <f>IF(B7145="","",SUBTOTAL(3,$B$2:B7145))</f>
        <v>7144</v>
      </c>
      <c r="B7145" s="9" t="s">
        <v>48</v>
      </c>
      <c r="C7145" s="10" t="s">
        <v>49</v>
      </c>
      <c r="D7145" s="11">
        <v>92.421441774491683</v>
      </c>
      <c r="E7145" s="12">
        <f t="shared" si="111"/>
        <v>48583</v>
      </c>
    </row>
    <row r="7146" spans="1:5" x14ac:dyDescent="0.25">
      <c r="A7146" s="2">
        <f>IF(B7146="","",SUBTOTAL(3,$B$2:B7146))</f>
        <v>7145</v>
      </c>
      <c r="B7146" s="9" t="s">
        <v>50</v>
      </c>
      <c r="C7146" s="10" t="s">
        <v>49</v>
      </c>
      <c r="D7146" s="11">
        <v>200</v>
      </c>
      <c r="E7146" s="12">
        <f t="shared" si="111"/>
        <v>48584</v>
      </c>
    </row>
    <row r="7147" spans="1:5" x14ac:dyDescent="0.25">
      <c r="A7147" s="2">
        <f>IF(B7147="","",SUBTOTAL(3,$B$2:B7147))</f>
        <v>7146</v>
      </c>
      <c r="B7147" s="9" t="s">
        <v>48</v>
      </c>
      <c r="C7147" s="10" t="s">
        <v>49</v>
      </c>
      <c r="D7147" s="11">
        <v>231.05360443622922</v>
      </c>
      <c r="E7147" s="12">
        <f t="shared" si="111"/>
        <v>48585</v>
      </c>
    </row>
    <row r="7148" spans="1:5" x14ac:dyDescent="0.25">
      <c r="A7148" s="2">
        <f>IF(B7148="","",SUBTOTAL(3,$B$2:B7148))</f>
        <v>7147</v>
      </c>
      <c r="B7148" s="9" t="s">
        <v>48</v>
      </c>
      <c r="C7148" s="10" t="s">
        <v>52</v>
      </c>
      <c r="D7148" s="11">
        <v>144.79359211337029</v>
      </c>
      <c r="E7148" s="12">
        <f t="shared" si="111"/>
        <v>48586</v>
      </c>
    </row>
    <row r="7149" spans="1:5" x14ac:dyDescent="0.25">
      <c r="A7149" s="2">
        <f>IF(B7149="","",SUBTOTAL(3,$B$2:B7149))</f>
        <v>7148</v>
      </c>
      <c r="B7149" s="9" t="s">
        <v>48</v>
      </c>
      <c r="C7149" s="10" t="s">
        <v>49</v>
      </c>
      <c r="D7149" s="11">
        <v>53.912507701786815</v>
      </c>
      <c r="E7149" s="12">
        <f t="shared" si="111"/>
        <v>48587</v>
      </c>
    </row>
    <row r="7150" spans="1:5" x14ac:dyDescent="0.25">
      <c r="A7150" s="2">
        <f>IF(B7150="","",SUBTOTAL(3,$B$2:B7150))</f>
        <v>7149</v>
      </c>
      <c r="B7150" s="9" t="s">
        <v>48</v>
      </c>
      <c r="C7150" s="10" t="s">
        <v>49</v>
      </c>
      <c r="D7150" s="11">
        <v>123.22858903265558</v>
      </c>
      <c r="E7150" s="12">
        <f t="shared" si="111"/>
        <v>48588</v>
      </c>
    </row>
    <row r="7151" spans="1:5" x14ac:dyDescent="0.25">
      <c r="A7151" s="2">
        <f>IF(B7151="","",SUBTOTAL(3,$B$2:B7151))</f>
        <v>7150</v>
      </c>
      <c r="B7151" s="9" t="s">
        <v>48</v>
      </c>
      <c r="C7151" s="10" t="s">
        <v>49</v>
      </c>
      <c r="D7151" s="11">
        <v>69.316081330868769</v>
      </c>
      <c r="E7151" s="12">
        <f t="shared" si="111"/>
        <v>48589</v>
      </c>
    </row>
    <row r="7152" spans="1:5" x14ac:dyDescent="0.25">
      <c r="A7152" s="2">
        <f>IF(B7152="","",SUBTOTAL(3,$B$2:B7152))</f>
        <v>7151</v>
      </c>
      <c r="B7152" s="9" t="s">
        <v>48</v>
      </c>
      <c r="C7152" s="10" t="s">
        <v>52</v>
      </c>
      <c r="D7152" s="11">
        <v>50.83179297597043</v>
      </c>
      <c r="E7152" s="12">
        <f t="shared" si="111"/>
        <v>48590</v>
      </c>
    </row>
    <row r="7153" spans="1:5" x14ac:dyDescent="0.25">
      <c r="A7153" s="2">
        <f>IF(B7153="","",SUBTOTAL(3,$B$2:B7153))</f>
        <v>7152</v>
      </c>
      <c r="B7153" s="9" t="s">
        <v>48</v>
      </c>
      <c r="C7153" s="10" t="s">
        <v>52</v>
      </c>
      <c r="D7153" s="11">
        <v>50.83179297597043</v>
      </c>
      <c r="E7153" s="12">
        <f t="shared" si="111"/>
        <v>48591</v>
      </c>
    </row>
    <row r="7154" spans="1:5" x14ac:dyDescent="0.25">
      <c r="A7154" s="2">
        <f>IF(B7154="","",SUBTOTAL(3,$B$2:B7154))</f>
        <v>7153</v>
      </c>
      <c r="B7154" s="9" t="s">
        <v>48</v>
      </c>
      <c r="C7154" s="10" t="s">
        <v>56</v>
      </c>
      <c r="D7154" s="11">
        <v>146.33394947627849</v>
      </c>
      <c r="E7154" s="12">
        <f t="shared" si="111"/>
        <v>48592</v>
      </c>
    </row>
    <row r="7155" spans="1:5" x14ac:dyDescent="0.25">
      <c r="A7155" s="2">
        <f>IF(B7155="","",SUBTOTAL(3,$B$2:B7155))</f>
        <v>7154</v>
      </c>
      <c r="B7155" s="9" t="s">
        <v>48</v>
      </c>
      <c r="C7155" s="10" t="s">
        <v>49</v>
      </c>
      <c r="D7155" s="11">
        <v>46.210720887245841</v>
      </c>
      <c r="E7155" s="12">
        <f t="shared" si="111"/>
        <v>48593</v>
      </c>
    </row>
    <row r="7156" spans="1:5" x14ac:dyDescent="0.25">
      <c r="A7156" s="2">
        <f>IF(B7156="","",SUBTOTAL(3,$B$2:B7156))</f>
        <v>7155</v>
      </c>
      <c r="B7156" s="9" t="s">
        <v>48</v>
      </c>
      <c r="C7156" s="10" t="s">
        <v>49</v>
      </c>
      <c r="D7156" s="11">
        <v>16.173752310536045</v>
      </c>
      <c r="E7156" s="12">
        <f t="shared" si="111"/>
        <v>48594</v>
      </c>
    </row>
    <row r="7157" spans="1:5" x14ac:dyDescent="0.25">
      <c r="A7157" s="2">
        <f>IF(B7157="","",SUBTOTAL(3,$B$2:B7157))</f>
        <v>7156</v>
      </c>
      <c r="B7157" s="9" t="s">
        <v>48</v>
      </c>
      <c r="C7157" s="10" t="s">
        <v>49</v>
      </c>
      <c r="D7157" s="11">
        <v>16.173752310536045</v>
      </c>
      <c r="E7157" s="12">
        <f t="shared" si="111"/>
        <v>48595</v>
      </c>
    </row>
    <row r="7158" spans="1:5" x14ac:dyDescent="0.25">
      <c r="A7158" s="2">
        <f>IF(B7158="","",SUBTOTAL(3,$B$2:B7158))</f>
        <v>7157</v>
      </c>
      <c r="B7158" s="9" t="s">
        <v>48</v>
      </c>
      <c r="C7158" s="10" t="s">
        <v>49</v>
      </c>
      <c r="D7158" s="11">
        <v>16.173752310536045</v>
      </c>
      <c r="E7158" s="12">
        <f t="shared" si="111"/>
        <v>48596</v>
      </c>
    </row>
    <row r="7159" spans="1:5" x14ac:dyDescent="0.25">
      <c r="A7159" s="2">
        <f>IF(B7159="","",SUBTOTAL(3,$B$2:B7159))</f>
        <v>7158</v>
      </c>
      <c r="B7159" s="9" t="s">
        <v>50</v>
      </c>
      <c r="C7159" s="10" t="s">
        <v>54</v>
      </c>
      <c r="D7159" s="11">
        <v>200</v>
      </c>
      <c r="E7159" s="12">
        <f t="shared" si="111"/>
        <v>48597</v>
      </c>
    </row>
    <row r="7160" spans="1:5" x14ac:dyDescent="0.25">
      <c r="A7160" s="2">
        <f>IF(B7160="","",SUBTOTAL(3,$B$2:B7160))</f>
        <v>7159</v>
      </c>
      <c r="B7160" s="9" t="s">
        <v>51</v>
      </c>
      <c r="C7160" s="10" t="s">
        <v>54</v>
      </c>
      <c r="D7160" s="11">
        <v>117.54738960076247</v>
      </c>
      <c r="E7160" s="12">
        <f t="shared" si="111"/>
        <v>48598</v>
      </c>
    </row>
    <row r="7161" spans="1:5" x14ac:dyDescent="0.25">
      <c r="A7161" s="2">
        <f>IF(B7161="","",SUBTOTAL(3,$B$2:B7161))</f>
        <v>7160</v>
      </c>
      <c r="B7161" s="9" t="s">
        <v>50</v>
      </c>
      <c r="C7161" s="10" t="s">
        <v>56</v>
      </c>
      <c r="D7161" s="11">
        <v>44.091710758377424</v>
      </c>
      <c r="E7161" s="12">
        <f t="shared" si="111"/>
        <v>48599</v>
      </c>
    </row>
    <row r="7162" spans="1:5" x14ac:dyDescent="0.25">
      <c r="A7162" s="2">
        <f>IF(B7162="","",SUBTOTAL(3,$B$2:B7162))</f>
        <v>7161</v>
      </c>
      <c r="B7162" s="9" t="s">
        <v>51</v>
      </c>
      <c r="C7162" s="10" t="s">
        <v>52</v>
      </c>
      <c r="D7162" s="11">
        <v>317.69564756962825</v>
      </c>
      <c r="E7162" s="12">
        <f t="shared" si="111"/>
        <v>48600</v>
      </c>
    </row>
    <row r="7163" spans="1:5" x14ac:dyDescent="0.25">
      <c r="A7163" s="2">
        <f>IF(B7163="","",SUBTOTAL(3,$B$2:B7163))</f>
        <v>7162</v>
      </c>
      <c r="B7163" s="9" t="s">
        <v>51</v>
      </c>
      <c r="C7163" s="10" t="s">
        <v>52</v>
      </c>
      <c r="D7163" s="11">
        <v>105.89854918987609</v>
      </c>
      <c r="E7163" s="12">
        <f t="shared" si="111"/>
        <v>48601</v>
      </c>
    </row>
    <row r="7164" spans="1:5" x14ac:dyDescent="0.25">
      <c r="A7164" s="2">
        <f>IF(B7164="","",SUBTOTAL(3,$B$2:B7164))</f>
        <v>7163</v>
      </c>
      <c r="B7164" s="9" t="s">
        <v>48</v>
      </c>
      <c r="C7164" s="10" t="s">
        <v>49</v>
      </c>
      <c r="D7164" s="11">
        <v>51.392083049606214</v>
      </c>
      <c r="E7164" s="12">
        <f t="shared" si="111"/>
        <v>48602</v>
      </c>
    </row>
    <row r="7165" spans="1:5" x14ac:dyDescent="0.25">
      <c r="A7165" s="2">
        <f>IF(B7165="","",SUBTOTAL(3,$B$2:B7165))</f>
        <v>7164</v>
      </c>
      <c r="B7165" s="9" t="s">
        <v>51</v>
      </c>
      <c r="C7165" s="10" t="s">
        <v>54</v>
      </c>
      <c r="D7165" s="11">
        <v>105.89854918987609</v>
      </c>
      <c r="E7165" s="12">
        <f t="shared" si="111"/>
        <v>48603</v>
      </c>
    </row>
    <row r="7166" spans="1:5" x14ac:dyDescent="0.25">
      <c r="A7166" s="2">
        <f>IF(B7166="","",SUBTOTAL(3,$B$2:B7166))</f>
        <v>7165</v>
      </c>
      <c r="B7166" s="9" t="s">
        <v>48</v>
      </c>
      <c r="C7166" s="10" t="s">
        <v>49</v>
      </c>
      <c r="D7166" s="11">
        <v>385.08934072704869</v>
      </c>
      <c r="E7166" s="12">
        <f t="shared" si="111"/>
        <v>48604</v>
      </c>
    </row>
    <row r="7167" spans="1:5" x14ac:dyDescent="0.25">
      <c r="A7167" s="2">
        <f>IF(B7167="","",SUBTOTAL(3,$B$2:B7167))</f>
        <v>7166</v>
      </c>
      <c r="B7167" s="9" t="s">
        <v>48</v>
      </c>
      <c r="C7167" s="10" t="s">
        <v>49</v>
      </c>
      <c r="D7167" s="11">
        <v>25.696041524803107</v>
      </c>
      <c r="E7167" s="12">
        <f t="shared" si="111"/>
        <v>48605</v>
      </c>
    </row>
    <row r="7168" spans="1:5" x14ac:dyDescent="0.25">
      <c r="A7168" s="2">
        <f>IF(B7168="","",SUBTOTAL(3,$B$2:B7168))</f>
        <v>7167</v>
      </c>
      <c r="B7168" s="9" t="s">
        <v>50</v>
      </c>
      <c r="C7168" s="10" t="s">
        <v>49</v>
      </c>
      <c r="D7168" s="11">
        <v>200.26455026455025</v>
      </c>
      <c r="E7168" s="12">
        <f t="shared" si="111"/>
        <v>48606</v>
      </c>
    </row>
    <row r="7169" spans="1:5" x14ac:dyDescent="0.25">
      <c r="A7169" s="2">
        <f>IF(B7169="","",SUBTOTAL(3,$B$2:B7169))</f>
        <v>7168</v>
      </c>
      <c r="B7169" s="9" t="s">
        <v>48</v>
      </c>
      <c r="C7169" s="10" t="s">
        <v>52</v>
      </c>
      <c r="D7169" s="11">
        <v>154.03573629081947</v>
      </c>
      <c r="E7169" s="12">
        <f t="shared" si="111"/>
        <v>48607</v>
      </c>
    </row>
    <row r="7170" spans="1:5" x14ac:dyDescent="0.25">
      <c r="A7170" s="2">
        <f>IF(B7170="","",SUBTOTAL(3,$B$2:B7170))</f>
        <v>7169</v>
      </c>
      <c r="B7170" s="9" t="s">
        <v>48</v>
      </c>
      <c r="C7170" s="10" t="s">
        <v>52</v>
      </c>
      <c r="D7170" s="11">
        <v>154.03573629081947</v>
      </c>
      <c r="E7170" s="12">
        <f t="shared" si="111"/>
        <v>48608</v>
      </c>
    </row>
    <row r="7171" spans="1:5" x14ac:dyDescent="0.25">
      <c r="A7171" s="2">
        <f>IF(B7171="","",SUBTOTAL(3,$B$2:B7171))</f>
        <v>7170</v>
      </c>
      <c r="B7171" s="9" t="s">
        <v>48</v>
      </c>
      <c r="C7171" s="10" t="s">
        <v>52</v>
      </c>
      <c r="D7171" s="11">
        <v>154.03573629081947</v>
      </c>
      <c r="E7171" s="12">
        <f t="shared" si="111"/>
        <v>48609</v>
      </c>
    </row>
    <row r="7172" spans="1:5" x14ac:dyDescent="0.25">
      <c r="A7172" s="2">
        <f>IF(B7172="","",SUBTOTAL(3,$B$2:B7172))</f>
        <v>7171</v>
      </c>
      <c r="B7172" s="9" t="s">
        <v>48</v>
      </c>
      <c r="C7172" s="10" t="s">
        <v>52</v>
      </c>
      <c r="D7172" s="11">
        <v>154.03573629081947</v>
      </c>
      <c r="E7172" s="12">
        <f t="shared" ref="E7172:E7235" si="112">E7171+1</f>
        <v>48610</v>
      </c>
    </row>
    <row r="7173" spans="1:5" x14ac:dyDescent="0.25">
      <c r="A7173" s="2">
        <f>IF(B7173="","",SUBTOTAL(3,$B$2:B7173))</f>
        <v>7172</v>
      </c>
      <c r="B7173" s="9" t="s">
        <v>51</v>
      </c>
      <c r="C7173" s="10" t="s">
        <v>52</v>
      </c>
      <c r="D7173" s="11">
        <v>211.79709837975219</v>
      </c>
      <c r="E7173" s="12">
        <f t="shared" si="112"/>
        <v>48611</v>
      </c>
    </row>
    <row r="7174" spans="1:5" x14ac:dyDescent="0.25">
      <c r="A7174" s="2">
        <f>IF(B7174="","",SUBTOTAL(3,$B$2:B7174))</f>
        <v>7173</v>
      </c>
      <c r="B7174" s="9" t="s">
        <v>48</v>
      </c>
      <c r="C7174" s="10" t="s">
        <v>52</v>
      </c>
      <c r="D7174" s="11">
        <v>77.017868145409736</v>
      </c>
      <c r="E7174" s="12">
        <f t="shared" si="112"/>
        <v>48612</v>
      </c>
    </row>
    <row r="7175" spans="1:5" x14ac:dyDescent="0.25">
      <c r="A7175" s="2">
        <f>IF(B7175="","",SUBTOTAL(3,$B$2:B7175))</f>
        <v>7174</v>
      </c>
      <c r="B7175" s="9" t="s">
        <v>53</v>
      </c>
      <c r="C7175" s="10" t="s">
        <v>52</v>
      </c>
      <c r="D7175" s="11">
        <v>274.75798400908536</v>
      </c>
      <c r="E7175" s="12">
        <f t="shared" si="112"/>
        <v>48613</v>
      </c>
    </row>
    <row r="7176" spans="1:5" x14ac:dyDescent="0.25">
      <c r="A7176" s="2">
        <f>IF(B7176="","",SUBTOTAL(3,$B$2:B7176))</f>
        <v>7175</v>
      </c>
      <c r="B7176" s="9" t="s">
        <v>53</v>
      </c>
      <c r="C7176" s="10" t="s">
        <v>49</v>
      </c>
      <c r="D7176" s="11">
        <v>59.530896535301828</v>
      </c>
      <c r="E7176" s="12">
        <f t="shared" si="112"/>
        <v>48614</v>
      </c>
    </row>
    <row r="7177" spans="1:5" x14ac:dyDescent="0.25">
      <c r="A7177" s="2">
        <f>IF(B7177="","",SUBTOTAL(3,$B$2:B7177))</f>
        <v>7176</v>
      </c>
      <c r="B7177" s="9" t="s">
        <v>50</v>
      </c>
      <c r="C7177" s="10" t="s">
        <v>49</v>
      </c>
      <c r="D7177" s="11">
        <v>22.045855379188712</v>
      </c>
      <c r="E7177" s="12">
        <f t="shared" si="112"/>
        <v>48615</v>
      </c>
    </row>
    <row r="7178" spans="1:5" x14ac:dyDescent="0.25">
      <c r="A7178" s="2">
        <f>IF(B7178="","",SUBTOTAL(3,$B$2:B7178))</f>
        <v>7177</v>
      </c>
      <c r="B7178" s="9" t="s">
        <v>48</v>
      </c>
      <c r="C7178" s="10" t="s">
        <v>54</v>
      </c>
      <c r="D7178" s="11">
        <v>68.941744226128904</v>
      </c>
      <c r="E7178" s="12">
        <f t="shared" si="112"/>
        <v>48616</v>
      </c>
    </row>
    <row r="7179" spans="1:5" x14ac:dyDescent="0.25">
      <c r="A7179" s="2">
        <f>IF(B7179="","",SUBTOTAL(3,$B$2:B7179))</f>
        <v>7178</v>
      </c>
      <c r="B7179" s="9" t="s">
        <v>48</v>
      </c>
      <c r="C7179" s="10" t="s">
        <v>54</v>
      </c>
      <c r="D7179" s="11">
        <v>86.177180282661155</v>
      </c>
      <c r="E7179" s="12">
        <f t="shared" si="112"/>
        <v>48617</v>
      </c>
    </row>
    <row r="7180" spans="1:5" x14ac:dyDescent="0.25">
      <c r="A7180" s="2">
        <f>IF(B7180="","",SUBTOTAL(3,$B$2:B7180))</f>
        <v>7179</v>
      </c>
      <c r="B7180" s="9" t="s">
        <v>48</v>
      </c>
      <c r="C7180" s="10" t="s">
        <v>49</v>
      </c>
      <c r="D7180" s="11">
        <v>72.319889693209234</v>
      </c>
      <c r="E7180" s="12">
        <f t="shared" si="112"/>
        <v>48618</v>
      </c>
    </row>
    <row r="7181" spans="1:5" x14ac:dyDescent="0.25">
      <c r="A7181" s="2">
        <f>IF(B7181="","",SUBTOTAL(3,$B$2:B7181))</f>
        <v>7180</v>
      </c>
      <c r="B7181" s="9" t="s">
        <v>48</v>
      </c>
      <c r="C7181" s="10" t="s">
        <v>54</v>
      </c>
      <c r="D7181" s="11">
        <v>456.39434677697346</v>
      </c>
      <c r="E7181" s="12">
        <f t="shared" si="112"/>
        <v>48619</v>
      </c>
    </row>
    <row r="7182" spans="1:5" x14ac:dyDescent="0.25">
      <c r="A7182" s="2">
        <f>IF(B7182="","",SUBTOTAL(3,$B$2:B7182))</f>
        <v>7181</v>
      </c>
      <c r="B7182" s="9" t="s">
        <v>48</v>
      </c>
      <c r="C7182" s="10" t="s">
        <v>49</v>
      </c>
      <c r="D7182" s="11">
        <v>68.941744226128904</v>
      </c>
      <c r="E7182" s="12">
        <f t="shared" si="112"/>
        <v>48620</v>
      </c>
    </row>
    <row r="7183" spans="1:5" x14ac:dyDescent="0.25">
      <c r="A7183" s="2">
        <f>IF(B7183="","",SUBTOTAL(3,$B$2:B7183))</f>
        <v>7182</v>
      </c>
      <c r="B7183" s="9" t="s">
        <v>48</v>
      </c>
      <c r="C7183" s="10" t="s">
        <v>49</v>
      </c>
      <c r="D7183" s="11">
        <v>92.421441774491683</v>
      </c>
      <c r="E7183" s="12">
        <f t="shared" si="112"/>
        <v>48621</v>
      </c>
    </row>
    <row r="7184" spans="1:5" x14ac:dyDescent="0.25">
      <c r="A7184" s="2">
        <f>IF(B7184="","",SUBTOTAL(3,$B$2:B7184))</f>
        <v>7183</v>
      </c>
      <c r="B7184" s="9" t="s">
        <v>48</v>
      </c>
      <c r="C7184" s="10" t="s">
        <v>49</v>
      </c>
      <c r="D7184" s="11">
        <v>123.22858903265558</v>
      </c>
      <c r="E7184" s="12">
        <f t="shared" si="112"/>
        <v>48622</v>
      </c>
    </row>
    <row r="7185" spans="1:5" x14ac:dyDescent="0.25">
      <c r="A7185" s="2">
        <f>IF(B7185="","",SUBTOTAL(3,$B$2:B7185))</f>
        <v>7184</v>
      </c>
      <c r="B7185" s="9" t="s">
        <v>48</v>
      </c>
      <c r="C7185" s="10" t="s">
        <v>49</v>
      </c>
      <c r="D7185" s="11">
        <v>61.614294516327789</v>
      </c>
      <c r="E7185" s="12">
        <f t="shared" si="112"/>
        <v>48623</v>
      </c>
    </row>
    <row r="7186" spans="1:5" x14ac:dyDescent="0.25">
      <c r="A7186" s="2">
        <f>IF(B7186="","",SUBTOTAL(3,$B$2:B7186))</f>
        <v>7185</v>
      </c>
      <c r="B7186" s="9" t="s">
        <v>48</v>
      </c>
      <c r="C7186" s="10" t="s">
        <v>52</v>
      </c>
      <c r="D7186" s="11">
        <v>123.22858903265558</v>
      </c>
      <c r="E7186" s="12">
        <f t="shared" si="112"/>
        <v>48624</v>
      </c>
    </row>
    <row r="7187" spans="1:5" x14ac:dyDescent="0.25">
      <c r="A7187" s="2">
        <f>IF(B7187="","",SUBTOTAL(3,$B$2:B7187))</f>
        <v>7186</v>
      </c>
      <c r="B7187" s="9" t="s">
        <v>55</v>
      </c>
      <c r="C7187" s="10" t="s">
        <v>49</v>
      </c>
      <c r="D7187" s="11">
        <v>263.27987320255437</v>
      </c>
      <c r="E7187" s="12">
        <f t="shared" si="112"/>
        <v>48625</v>
      </c>
    </row>
    <row r="7188" spans="1:5" x14ac:dyDescent="0.25">
      <c r="A7188" s="2">
        <f>IF(B7188="","",SUBTOTAL(3,$B$2:B7188))</f>
        <v>7187</v>
      </c>
      <c r="B7188" s="9" t="s">
        <v>48</v>
      </c>
      <c r="C7188" s="10" t="s">
        <v>52</v>
      </c>
      <c r="D7188" s="11">
        <v>154.03573629081947</v>
      </c>
      <c r="E7188" s="12">
        <f t="shared" si="112"/>
        <v>48626</v>
      </c>
    </row>
    <row r="7189" spans="1:5" x14ac:dyDescent="0.25">
      <c r="A7189" s="2">
        <f>IF(B7189="","",SUBTOTAL(3,$B$2:B7189))</f>
        <v>7188</v>
      </c>
      <c r="B7189" s="9" t="s">
        <v>48</v>
      </c>
      <c r="C7189" s="10" t="s">
        <v>52</v>
      </c>
      <c r="D7189" s="11">
        <v>154.03573629081947</v>
      </c>
      <c r="E7189" s="12">
        <f t="shared" si="112"/>
        <v>48627</v>
      </c>
    </row>
    <row r="7190" spans="1:5" x14ac:dyDescent="0.25">
      <c r="A7190" s="2">
        <f>IF(B7190="","",SUBTOTAL(3,$B$2:B7190))</f>
        <v>7189</v>
      </c>
      <c r="B7190" s="9" t="s">
        <v>48</v>
      </c>
      <c r="C7190" s="10" t="s">
        <v>52</v>
      </c>
      <c r="D7190" s="11">
        <v>154.03573629081947</v>
      </c>
      <c r="E7190" s="12">
        <f t="shared" si="112"/>
        <v>48628</v>
      </c>
    </row>
    <row r="7191" spans="1:5" x14ac:dyDescent="0.25">
      <c r="A7191" s="2">
        <f>IF(B7191="","",SUBTOTAL(3,$B$2:B7191))</f>
        <v>7190</v>
      </c>
      <c r="B7191" s="9" t="s">
        <v>48</v>
      </c>
      <c r="C7191" s="10" t="s">
        <v>52</v>
      </c>
      <c r="D7191" s="11">
        <v>154.03573629081947</v>
      </c>
      <c r="E7191" s="12">
        <f t="shared" si="112"/>
        <v>48629</v>
      </c>
    </row>
    <row r="7192" spans="1:5" x14ac:dyDescent="0.25">
      <c r="A7192" s="2">
        <f>IF(B7192="","",SUBTOTAL(3,$B$2:B7192))</f>
        <v>7191</v>
      </c>
      <c r="B7192" s="9" t="s">
        <v>48</v>
      </c>
      <c r="C7192" s="10" t="s">
        <v>52</v>
      </c>
      <c r="D7192" s="11">
        <v>128.48020762401552</v>
      </c>
      <c r="E7192" s="12">
        <f t="shared" si="112"/>
        <v>48630</v>
      </c>
    </row>
    <row r="7193" spans="1:5" x14ac:dyDescent="0.25">
      <c r="A7193" s="2">
        <f>IF(B7193="","",SUBTOTAL(3,$B$2:B7193))</f>
        <v>7192</v>
      </c>
      <c r="B7193" s="9" t="s">
        <v>48</v>
      </c>
      <c r="C7193" s="10" t="s">
        <v>52</v>
      </c>
      <c r="D7193" s="11">
        <v>50.107280973366052</v>
      </c>
      <c r="E7193" s="12">
        <f t="shared" si="112"/>
        <v>48631</v>
      </c>
    </row>
    <row r="7194" spans="1:5" x14ac:dyDescent="0.25">
      <c r="A7194" s="2">
        <f>IF(B7194="","",SUBTOTAL(3,$B$2:B7194))</f>
        <v>7193</v>
      </c>
      <c r="B7194" s="9" t="s">
        <v>48</v>
      </c>
      <c r="C7194" s="10" t="s">
        <v>49</v>
      </c>
      <c r="D7194" s="11">
        <v>4.1365046535677346</v>
      </c>
      <c r="E7194" s="12">
        <f t="shared" si="112"/>
        <v>48632</v>
      </c>
    </row>
    <row r="7195" spans="1:5" x14ac:dyDescent="0.25">
      <c r="A7195" s="2">
        <f>IF(B7195="","",SUBTOTAL(3,$B$2:B7195))</f>
        <v>7194</v>
      </c>
      <c r="B7195" s="9" t="s">
        <v>48</v>
      </c>
      <c r="C7195" s="10" t="s">
        <v>49</v>
      </c>
      <c r="D7195" s="11">
        <v>79.362288865908297</v>
      </c>
      <c r="E7195" s="12">
        <f t="shared" si="112"/>
        <v>48633</v>
      </c>
    </row>
    <row r="7196" spans="1:5" x14ac:dyDescent="0.25">
      <c r="A7196" s="2">
        <f>IF(B7196="","",SUBTOTAL(3,$B$2:B7196))</f>
        <v>7195</v>
      </c>
      <c r="B7196" s="9" t="s">
        <v>50</v>
      </c>
      <c r="C7196" s="10" t="s">
        <v>49</v>
      </c>
      <c r="D7196" s="11">
        <v>110.22927689594357</v>
      </c>
      <c r="E7196" s="12">
        <f t="shared" si="112"/>
        <v>48634</v>
      </c>
    </row>
    <row r="7197" spans="1:5" x14ac:dyDescent="0.25">
      <c r="A7197" s="2">
        <f>IF(B7197="","",SUBTOTAL(3,$B$2:B7197))</f>
        <v>7196</v>
      </c>
      <c r="B7197" s="9" t="s">
        <v>48</v>
      </c>
      <c r="C7197" s="10" t="s">
        <v>52</v>
      </c>
      <c r="D7197" s="11">
        <v>65.465187923598279</v>
      </c>
      <c r="E7197" s="12">
        <f t="shared" si="112"/>
        <v>48635</v>
      </c>
    </row>
    <row r="7198" spans="1:5" x14ac:dyDescent="0.25">
      <c r="A7198" s="2">
        <f>IF(B7198="","",SUBTOTAL(3,$B$2:B7198))</f>
        <v>7197</v>
      </c>
      <c r="B7198" s="9" t="s">
        <v>48</v>
      </c>
      <c r="C7198" s="10" t="s">
        <v>49</v>
      </c>
      <c r="D7198" s="11">
        <v>30.807147258163894</v>
      </c>
      <c r="E7198" s="12">
        <f t="shared" si="112"/>
        <v>48636</v>
      </c>
    </row>
    <row r="7199" spans="1:5" x14ac:dyDescent="0.25">
      <c r="A7199" s="2">
        <f>IF(B7199="","",SUBTOTAL(3,$B$2:B7199))</f>
        <v>7198</v>
      </c>
      <c r="B7199" s="9" t="s">
        <v>50</v>
      </c>
      <c r="C7199" s="10" t="s">
        <v>49</v>
      </c>
      <c r="D7199" s="11">
        <v>3.5273368606701943</v>
      </c>
      <c r="E7199" s="12">
        <f t="shared" si="112"/>
        <v>48637</v>
      </c>
    </row>
    <row r="7200" spans="1:5" x14ac:dyDescent="0.25">
      <c r="A7200" s="2">
        <f>IF(B7200="","",SUBTOTAL(3,$B$2:B7200))</f>
        <v>7199</v>
      </c>
      <c r="B7200" s="9" t="s">
        <v>48</v>
      </c>
      <c r="C7200" s="10" t="s">
        <v>49</v>
      </c>
      <c r="D7200" s="11">
        <v>5.5153395380903127</v>
      </c>
      <c r="E7200" s="12">
        <f t="shared" si="112"/>
        <v>48638</v>
      </c>
    </row>
    <row r="7201" spans="1:5" x14ac:dyDescent="0.25">
      <c r="A7201" s="2">
        <f>IF(B7201="","",SUBTOTAL(3,$B$2:B7201))</f>
        <v>7200</v>
      </c>
      <c r="B7201" s="9" t="s">
        <v>48</v>
      </c>
      <c r="C7201" s="10" t="s">
        <v>56</v>
      </c>
      <c r="D7201" s="11">
        <v>15.511892450879007</v>
      </c>
      <c r="E7201" s="12">
        <f t="shared" si="112"/>
        <v>48639</v>
      </c>
    </row>
    <row r="7202" spans="1:5" x14ac:dyDescent="0.25">
      <c r="A7202" s="2">
        <f>IF(B7202="","",SUBTOTAL(3,$B$2:B7202))</f>
        <v>7201</v>
      </c>
      <c r="B7202" s="9" t="s">
        <v>50</v>
      </c>
      <c r="C7202" s="10" t="s">
        <v>52</v>
      </c>
      <c r="D7202" s="11">
        <v>55.114638447971785</v>
      </c>
      <c r="E7202" s="12">
        <f t="shared" si="112"/>
        <v>48640</v>
      </c>
    </row>
    <row r="7203" spans="1:5" x14ac:dyDescent="0.25">
      <c r="A7203" s="2">
        <f>IF(B7203="","",SUBTOTAL(3,$B$2:B7203))</f>
        <v>7202</v>
      </c>
      <c r="B7203" s="9" t="s">
        <v>50</v>
      </c>
      <c r="C7203" s="10" t="s">
        <v>54</v>
      </c>
      <c r="D7203" s="11">
        <v>4.409171075837742</v>
      </c>
      <c r="E7203" s="12">
        <f t="shared" si="112"/>
        <v>48641</v>
      </c>
    </row>
    <row r="7204" spans="1:5" x14ac:dyDescent="0.25">
      <c r="A7204" s="2">
        <f>IF(B7204="","",SUBTOTAL(3,$B$2:B7204))</f>
        <v>7203</v>
      </c>
      <c r="B7204" s="9" t="s">
        <v>48</v>
      </c>
      <c r="C7204" s="10" t="s">
        <v>49</v>
      </c>
      <c r="D7204" s="11">
        <v>61.614294516327789</v>
      </c>
      <c r="E7204" s="12">
        <f t="shared" si="112"/>
        <v>48642</v>
      </c>
    </row>
    <row r="7205" spans="1:5" x14ac:dyDescent="0.25">
      <c r="A7205" s="2">
        <f>IF(B7205="","",SUBTOTAL(3,$B$2:B7205))</f>
        <v>7204</v>
      </c>
      <c r="B7205" s="9" t="s">
        <v>48</v>
      </c>
      <c r="C7205" s="10" t="s">
        <v>49</v>
      </c>
      <c r="D7205" s="11">
        <v>61.614294516327789</v>
      </c>
      <c r="E7205" s="12">
        <f t="shared" si="112"/>
        <v>48643</v>
      </c>
    </row>
    <row r="7206" spans="1:5" x14ac:dyDescent="0.25">
      <c r="A7206" s="2">
        <f>IF(B7206="","",SUBTOTAL(3,$B$2:B7206))</f>
        <v>7205</v>
      </c>
      <c r="B7206" s="9" t="s">
        <v>48</v>
      </c>
      <c r="C7206" s="10" t="s">
        <v>49</v>
      </c>
      <c r="D7206" s="11">
        <v>61.614294516327789</v>
      </c>
      <c r="E7206" s="12">
        <f t="shared" si="112"/>
        <v>48644</v>
      </c>
    </row>
    <row r="7207" spans="1:5" x14ac:dyDescent="0.25">
      <c r="A7207" s="2">
        <f>IF(B7207="","",SUBTOTAL(3,$B$2:B7207))</f>
        <v>7206</v>
      </c>
      <c r="B7207" s="9" t="s">
        <v>48</v>
      </c>
      <c r="C7207" s="10" t="s">
        <v>49</v>
      </c>
      <c r="D7207" s="11">
        <v>61.614294516327789</v>
      </c>
      <c r="E7207" s="12">
        <f t="shared" si="112"/>
        <v>48645</v>
      </c>
    </row>
    <row r="7208" spans="1:5" x14ac:dyDescent="0.25">
      <c r="A7208" s="2">
        <f>IF(B7208="","",SUBTOTAL(3,$B$2:B7208))</f>
        <v>7207</v>
      </c>
      <c r="B7208" s="9" t="s">
        <v>48</v>
      </c>
      <c r="C7208" s="10" t="s">
        <v>52</v>
      </c>
      <c r="D7208" s="11">
        <v>92.421441774491683</v>
      </c>
      <c r="E7208" s="12">
        <f t="shared" si="112"/>
        <v>48646</v>
      </c>
    </row>
    <row r="7209" spans="1:5" x14ac:dyDescent="0.25">
      <c r="A7209" s="2">
        <f>IF(B7209="","",SUBTOTAL(3,$B$2:B7209))</f>
        <v>7208</v>
      </c>
      <c r="B7209" s="9" t="s">
        <v>48</v>
      </c>
      <c r="C7209" s="10" t="s">
        <v>52</v>
      </c>
      <c r="D7209" s="11">
        <v>92.421441774491683</v>
      </c>
      <c r="E7209" s="12">
        <f t="shared" si="112"/>
        <v>48647</v>
      </c>
    </row>
    <row r="7210" spans="1:5" x14ac:dyDescent="0.25">
      <c r="A7210" s="2">
        <f>IF(B7210="","",SUBTOTAL(3,$B$2:B7210))</f>
        <v>7209</v>
      </c>
      <c r="B7210" s="9" t="s">
        <v>48</v>
      </c>
      <c r="C7210" s="10" t="s">
        <v>52</v>
      </c>
      <c r="D7210" s="11">
        <v>92.421441774491683</v>
      </c>
      <c r="E7210" s="12">
        <f t="shared" si="112"/>
        <v>48648</v>
      </c>
    </row>
    <row r="7211" spans="1:5" x14ac:dyDescent="0.25">
      <c r="A7211" s="2">
        <f>IF(B7211="","",SUBTOTAL(3,$B$2:B7211))</f>
        <v>7210</v>
      </c>
      <c r="B7211" s="9" t="s">
        <v>48</v>
      </c>
      <c r="C7211" s="10" t="s">
        <v>52</v>
      </c>
      <c r="D7211" s="11">
        <v>92.421441774491683</v>
      </c>
      <c r="E7211" s="12">
        <f t="shared" si="112"/>
        <v>48649</v>
      </c>
    </row>
    <row r="7212" spans="1:5" x14ac:dyDescent="0.25">
      <c r="A7212" s="2">
        <f>IF(B7212="","",SUBTOTAL(3,$B$2:B7212))</f>
        <v>7211</v>
      </c>
      <c r="B7212" s="9" t="s">
        <v>48</v>
      </c>
      <c r="C7212" s="10" t="s">
        <v>52</v>
      </c>
      <c r="D7212" s="11">
        <v>92.421441774491683</v>
      </c>
      <c r="E7212" s="12">
        <f t="shared" si="112"/>
        <v>48650</v>
      </c>
    </row>
    <row r="7213" spans="1:5" x14ac:dyDescent="0.25">
      <c r="A7213" s="2">
        <f>IF(B7213="","",SUBTOTAL(3,$B$2:B7213))</f>
        <v>7212</v>
      </c>
      <c r="B7213" s="9" t="s">
        <v>48</v>
      </c>
      <c r="C7213" s="10" t="s">
        <v>52</v>
      </c>
      <c r="D7213" s="11">
        <v>92.421441774491683</v>
      </c>
      <c r="E7213" s="12">
        <f t="shared" si="112"/>
        <v>48651</v>
      </c>
    </row>
    <row r="7214" spans="1:5" x14ac:dyDescent="0.25">
      <c r="A7214" s="2">
        <f>IF(B7214="","",SUBTOTAL(3,$B$2:B7214))</f>
        <v>7213</v>
      </c>
      <c r="B7214" s="9" t="s">
        <v>48</v>
      </c>
      <c r="C7214" s="10" t="s">
        <v>52</v>
      </c>
      <c r="D7214" s="11">
        <v>92.421441774491683</v>
      </c>
      <c r="E7214" s="12">
        <f t="shared" si="112"/>
        <v>48652</v>
      </c>
    </row>
    <row r="7215" spans="1:5" x14ac:dyDescent="0.25">
      <c r="A7215" s="2">
        <f>IF(B7215="","",SUBTOTAL(3,$B$2:B7215))</f>
        <v>7214</v>
      </c>
      <c r="B7215" s="9" t="s">
        <v>48</v>
      </c>
      <c r="C7215" s="10" t="s">
        <v>52</v>
      </c>
      <c r="D7215" s="11">
        <v>92.421441774491683</v>
      </c>
      <c r="E7215" s="12">
        <f t="shared" si="112"/>
        <v>48653</v>
      </c>
    </row>
    <row r="7216" spans="1:5" x14ac:dyDescent="0.25">
      <c r="A7216" s="2">
        <f>IF(B7216="","",SUBTOTAL(3,$B$2:B7216))</f>
        <v>7215</v>
      </c>
      <c r="B7216" s="9" t="s">
        <v>48</v>
      </c>
      <c r="C7216" s="10" t="s">
        <v>52</v>
      </c>
      <c r="D7216" s="11">
        <v>92.421441774491683</v>
      </c>
      <c r="E7216" s="12">
        <f t="shared" si="112"/>
        <v>48654</v>
      </c>
    </row>
    <row r="7217" spans="1:5" x14ac:dyDescent="0.25">
      <c r="A7217" s="2">
        <f>IF(B7217="","",SUBTOTAL(3,$B$2:B7217))</f>
        <v>7216</v>
      </c>
      <c r="B7217" s="9" t="s">
        <v>48</v>
      </c>
      <c r="C7217" s="10" t="s">
        <v>52</v>
      </c>
      <c r="D7217" s="11">
        <v>92.421441774491683</v>
      </c>
      <c r="E7217" s="12">
        <f t="shared" si="112"/>
        <v>48655</v>
      </c>
    </row>
    <row r="7218" spans="1:5" x14ac:dyDescent="0.25">
      <c r="A7218" s="2">
        <f>IF(B7218="","",SUBTOTAL(3,$B$2:B7218))</f>
        <v>7217</v>
      </c>
      <c r="B7218" s="9" t="s">
        <v>51</v>
      </c>
      <c r="C7218" s="10" t="s">
        <v>52</v>
      </c>
      <c r="D7218" s="11">
        <v>162.0614212786646</v>
      </c>
      <c r="E7218" s="12">
        <f t="shared" si="112"/>
        <v>48656</v>
      </c>
    </row>
    <row r="7219" spans="1:5" x14ac:dyDescent="0.25">
      <c r="A7219" s="2">
        <f>IF(B7219="","",SUBTOTAL(3,$B$2:B7219))</f>
        <v>7218</v>
      </c>
      <c r="B7219" s="9" t="s">
        <v>51</v>
      </c>
      <c r="C7219" s="10" t="s">
        <v>54</v>
      </c>
      <c r="D7219" s="11">
        <v>127.92862437784602</v>
      </c>
      <c r="E7219" s="12">
        <f t="shared" si="112"/>
        <v>48657</v>
      </c>
    </row>
    <row r="7220" spans="1:5" x14ac:dyDescent="0.25">
      <c r="A7220" s="2">
        <f>IF(B7220="","",SUBTOTAL(3,$B$2:B7220))</f>
        <v>7219</v>
      </c>
      <c r="B7220" s="9" t="s">
        <v>48</v>
      </c>
      <c r="C7220" s="10" t="s">
        <v>52</v>
      </c>
      <c r="D7220" s="11">
        <v>184.84288354898337</v>
      </c>
      <c r="E7220" s="12">
        <f t="shared" si="112"/>
        <v>48658</v>
      </c>
    </row>
    <row r="7221" spans="1:5" x14ac:dyDescent="0.25">
      <c r="A7221" s="2">
        <f>IF(B7221="","",SUBTOTAL(3,$B$2:B7221))</f>
        <v>7220</v>
      </c>
      <c r="B7221" s="9" t="s">
        <v>51</v>
      </c>
      <c r="C7221" s="10" t="s">
        <v>52</v>
      </c>
      <c r="D7221" s="11">
        <v>26.474637297469023</v>
      </c>
      <c r="E7221" s="12">
        <f t="shared" si="112"/>
        <v>48659</v>
      </c>
    </row>
    <row r="7222" spans="1:5" x14ac:dyDescent="0.25">
      <c r="A7222" s="2">
        <f>IF(B7222="","",SUBTOTAL(3,$B$2:B7222))</f>
        <v>7221</v>
      </c>
      <c r="B7222" s="9" t="s">
        <v>48</v>
      </c>
      <c r="C7222" s="10" t="s">
        <v>49</v>
      </c>
      <c r="D7222" s="11">
        <v>61.614294516327789</v>
      </c>
      <c r="E7222" s="12">
        <f t="shared" si="112"/>
        <v>48660</v>
      </c>
    </row>
    <row r="7223" spans="1:5" x14ac:dyDescent="0.25">
      <c r="A7223" s="2">
        <f>IF(B7223="","",SUBTOTAL(3,$B$2:B7223))</f>
        <v>7222</v>
      </c>
      <c r="B7223" s="9" t="s">
        <v>48</v>
      </c>
      <c r="C7223" s="10" t="s">
        <v>56</v>
      </c>
      <c r="D7223" s="11">
        <v>107.82501540357363</v>
      </c>
      <c r="E7223" s="12">
        <f t="shared" si="112"/>
        <v>48661</v>
      </c>
    </row>
    <row r="7224" spans="1:5" x14ac:dyDescent="0.25">
      <c r="A7224" s="2">
        <f>IF(B7224="","",SUBTOTAL(3,$B$2:B7224))</f>
        <v>7223</v>
      </c>
      <c r="B7224" s="9" t="s">
        <v>48</v>
      </c>
      <c r="C7224" s="10" t="s">
        <v>52</v>
      </c>
      <c r="D7224" s="11">
        <v>92.421441774491683</v>
      </c>
      <c r="E7224" s="12">
        <f t="shared" si="112"/>
        <v>48662</v>
      </c>
    </row>
    <row r="7225" spans="1:5" x14ac:dyDescent="0.25">
      <c r="A7225" s="2">
        <f>IF(B7225="","",SUBTOTAL(3,$B$2:B7225))</f>
        <v>7224</v>
      </c>
      <c r="B7225" s="9" t="s">
        <v>55</v>
      </c>
      <c r="C7225" s="10" t="s">
        <v>49</v>
      </c>
      <c r="D7225" s="11">
        <v>4.0215088805605346</v>
      </c>
      <c r="E7225" s="12">
        <f t="shared" si="112"/>
        <v>48663</v>
      </c>
    </row>
    <row r="7226" spans="1:5" x14ac:dyDescent="0.25">
      <c r="A7226" s="2">
        <f>IF(B7226="","",SUBTOTAL(3,$B$2:B7226))</f>
        <v>7225</v>
      </c>
      <c r="B7226" s="9" t="s">
        <v>55</v>
      </c>
      <c r="C7226" s="10" t="s">
        <v>54</v>
      </c>
      <c r="D7226" s="11">
        <v>2.0694150236271796</v>
      </c>
      <c r="E7226" s="12">
        <f t="shared" si="112"/>
        <v>48664</v>
      </c>
    </row>
    <row r="7227" spans="1:5" x14ac:dyDescent="0.25">
      <c r="A7227" s="2">
        <f>IF(B7227="","",SUBTOTAL(3,$B$2:B7227))</f>
        <v>7226</v>
      </c>
      <c r="B7227" s="9" t="s">
        <v>48</v>
      </c>
      <c r="C7227" s="10" t="s">
        <v>54</v>
      </c>
      <c r="D7227" s="11">
        <v>68.941744226128904</v>
      </c>
      <c r="E7227" s="12">
        <f t="shared" si="112"/>
        <v>48665</v>
      </c>
    </row>
    <row r="7228" spans="1:5" x14ac:dyDescent="0.25">
      <c r="A7228" s="2">
        <f>IF(B7228="","",SUBTOTAL(3,$B$2:B7228))</f>
        <v>7227</v>
      </c>
      <c r="B7228" s="9" t="s">
        <v>48</v>
      </c>
      <c r="C7228" s="10" t="s">
        <v>54</v>
      </c>
      <c r="D7228" s="11">
        <v>68.941744226128904</v>
      </c>
      <c r="E7228" s="12">
        <f t="shared" si="112"/>
        <v>48666</v>
      </c>
    </row>
    <row r="7229" spans="1:5" x14ac:dyDescent="0.25">
      <c r="A7229" s="2">
        <f>IF(B7229="","",SUBTOTAL(3,$B$2:B7229))</f>
        <v>7228</v>
      </c>
      <c r="B7229" s="9" t="s">
        <v>48</v>
      </c>
      <c r="C7229" s="10" t="s">
        <v>54</v>
      </c>
      <c r="D7229" s="11">
        <v>68.941744226128904</v>
      </c>
      <c r="E7229" s="12">
        <f t="shared" si="112"/>
        <v>48667</v>
      </c>
    </row>
    <row r="7230" spans="1:5" x14ac:dyDescent="0.25">
      <c r="A7230" s="2">
        <f>IF(B7230="","",SUBTOTAL(3,$B$2:B7230))</f>
        <v>7229</v>
      </c>
      <c r="B7230" s="9" t="s">
        <v>48</v>
      </c>
      <c r="C7230" s="10" t="s">
        <v>54</v>
      </c>
      <c r="D7230" s="11">
        <v>86.177180282661155</v>
      </c>
      <c r="E7230" s="12">
        <f t="shared" si="112"/>
        <v>48668</v>
      </c>
    </row>
    <row r="7231" spans="1:5" x14ac:dyDescent="0.25">
      <c r="A7231" s="2">
        <f>IF(B7231="","",SUBTOTAL(3,$B$2:B7231))</f>
        <v>7230</v>
      </c>
      <c r="B7231" s="9" t="s">
        <v>48</v>
      </c>
      <c r="C7231" s="10" t="s">
        <v>49</v>
      </c>
      <c r="D7231" s="11">
        <v>16.890727335401586</v>
      </c>
      <c r="E7231" s="12">
        <f t="shared" si="112"/>
        <v>48669</v>
      </c>
    </row>
    <row r="7232" spans="1:5" x14ac:dyDescent="0.25">
      <c r="A7232" s="2">
        <f>IF(B7232="","",SUBTOTAL(3,$B$2:B7232))</f>
        <v>7231</v>
      </c>
      <c r="B7232" s="9" t="s">
        <v>50</v>
      </c>
      <c r="C7232" s="10" t="s">
        <v>54</v>
      </c>
      <c r="D7232" s="11">
        <v>11.022927689594356</v>
      </c>
      <c r="E7232" s="12">
        <f t="shared" si="112"/>
        <v>48670</v>
      </c>
    </row>
    <row r="7233" spans="1:5" x14ac:dyDescent="0.25">
      <c r="A7233" s="2">
        <f>IF(B7233="","",SUBTOTAL(3,$B$2:B7233))</f>
        <v>7232</v>
      </c>
      <c r="B7233" s="9" t="s">
        <v>48</v>
      </c>
      <c r="C7233" s="10" t="s">
        <v>54</v>
      </c>
      <c r="D7233" s="11">
        <v>20.556833219842485</v>
      </c>
      <c r="E7233" s="12">
        <f t="shared" si="112"/>
        <v>48671</v>
      </c>
    </row>
    <row r="7234" spans="1:5" x14ac:dyDescent="0.25">
      <c r="A7234" s="2">
        <f>IF(B7234="","",SUBTOTAL(3,$B$2:B7234))</f>
        <v>7233</v>
      </c>
      <c r="B7234" s="9" t="s">
        <v>48</v>
      </c>
      <c r="C7234" s="10" t="s">
        <v>49</v>
      </c>
      <c r="D7234" s="11">
        <v>46.210720887245841</v>
      </c>
      <c r="E7234" s="12">
        <f t="shared" si="112"/>
        <v>48672</v>
      </c>
    </row>
    <row r="7235" spans="1:5" x14ac:dyDescent="0.25">
      <c r="A7235" s="2">
        <f>IF(B7235="","",SUBTOTAL(3,$B$2:B7235))</f>
        <v>7234</v>
      </c>
      <c r="B7235" s="9" t="s">
        <v>48</v>
      </c>
      <c r="C7235" s="10" t="s">
        <v>52</v>
      </c>
      <c r="D7235" s="11">
        <v>92.421441774491683</v>
      </c>
      <c r="E7235" s="12">
        <f t="shared" si="112"/>
        <v>48673</v>
      </c>
    </row>
    <row r="7236" spans="1:5" x14ac:dyDescent="0.25">
      <c r="A7236" s="2">
        <f>IF(B7236="","",SUBTOTAL(3,$B$2:B7236))</f>
        <v>7235</v>
      </c>
      <c r="B7236" s="9" t="s">
        <v>48</v>
      </c>
      <c r="C7236" s="10" t="s">
        <v>49</v>
      </c>
      <c r="D7236" s="11">
        <v>33.887861983980287</v>
      </c>
      <c r="E7236" s="12">
        <f t="shared" ref="E7236:E7299" si="113">E7235+1</f>
        <v>48674</v>
      </c>
    </row>
    <row r="7237" spans="1:5" x14ac:dyDescent="0.25">
      <c r="A7237" s="2">
        <f>IF(B7237="","",SUBTOTAL(3,$B$2:B7237))</f>
        <v>7236</v>
      </c>
      <c r="B7237" s="9" t="s">
        <v>48</v>
      </c>
      <c r="C7237" s="10" t="s">
        <v>49</v>
      </c>
      <c r="D7237" s="11">
        <v>61.614294516327789</v>
      </c>
      <c r="E7237" s="12">
        <f t="shared" si="113"/>
        <v>48675</v>
      </c>
    </row>
    <row r="7238" spans="1:5" x14ac:dyDescent="0.25">
      <c r="A7238" s="2">
        <f>IF(B7238="","",SUBTOTAL(3,$B$2:B7238))</f>
        <v>7237</v>
      </c>
      <c r="B7238" s="9" t="s">
        <v>53</v>
      </c>
      <c r="C7238" s="10" t="s">
        <v>54</v>
      </c>
      <c r="D7238" s="11">
        <v>73.2687957357561</v>
      </c>
      <c r="E7238" s="12">
        <f t="shared" si="113"/>
        <v>48676</v>
      </c>
    </row>
    <row r="7239" spans="1:5" x14ac:dyDescent="0.25">
      <c r="A7239" s="2">
        <f>IF(B7239="","",SUBTOTAL(3,$B$2:B7239))</f>
        <v>7238</v>
      </c>
      <c r="B7239" s="9" t="s">
        <v>53</v>
      </c>
      <c r="C7239" s="10" t="s">
        <v>49</v>
      </c>
      <c r="D7239" s="11">
        <v>228.96498667423779</v>
      </c>
      <c r="E7239" s="12">
        <f t="shared" si="113"/>
        <v>48677</v>
      </c>
    </row>
    <row r="7240" spans="1:5" x14ac:dyDescent="0.25">
      <c r="A7240" s="2">
        <f>IF(B7240="","",SUBTOTAL(3,$B$2:B7240))</f>
        <v>7239</v>
      </c>
      <c r="B7240" s="9" t="s">
        <v>50</v>
      </c>
      <c r="C7240" s="10" t="s">
        <v>49</v>
      </c>
      <c r="D7240" s="11">
        <v>220.45855379188714</v>
      </c>
      <c r="E7240" s="12">
        <f t="shared" si="113"/>
        <v>48678</v>
      </c>
    </row>
    <row r="7241" spans="1:5" x14ac:dyDescent="0.25">
      <c r="A7241" s="2">
        <f>IF(B7241="","",SUBTOTAL(3,$B$2:B7241))</f>
        <v>7240</v>
      </c>
      <c r="B7241" s="9" t="s">
        <v>48</v>
      </c>
      <c r="C7241" s="10" t="s">
        <v>49</v>
      </c>
      <c r="D7241" s="11">
        <v>630.72612892106167</v>
      </c>
      <c r="E7241" s="12">
        <f t="shared" si="113"/>
        <v>48679</v>
      </c>
    </row>
    <row r="7242" spans="1:5" x14ac:dyDescent="0.25">
      <c r="A7242" s="2">
        <f>IF(B7242="","",SUBTOTAL(3,$B$2:B7242))</f>
        <v>7241</v>
      </c>
      <c r="B7242" s="9" t="s">
        <v>51</v>
      </c>
      <c r="C7242" s="10" t="s">
        <v>54</v>
      </c>
      <c r="D7242" s="11">
        <v>200</v>
      </c>
      <c r="E7242" s="12">
        <f t="shared" si="113"/>
        <v>48680</v>
      </c>
    </row>
    <row r="7243" spans="1:5" x14ac:dyDescent="0.25">
      <c r="A7243" s="2">
        <f>IF(B7243="","",SUBTOTAL(3,$B$2:B7243))</f>
        <v>7242</v>
      </c>
      <c r="B7243" s="9" t="s">
        <v>48</v>
      </c>
      <c r="C7243" s="10" t="s">
        <v>52</v>
      </c>
      <c r="D7243" s="11">
        <v>154.03573629081947</v>
      </c>
      <c r="E7243" s="12">
        <f t="shared" si="113"/>
        <v>48681</v>
      </c>
    </row>
    <row r="7244" spans="1:5" x14ac:dyDescent="0.25">
      <c r="A7244" s="2">
        <f>IF(B7244="","",SUBTOTAL(3,$B$2:B7244))</f>
        <v>7243</v>
      </c>
      <c r="B7244" s="9" t="s">
        <v>48</v>
      </c>
      <c r="C7244" s="10" t="s">
        <v>52</v>
      </c>
      <c r="D7244" s="11">
        <v>123.22858903265558</v>
      </c>
      <c r="E7244" s="12">
        <f t="shared" si="113"/>
        <v>48682</v>
      </c>
    </row>
    <row r="7245" spans="1:5" x14ac:dyDescent="0.25">
      <c r="A7245" s="2">
        <f>IF(B7245="","",SUBTOTAL(3,$B$2:B7245))</f>
        <v>7244</v>
      </c>
      <c r="B7245" s="9" t="s">
        <v>48</v>
      </c>
      <c r="C7245" s="10" t="s">
        <v>52</v>
      </c>
      <c r="D7245" s="11">
        <v>101.66358595194086</v>
      </c>
      <c r="E7245" s="12">
        <f t="shared" si="113"/>
        <v>48683</v>
      </c>
    </row>
    <row r="7246" spans="1:5" x14ac:dyDescent="0.25">
      <c r="A7246" s="2">
        <f>IF(B7246="","",SUBTOTAL(3,$B$2:B7246))</f>
        <v>7245</v>
      </c>
      <c r="B7246" s="9" t="s">
        <v>51</v>
      </c>
      <c r="C7246" s="10" t="s">
        <v>54</v>
      </c>
      <c r="D7246" s="11">
        <v>52.5</v>
      </c>
      <c r="E7246" s="12">
        <f t="shared" si="113"/>
        <v>48684</v>
      </c>
    </row>
    <row r="7247" spans="1:5" x14ac:dyDescent="0.25">
      <c r="A7247" s="2">
        <f>IF(B7247="","",SUBTOTAL(3,$B$2:B7247))</f>
        <v>7246</v>
      </c>
      <c r="B7247" s="9" t="s">
        <v>48</v>
      </c>
      <c r="C7247" s="10" t="s">
        <v>49</v>
      </c>
      <c r="D7247" s="11">
        <v>38.508934072704868</v>
      </c>
      <c r="E7247" s="12">
        <f t="shared" si="113"/>
        <v>48685</v>
      </c>
    </row>
    <row r="7248" spans="1:5" x14ac:dyDescent="0.25">
      <c r="A7248" s="2">
        <f>IF(B7248="","",SUBTOTAL(3,$B$2:B7248))</f>
        <v>7247</v>
      </c>
      <c r="B7248" s="9" t="s">
        <v>48</v>
      </c>
      <c r="C7248" s="10" t="s">
        <v>49</v>
      </c>
      <c r="D7248" s="11">
        <v>17.235436056532226</v>
      </c>
      <c r="E7248" s="12">
        <f t="shared" si="113"/>
        <v>48686</v>
      </c>
    </row>
    <row r="7249" spans="1:5" x14ac:dyDescent="0.25">
      <c r="A7249" s="2">
        <f>IF(B7249="","",SUBTOTAL(3,$B$2:B7249))</f>
        <v>7248</v>
      </c>
      <c r="B7249" s="9" t="s">
        <v>48</v>
      </c>
      <c r="C7249" s="10" t="s">
        <v>49</v>
      </c>
      <c r="D7249" s="11">
        <v>15.403573629081947</v>
      </c>
      <c r="E7249" s="12">
        <f t="shared" si="113"/>
        <v>48687</v>
      </c>
    </row>
    <row r="7250" spans="1:5" x14ac:dyDescent="0.25">
      <c r="A7250" s="2">
        <f>IF(B7250="","",SUBTOTAL(3,$B$2:B7250))</f>
        <v>7249</v>
      </c>
      <c r="B7250" s="9" t="s">
        <v>48</v>
      </c>
      <c r="C7250" s="10" t="s">
        <v>54</v>
      </c>
      <c r="D7250" s="11">
        <v>27.726432532347506</v>
      </c>
      <c r="E7250" s="12">
        <f t="shared" si="113"/>
        <v>48688</v>
      </c>
    </row>
    <row r="7251" spans="1:5" x14ac:dyDescent="0.25">
      <c r="A7251" s="2">
        <f>IF(B7251="","",SUBTOTAL(3,$B$2:B7251))</f>
        <v>7250</v>
      </c>
      <c r="B7251" s="9" t="s">
        <v>48</v>
      </c>
      <c r="C7251" s="10" t="s">
        <v>49</v>
      </c>
      <c r="D7251" s="11">
        <v>46.210720887245841</v>
      </c>
      <c r="E7251" s="12">
        <f t="shared" si="113"/>
        <v>48689</v>
      </c>
    </row>
    <row r="7252" spans="1:5" x14ac:dyDescent="0.25">
      <c r="A7252" s="2">
        <f>IF(B7252="","",SUBTOTAL(3,$B$2:B7252))</f>
        <v>7251</v>
      </c>
      <c r="B7252" s="9" t="s">
        <v>48</v>
      </c>
      <c r="C7252" s="10" t="s">
        <v>49</v>
      </c>
      <c r="D7252" s="11">
        <v>46.210720887245841</v>
      </c>
      <c r="E7252" s="12">
        <f t="shared" si="113"/>
        <v>48690</v>
      </c>
    </row>
    <row r="7253" spans="1:5" x14ac:dyDescent="0.25">
      <c r="A7253" s="2">
        <f>IF(B7253="","",SUBTOTAL(3,$B$2:B7253))</f>
        <v>7252</v>
      </c>
      <c r="B7253" s="9" t="s">
        <v>48</v>
      </c>
      <c r="C7253" s="10" t="s">
        <v>49</v>
      </c>
      <c r="D7253" s="11">
        <v>38.508934072704868</v>
      </c>
      <c r="E7253" s="12">
        <f t="shared" si="113"/>
        <v>48691</v>
      </c>
    </row>
    <row r="7254" spans="1:5" x14ac:dyDescent="0.25">
      <c r="A7254" s="2">
        <f>IF(B7254="","",SUBTOTAL(3,$B$2:B7254))</f>
        <v>7253</v>
      </c>
      <c r="B7254" s="9" t="s">
        <v>48</v>
      </c>
      <c r="C7254" s="10" t="s">
        <v>52</v>
      </c>
      <c r="D7254" s="11">
        <v>123.22858903265558</v>
      </c>
      <c r="E7254" s="12">
        <f t="shared" si="113"/>
        <v>48692</v>
      </c>
    </row>
    <row r="7255" spans="1:5" x14ac:dyDescent="0.25">
      <c r="A7255" s="2">
        <f>IF(B7255="","",SUBTOTAL(3,$B$2:B7255))</f>
        <v>7254</v>
      </c>
      <c r="B7255" s="9" t="s">
        <v>48</v>
      </c>
      <c r="C7255" s="10" t="s">
        <v>49</v>
      </c>
      <c r="D7255" s="11">
        <v>61.614294516327789</v>
      </c>
      <c r="E7255" s="12">
        <f t="shared" si="113"/>
        <v>48693</v>
      </c>
    </row>
    <row r="7256" spans="1:5" x14ac:dyDescent="0.25">
      <c r="A7256" s="2">
        <f>IF(B7256="","",SUBTOTAL(3,$B$2:B7256))</f>
        <v>7255</v>
      </c>
      <c r="B7256" s="9" t="s">
        <v>55</v>
      </c>
      <c r="C7256" s="10" t="s">
        <v>49</v>
      </c>
      <c r="D7256" s="11">
        <v>4.0215088805605346</v>
      </c>
      <c r="E7256" s="12">
        <f t="shared" si="113"/>
        <v>48694</v>
      </c>
    </row>
    <row r="7257" spans="1:5" x14ac:dyDescent="0.25">
      <c r="A7257" s="2">
        <f>IF(B7257="","",SUBTOTAL(3,$B$2:B7257))</f>
        <v>7256</v>
      </c>
      <c r="B7257" s="9" t="s">
        <v>48</v>
      </c>
      <c r="C7257" s="10" t="s">
        <v>52</v>
      </c>
      <c r="D7257" s="11">
        <v>92.421441774491683</v>
      </c>
      <c r="E7257" s="12">
        <f t="shared" si="113"/>
        <v>48695</v>
      </c>
    </row>
    <row r="7258" spans="1:5" x14ac:dyDescent="0.25">
      <c r="A7258" s="2">
        <f>IF(B7258="","",SUBTOTAL(3,$B$2:B7258))</f>
        <v>7257</v>
      </c>
      <c r="B7258" s="9" t="s">
        <v>48</v>
      </c>
      <c r="C7258" s="10" t="s">
        <v>52</v>
      </c>
      <c r="D7258" s="11">
        <v>92.421441774491683</v>
      </c>
      <c r="E7258" s="12">
        <f t="shared" si="113"/>
        <v>48696</v>
      </c>
    </row>
    <row r="7259" spans="1:5" x14ac:dyDescent="0.25">
      <c r="A7259" s="2">
        <f>IF(B7259="","",SUBTOTAL(3,$B$2:B7259))</f>
        <v>7258</v>
      </c>
      <c r="B7259" s="9" t="s">
        <v>48</v>
      </c>
      <c r="C7259" s="10" t="s">
        <v>52</v>
      </c>
      <c r="D7259" s="11">
        <v>92.421441774491683</v>
      </c>
      <c r="E7259" s="12">
        <f t="shared" si="113"/>
        <v>48697</v>
      </c>
    </row>
    <row r="7260" spans="1:5" x14ac:dyDescent="0.25">
      <c r="A7260" s="2">
        <f>IF(B7260="","",SUBTOTAL(3,$B$2:B7260))</f>
        <v>7259</v>
      </c>
      <c r="B7260" s="9" t="s">
        <v>48</v>
      </c>
      <c r="C7260" s="10" t="s">
        <v>49</v>
      </c>
      <c r="D7260" s="11">
        <v>77.017868145409736</v>
      </c>
      <c r="E7260" s="12">
        <f t="shared" si="113"/>
        <v>48698</v>
      </c>
    </row>
    <row r="7261" spans="1:5" x14ac:dyDescent="0.25">
      <c r="A7261" s="2">
        <f>IF(B7261="","",SUBTOTAL(3,$B$2:B7261))</f>
        <v>7260</v>
      </c>
      <c r="B7261" s="9" t="s">
        <v>50</v>
      </c>
      <c r="C7261" s="10" t="s">
        <v>49</v>
      </c>
      <c r="D7261" s="11">
        <v>5.9791446208112875</v>
      </c>
      <c r="E7261" s="12">
        <f t="shared" si="113"/>
        <v>48699</v>
      </c>
    </row>
    <row r="7262" spans="1:5" x14ac:dyDescent="0.25">
      <c r="A7262" s="2">
        <f>IF(B7262="","",SUBTOTAL(3,$B$2:B7262))</f>
        <v>7261</v>
      </c>
      <c r="B7262" s="9" t="s">
        <v>50</v>
      </c>
      <c r="C7262" s="10" t="s">
        <v>49</v>
      </c>
      <c r="D7262" s="11">
        <v>3.6080246913580249</v>
      </c>
      <c r="E7262" s="12">
        <f t="shared" si="113"/>
        <v>48700</v>
      </c>
    </row>
    <row r="7263" spans="1:5" x14ac:dyDescent="0.25">
      <c r="A7263" s="2">
        <f>IF(B7263="","",SUBTOTAL(3,$B$2:B7263))</f>
        <v>7262</v>
      </c>
      <c r="B7263" s="9" t="s">
        <v>51</v>
      </c>
      <c r="C7263" s="10" t="s">
        <v>49</v>
      </c>
      <c r="D7263" s="11">
        <v>158.84782378481412</v>
      </c>
      <c r="E7263" s="12">
        <f t="shared" si="113"/>
        <v>48701</v>
      </c>
    </row>
    <row r="7264" spans="1:5" x14ac:dyDescent="0.25">
      <c r="A7264" s="2">
        <f>IF(B7264="","",SUBTOTAL(3,$B$2:B7264))</f>
        <v>7263</v>
      </c>
      <c r="B7264" s="9" t="s">
        <v>48</v>
      </c>
      <c r="C7264" s="10" t="s">
        <v>52</v>
      </c>
      <c r="D7264" s="11">
        <v>154.03573629081947</v>
      </c>
      <c r="E7264" s="12">
        <f t="shared" si="113"/>
        <v>48702</v>
      </c>
    </row>
    <row r="7265" spans="1:5" x14ac:dyDescent="0.25">
      <c r="A7265" s="2">
        <f>IF(B7265="","",SUBTOTAL(3,$B$2:B7265))</f>
        <v>7264</v>
      </c>
      <c r="B7265" s="9" t="s">
        <v>48</v>
      </c>
      <c r="C7265" s="10" t="s">
        <v>52</v>
      </c>
      <c r="D7265" s="11">
        <v>154.03573629081947</v>
      </c>
      <c r="E7265" s="12">
        <f t="shared" si="113"/>
        <v>48703</v>
      </c>
    </row>
    <row r="7266" spans="1:5" x14ac:dyDescent="0.25">
      <c r="A7266" s="2">
        <f>IF(B7266="","",SUBTOTAL(3,$B$2:B7266))</f>
        <v>7265</v>
      </c>
      <c r="B7266" s="9" t="s">
        <v>48</v>
      </c>
      <c r="C7266" s="10" t="s">
        <v>52</v>
      </c>
      <c r="D7266" s="11">
        <v>154.03573629081947</v>
      </c>
      <c r="E7266" s="12">
        <f t="shared" si="113"/>
        <v>48704</v>
      </c>
    </row>
    <row r="7267" spans="1:5" x14ac:dyDescent="0.25">
      <c r="A7267" s="2">
        <f>IF(B7267="","",SUBTOTAL(3,$B$2:B7267))</f>
        <v>7266</v>
      </c>
      <c r="B7267" s="9" t="s">
        <v>51</v>
      </c>
      <c r="C7267" s="10" t="s">
        <v>56</v>
      </c>
      <c r="D7267" s="11">
        <v>42.359419675950441</v>
      </c>
      <c r="E7267" s="12">
        <f t="shared" si="113"/>
        <v>48705</v>
      </c>
    </row>
    <row r="7268" spans="1:5" x14ac:dyDescent="0.25">
      <c r="A7268" s="2">
        <f>IF(B7268="","",SUBTOTAL(3,$B$2:B7268))</f>
        <v>7267</v>
      </c>
      <c r="B7268" s="9" t="s">
        <v>55</v>
      </c>
      <c r="C7268" s="10" t="s">
        <v>52</v>
      </c>
      <c r="D7268" s="11">
        <v>5.8660583346912167</v>
      </c>
      <c r="E7268" s="12">
        <f t="shared" si="113"/>
        <v>48706</v>
      </c>
    </row>
    <row r="7269" spans="1:5" x14ac:dyDescent="0.25">
      <c r="A7269" s="2">
        <f>IF(B7269="","",SUBTOTAL(3,$B$2:B7269))</f>
        <v>7268</v>
      </c>
      <c r="B7269" s="9" t="s">
        <v>48</v>
      </c>
      <c r="C7269" s="10" t="s">
        <v>49</v>
      </c>
      <c r="D7269" s="11">
        <v>34.470872113064452</v>
      </c>
      <c r="E7269" s="12">
        <f t="shared" si="113"/>
        <v>48707</v>
      </c>
    </row>
    <row r="7270" spans="1:5" x14ac:dyDescent="0.25">
      <c r="A7270" s="2">
        <f>IF(B7270="","",SUBTOTAL(3,$B$2:B7270))</f>
        <v>7269</v>
      </c>
      <c r="B7270" s="9" t="s">
        <v>48</v>
      </c>
      <c r="C7270" s="10" t="s">
        <v>49</v>
      </c>
      <c r="D7270" s="11">
        <v>41.365046535677351</v>
      </c>
      <c r="E7270" s="12">
        <f t="shared" si="113"/>
        <v>48708</v>
      </c>
    </row>
    <row r="7271" spans="1:5" x14ac:dyDescent="0.25">
      <c r="A7271" s="2">
        <f>IF(B7271="","",SUBTOTAL(3,$B$2:B7271))</f>
        <v>7270</v>
      </c>
      <c r="B7271" s="9" t="s">
        <v>48</v>
      </c>
      <c r="C7271" s="10" t="s">
        <v>49</v>
      </c>
      <c r="D7271" s="11">
        <v>34.470872113064452</v>
      </c>
      <c r="E7271" s="12">
        <f t="shared" si="113"/>
        <v>48709</v>
      </c>
    </row>
    <row r="7272" spans="1:5" x14ac:dyDescent="0.25">
      <c r="A7272" s="2">
        <f>IF(B7272="","",SUBTOTAL(3,$B$2:B7272))</f>
        <v>7271</v>
      </c>
      <c r="B7272" s="9" t="s">
        <v>48</v>
      </c>
      <c r="C7272" s="10" t="s">
        <v>49</v>
      </c>
      <c r="D7272" s="11">
        <v>29.30024129610479</v>
      </c>
      <c r="E7272" s="12">
        <f t="shared" si="113"/>
        <v>48710</v>
      </c>
    </row>
    <row r="7273" spans="1:5" x14ac:dyDescent="0.25">
      <c r="A7273" s="2">
        <f>IF(B7273="","",SUBTOTAL(3,$B$2:B7273))</f>
        <v>7272</v>
      </c>
      <c r="B7273" s="9" t="s">
        <v>48</v>
      </c>
      <c r="C7273" s="10" t="s">
        <v>49</v>
      </c>
      <c r="D7273" s="11">
        <v>34.470872113064452</v>
      </c>
      <c r="E7273" s="12">
        <f t="shared" si="113"/>
        <v>48711</v>
      </c>
    </row>
    <row r="7274" spans="1:5" x14ac:dyDescent="0.25">
      <c r="A7274" s="2">
        <f>IF(B7274="","",SUBTOTAL(3,$B$2:B7274))</f>
        <v>7273</v>
      </c>
      <c r="B7274" s="9" t="s">
        <v>48</v>
      </c>
      <c r="C7274" s="10" t="s">
        <v>49</v>
      </c>
      <c r="D7274" s="11">
        <v>34.470872113064452</v>
      </c>
      <c r="E7274" s="12">
        <f t="shared" si="113"/>
        <v>48712</v>
      </c>
    </row>
    <row r="7275" spans="1:5" x14ac:dyDescent="0.25">
      <c r="A7275" s="2">
        <f>IF(B7275="","",SUBTOTAL(3,$B$2:B7275))</f>
        <v>7274</v>
      </c>
      <c r="B7275" s="9" t="s">
        <v>48</v>
      </c>
      <c r="C7275" s="10" t="s">
        <v>54</v>
      </c>
      <c r="D7275" s="11">
        <v>25.696041524803107</v>
      </c>
      <c r="E7275" s="12">
        <f t="shared" si="113"/>
        <v>48713</v>
      </c>
    </row>
    <row r="7276" spans="1:5" x14ac:dyDescent="0.25">
      <c r="A7276" s="2">
        <f>IF(B7276="","",SUBTOTAL(3,$B$2:B7276))</f>
        <v>7275</v>
      </c>
      <c r="B7276" s="9" t="s">
        <v>48</v>
      </c>
      <c r="C7276" s="10" t="s">
        <v>52</v>
      </c>
      <c r="D7276" s="11">
        <v>154.03573629081947</v>
      </c>
      <c r="E7276" s="12">
        <f t="shared" si="113"/>
        <v>48714</v>
      </c>
    </row>
    <row r="7277" spans="1:5" x14ac:dyDescent="0.25">
      <c r="A7277" s="2">
        <f>IF(B7277="","",SUBTOTAL(3,$B$2:B7277))</f>
        <v>7276</v>
      </c>
      <c r="B7277" s="9" t="s">
        <v>48</v>
      </c>
      <c r="C7277" s="10" t="s">
        <v>52</v>
      </c>
      <c r="D7277" s="11">
        <v>154.03573629081947</v>
      </c>
      <c r="E7277" s="12">
        <f t="shared" si="113"/>
        <v>48715</v>
      </c>
    </row>
    <row r="7278" spans="1:5" x14ac:dyDescent="0.25">
      <c r="A7278" s="2">
        <f>IF(B7278="","",SUBTOTAL(3,$B$2:B7278))</f>
        <v>7277</v>
      </c>
      <c r="B7278" s="9" t="s">
        <v>48</v>
      </c>
      <c r="C7278" s="10" t="s">
        <v>52</v>
      </c>
      <c r="D7278" s="11">
        <v>154.03573629081947</v>
      </c>
      <c r="E7278" s="12">
        <f t="shared" si="113"/>
        <v>48716</v>
      </c>
    </row>
    <row r="7279" spans="1:5" x14ac:dyDescent="0.25">
      <c r="A7279" s="2">
        <f>IF(B7279="","",SUBTOTAL(3,$B$2:B7279))</f>
        <v>7278</v>
      </c>
      <c r="B7279" s="9" t="s">
        <v>53</v>
      </c>
      <c r="C7279" s="10" t="s">
        <v>49</v>
      </c>
      <c r="D7279" s="11">
        <v>58.533525053348853</v>
      </c>
      <c r="E7279" s="12">
        <f t="shared" si="113"/>
        <v>48717</v>
      </c>
    </row>
    <row r="7280" spans="1:5" x14ac:dyDescent="0.25">
      <c r="A7280" s="2">
        <f>IF(B7280="","",SUBTOTAL(3,$B$2:B7280))</f>
        <v>7279</v>
      </c>
      <c r="B7280" s="9" t="s">
        <v>51</v>
      </c>
      <c r="C7280" s="10" t="s">
        <v>52</v>
      </c>
      <c r="D7280" s="11">
        <v>63.539129513925651</v>
      </c>
      <c r="E7280" s="12">
        <f t="shared" si="113"/>
        <v>48718</v>
      </c>
    </row>
    <row r="7281" spans="1:5" x14ac:dyDescent="0.25">
      <c r="A7281" s="2">
        <f>IF(B7281="","",SUBTOTAL(3,$B$2:B7281))</f>
        <v>7280</v>
      </c>
      <c r="B7281" s="9" t="s">
        <v>51</v>
      </c>
      <c r="C7281" s="10" t="s">
        <v>54</v>
      </c>
      <c r="D7281" s="11">
        <v>46.997812170812736</v>
      </c>
      <c r="E7281" s="12">
        <f t="shared" si="113"/>
        <v>48719</v>
      </c>
    </row>
    <row r="7282" spans="1:5" x14ac:dyDescent="0.25">
      <c r="A7282" s="2">
        <f>IF(B7282="","",SUBTOTAL(3,$B$2:B7282))</f>
        <v>7281</v>
      </c>
      <c r="B7282" s="9" t="s">
        <v>51</v>
      </c>
      <c r="C7282" s="10" t="s">
        <v>49</v>
      </c>
      <c r="D7282" s="11">
        <v>12.154606595899846</v>
      </c>
      <c r="E7282" s="12">
        <f t="shared" si="113"/>
        <v>48720</v>
      </c>
    </row>
    <row r="7283" spans="1:5" x14ac:dyDescent="0.25">
      <c r="A7283" s="2">
        <f>IF(B7283="","",SUBTOTAL(3,$B$2:B7283))</f>
        <v>7282</v>
      </c>
      <c r="B7283" s="9" t="s">
        <v>55</v>
      </c>
      <c r="C7283" s="10" t="s">
        <v>49</v>
      </c>
      <c r="D7283" s="11">
        <v>13.327684536418447</v>
      </c>
      <c r="E7283" s="12">
        <f t="shared" si="113"/>
        <v>48721</v>
      </c>
    </row>
    <row r="7284" spans="1:5" x14ac:dyDescent="0.25">
      <c r="A7284" s="2">
        <f>IF(B7284="","",SUBTOTAL(3,$B$2:B7284))</f>
        <v>7283</v>
      </c>
      <c r="B7284" s="9" t="s">
        <v>55</v>
      </c>
      <c r="C7284" s="10" t="s">
        <v>49</v>
      </c>
      <c r="D7284" s="11">
        <v>13.327684536418447</v>
      </c>
      <c r="E7284" s="12">
        <f t="shared" si="113"/>
        <v>48722</v>
      </c>
    </row>
    <row r="7285" spans="1:5" x14ac:dyDescent="0.25">
      <c r="A7285" s="2">
        <f>IF(B7285="","",SUBTOTAL(3,$B$2:B7285))</f>
        <v>7284</v>
      </c>
      <c r="B7285" s="9" t="s">
        <v>55</v>
      </c>
      <c r="C7285" s="10" t="s">
        <v>49</v>
      </c>
      <c r="D7285" s="11">
        <v>11.406224539677368</v>
      </c>
      <c r="E7285" s="12">
        <f t="shared" si="113"/>
        <v>48723</v>
      </c>
    </row>
    <row r="7286" spans="1:5" x14ac:dyDescent="0.25">
      <c r="A7286" s="2">
        <f>IF(B7286="","",SUBTOTAL(3,$B$2:B7286))</f>
        <v>7285</v>
      </c>
      <c r="B7286" s="9" t="s">
        <v>50</v>
      </c>
      <c r="C7286" s="10" t="s">
        <v>49</v>
      </c>
      <c r="D7286" s="11">
        <v>2.204585537918871</v>
      </c>
      <c r="E7286" s="12">
        <f t="shared" si="113"/>
        <v>48724</v>
      </c>
    </row>
    <row r="7287" spans="1:5" x14ac:dyDescent="0.25">
      <c r="A7287" s="2">
        <f>IF(B7287="","",SUBTOTAL(3,$B$2:B7287))</f>
        <v>7286</v>
      </c>
      <c r="B7287" s="9" t="s">
        <v>48</v>
      </c>
      <c r="C7287" s="10" t="s">
        <v>54</v>
      </c>
      <c r="D7287" s="11">
        <v>17.924853498793521</v>
      </c>
      <c r="E7287" s="12">
        <f t="shared" si="113"/>
        <v>48725</v>
      </c>
    </row>
    <row r="7288" spans="1:5" x14ac:dyDescent="0.25">
      <c r="A7288" s="2">
        <f>IF(B7288="","",SUBTOTAL(3,$B$2:B7288))</f>
        <v>7287</v>
      </c>
      <c r="B7288" s="9" t="s">
        <v>48</v>
      </c>
      <c r="C7288" s="10" t="s">
        <v>54</v>
      </c>
      <c r="D7288" s="11">
        <v>43.706099815157117</v>
      </c>
      <c r="E7288" s="12">
        <f t="shared" si="113"/>
        <v>48726</v>
      </c>
    </row>
    <row r="7289" spans="1:5" x14ac:dyDescent="0.25">
      <c r="A7289" s="2">
        <f>IF(B7289="","",SUBTOTAL(3,$B$2:B7289))</f>
        <v>7288</v>
      </c>
      <c r="B7289" s="9" t="s">
        <v>48</v>
      </c>
      <c r="C7289" s="10" t="s">
        <v>56</v>
      </c>
      <c r="D7289" s="11">
        <v>61.614294516327789</v>
      </c>
      <c r="E7289" s="12">
        <f t="shared" si="113"/>
        <v>48727</v>
      </c>
    </row>
    <row r="7290" spans="1:5" x14ac:dyDescent="0.25">
      <c r="A7290" s="2">
        <f>IF(B7290="","",SUBTOTAL(3,$B$2:B7290))</f>
        <v>7289</v>
      </c>
      <c r="B7290" s="9" t="s">
        <v>51</v>
      </c>
      <c r="C7290" s="10" t="s">
        <v>52</v>
      </c>
      <c r="D7290" s="11">
        <v>529.49274594938049</v>
      </c>
      <c r="E7290" s="12">
        <f t="shared" si="113"/>
        <v>48728</v>
      </c>
    </row>
    <row r="7291" spans="1:5" x14ac:dyDescent="0.25">
      <c r="A7291" s="2">
        <f>IF(B7291="","",SUBTOTAL(3,$B$2:B7291))</f>
        <v>7290</v>
      </c>
      <c r="B7291" s="9" t="s">
        <v>51</v>
      </c>
      <c r="C7291" s="10" t="s">
        <v>49</v>
      </c>
      <c r="D7291" s="11">
        <v>47.80811927720606</v>
      </c>
      <c r="E7291" s="12">
        <f t="shared" si="113"/>
        <v>48729</v>
      </c>
    </row>
    <row r="7292" spans="1:5" x14ac:dyDescent="0.25">
      <c r="A7292" s="2">
        <f>IF(B7292="","",SUBTOTAL(3,$B$2:B7292))</f>
        <v>7291</v>
      </c>
      <c r="B7292" s="9" t="s">
        <v>51</v>
      </c>
      <c r="C7292" s="10" t="s">
        <v>49</v>
      </c>
      <c r="D7292" s="11">
        <v>84.718839351900883</v>
      </c>
      <c r="E7292" s="12">
        <f t="shared" si="113"/>
        <v>48730</v>
      </c>
    </row>
    <row r="7293" spans="1:5" x14ac:dyDescent="0.25">
      <c r="A7293" s="2">
        <f>IF(B7293="","",SUBTOTAL(3,$B$2:B7293))</f>
        <v>7292</v>
      </c>
      <c r="B7293" s="9" t="s">
        <v>53</v>
      </c>
      <c r="C7293" s="10" t="s">
        <v>49</v>
      </c>
      <c r="D7293" s="11">
        <v>32.730086915108949</v>
      </c>
      <c r="E7293" s="12">
        <f t="shared" si="113"/>
        <v>48731</v>
      </c>
    </row>
    <row r="7294" spans="1:5" x14ac:dyDescent="0.25">
      <c r="A7294" s="2">
        <f>IF(B7294="","",SUBTOTAL(3,$B$2:B7294))</f>
        <v>7293</v>
      </c>
      <c r="B7294" s="9" t="s">
        <v>50</v>
      </c>
      <c r="C7294" s="10" t="s">
        <v>52</v>
      </c>
      <c r="D7294" s="11">
        <v>88.183421516754848</v>
      </c>
      <c r="E7294" s="12">
        <f t="shared" si="113"/>
        <v>48732</v>
      </c>
    </row>
    <row r="7295" spans="1:5" x14ac:dyDescent="0.25">
      <c r="A7295" s="2">
        <f>IF(B7295="","",SUBTOTAL(3,$B$2:B7295))</f>
        <v>7294</v>
      </c>
      <c r="B7295" s="9" t="s">
        <v>55</v>
      </c>
      <c r="C7295" s="10" t="s">
        <v>49</v>
      </c>
      <c r="D7295" s="11">
        <v>10.053772201401337</v>
      </c>
      <c r="E7295" s="12">
        <f t="shared" si="113"/>
        <v>48733</v>
      </c>
    </row>
    <row r="7296" spans="1:5" x14ac:dyDescent="0.25">
      <c r="A7296" s="2">
        <f>IF(B7296="","",SUBTOTAL(3,$B$2:B7296))</f>
        <v>7295</v>
      </c>
      <c r="B7296" s="9" t="s">
        <v>50</v>
      </c>
      <c r="C7296" s="10" t="s">
        <v>49</v>
      </c>
      <c r="D7296" s="11">
        <v>88.183421516754848</v>
      </c>
      <c r="E7296" s="12">
        <f t="shared" si="113"/>
        <v>48734</v>
      </c>
    </row>
    <row r="7297" spans="1:5" x14ac:dyDescent="0.25">
      <c r="A7297" s="2">
        <f>IF(B7297="","",SUBTOTAL(3,$B$2:B7297))</f>
        <v>7296</v>
      </c>
      <c r="B7297" s="9" t="s">
        <v>55</v>
      </c>
      <c r="C7297" s="10" t="s">
        <v>49</v>
      </c>
      <c r="D7297" s="11">
        <v>97.767638911520294</v>
      </c>
      <c r="E7297" s="12">
        <f t="shared" si="113"/>
        <v>48735</v>
      </c>
    </row>
    <row r="7298" spans="1:5" x14ac:dyDescent="0.25">
      <c r="A7298" s="2">
        <f>IF(B7298="","",SUBTOTAL(3,$B$2:B7298))</f>
        <v>7297</v>
      </c>
      <c r="B7298" s="9" t="s">
        <v>48</v>
      </c>
      <c r="C7298" s="10" t="s">
        <v>52</v>
      </c>
      <c r="D7298" s="11">
        <v>246.45717806531115</v>
      </c>
      <c r="E7298" s="12">
        <f t="shared" si="113"/>
        <v>48736</v>
      </c>
    </row>
    <row r="7299" spans="1:5" x14ac:dyDescent="0.25">
      <c r="A7299" s="2">
        <f>IF(B7299="","",SUBTOTAL(3,$B$2:B7299))</f>
        <v>7298</v>
      </c>
      <c r="B7299" s="9" t="s">
        <v>48</v>
      </c>
      <c r="C7299" s="10" t="s">
        <v>52</v>
      </c>
      <c r="D7299" s="11">
        <v>261.86075169439312</v>
      </c>
      <c r="E7299" s="12">
        <f t="shared" si="113"/>
        <v>48737</v>
      </c>
    </row>
    <row r="7300" spans="1:5" x14ac:dyDescent="0.25">
      <c r="A7300" s="2">
        <f>IF(B7300="","",SUBTOTAL(3,$B$2:B7300))</f>
        <v>7299</v>
      </c>
      <c r="B7300" s="9" t="s">
        <v>48</v>
      </c>
      <c r="C7300" s="10" t="s">
        <v>52</v>
      </c>
      <c r="D7300" s="11">
        <v>261.86075169439312</v>
      </c>
      <c r="E7300" s="12">
        <f t="shared" ref="E7300:E7363" si="114">E7299+1</f>
        <v>48738</v>
      </c>
    </row>
    <row r="7301" spans="1:5" x14ac:dyDescent="0.25">
      <c r="A7301" s="2">
        <f>IF(B7301="","",SUBTOTAL(3,$B$2:B7301))</f>
        <v>7300</v>
      </c>
      <c r="B7301" s="9" t="s">
        <v>48</v>
      </c>
      <c r="C7301" s="10" t="s">
        <v>52</v>
      </c>
      <c r="D7301" s="11">
        <v>246.45717806531115</v>
      </c>
      <c r="E7301" s="12">
        <f t="shared" si="114"/>
        <v>48739</v>
      </c>
    </row>
    <row r="7302" spans="1:5" x14ac:dyDescent="0.25">
      <c r="A7302" s="2">
        <f>IF(B7302="","",SUBTOTAL(3,$B$2:B7302))</f>
        <v>7301</v>
      </c>
      <c r="B7302" s="9" t="s">
        <v>50</v>
      </c>
      <c r="C7302" s="10" t="s">
        <v>49</v>
      </c>
      <c r="D7302" s="11">
        <v>0</v>
      </c>
      <c r="E7302" s="12">
        <f t="shared" si="114"/>
        <v>48740</v>
      </c>
    </row>
    <row r="7303" spans="1:5" x14ac:dyDescent="0.25">
      <c r="A7303" s="2">
        <f>IF(B7303="","",SUBTOTAL(3,$B$2:B7303))</f>
        <v>7302</v>
      </c>
      <c r="B7303" s="9" t="s">
        <v>48</v>
      </c>
      <c r="C7303" s="10" t="s">
        <v>54</v>
      </c>
      <c r="D7303" s="11">
        <v>73.471965495995065</v>
      </c>
      <c r="E7303" s="12">
        <f t="shared" si="114"/>
        <v>48741</v>
      </c>
    </row>
    <row r="7304" spans="1:5" x14ac:dyDescent="0.25">
      <c r="A7304" s="2">
        <f>IF(B7304="","",SUBTOTAL(3,$B$2:B7304))</f>
        <v>7303</v>
      </c>
      <c r="B7304" s="9" t="s">
        <v>48</v>
      </c>
      <c r="C7304" s="10" t="s">
        <v>54</v>
      </c>
      <c r="D7304" s="11">
        <v>51.748527418361057</v>
      </c>
      <c r="E7304" s="12">
        <f t="shared" si="114"/>
        <v>48742</v>
      </c>
    </row>
    <row r="7305" spans="1:5" x14ac:dyDescent="0.25">
      <c r="A7305" s="2">
        <f>IF(B7305="","",SUBTOTAL(3,$B$2:B7305))</f>
        <v>7304</v>
      </c>
      <c r="B7305" s="9" t="s">
        <v>48</v>
      </c>
      <c r="C7305" s="10" t="s">
        <v>54</v>
      </c>
      <c r="D7305" s="11">
        <v>308.07147258163894</v>
      </c>
      <c r="E7305" s="12">
        <f t="shared" si="114"/>
        <v>48743</v>
      </c>
    </row>
    <row r="7306" spans="1:5" x14ac:dyDescent="0.25">
      <c r="A7306" s="2">
        <f>IF(B7306="","",SUBTOTAL(3,$B$2:B7306))</f>
        <v>7305</v>
      </c>
      <c r="B7306" s="9" t="s">
        <v>48</v>
      </c>
      <c r="C7306" s="10" t="s">
        <v>49</v>
      </c>
      <c r="D7306" s="11">
        <v>16.943930991990143</v>
      </c>
      <c r="E7306" s="12">
        <f t="shared" si="114"/>
        <v>48744</v>
      </c>
    </row>
    <row r="7307" spans="1:5" x14ac:dyDescent="0.25">
      <c r="A7307" s="2">
        <f>IF(B7307="","",SUBTOTAL(3,$B$2:B7307))</f>
        <v>7306</v>
      </c>
      <c r="B7307" s="9" t="s">
        <v>48</v>
      </c>
      <c r="C7307" s="10" t="s">
        <v>49</v>
      </c>
      <c r="D7307" s="11">
        <v>27.726432532347506</v>
      </c>
      <c r="E7307" s="12">
        <f t="shared" si="114"/>
        <v>48745</v>
      </c>
    </row>
    <row r="7308" spans="1:5" x14ac:dyDescent="0.25">
      <c r="A7308" s="2">
        <f>IF(B7308="","",SUBTOTAL(3,$B$2:B7308))</f>
        <v>7307</v>
      </c>
      <c r="B7308" s="9" t="s">
        <v>48</v>
      </c>
      <c r="C7308" s="10" t="s">
        <v>49</v>
      </c>
      <c r="D7308" s="11">
        <v>53.912507701786815</v>
      </c>
      <c r="E7308" s="12">
        <f t="shared" si="114"/>
        <v>48746</v>
      </c>
    </row>
    <row r="7309" spans="1:5" x14ac:dyDescent="0.25">
      <c r="A7309" s="2">
        <f>IF(B7309="","",SUBTOTAL(3,$B$2:B7309))</f>
        <v>7308</v>
      </c>
      <c r="B7309" s="9" t="s">
        <v>48</v>
      </c>
      <c r="C7309" s="10" t="s">
        <v>54</v>
      </c>
      <c r="D7309" s="11">
        <v>27.726432532347506</v>
      </c>
      <c r="E7309" s="12">
        <f t="shared" si="114"/>
        <v>48747</v>
      </c>
    </row>
    <row r="7310" spans="1:5" x14ac:dyDescent="0.25">
      <c r="A7310" s="2">
        <f>IF(B7310="","",SUBTOTAL(3,$B$2:B7310))</f>
        <v>7309</v>
      </c>
      <c r="B7310" s="9" t="s">
        <v>48</v>
      </c>
      <c r="C7310" s="10" t="s">
        <v>52</v>
      </c>
      <c r="D7310" s="11">
        <v>261.86075169439312</v>
      </c>
      <c r="E7310" s="12">
        <f t="shared" si="114"/>
        <v>48748</v>
      </c>
    </row>
    <row r="7311" spans="1:5" x14ac:dyDescent="0.25">
      <c r="A7311" s="2">
        <f>IF(B7311="","",SUBTOTAL(3,$B$2:B7311))</f>
        <v>7310</v>
      </c>
      <c r="B7311" s="9" t="s">
        <v>48</v>
      </c>
      <c r="C7311" s="10" t="s">
        <v>52</v>
      </c>
      <c r="D7311" s="11">
        <v>26.956253850893408</v>
      </c>
      <c r="E7311" s="12">
        <f t="shared" si="114"/>
        <v>48749</v>
      </c>
    </row>
    <row r="7312" spans="1:5" x14ac:dyDescent="0.25">
      <c r="A7312" s="2">
        <f>IF(B7312="","",SUBTOTAL(3,$B$2:B7312))</f>
        <v>7311</v>
      </c>
      <c r="B7312" s="9" t="s">
        <v>48</v>
      </c>
      <c r="C7312" s="10" t="s">
        <v>52</v>
      </c>
      <c r="D7312" s="11">
        <v>10.012322858903266</v>
      </c>
      <c r="E7312" s="12">
        <f t="shared" si="114"/>
        <v>48750</v>
      </c>
    </row>
    <row r="7313" spans="1:5" x14ac:dyDescent="0.25">
      <c r="A7313" s="2">
        <f>IF(B7313="","",SUBTOTAL(3,$B$2:B7313))</f>
        <v>7312</v>
      </c>
      <c r="B7313" s="9" t="s">
        <v>55</v>
      </c>
      <c r="C7313" s="10" t="s">
        <v>54</v>
      </c>
      <c r="D7313" s="11">
        <v>150</v>
      </c>
      <c r="E7313" s="12">
        <f t="shared" si="114"/>
        <v>48751</v>
      </c>
    </row>
    <row r="7314" spans="1:5" x14ac:dyDescent="0.25">
      <c r="A7314" s="2">
        <f>IF(B7314="","",SUBTOTAL(3,$B$2:B7314))</f>
        <v>7313</v>
      </c>
      <c r="B7314" s="9" t="s">
        <v>55</v>
      </c>
      <c r="C7314" s="10" t="s">
        <v>49</v>
      </c>
      <c r="D7314" s="11">
        <v>140.45399963247118</v>
      </c>
      <c r="E7314" s="12">
        <f t="shared" si="114"/>
        <v>48752</v>
      </c>
    </row>
    <row r="7315" spans="1:5" x14ac:dyDescent="0.25">
      <c r="A7315" s="2">
        <f>IF(B7315="","",SUBTOTAL(3,$B$2:B7315))</f>
        <v>7314</v>
      </c>
      <c r="B7315" s="9" t="s">
        <v>55</v>
      </c>
      <c r="C7315" s="10" t="s">
        <v>49</v>
      </c>
      <c r="D7315" s="11">
        <v>46.065663312647658</v>
      </c>
      <c r="E7315" s="12">
        <f t="shared" si="114"/>
        <v>48753</v>
      </c>
    </row>
    <row r="7316" spans="1:5" x14ac:dyDescent="0.25">
      <c r="A7316" s="2">
        <f>IF(B7316="","",SUBTOTAL(3,$B$2:B7316))</f>
        <v>7315</v>
      </c>
      <c r="B7316" s="9" t="s">
        <v>51</v>
      </c>
      <c r="C7316" s="10" t="s">
        <v>54</v>
      </c>
      <c r="D7316" s="11">
        <v>47.654347135444247</v>
      </c>
      <c r="E7316" s="12">
        <f t="shared" si="114"/>
        <v>48754</v>
      </c>
    </row>
    <row r="7317" spans="1:5" x14ac:dyDescent="0.25">
      <c r="A7317" s="2">
        <f>IF(B7317="","",SUBTOTAL(3,$B$2:B7317))</f>
        <v>7316</v>
      </c>
      <c r="B7317" s="9" t="s">
        <v>51</v>
      </c>
      <c r="C7317" s="10" t="s">
        <v>52</v>
      </c>
      <c r="D7317" s="11">
        <v>0.75520622315857711</v>
      </c>
      <c r="E7317" s="12">
        <f t="shared" si="114"/>
        <v>48755</v>
      </c>
    </row>
    <row r="7318" spans="1:5" x14ac:dyDescent="0.25">
      <c r="A7318" s="2">
        <f>IF(B7318="","",SUBTOTAL(3,$B$2:B7318))</f>
        <v>7317</v>
      </c>
      <c r="B7318" s="9" t="s">
        <v>55</v>
      </c>
      <c r="C7318" s="10" t="s">
        <v>49</v>
      </c>
      <c r="D7318" s="11">
        <v>61.75</v>
      </c>
      <c r="E7318" s="12">
        <f t="shared" si="114"/>
        <v>48756</v>
      </c>
    </row>
    <row r="7319" spans="1:5" x14ac:dyDescent="0.25">
      <c r="A7319" s="2">
        <f>IF(B7319="","",SUBTOTAL(3,$B$2:B7319))</f>
        <v>7318</v>
      </c>
      <c r="B7319" s="9" t="s">
        <v>50</v>
      </c>
      <c r="C7319" s="10" t="s">
        <v>52</v>
      </c>
      <c r="D7319" s="11">
        <v>11.022927689594356</v>
      </c>
      <c r="E7319" s="12">
        <f t="shared" si="114"/>
        <v>48757</v>
      </c>
    </row>
    <row r="7320" spans="1:5" x14ac:dyDescent="0.25">
      <c r="A7320" s="2">
        <f>IF(B7320="","",SUBTOTAL(3,$B$2:B7320))</f>
        <v>7319</v>
      </c>
      <c r="B7320" s="9" t="s">
        <v>48</v>
      </c>
      <c r="C7320" s="10" t="s">
        <v>49</v>
      </c>
      <c r="D7320" s="11">
        <v>34.620790667197717</v>
      </c>
      <c r="E7320" s="12">
        <f t="shared" si="114"/>
        <v>48758</v>
      </c>
    </row>
    <row r="7321" spans="1:5" x14ac:dyDescent="0.25">
      <c r="A7321" s="2">
        <f>IF(B7321="","",SUBTOTAL(3,$B$2:B7321))</f>
        <v>7320</v>
      </c>
      <c r="B7321" s="9" t="s">
        <v>55</v>
      </c>
      <c r="C7321" s="10" t="s">
        <v>49</v>
      </c>
      <c r="D7321" s="11">
        <v>97.767638911520294</v>
      </c>
      <c r="E7321" s="12">
        <f t="shared" si="114"/>
        <v>48759</v>
      </c>
    </row>
    <row r="7322" spans="1:5" x14ac:dyDescent="0.25">
      <c r="A7322" s="2">
        <f>IF(B7322="","",SUBTOTAL(3,$B$2:B7322))</f>
        <v>7321</v>
      </c>
      <c r="B7322" s="9" t="s">
        <v>55</v>
      </c>
      <c r="C7322" s="10" t="s">
        <v>54</v>
      </c>
      <c r="D7322" s="11">
        <v>150</v>
      </c>
      <c r="E7322" s="12">
        <f t="shared" si="114"/>
        <v>48760</v>
      </c>
    </row>
    <row r="7323" spans="1:5" x14ac:dyDescent="0.25">
      <c r="A7323" s="2">
        <f>IF(B7323="","",SUBTOTAL(3,$B$2:B7323))</f>
        <v>7322</v>
      </c>
      <c r="B7323" s="9" t="s">
        <v>55</v>
      </c>
      <c r="C7323" s="10" t="s">
        <v>54</v>
      </c>
      <c r="D7323" s="11">
        <v>150</v>
      </c>
      <c r="E7323" s="12">
        <f t="shared" si="114"/>
        <v>48761</v>
      </c>
    </row>
    <row r="7324" spans="1:5" x14ac:dyDescent="0.25">
      <c r="A7324" s="2">
        <f>IF(B7324="","",SUBTOTAL(3,$B$2:B7324))</f>
        <v>7323</v>
      </c>
      <c r="B7324" s="9" t="s">
        <v>51</v>
      </c>
      <c r="C7324" s="10" t="s">
        <v>52</v>
      </c>
      <c r="D7324" s="11">
        <v>5.1811036382789082</v>
      </c>
      <c r="E7324" s="12">
        <f t="shared" si="114"/>
        <v>48762</v>
      </c>
    </row>
    <row r="7325" spans="1:5" x14ac:dyDescent="0.25">
      <c r="A7325" s="2">
        <f>IF(B7325="","",SUBTOTAL(3,$B$2:B7325))</f>
        <v>7324</v>
      </c>
      <c r="B7325" s="9" t="s">
        <v>50</v>
      </c>
      <c r="C7325" s="10" t="s">
        <v>49</v>
      </c>
      <c r="D7325" s="11">
        <v>110.22927689594357</v>
      </c>
      <c r="E7325" s="12">
        <f t="shared" si="114"/>
        <v>48763</v>
      </c>
    </row>
    <row r="7326" spans="1:5" x14ac:dyDescent="0.25">
      <c r="A7326" s="2">
        <f>IF(B7326="","",SUBTOTAL(3,$B$2:B7326))</f>
        <v>7325</v>
      </c>
      <c r="B7326" s="9" t="s">
        <v>48</v>
      </c>
      <c r="C7326" s="10" t="s">
        <v>56</v>
      </c>
      <c r="D7326" s="11">
        <v>25.853154084798344</v>
      </c>
      <c r="E7326" s="12">
        <f t="shared" si="114"/>
        <v>48764</v>
      </c>
    </row>
    <row r="7327" spans="1:5" x14ac:dyDescent="0.25">
      <c r="A7327" s="2">
        <f>IF(B7327="","",SUBTOTAL(3,$B$2:B7327))</f>
        <v>7326</v>
      </c>
      <c r="B7327" s="9" t="s">
        <v>51</v>
      </c>
      <c r="C7327" s="10" t="s">
        <v>52</v>
      </c>
      <c r="D7327" s="11">
        <v>44.477390659747961</v>
      </c>
      <c r="E7327" s="12">
        <f t="shared" si="114"/>
        <v>48765</v>
      </c>
    </row>
    <row r="7328" spans="1:5" x14ac:dyDescent="0.25">
      <c r="A7328" s="2">
        <f>IF(B7328="","",SUBTOTAL(3,$B$2:B7328))</f>
        <v>7327</v>
      </c>
      <c r="B7328" s="9" t="s">
        <v>48</v>
      </c>
      <c r="C7328" s="10" t="s">
        <v>49</v>
      </c>
      <c r="D7328" s="11">
        <v>184.84288354898337</v>
      </c>
      <c r="E7328" s="12">
        <f t="shared" si="114"/>
        <v>48766</v>
      </c>
    </row>
    <row r="7329" spans="1:5" x14ac:dyDescent="0.25">
      <c r="A7329" s="2">
        <f>IF(B7329="","",SUBTOTAL(3,$B$2:B7329))</f>
        <v>7328</v>
      </c>
      <c r="B7329" s="9" t="s">
        <v>48</v>
      </c>
      <c r="C7329" s="10" t="s">
        <v>54</v>
      </c>
      <c r="D7329" s="11">
        <v>46.210720887245841</v>
      </c>
      <c r="E7329" s="12">
        <f t="shared" si="114"/>
        <v>48767</v>
      </c>
    </row>
    <row r="7330" spans="1:5" x14ac:dyDescent="0.25">
      <c r="A7330" s="2">
        <f>IF(B7330="","",SUBTOTAL(3,$B$2:B7330))</f>
        <v>7329</v>
      </c>
      <c r="B7330" s="9" t="s">
        <v>48</v>
      </c>
      <c r="C7330" s="10" t="s">
        <v>49</v>
      </c>
      <c r="D7330" s="11">
        <v>3.0807147258163896</v>
      </c>
      <c r="E7330" s="12">
        <f t="shared" si="114"/>
        <v>48768</v>
      </c>
    </row>
    <row r="7331" spans="1:5" x14ac:dyDescent="0.25">
      <c r="A7331" s="2">
        <f>IF(B7331="","",SUBTOTAL(3,$B$2:B7331))</f>
        <v>7330</v>
      </c>
      <c r="B7331" s="9" t="s">
        <v>51</v>
      </c>
      <c r="C7331" s="10" t="s">
        <v>54</v>
      </c>
      <c r="D7331" s="11">
        <v>48.618426383599385</v>
      </c>
      <c r="E7331" s="12">
        <f t="shared" si="114"/>
        <v>48769</v>
      </c>
    </row>
    <row r="7332" spans="1:5" x14ac:dyDescent="0.25">
      <c r="A7332" s="2">
        <f>IF(B7332="","",SUBTOTAL(3,$B$2:B7332))</f>
        <v>7331</v>
      </c>
      <c r="B7332" s="9" t="s">
        <v>51</v>
      </c>
      <c r="C7332" s="10" t="s">
        <v>54</v>
      </c>
      <c r="D7332" s="11">
        <v>211.79709837975219</v>
      </c>
      <c r="E7332" s="12">
        <f t="shared" si="114"/>
        <v>48770</v>
      </c>
    </row>
    <row r="7333" spans="1:5" x14ac:dyDescent="0.25">
      <c r="A7333" s="2">
        <f>IF(B7333="","",SUBTOTAL(3,$B$2:B7333))</f>
        <v>7332</v>
      </c>
      <c r="B7333" s="9" t="s">
        <v>48</v>
      </c>
      <c r="C7333" s="10" t="s">
        <v>54</v>
      </c>
      <c r="D7333" s="11">
        <v>89.936145336810867</v>
      </c>
      <c r="E7333" s="12">
        <f t="shared" si="114"/>
        <v>48771</v>
      </c>
    </row>
    <row r="7334" spans="1:5" x14ac:dyDescent="0.25">
      <c r="A7334" s="2">
        <f>IF(B7334="","",SUBTOTAL(3,$B$2:B7334))</f>
        <v>7333</v>
      </c>
      <c r="B7334" s="9" t="s">
        <v>51</v>
      </c>
      <c r="C7334" s="10" t="s">
        <v>49</v>
      </c>
      <c r="D7334" s="11">
        <v>105.89854918987609</v>
      </c>
      <c r="E7334" s="12">
        <f t="shared" si="114"/>
        <v>48772</v>
      </c>
    </row>
    <row r="7335" spans="1:5" x14ac:dyDescent="0.25">
      <c r="A7335" s="2">
        <f>IF(B7335="","",SUBTOTAL(3,$B$2:B7335))</f>
        <v>7334</v>
      </c>
      <c r="B7335" s="9" t="s">
        <v>51</v>
      </c>
      <c r="C7335" s="10" t="s">
        <v>49</v>
      </c>
      <c r="D7335" s="11">
        <v>31.769564756962826</v>
      </c>
      <c r="E7335" s="12">
        <f t="shared" si="114"/>
        <v>48773</v>
      </c>
    </row>
    <row r="7336" spans="1:5" x14ac:dyDescent="0.25">
      <c r="A7336" s="2">
        <f>IF(B7336="","",SUBTOTAL(3,$B$2:B7336))</f>
        <v>7335</v>
      </c>
      <c r="B7336" s="9" t="s">
        <v>48</v>
      </c>
      <c r="C7336" s="10" t="s">
        <v>52</v>
      </c>
      <c r="D7336" s="11">
        <v>231.05360443622922</v>
      </c>
      <c r="E7336" s="12">
        <f t="shared" si="114"/>
        <v>48774</v>
      </c>
    </row>
    <row r="7337" spans="1:5" x14ac:dyDescent="0.25">
      <c r="A7337" s="2">
        <f>IF(B7337="","",SUBTOTAL(3,$B$2:B7337))</f>
        <v>7336</v>
      </c>
      <c r="B7337" s="9" t="s">
        <v>48</v>
      </c>
      <c r="C7337" s="10" t="s">
        <v>56</v>
      </c>
      <c r="D7337" s="11">
        <v>256.96041524803104</v>
      </c>
      <c r="E7337" s="12">
        <f t="shared" si="114"/>
        <v>48775</v>
      </c>
    </row>
    <row r="7338" spans="1:5" x14ac:dyDescent="0.25">
      <c r="A7338" s="2">
        <f>IF(B7338="","",SUBTOTAL(3,$B$2:B7338))</f>
        <v>7337</v>
      </c>
      <c r="B7338" s="9" t="s">
        <v>51</v>
      </c>
      <c r="C7338" s="10" t="s">
        <v>54</v>
      </c>
      <c r="D7338" s="11">
        <v>0</v>
      </c>
      <c r="E7338" s="12">
        <f t="shared" si="114"/>
        <v>48776</v>
      </c>
    </row>
    <row r="7339" spans="1:5" x14ac:dyDescent="0.25">
      <c r="A7339" s="2">
        <f>IF(B7339="","",SUBTOTAL(3,$B$2:B7339))</f>
        <v>7338</v>
      </c>
      <c r="B7339" s="9" t="s">
        <v>53</v>
      </c>
      <c r="C7339" s="10" t="s">
        <v>54</v>
      </c>
      <c r="D7339" s="11">
        <v>45.792997334847563</v>
      </c>
      <c r="E7339" s="12">
        <f t="shared" si="114"/>
        <v>48777</v>
      </c>
    </row>
    <row r="7340" spans="1:5" x14ac:dyDescent="0.25">
      <c r="A7340" s="2">
        <f>IF(B7340="","",SUBTOTAL(3,$B$2:B7340))</f>
        <v>7339</v>
      </c>
      <c r="B7340" s="9" t="s">
        <v>53</v>
      </c>
      <c r="C7340" s="10" t="s">
        <v>54</v>
      </c>
      <c r="D7340" s="11">
        <v>91.585994669695125</v>
      </c>
      <c r="E7340" s="12">
        <f t="shared" si="114"/>
        <v>48778</v>
      </c>
    </row>
    <row r="7341" spans="1:5" x14ac:dyDescent="0.25">
      <c r="A7341" s="2">
        <f>IF(B7341="","",SUBTOTAL(3,$B$2:B7341))</f>
        <v>7340</v>
      </c>
      <c r="B7341" s="9" t="s">
        <v>48</v>
      </c>
      <c r="C7341" s="10" t="s">
        <v>52</v>
      </c>
      <c r="D7341" s="11">
        <v>246.45717806531115</v>
      </c>
      <c r="E7341" s="12">
        <f t="shared" si="114"/>
        <v>48779</v>
      </c>
    </row>
    <row r="7342" spans="1:5" x14ac:dyDescent="0.25">
      <c r="A7342" s="2">
        <f>IF(B7342="","",SUBTOTAL(3,$B$2:B7342))</f>
        <v>7341</v>
      </c>
      <c r="B7342" s="9" t="s">
        <v>48</v>
      </c>
      <c r="C7342" s="10" t="s">
        <v>52</v>
      </c>
      <c r="D7342" s="11">
        <v>231.05360443622922</v>
      </c>
      <c r="E7342" s="12">
        <f t="shared" si="114"/>
        <v>48780</v>
      </c>
    </row>
    <row r="7343" spans="1:5" x14ac:dyDescent="0.25">
      <c r="A7343" s="2">
        <f>IF(B7343="","",SUBTOTAL(3,$B$2:B7343))</f>
        <v>7342</v>
      </c>
      <c r="B7343" s="9" t="s">
        <v>48</v>
      </c>
      <c r="C7343" s="10" t="s">
        <v>54</v>
      </c>
      <c r="D7343" s="11">
        <v>46.210720887245841</v>
      </c>
      <c r="E7343" s="12">
        <f t="shared" si="114"/>
        <v>48781</v>
      </c>
    </row>
    <row r="7344" spans="1:5" x14ac:dyDescent="0.25">
      <c r="A7344" s="2">
        <f>IF(B7344="","",SUBTOTAL(3,$B$2:B7344))</f>
        <v>7343</v>
      </c>
      <c r="B7344" s="9" t="s">
        <v>48</v>
      </c>
      <c r="C7344" s="10" t="s">
        <v>52</v>
      </c>
      <c r="D7344" s="11">
        <v>3.0807147258163896</v>
      </c>
      <c r="E7344" s="12">
        <f t="shared" si="114"/>
        <v>48782</v>
      </c>
    </row>
    <row r="7345" spans="1:5" x14ac:dyDescent="0.25">
      <c r="A7345" s="2">
        <f>IF(B7345="","",SUBTOTAL(3,$B$2:B7345))</f>
        <v>7344</v>
      </c>
      <c r="B7345" s="9" t="s">
        <v>48</v>
      </c>
      <c r="C7345" s="10" t="s">
        <v>57</v>
      </c>
      <c r="D7345" s="11">
        <v>15.403573629081947</v>
      </c>
      <c r="E7345" s="12">
        <f t="shared" si="114"/>
        <v>48783</v>
      </c>
    </row>
    <row r="7346" spans="1:5" x14ac:dyDescent="0.25">
      <c r="A7346" s="2">
        <f>IF(B7346="","",SUBTOTAL(3,$B$2:B7346))</f>
        <v>7345</v>
      </c>
      <c r="B7346" s="9" t="s">
        <v>48</v>
      </c>
      <c r="C7346" s="10" t="s">
        <v>49</v>
      </c>
      <c r="D7346" s="11">
        <v>15.403573629081947</v>
      </c>
      <c r="E7346" s="12">
        <f t="shared" si="114"/>
        <v>48784</v>
      </c>
    </row>
    <row r="7347" spans="1:5" x14ac:dyDescent="0.25">
      <c r="A7347" s="2">
        <f>IF(B7347="","",SUBTOTAL(3,$B$2:B7347))</f>
        <v>7346</v>
      </c>
      <c r="B7347" s="9" t="s">
        <v>48</v>
      </c>
      <c r="C7347" s="10" t="s">
        <v>49</v>
      </c>
      <c r="D7347" s="11">
        <v>15.403573629081947</v>
      </c>
      <c r="E7347" s="12">
        <f t="shared" si="114"/>
        <v>48785</v>
      </c>
    </row>
    <row r="7348" spans="1:5" x14ac:dyDescent="0.25">
      <c r="A7348" s="2">
        <f>IF(B7348="","",SUBTOTAL(3,$B$2:B7348))</f>
        <v>7347</v>
      </c>
      <c r="B7348" s="9" t="s">
        <v>48</v>
      </c>
      <c r="C7348" s="10" t="s">
        <v>49</v>
      </c>
      <c r="D7348" s="11">
        <v>15.403573629081947</v>
      </c>
      <c r="E7348" s="12">
        <f t="shared" si="114"/>
        <v>48786</v>
      </c>
    </row>
    <row r="7349" spans="1:5" x14ac:dyDescent="0.25">
      <c r="A7349" s="2">
        <f>IF(B7349="","",SUBTOTAL(3,$B$2:B7349))</f>
        <v>7348</v>
      </c>
      <c r="B7349" s="9" t="s">
        <v>53</v>
      </c>
      <c r="C7349" s="10" t="s">
        <v>54</v>
      </c>
      <c r="D7349" s="11">
        <v>45.792997334847563</v>
      </c>
      <c r="E7349" s="12">
        <f t="shared" si="114"/>
        <v>48787</v>
      </c>
    </row>
    <row r="7350" spans="1:5" x14ac:dyDescent="0.25">
      <c r="A7350" s="2">
        <f>IF(B7350="","",SUBTOTAL(3,$B$2:B7350))</f>
        <v>7349</v>
      </c>
      <c r="B7350" s="9" t="s">
        <v>53</v>
      </c>
      <c r="C7350" s="10" t="s">
        <v>54</v>
      </c>
      <c r="D7350" s="11">
        <v>45.792997334847563</v>
      </c>
      <c r="E7350" s="12">
        <f t="shared" si="114"/>
        <v>48788</v>
      </c>
    </row>
    <row r="7351" spans="1:5" x14ac:dyDescent="0.25">
      <c r="A7351" s="2">
        <f>IF(B7351="","",SUBTOTAL(3,$B$2:B7351))</f>
        <v>7350</v>
      </c>
      <c r="B7351" s="9" t="s">
        <v>53</v>
      </c>
      <c r="C7351" s="10" t="s">
        <v>54</v>
      </c>
      <c r="D7351" s="11">
        <v>45.792997334847563</v>
      </c>
      <c r="E7351" s="12">
        <f t="shared" si="114"/>
        <v>48789</v>
      </c>
    </row>
    <row r="7352" spans="1:5" x14ac:dyDescent="0.25">
      <c r="A7352" s="2">
        <f>IF(B7352="","",SUBTOTAL(3,$B$2:B7352))</f>
        <v>7351</v>
      </c>
      <c r="B7352" s="9" t="s">
        <v>51</v>
      </c>
      <c r="C7352" s="10" t="s">
        <v>49</v>
      </c>
      <c r="D7352" s="11">
        <v>81.030710639332298</v>
      </c>
      <c r="E7352" s="12">
        <f t="shared" si="114"/>
        <v>48790</v>
      </c>
    </row>
    <row r="7353" spans="1:5" x14ac:dyDescent="0.25">
      <c r="A7353" s="2">
        <f>IF(B7353="","",SUBTOTAL(3,$B$2:B7353))</f>
        <v>7352</v>
      </c>
      <c r="B7353" s="9" t="s">
        <v>48</v>
      </c>
      <c r="C7353" s="10" t="s">
        <v>54</v>
      </c>
      <c r="D7353" s="11">
        <v>89.936145336810867</v>
      </c>
      <c r="E7353" s="12">
        <f t="shared" si="114"/>
        <v>48791</v>
      </c>
    </row>
    <row r="7354" spans="1:5" x14ac:dyDescent="0.25">
      <c r="A7354" s="2">
        <f>IF(B7354="","",SUBTOTAL(3,$B$2:B7354))</f>
        <v>7353</v>
      </c>
      <c r="B7354" s="9" t="s">
        <v>51</v>
      </c>
      <c r="C7354" s="10" t="s">
        <v>52</v>
      </c>
      <c r="D7354" s="11">
        <v>52.949274594938046</v>
      </c>
      <c r="E7354" s="12">
        <f t="shared" si="114"/>
        <v>48792</v>
      </c>
    </row>
    <row r="7355" spans="1:5" x14ac:dyDescent="0.25">
      <c r="A7355" s="2">
        <f>IF(B7355="","",SUBTOTAL(3,$B$2:B7355))</f>
        <v>7354</v>
      </c>
      <c r="B7355" s="9" t="s">
        <v>48</v>
      </c>
      <c r="C7355" s="10" t="s">
        <v>52</v>
      </c>
      <c r="D7355" s="11">
        <v>154.03573629081947</v>
      </c>
      <c r="E7355" s="12">
        <f t="shared" si="114"/>
        <v>48793</v>
      </c>
    </row>
    <row r="7356" spans="1:5" x14ac:dyDescent="0.25">
      <c r="A7356" s="2">
        <f>IF(B7356="","",SUBTOTAL(3,$B$2:B7356))</f>
        <v>7355</v>
      </c>
      <c r="B7356" s="9" t="s">
        <v>50</v>
      </c>
      <c r="C7356" s="10" t="s">
        <v>49</v>
      </c>
      <c r="D7356" s="11">
        <v>220.45855379188714</v>
      </c>
      <c r="E7356" s="12">
        <f t="shared" si="114"/>
        <v>48794</v>
      </c>
    </row>
    <row r="7357" spans="1:5" x14ac:dyDescent="0.25">
      <c r="A7357" s="2">
        <f>IF(B7357="","",SUBTOTAL(3,$B$2:B7357))</f>
        <v>7356</v>
      </c>
      <c r="B7357" s="9" t="s">
        <v>48</v>
      </c>
      <c r="C7357" s="10" t="s">
        <v>52</v>
      </c>
      <c r="D7357" s="11">
        <v>123.22858903265558</v>
      </c>
      <c r="E7357" s="12">
        <f t="shared" si="114"/>
        <v>48795</v>
      </c>
    </row>
    <row r="7358" spans="1:5" x14ac:dyDescent="0.25">
      <c r="A7358" s="2">
        <f>IF(B7358="","",SUBTOTAL(3,$B$2:B7358))</f>
        <v>7357</v>
      </c>
      <c r="B7358" s="9" t="s">
        <v>50</v>
      </c>
      <c r="C7358" s="10" t="s">
        <v>49</v>
      </c>
      <c r="D7358" s="11">
        <v>60</v>
      </c>
      <c r="E7358" s="12">
        <f t="shared" si="114"/>
        <v>48796</v>
      </c>
    </row>
    <row r="7359" spans="1:5" x14ac:dyDescent="0.25">
      <c r="A7359" s="2">
        <f>IF(B7359="","",SUBTOTAL(3,$B$2:B7359))</f>
        <v>7358</v>
      </c>
      <c r="B7359" s="9" t="s">
        <v>48</v>
      </c>
      <c r="C7359" s="10" t="s">
        <v>52</v>
      </c>
      <c r="D7359" s="11">
        <v>154.03573629081947</v>
      </c>
      <c r="E7359" s="12">
        <f t="shared" si="114"/>
        <v>48797</v>
      </c>
    </row>
    <row r="7360" spans="1:5" x14ac:dyDescent="0.25">
      <c r="A7360" s="2">
        <f>IF(B7360="","",SUBTOTAL(3,$B$2:B7360))</f>
        <v>7359</v>
      </c>
      <c r="B7360" s="9" t="s">
        <v>48</v>
      </c>
      <c r="C7360" s="10" t="s">
        <v>52</v>
      </c>
      <c r="D7360" s="11">
        <v>154.03573629081947</v>
      </c>
      <c r="E7360" s="12">
        <f t="shared" si="114"/>
        <v>48798</v>
      </c>
    </row>
    <row r="7361" spans="1:5" x14ac:dyDescent="0.25">
      <c r="A7361" s="2">
        <f>IF(B7361="","",SUBTOTAL(3,$B$2:B7361))</f>
        <v>7360</v>
      </c>
      <c r="B7361" s="9" t="s">
        <v>48</v>
      </c>
      <c r="C7361" s="10" t="s">
        <v>52</v>
      </c>
      <c r="D7361" s="11">
        <v>154.03573629081947</v>
      </c>
      <c r="E7361" s="12">
        <f t="shared" si="114"/>
        <v>48799</v>
      </c>
    </row>
    <row r="7362" spans="1:5" x14ac:dyDescent="0.25">
      <c r="A7362" s="2">
        <f>IF(B7362="","",SUBTOTAL(3,$B$2:B7362))</f>
        <v>7361</v>
      </c>
      <c r="B7362" s="9" t="s">
        <v>48</v>
      </c>
      <c r="C7362" s="10" t="s">
        <v>52</v>
      </c>
      <c r="D7362" s="11">
        <v>154.03573629081947</v>
      </c>
      <c r="E7362" s="12">
        <f t="shared" si="114"/>
        <v>48800</v>
      </c>
    </row>
    <row r="7363" spans="1:5" x14ac:dyDescent="0.25">
      <c r="A7363" s="2">
        <f>IF(B7363="","",SUBTOTAL(3,$B$2:B7363))</f>
        <v>7362</v>
      </c>
      <c r="B7363" s="9" t="s">
        <v>48</v>
      </c>
      <c r="C7363" s="10" t="s">
        <v>52</v>
      </c>
      <c r="D7363" s="11">
        <v>154.03573629081947</v>
      </c>
      <c r="E7363" s="12">
        <f t="shared" si="114"/>
        <v>48801</v>
      </c>
    </row>
    <row r="7364" spans="1:5" x14ac:dyDescent="0.25">
      <c r="A7364" s="2">
        <f>IF(B7364="","",SUBTOTAL(3,$B$2:B7364))</f>
        <v>7363</v>
      </c>
      <c r="B7364" s="9" t="s">
        <v>48</v>
      </c>
      <c r="C7364" s="10" t="s">
        <v>52</v>
      </c>
      <c r="D7364" s="11">
        <v>154.03573629081947</v>
      </c>
      <c r="E7364" s="12">
        <f t="shared" ref="E7364:E7427" si="115">E7363+1</f>
        <v>48802</v>
      </c>
    </row>
    <row r="7365" spans="1:5" x14ac:dyDescent="0.25">
      <c r="A7365" s="2">
        <f>IF(B7365="","",SUBTOTAL(3,$B$2:B7365))</f>
        <v>7364</v>
      </c>
      <c r="B7365" s="9" t="s">
        <v>48</v>
      </c>
      <c r="C7365" s="10" t="s">
        <v>52</v>
      </c>
      <c r="D7365" s="11">
        <v>154.03573629081947</v>
      </c>
      <c r="E7365" s="12">
        <f t="shared" si="115"/>
        <v>48803</v>
      </c>
    </row>
    <row r="7366" spans="1:5" x14ac:dyDescent="0.25">
      <c r="A7366" s="2">
        <f>IF(B7366="","",SUBTOTAL(3,$B$2:B7366))</f>
        <v>7365</v>
      </c>
      <c r="B7366" s="9" t="s">
        <v>48</v>
      </c>
      <c r="C7366" s="10" t="s">
        <v>52</v>
      </c>
      <c r="D7366" s="11">
        <v>154.03573629081947</v>
      </c>
      <c r="E7366" s="12">
        <f t="shared" si="115"/>
        <v>48804</v>
      </c>
    </row>
    <row r="7367" spans="1:5" x14ac:dyDescent="0.25">
      <c r="A7367" s="2">
        <f>IF(B7367="","",SUBTOTAL(3,$B$2:B7367))</f>
        <v>7366</v>
      </c>
      <c r="B7367" s="9" t="s">
        <v>55</v>
      </c>
      <c r="C7367" s="10" t="s">
        <v>49</v>
      </c>
      <c r="D7367" s="11">
        <v>162.94606485253382</v>
      </c>
      <c r="E7367" s="12">
        <f t="shared" si="115"/>
        <v>48805</v>
      </c>
    </row>
    <row r="7368" spans="1:5" x14ac:dyDescent="0.25">
      <c r="A7368" s="2">
        <f>IF(B7368="","",SUBTOTAL(3,$B$2:B7368))</f>
        <v>7367</v>
      </c>
      <c r="B7368" s="9" t="s">
        <v>50</v>
      </c>
      <c r="C7368" s="10" t="s">
        <v>49</v>
      </c>
      <c r="D7368" s="11">
        <v>88.183421516754848</v>
      </c>
      <c r="E7368" s="12">
        <f t="shared" si="115"/>
        <v>48806</v>
      </c>
    </row>
    <row r="7369" spans="1:5" x14ac:dyDescent="0.25">
      <c r="A7369" s="2">
        <f>IF(B7369="","",SUBTOTAL(3,$B$2:B7369))</f>
        <v>7368</v>
      </c>
      <c r="B7369" s="9" t="s">
        <v>48</v>
      </c>
      <c r="C7369" s="10" t="s">
        <v>49</v>
      </c>
      <c r="D7369" s="11">
        <v>102.78416609921243</v>
      </c>
      <c r="E7369" s="12">
        <f t="shared" si="115"/>
        <v>48807</v>
      </c>
    </row>
    <row r="7370" spans="1:5" x14ac:dyDescent="0.25">
      <c r="A7370" s="2">
        <f>IF(B7370="","",SUBTOTAL(3,$B$2:B7370))</f>
        <v>7369</v>
      </c>
      <c r="B7370" s="9" t="s">
        <v>50</v>
      </c>
      <c r="C7370" s="10" t="s">
        <v>56</v>
      </c>
      <c r="D7370" s="11">
        <v>220.45855379188714</v>
      </c>
      <c r="E7370" s="12">
        <f t="shared" si="115"/>
        <v>48808</v>
      </c>
    </row>
    <row r="7371" spans="1:5" x14ac:dyDescent="0.25">
      <c r="A7371" s="2">
        <f>IF(B7371="","",SUBTOTAL(3,$B$2:B7371))</f>
        <v>7370</v>
      </c>
      <c r="B7371" s="9" t="s">
        <v>48</v>
      </c>
      <c r="C7371" s="10" t="s">
        <v>52</v>
      </c>
      <c r="D7371" s="11">
        <v>123.22858903265558</v>
      </c>
      <c r="E7371" s="12">
        <f t="shared" si="115"/>
        <v>48809</v>
      </c>
    </row>
    <row r="7372" spans="1:5" x14ac:dyDescent="0.25">
      <c r="A7372" s="2">
        <f>IF(B7372="","",SUBTOTAL(3,$B$2:B7372))</f>
        <v>7371</v>
      </c>
      <c r="B7372" s="9" t="s">
        <v>48</v>
      </c>
      <c r="C7372" s="10" t="s">
        <v>49</v>
      </c>
      <c r="D7372" s="11">
        <v>34.470872113064452</v>
      </c>
      <c r="E7372" s="12">
        <f t="shared" si="115"/>
        <v>48810</v>
      </c>
    </row>
    <row r="7373" spans="1:5" x14ac:dyDescent="0.25">
      <c r="A7373" s="2">
        <f>IF(B7373="","",SUBTOTAL(3,$B$2:B7373))</f>
        <v>7372</v>
      </c>
      <c r="B7373" s="9" t="s">
        <v>50</v>
      </c>
      <c r="C7373" s="10" t="s">
        <v>49</v>
      </c>
      <c r="D7373" s="11">
        <v>77.160493827160494</v>
      </c>
      <c r="E7373" s="12">
        <f t="shared" si="115"/>
        <v>48811</v>
      </c>
    </row>
    <row r="7374" spans="1:5" x14ac:dyDescent="0.25">
      <c r="A7374" s="2">
        <f>IF(B7374="","",SUBTOTAL(3,$B$2:B7374))</f>
        <v>7373</v>
      </c>
      <c r="B7374" s="9" t="s">
        <v>48</v>
      </c>
      <c r="C7374" s="10" t="s">
        <v>52</v>
      </c>
      <c r="D7374" s="11">
        <v>123.22858903265558</v>
      </c>
      <c r="E7374" s="12">
        <f t="shared" si="115"/>
        <v>48812</v>
      </c>
    </row>
    <row r="7375" spans="1:5" x14ac:dyDescent="0.25">
      <c r="A7375" s="2">
        <f>IF(B7375="","",SUBTOTAL(3,$B$2:B7375))</f>
        <v>7374</v>
      </c>
      <c r="B7375" s="9" t="s">
        <v>48</v>
      </c>
      <c r="C7375" s="10" t="s">
        <v>52</v>
      </c>
      <c r="D7375" s="11">
        <v>169.43930991990143</v>
      </c>
      <c r="E7375" s="12">
        <f t="shared" si="115"/>
        <v>48813</v>
      </c>
    </row>
    <row r="7376" spans="1:5" x14ac:dyDescent="0.25">
      <c r="A7376" s="2">
        <f>IF(B7376="","",SUBTOTAL(3,$B$2:B7376))</f>
        <v>7375</v>
      </c>
      <c r="B7376" s="9" t="s">
        <v>48</v>
      </c>
      <c r="C7376" s="10" t="s">
        <v>52</v>
      </c>
      <c r="D7376" s="11">
        <v>92.421441774491683</v>
      </c>
      <c r="E7376" s="12">
        <f t="shared" si="115"/>
        <v>48814</v>
      </c>
    </row>
    <row r="7377" spans="1:5" x14ac:dyDescent="0.25">
      <c r="A7377" s="2">
        <f>IF(B7377="","",SUBTOTAL(3,$B$2:B7377))</f>
        <v>7376</v>
      </c>
      <c r="B7377" s="9" t="s">
        <v>48</v>
      </c>
      <c r="C7377" s="10" t="s">
        <v>49</v>
      </c>
      <c r="D7377" s="11">
        <v>22.652345406190175</v>
      </c>
      <c r="E7377" s="12">
        <f t="shared" si="115"/>
        <v>48815</v>
      </c>
    </row>
    <row r="7378" spans="1:5" x14ac:dyDescent="0.25">
      <c r="A7378" s="2">
        <f>IF(B7378="","",SUBTOTAL(3,$B$2:B7378))</f>
        <v>7377</v>
      </c>
      <c r="B7378" s="9" t="s">
        <v>48</v>
      </c>
      <c r="C7378" s="10" t="s">
        <v>49</v>
      </c>
      <c r="D7378" s="11">
        <v>22.652345406190175</v>
      </c>
      <c r="E7378" s="12">
        <f t="shared" si="115"/>
        <v>48816</v>
      </c>
    </row>
    <row r="7379" spans="1:5" x14ac:dyDescent="0.25">
      <c r="A7379" s="2">
        <f>IF(B7379="","",SUBTOTAL(3,$B$2:B7379))</f>
        <v>7378</v>
      </c>
      <c r="B7379" s="9" t="s">
        <v>48</v>
      </c>
      <c r="C7379" s="10" t="s">
        <v>52</v>
      </c>
      <c r="D7379" s="11">
        <v>154.03573629081947</v>
      </c>
      <c r="E7379" s="12">
        <f t="shared" si="115"/>
        <v>48817</v>
      </c>
    </row>
    <row r="7380" spans="1:5" x14ac:dyDescent="0.25">
      <c r="A7380" s="2">
        <f>IF(B7380="","",SUBTOTAL(3,$B$2:B7380))</f>
        <v>7379</v>
      </c>
      <c r="B7380" s="9" t="s">
        <v>48</v>
      </c>
      <c r="C7380" s="10" t="s">
        <v>49</v>
      </c>
      <c r="D7380" s="11">
        <v>15.403573629081947</v>
      </c>
      <c r="E7380" s="12">
        <f t="shared" si="115"/>
        <v>48818</v>
      </c>
    </row>
    <row r="7381" spans="1:5" x14ac:dyDescent="0.25">
      <c r="A7381" s="2">
        <f>IF(B7381="","",SUBTOTAL(3,$B$2:B7381))</f>
        <v>7380</v>
      </c>
      <c r="B7381" s="9" t="s">
        <v>48</v>
      </c>
      <c r="C7381" s="10" t="s">
        <v>52</v>
      </c>
      <c r="D7381" s="11">
        <v>12.322858903265558</v>
      </c>
      <c r="E7381" s="12">
        <f t="shared" si="115"/>
        <v>48819</v>
      </c>
    </row>
    <row r="7382" spans="1:5" x14ac:dyDescent="0.25">
      <c r="A7382" s="2">
        <f>IF(B7382="","",SUBTOTAL(3,$B$2:B7382))</f>
        <v>7381</v>
      </c>
      <c r="B7382" s="9" t="s">
        <v>48</v>
      </c>
      <c r="C7382" s="10" t="s">
        <v>57</v>
      </c>
      <c r="D7382" s="11">
        <v>15.403573629081947</v>
      </c>
      <c r="E7382" s="12">
        <f t="shared" si="115"/>
        <v>48820</v>
      </c>
    </row>
    <row r="7383" spans="1:5" x14ac:dyDescent="0.25">
      <c r="A7383" s="2">
        <f>IF(B7383="","",SUBTOTAL(3,$B$2:B7383))</f>
        <v>7382</v>
      </c>
      <c r="B7383" s="9" t="s">
        <v>48</v>
      </c>
      <c r="C7383" s="10" t="s">
        <v>52</v>
      </c>
      <c r="D7383" s="11">
        <v>15.403573629081947</v>
      </c>
      <c r="E7383" s="12">
        <f t="shared" si="115"/>
        <v>48821</v>
      </c>
    </row>
    <row r="7384" spans="1:5" x14ac:dyDescent="0.25">
      <c r="A7384" s="2">
        <f>IF(B7384="","",SUBTOTAL(3,$B$2:B7384))</f>
        <v>7383</v>
      </c>
      <c r="B7384" s="9" t="s">
        <v>48</v>
      </c>
      <c r="C7384" s="10" t="s">
        <v>57</v>
      </c>
      <c r="D7384" s="11">
        <v>30.807147258163894</v>
      </c>
      <c r="E7384" s="12">
        <f t="shared" si="115"/>
        <v>48822</v>
      </c>
    </row>
    <row r="7385" spans="1:5" x14ac:dyDescent="0.25">
      <c r="A7385" s="2">
        <f>IF(B7385="","",SUBTOTAL(3,$B$2:B7385))</f>
        <v>7384</v>
      </c>
      <c r="B7385" s="9" t="s">
        <v>55</v>
      </c>
      <c r="C7385" s="10" t="s">
        <v>57</v>
      </c>
      <c r="D7385" s="11">
        <v>329.04045223319753</v>
      </c>
      <c r="E7385" s="12">
        <f t="shared" si="115"/>
        <v>48823</v>
      </c>
    </row>
    <row r="7386" spans="1:5" x14ac:dyDescent="0.25">
      <c r="A7386" s="2">
        <f>IF(B7386="","",SUBTOTAL(3,$B$2:B7386))</f>
        <v>7385</v>
      </c>
      <c r="B7386" s="9" t="s">
        <v>50</v>
      </c>
      <c r="C7386" s="10" t="s">
        <v>54</v>
      </c>
      <c r="D7386" s="11">
        <v>26.455026455026456</v>
      </c>
      <c r="E7386" s="12">
        <f t="shared" si="115"/>
        <v>48824</v>
      </c>
    </row>
    <row r="7387" spans="1:5" x14ac:dyDescent="0.25">
      <c r="A7387" s="2">
        <f>IF(B7387="","",SUBTOTAL(3,$B$2:B7387))</f>
        <v>7386</v>
      </c>
      <c r="B7387" s="9" t="s">
        <v>48</v>
      </c>
      <c r="C7387" s="10" t="s">
        <v>52</v>
      </c>
      <c r="D7387" s="11">
        <v>69.316081330868769</v>
      </c>
      <c r="E7387" s="12">
        <f t="shared" si="115"/>
        <v>48825</v>
      </c>
    </row>
    <row r="7388" spans="1:5" x14ac:dyDescent="0.25">
      <c r="A7388" s="2">
        <f>IF(B7388="","",SUBTOTAL(3,$B$2:B7388))</f>
        <v>7387</v>
      </c>
      <c r="B7388" s="9" t="s">
        <v>51</v>
      </c>
      <c r="C7388" s="10" t="s">
        <v>52</v>
      </c>
      <c r="D7388" s="11">
        <v>476.54347135444243</v>
      </c>
      <c r="E7388" s="12">
        <f t="shared" si="115"/>
        <v>48826</v>
      </c>
    </row>
    <row r="7389" spans="1:5" x14ac:dyDescent="0.25">
      <c r="A7389" s="2">
        <f>IF(B7389="","",SUBTOTAL(3,$B$2:B7389))</f>
        <v>7388</v>
      </c>
      <c r="B7389" s="9" t="s">
        <v>50</v>
      </c>
      <c r="C7389" s="10" t="s">
        <v>52</v>
      </c>
      <c r="D7389" s="11">
        <v>2.0751543209876546</v>
      </c>
      <c r="E7389" s="12">
        <f t="shared" si="115"/>
        <v>48827</v>
      </c>
    </row>
    <row r="7390" spans="1:5" x14ac:dyDescent="0.25">
      <c r="A7390" s="2">
        <f>IF(B7390="","",SUBTOTAL(3,$B$2:B7390))</f>
        <v>7389</v>
      </c>
      <c r="B7390" s="9" t="s">
        <v>50</v>
      </c>
      <c r="C7390" s="10" t="s">
        <v>49</v>
      </c>
      <c r="D7390" s="11">
        <v>110.22927689594357</v>
      </c>
      <c r="E7390" s="12">
        <f t="shared" si="115"/>
        <v>48828</v>
      </c>
    </row>
    <row r="7391" spans="1:5" x14ac:dyDescent="0.25">
      <c r="A7391" s="2">
        <f>IF(B7391="","",SUBTOTAL(3,$B$2:B7391))</f>
        <v>7390</v>
      </c>
      <c r="B7391" s="9" t="s">
        <v>48</v>
      </c>
      <c r="C7391" s="10" t="s">
        <v>52</v>
      </c>
      <c r="D7391" s="11">
        <v>53.912507701786815</v>
      </c>
      <c r="E7391" s="12">
        <f t="shared" si="115"/>
        <v>48829</v>
      </c>
    </row>
    <row r="7392" spans="1:5" x14ac:dyDescent="0.25">
      <c r="A7392" s="2">
        <f>IF(B7392="","",SUBTOTAL(3,$B$2:B7392))</f>
        <v>7391</v>
      </c>
      <c r="B7392" s="9" t="s">
        <v>48</v>
      </c>
      <c r="C7392" s="10" t="s">
        <v>52</v>
      </c>
      <c r="D7392" s="11">
        <v>46.210720887245841</v>
      </c>
      <c r="E7392" s="12">
        <f t="shared" si="115"/>
        <v>48830</v>
      </c>
    </row>
    <row r="7393" spans="1:5" x14ac:dyDescent="0.25">
      <c r="A7393" s="2">
        <f>IF(B7393="","",SUBTOTAL(3,$B$2:B7393))</f>
        <v>7392</v>
      </c>
      <c r="B7393" s="9" t="s">
        <v>55</v>
      </c>
      <c r="C7393" s="10" t="s">
        <v>49</v>
      </c>
      <c r="D7393" s="11">
        <v>24.127423822714682</v>
      </c>
      <c r="E7393" s="12">
        <f t="shared" si="115"/>
        <v>48831</v>
      </c>
    </row>
    <row r="7394" spans="1:5" x14ac:dyDescent="0.25">
      <c r="A7394" s="2">
        <f>IF(B7394="","",SUBTOTAL(3,$B$2:B7394))</f>
        <v>7393</v>
      </c>
      <c r="B7394" s="9" t="s">
        <v>55</v>
      </c>
      <c r="C7394" s="10" t="s">
        <v>49</v>
      </c>
      <c r="D7394" s="11">
        <v>32.589212970506765</v>
      </c>
      <c r="E7394" s="12">
        <f t="shared" si="115"/>
        <v>48832</v>
      </c>
    </row>
    <row r="7395" spans="1:5" x14ac:dyDescent="0.25">
      <c r="A7395" s="2">
        <f>IF(B7395="","",SUBTOTAL(3,$B$2:B7395))</f>
        <v>7394</v>
      </c>
      <c r="B7395" s="9" t="s">
        <v>55</v>
      </c>
      <c r="C7395" s="10" t="s">
        <v>49</v>
      </c>
      <c r="D7395" s="11">
        <v>4.6646895877464569</v>
      </c>
      <c r="E7395" s="12">
        <f t="shared" si="115"/>
        <v>48833</v>
      </c>
    </row>
    <row r="7396" spans="1:5" x14ac:dyDescent="0.25">
      <c r="A7396" s="2">
        <f>IF(B7396="","",SUBTOTAL(3,$B$2:B7396))</f>
        <v>7395</v>
      </c>
      <c r="B7396" s="9" t="s">
        <v>51</v>
      </c>
      <c r="C7396" s="10" t="s">
        <v>56</v>
      </c>
      <c r="D7396" s="11">
        <v>31.769564756962826</v>
      </c>
      <c r="E7396" s="12">
        <f t="shared" si="115"/>
        <v>48834</v>
      </c>
    </row>
    <row r="7397" spans="1:5" x14ac:dyDescent="0.25">
      <c r="A7397" s="2">
        <f>IF(B7397="","",SUBTOTAL(3,$B$2:B7397))</f>
        <v>7396</v>
      </c>
      <c r="B7397" s="9" t="s">
        <v>48</v>
      </c>
      <c r="C7397" s="10" t="s">
        <v>49</v>
      </c>
      <c r="D7397" s="11">
        <v>24.645717806531117</v>
      </c>
      <c r="E7397" s="12">
        <f t="shared" si="115"/>
        <v>48835</v>
      </c>
    </row>
    <row r="7398" spans="1:5" x14ac:dyDescent="0.25">
      <c r="A7398" s="2">
        <f>IF(B7398="","",SUBTOTAL(3,$B$2:B7398))</f>
        <v>7397</v>
      </c>
      <c r="B7398" s="9" t="s">
        <v>48</v>
      </c>
      <c r="C7398" s="10" t="s">
        <v>49</v>
      </c>
      <c r="D7398" s="11">
        <v>184.84288354898337</v>
      </c>
      <c r="E7398" s="12">
        <f t="shared" si="115"/>
        <v>48836</v>
      </c>
    </row>
    <row r="7399" spans="1:5" x14ac:dyDescent="0.25">
      <c r="A7399" s="2">
        <f>IF(B7399="","",SUBTOTAL(3,$B$2:B7399))</f>
        <v>7398</v>
      </c>
      <c r="B7399" s="9" t="s">
        <v>48</v>
      </c>
      <c r="C7399" s="10" t="s">
        <v>52</v>
      </c>
      <c r="D7399" s="11">
        <v>231.05360443622922</v>
      </c>
      <c r="E7399" s="12">
        <f t="shared" si="115"/>
        <v>48837</v>
      </c>
    </row>
    <row r="7400" spans="1:5" x14ac:dyDescent="0.25">
      <c r="A7400" s="2">
        <f>IF(B7400="","",SUBTOTAL(3,$B$2:B7400))</f>
        <v>7399</v>
      </c>
      <c r="B7400" s="9" t="s">
        <v>48</v>
      </c>
      <c r="C7400" s="10" t="s">
        <v>52</v>
      </c>
      <c r="D7400" s="11">
        <v>77.017868145409736</v>
      </c>
      <c r="E7400" s="12">
        <f t="shared" si="115"/>
        <v>48838</v>
      </c>
    </row>
    <row r="7401" spans="1:5" x14ac:dyDescent="0.25">
      <c r="A7401" s="2">
        <f>IF(B7401="","",SUBTOTAL(3,$B$2:B7401))</f>
        <v>7400</v>
      </c>
      <c r="B7401" s="9" t="s">
        <v>48</v>
      </c>
      <c r="C7401" s="10" t="s">
        <v>52</v>
      </c>
      <c r="D7401" s="11">
        <v>107.82501540357363</v>
      </c>
      <c r="E7401" s="12">
        <f t="shared" si="115"/>
        <v>48839</v>
      </c>
    </row>
    <row r="7402" spans="1:5" x14ac:dyDescent="0.25">
      <c r="A7402" s="2">
        <f>IF(B7402="","",SUBTOTAL(3,$B$2:B7402))</f>
        <v>7401</v>
      </c>
      <c r="B7402" s="9" t="s">
        <v>48</v>
      </c>
      <c r="C7402" s="10" t="s">
        <v>52</v>
      </c>
      <c r="D7402" s="11">
        <v>123.22858903265558</v>
      </c>
      <c r="E7402" s="12">
        <f t="shared" si="115"/>
        <v>48840</v>
      </c>
    </row>
    <row r="7403" spans="1:5" x14ac:dyDescent="0.25">
      <c r="A7403" s="2">
        <f>IF(B7403="","",SUBTOTAL(3,$B$2:B7403))</f>
        <v>7402</v>
      </c>
      <c r="B7403" s="9" t="s">
        <v>50</v>
      </c>
      <c r="C7403" s="10" t="s">
        <v>49</v>
      </c>
      <c r="D7403" s="11">
        <v>39.682539682539684</v>
      </c>
      <c r="E7403" s="12">
        <f t="shared" si="115"/>
        <v>48841</v>
      </c>
    </row>
    <row r="7404" spans="1:5" x14ac:dyDescent="0.25">
      <c r="A7404" s="2">
        <f>IF(B7404="","",SUBTOTAL(3,$B$2:B7404))</f>
        <v>7403</v>
      </c>
      <c r="B7404" s="9" t="s">
        <v>55</v>
      </c>
      <c r="C7404" s="10" t="s">
        <v>49</v>
      </c>
      <c r="D7404" s="11">
        <v>28.148606811145513</v>
      </c>
      <c r="E7404" s="12">
        <f t="shared" si="115"/>
        <v>48842</v>
      </c>
    </row>
    <row r="7405" spans="1:5" x14ac:dyDescent="0.25">
      <c r="A7405" s="2">
        <f>IF(B7405="","",SUBTOTAL(3,$B$2:B7405))</f>
        <v>7404</v>
      </c>
      <c r="B7405" s="9" t="s">
        <v>48</v>
      </c>
      <c r="C7405" s="10" t="s">
        <v>49</v>
      </c>
      <c r="D7405" s="11">
        <v>49.291435613062234</v>
      </c>
      <c r="E7405" s="12">
        <f t="shared" si="115"/>
        <v>48843</v>
      </c>
    </row>
    <row r="7406" spans="1:5" x14ac:dyDescent="0.25">
      <c r="A7406" s="2">
        <f>IF(B7406="","",SUBTOTAL(3,$B$2:B7406))</f>
        <v>7405</v>
      </c>
      <c r="B7406" s="9" t="s">
        <v>48</v>
      </c>
      <c r="C7406" s="10" t="s">
        <v>54</v>
      </c>
      <c r="D7406" s="11">
        <v>12.322858903265558</v>
      </c>
      <c r="E7406" s="12">
        <f t="shared" si="115"/>
        <v>48844</v>
      </c>
    </row>
    <row r="7407" spans="1:5" x14ac:dyDescent="0.25">
      <c r="A7407" s="2">
        <f>IF(B7407="","",SUBTOTAL(3,$B$2:B7407))</f>
        <v>7406</v>
      </c>
      <c r="B7407" s="9" t="s">
        <v>50</v>
      </c>
      <c r="C7407" s="10" t="s">
        <v>49</v>
      </c>
      <c r="D7407" s="11">
        <v>33.078417107583775</v>
      </c>
      <c r="E7407" s="12">
        <f t="shared" si="115"/>
        <v>48845</v>
      </c>
    </row>
    <row r="7408" spans="1:5" x14ac:dyDescent="0.25">
      <c r="A7408" s="2">
        <f>IF(B7408="","",SUBTOTAL(3,$B$2:B7408))</f>
        <v>7407</v>
      </c>
      <c r="B7408" s="9" t="s">
        <v>50</v>
      </c>
      <c r="C7408" s="10" t="s">
        <v>49</v>
      </c>
      <c r="D7408" s="11">
        <v>165.34391534391534</v>
      </c>
      <c r="E7408" s="12">
        <f t="shared" si="115"/>
        <v>48846</v>
      </c>
    </row>
    <row r="7409" spans="1:5" x14ac:dyDescent="0.25">
      <c r="A7409" s="2">
        <f>IF(B7409="","",SUBTOTAL(3,$B$2:B7409))</f>
        <v>7408</v>
      </c>
      <c r="B7409" s="9" t="s">
        <v>48</v>
      </c>
      <c r="C7409" s="10" t="s">
        <v>52</v>
      </c>
      <c r="D7409" s="11">
        <v>92.421441774491683</v>
      </c>
      <c r="E7409" s="12">
        <f t="shared" si="115"/>
        <v>48847</v>
      </c>
    </row>
    <row r="7410" spans="1:5" x14ac:dyDescent="0.25">
      <c r="A7410" s="2">
        <f>IF(B7410="","",SUBTOTAL(3,$B$2:B7410))</f>
        <v>7409</v>
      </c>
      <c r="B7410" s="9" t="s">
        <v>48</v>
      </c>
      <c r="C7410" s="10" t="s">
        <v>52</v>
      </c>
      <c r="D7410" s="11">
        <v>92.421441774491683</v>
      </c>
      <c r="E7410" s="12">
        <f t="shared" si="115"/>
        <v>48848</v>
      </c>
    </row>
    <row r="7411" spans="1:5" x14ac:dyDescent="0.25">
      <c r="A7411" s="2">
        <f>IF(B7411="","",SUBTOTAL(3,$B$2:B7411))</f>
        <v>7410</v>
      </c>
      <c r="B7411" s="9" t="s">
        <v>48</v>
      </c>
      <c r="C7411" s="10" t="s">
        <v>52</v>
      </c>
      <c r="D7411" s="11">
        <v>77.017868145409736</v>
      </c>
      <c r="E7411" s="12">
        <f t="shared" si="115"/>
        <v>48849</v>
      </c>
    </row>
    <row r="7412" spans="1:5" x14ac:dyDescent="0.25">
      <c r="A7412" s="2">
        <f>IF(B7412="","",SUBTOTAL(3,$B$2:B7412))</f>
        <v>7411</v>
      </c>
      <c r="B7412" s="9" t="s">
        <v>48</v>
      </c>
      <c r="C7412" s="10" t="s">
        <v>49</v>
      </c>
      <c r="D7412" s="11">
        <v>770.17868145409739</v>
      </c>
      <c r="E7412" s="12">
        <f t="shared" si="115"/>
        <v>48850</v>
      </c>
    </row>
    <row r="7413" spans="1:5" x14ac:dyDescent="0.25">
      <c r="A7413" s="2">
        <f>IF(B7413="","",SUBTOTAL(3,$B$2:B7413))</f>
        <v>7412</v>
      </c>
      <c r="B7413" s="9" t="s">
        <v>55</v>
      </c>
      <c r="C7413" s="10" t="s">
        <v>49</v>
      </c>
      <c r="D7413" s="11">
        <v>100</v>
      </c>
      <c r="E7413" s="12">
        <f t="shared" si="115"/>
        <v>48851</v>
      </c>
    </row>
    <row r="7414" spans="1:5" x14ac:dyDescent="0.25">
      <c r="A7414" s="2">
        <f>IF(B7414="","",SUBTOTAL(3,$B$2:B7414))</f>
        <v>7413</v>
      </c>
      <c r="B7414" s="9" t="s">
        <v>55</v>
      </c>
      <c r="C7414" s="10" t="s">
        <v>54</v>
      </c>
      <c r="D7414" s="11">
        <v>0.1</v>
      </c>
      <c r="E7414" s="12">
        <f t="shared" si="115"/>
        <v>48852</v>
      </c>
    </row>
    <row r="7415" spans="1:5" x14ac:dyDescent="0.25">
      <c r="A7415" s="2">
        <f>IF(B7415="","",SUBTOTAL(3,$B$2:B7415))</f>
        <v>7414</v>
      </c>
      <c r="B7415" s="9" t="s">
        <v>55</v>
      </c>
      <c r="C7415" s="10" t="s">
        <v>49</v>
      </c>
      <c r="D7415" s="11">
        <v>0.1</v>
      </c>
      <c r="E7415" s="12">
        <f t="shared" si="115"/>
        <v>48853</v>
      </c>
    </row>
    <row r="7416" spans="1:5" x14ac:dyDescent="0.25">
      <c r="A7416" s="2">
        <f>IF(B7416="","",SUBTOTAL(3,$B$2:B7416))</f>
        <v>7415</v>
      </c>
      <c r="B7416" s="9" t="s">
        <v>55</v>
      </c>
      <c r="C7416" s="10" t="s">
        <v>49</v>
      </c>
      <c r="D7416" s="11">
        <v>250</v>
      </c>
      <c r="E7416" s="12">
        <f t="shared" si="115"/>
        <v>48854</v>
      </c>
    </row>
    <row r="7417" spans="1:5" x14ac:dyDescent="0.25">
      <c r="A7417" s="2">
        <f>IF(B7417="","",SUBTOTAL(3,$B$2:B7417))</f>
        <v>7416</v>
      </c>
      <c r="B7417" s="9" t="s">
        <v>55</v>
      </c>
      <c r="C7417" s="10" t="s">
        <v>52</v>
      </c>
      <c r="D7417" s="11">
        <v>200</v>
      </c>
      <c r="E7417" s="12">
        <f t="shared" si="115"/>
        <v>48855</v>
      </c>
    </row>
    <row r="7418" spans="1:5" x14ac:dyDescent="0.25">
      <c r="A7418" s="2">
        <f>IF(B7418="","",SUBTOTAL(3,$B$2:B7418))</f>
        <v>7417</v>
      </c>
      <c r="B7418" s="9" t="s">
        <v>55</v>
      </c>
      <c r="C7418" s="10" t="s">
        <v>52</v>
      </c>
      <c r="D7418" s="11">
        <v>100</v>
      </c>
      <c r="E7418" s="12">
        <f t="shared" si="115"/>
        <v>48856</v>
      </c>
    </row>
    <row r="7419" spans="1:5" x14ac:dyDescent="0.25">
      <c r="A7419" s="2">
        <f>IF(B7419="","",SUBTOTAL(3,$B$2:B7419))</f>
        <v>7418</v>
      </c>
      <c r="B7419" s="9" t="s">
        <v>48</v>
      </c>
      <c r="C7419" s="10" t="s">
        <v>49</v>
      </c>
      <c r="D7419" s="11">
        <v>6.1614294516327786E-2</v>
      </c>
      <c r="E7419" s="12">
        <f t="shared" si="115"/>
        <v>48857</v>
      </c>
    </row>
    <row r="7420" spans="1:5" x14ac:dyDescent="0.25">
      <c r="A7420" s="2">
        <f>IF(B7420="","",SUBTOTAL(3,$B$2:B7420))</f>
        <v>7419</v>
      </c>
      <c r="B7420" s="9" t="s">
        <v>53</v>
      </c>
      <c r="C7420" s="10" t="s">
        <v>49</v>
      </c>
      <c r="D7420" s="11">
        <v>137.37899200454268</v>
      </c>
      <c r="E7420" s="12">
        <f t="shared" si="115"/>
        <v>48858</v>
      </c>
    </row>
    <row r="7421" spans="1:5" x14ac:dyDescent="0.25">
      <c r="A7421" s="2">
        <f>IF(B7421="","",SUBTOTAL(3,$B$2:B7421))</f>
        <v>7420</v>
      </c>
      <c r="B7421" s="9" t="s">
        <v>48</v>
      </c>
      <c r="C7421" s="10" t="s">
        <v>49</v>
      </c>
      <c r="D7421" s="11">
        <v>38.508934072704868</v>
      </c>
      <c r="E7421" s="12">
        <f t="shared" si="115"/>
        <v>48859</v>
      </c>
    </row>
    <row r="7422" spans="1:5" x14ac:dyDescent="0.25">
      <c r="A7422" s="2">
        <f>IF(B7422="","",SUBTOTAL(3,$B$2:B7422))</f>
        <v>7421</v>
      </c>
      <c r="B7422" s="9" t="s">
        <v>48</v>
      </c>
      <c r="C7422" s="10" t="s">
        <v>49</v>
      </c>
      <c r="D7422" s="11">
        <v>385.08934072704869</v>
      </c>
      <c r="E7422" s="12">
        <f t="shared" si="115"/>
        <v>48860</v>
      </c>
    </row>
    <row r="7423" spans="1:5" x14ac:dyDescent="0.25">
      <c r="A7423" s="2">
        <f>IF(B7423="","",SUBTOTAL(3,$B$2:B7423))</f>
        <v>7422</v>
      </c>
      <c r="B7423" s="9" t="s">
        <v>55</v>
      </c>
      <c r="C7423" s="10" t="s">
        <v>52</v>
      </c>
      <c r="D7423" s="11">
        <v>184.65699853348542</v>
      </c>
      <c r="E7423" s="12">
        <f t="shared" si="115"/>
        <v>48861</v>
      </c>
    </row>
    <row r="7424" spans="1:5" x14ac:dyDescent="0.25">
      <c r="A7424" s="2">
        <f>IF(B7424="","",SUBTOTAL(3,$B$2:B7424))</f>
        <v>7423</v>
      </c>
      <c r="B7424" s="9" t="s">
        <v>55</v>
      </c>
      <c r="C7424" s="10" t="s">
        <v>54</v>
      </c>
      <c r="D7424" s="11">
        <v>493.56067834979632</v>
      </c>
      <c r="E7424" s="12">
        <f t="shared" si="115"/>
        <v>48862</v>
      </c>
    </row>
    <row r="7425" spans="1:5" x14ac:dyDescent="0.25">
      <c r="A7425" s="2">
        <f>IF(B7425="","",SUBTOTAL(3,$B$2:B7425))</f>
        <v>7424</v>
      </c>
      <c r="B7425" s="9" t="s">
        <v>48</v>
      </c>
      <c r="C7425" s="10" t="s">
        <v>49</v>
      </c>
      <c r="D7425" s="11">
        <v>51.706308169596689</v>
      </c>
      <c r="E7425" s="12">
        <f t="shared" si="115"/>
        <v>48863</v>
      </c>
    </row>
    <row r="7426" spans="1:5" x14ac:dyDescent="0.25">
      <c r="A7426" s="2">
        <f>IF(B7426="","",SUBTOTAL(3,$B$2:B7426))</f>
        <v>7425</v>
      </c>
      <c r="B7426" s="9" t="s">
        <v>50</v>
      </c>
      <c r="C7426" s="10" t="s">
        <v>49</v>
      </c>
      <c r="D7426" s="11">
        <v>244.83553791887127</v>
      </c>
      <c r="E7426" s="12">
        <f t="shared" si="115"/>
        <v>48864</v>
      </c>
    </row>
    <row r="7427" spans="1:5" x14ac:dyDescent="0.25">
      <c r="A7427" s="2">
        <f>IF(B7427="","",SUBTOTAL(3,$B$2:B7427))</f>
        <v>7426</v>
      </c>
      <c r="B7427" s="9" t="s">
        <v>51</v>
      </c>
      <c r="C7427" s="10" t="s">
        <v>56</v>
      </c>
      <c r="D7427" s="11">
        <v>47.654347135444247</v>
      </c>
      <c r="E7427" s="12">
        <f t="shared" si="115"/>
        <v>48865</v>
      </c>
    </row>
    <row r="7428" spans="1:5" x14ac:dyDescent="0.25">
      <c r="A7428" s="2">
        <f>IF(B7428="","",SUBTOTAL(3,$B$2:B7428))</f>
        <v>7427</v>
      </c>
      <c r="B7428" s="9" t="s">
        <v>55</v>
      </c>
      <c r="C7428" s="10" t="s">
        <v>49</v>
      </c>
      <c r="D7428" s="11">
        <v>100</v>
      </c>
      <c r="E7428" s="12">
        <f t="shared" ref="E7428:E7491" si="116">E7427+1</f>
        <v>48866</v>
      </c>
    </row>
    <row r="7429" spans="1:5" x14ac:dyDescent="0.25">
      <c r="A7429" s="2">
        <f>IF(B7429="","",SUBTOTAL(3,$B$2:B7429))</f>
        <v>7428</v>
      </c>
      <c r="B7429" s="9" t="s">
        <v>50</v>
      </c>
      <c r="C7429" s="10" t="s">
        <v>49</v>
      </c>
      <c r="D7429" s="11">
        <v>88.183421516754848</v>
      </c>
      <c r="E7429" s="12">
        <f t="shared" si="116"/>
        <v>48867</v>
      </c>
    </row>
    <row r="7430" spans="1:5" x14ac:dyDescent="0.25">
      <c r="A7430" s="2">
        <f>IF(B7430="","",SUBTOTAL(3,$B$2:B7430))</f>
        <v>7429</v>
      </c>
      <c r="B7430" s="9" t="s">
        <v>50</v>
      </c>
      <c r="C7430" s="10" t="s">
        <v>49</v>
      </c>
      <c r="D7430" s="11">
        <v>110.22927689594357</v>
      </c>
      <c r="E7430" s="12">
        <f t="shared" si="116"/>
        <v>48868</v>
      </c>
    </row>
    <row r="7431" spans="1:5" x14ac:dyDescent="0.25">
      <c r="A7431" s="2">
        <f>IF(B7431="","",SUBTOTAL(3,$B$2:B7431))</f>
        <v>7430</v>
      </c>
      <c r="B7431" s="9" t="s">
        <v>55</v>
      </c>
      <c r="C7431" s="10" t="s">
        <v>54</v>
      </c>
      <c r="D7431" s="11">
        <v>9.7767638911520294</v>
      </c>
      <c r="E7431" s="12">
        <f t="shared" si="116"/>
        <v>48869</v>
      </c>
    </row>
    <row r="7432" spans="1:5" x14ac:dyDescent="0.25">
      <c r="A7432" s="2">
        <f>IF(B7432="","",SUBTOTAL(3,$B$2:B7432))</f>
        <v>7431</v>
      </c>
      <c r="B7432" s="9" t="s">
        <v>51</v>
      </c>
      <c r="C7432" s="10" t="s">
        <v>54</v>
      </c>
      <c r="D7432" s="11">
        <v>105.89854918987609</v>
      </c>
      <c r="E7432" s="12">
        <f t="shared" si="116"/>
        <v>48870</v>
      </c>
    </row>
    <row r="7433" spans="1:5" x14ac:dyDescent="0.25">
      <c r="A7433" s="2">
        <f>IF(B7433="","",SUBTOTAL(3,$B$2:B7433))</f>
        <v>7432</v>
      </c>
      <c r="B7433" s="9" t="s">
        <v>50</v>
      </c>
      <c r="C7433" s="10" t="s">
        <v>49</v>
      </c>
      <c r="D7433" s="11">
        <v>783.47372134038801</v>
      </c>
      <c r="E7433" s="12">
        <f t="shared" si="116"/>
        <v>48871</v>
      </c>
    </row>
    <row r="7434" spans="1:5" x14ac:dyDescent="0.25">
      <c r="A7434" s="2">
        <f>IF(B7434="","",SUBTOTAL(3,$B$2:B7434))</f>
        <v>7433</v>
      </c>
      <c r="B7434" s="9" t="s">
        <v>55</v>
      </c>
      <c r="C7434" s="10" t="s">
        <v>56</v>
      </c>
      <c r="D7434" s="11">
        <v>26.071370376405412</v>
      </c>
      <c r="E7434" s="12">
        <f t="shared" si="116"/>
        <v>48872</v>
      </c>
    </row>
    <row r="7435" spans="1:5" x14ac:dyDescent="0.25">
      <c r="A7435" s="2">
        <f>IF(B7435="","",SUBTOTAL(3,$B$2:B7435))</f>
        <v>7434</v>
      </c>
      <c r="B7435" s="9" t="s">
        <v>48</v>
      </c>
      <c r="C7435" s="10" t="s">
        <v>52</v>
      </c>
      <c r="D7435" s="11">
        <v>31.023784901758013</v>
      </c>
      <c r="E7435" s="12">
        <f t="shared" si="116"/>
        <v>48873</v>
      </c>
    </row>
    <row r="7436" spans="1:5" x14ac:dyDescent="0.25">
      <c r="A7436" s="2">
        <f>IF(B7436="","",SUBTOTAL(3,$B$2:B7436))</f>
        <v>7435</v>
      </c>
      <c r="B7436" s="9" t="s">
        <v>48</v>
      </c>
      <c r="C7436" s="10" t="s">
        <v>52</v>
      </c>
      <c r="D7436" s="11">
        <v>41.365046535677351</v>
      </c>
      <c r="E7436" s="12">
        <f t="shared" si="116"/>
        <v>48874</v>
      </c>
    </row>
    <row r="7437" spans="1:5" x14ac:dyDescent="0.25">
      <c r="A7437" s="2">
        <f>IF(B7437="","",SUBTOTAL(3,$B$2:B7437))</f>
        <v>7436</v>
      </c>
      <c r="B7437" s="9" t="s">
        <v>48</v>
      </c>
      <c r="C7437" s="10" t="s">
        <v>52</v>
      </c>
      <c r="D7437" s="11">
        <v>41.365046535677351</v>
      </c>
      <c r="E7437" s="12">
        <f t="shared" si="116"/>
        <v>48875</v>
      </c>
    </row>
    <row r="7438" spans="1:5" x14ac:dyDescent="0.25">
      <c r="A7438" s="2">
        <f>IF(B7438="","",SUBTOTAL(3,$B$2:B7438))</f>
        <v>7437</v>
      </c>
      <c r="B7438" s="9" t="s">
        <v>48</v>
      </c>
      <c r="C7438" s="10" t="s">
        <v>52</v>
      </c>
      <c r="D7438" s="11">
        <v>62.047569803516026</v>
      </c>
      <c r="E7438" s="12">
        <f t="shared" si="116"/>
        <v>48876</v>
      </c>
    </row>
    <row r="7439" spans="1:5" x14ac:dyDescent="0.25">
      <c r="A7439" s="2">
        <f>IF(B7439="","",SUBTOTAL(3,$B$2:B7439))</f>
        <v>7438</v>
      </c>
      <c r="B7439" s="9" t="s">
        <v>48</v>
      </c>
      <c r="C7439" s="10" t="s">
        <v>52</v>
      </c>
      <c r="D7439" s="11">
        <v>33.781454670803171</v>
      </c>
      <c r="E7439" s="12">
        <f t="shared" si="116"/>
        <v>48877</v>
      </c>
    </row>
    <row r="7440" spans="1:5" x14ac:dyDescent="0.25">
      <c r="A7440" s="2">
        <f>IF(B7440="","",SUBTOTAL(3,$B$2:B7440))</f>
        <v>7439</v>
      </c>
      <c r="B7440" s="9" t="s">
        <v>48</v>
      </c>
      <c r="C7440" s="10" t="s">
        <v>52</v>
      </c>
      <c r="D7440" s="11">
        <v>51.706308169596689</v>
      </c>
      <c r="E7440" s="12">
        <f t="shared" si="116"/>
        <v>48878</v>
      </c>
    </row>
    <row r="7441" spans="1:5" x14ac:dyDescent="0.25">
      <c r="A7441" s="2">
        <f>IF(B7441="","",SUBTOTAL(3,$B$2:B7441))</f>
        <v>7440</v>
      </c>
      <c r="B7441" s="9" t="s">
        <v>48</v>
      </c>
      <c r="C7441" s="10" t="s">
        <v>52</v>
      </c>
      <c r="D7441" s="11">
        <v>62.047569803516026</v>
      </c>
      <c r="E7441" s="12">
        <f t="shared" si="116"/>
        <v>48879</v>
      </c>
    </row>
    <row r="7442" spans="1:5" x14ac:dyDescent="0.25">
      <c r="A7442" s="2">
        <f>IF(B7442="","",SUBTOTAL(3,$B$2:B7442))</f>
        <v>7441</v>
      </c>
      <c r="B7442" s="9" t="s">
        <v>55</v>
      </c>
      <c r="C7442" s="10" t="s">
        <v>54</v>
      </c>
      <c r="D7442" s="11">
        <v>100</v>
      </c>
      <c r="E7442" s="12">
        <f t="shared" si="116"/>
        <v>48880</v>
      </c>
    </row>
    <row r="7443" spans="1:5" x14ac:dyDescent="0.25">
      <c r="A7443" s="2">
        <f>IF(B7443="","",SUBTOTAL(3,$B$2:B7443))</f>
        <v>7442</v>
      </c>
      <c r="B7443" s="9" t="s">
        <v>51</v>
      </c>
      <c r="C7443" s="10" t="s">
        <v>52</v>
      </c>
      <c r="D7443" s="11">
        <v>105.89854918987609</v>
      </c>
      <c r="E7443" s="12">
        <f t="shared" si="116"/>
        <v>48881</v>
      </c>
    </row>
    <row r="7444" spans="1:5" x14ac:dyDescent="0.25">
      <c r="A7444" s="2">
        <f>IF(B7444="","",SUBTOTAL(3,$B$2:B7444))</f>
        <v>7443</v>
      </c>
      <c r="B7444" s="9" t="s">
        <v>51</v>
      </c>
      <c r="C7444" s="10" t="s">
        <v>54</v>
      </c>
      <c r="D7444" s="11">
        <v>264.74637297469025</v>
      </c>
      <c r="E7444" s="12">
        <f t="shared" si="116"/>
        <v>48882</v>
      </c>
    </row>
    <row r="7445" spans="1:5" x14ac:dyDescent="0.25">
      <c r="A7445" s="2">
        <f>IF(B7445="","",SUBTOTAL(3,$B$2:B7445))</f>
        <v>7444</v>
      </c>
      <c r="B7445" s="9" t="s">
        <v>48</v>
      </c>
      <c r="C7445" s="10" t="s">
        <v>52</v>
      </c>
      <c r="D7445" s="11">
        <v>51.706308169596689</v>
      </c>
      <c r="E7445" s="12">
        <f t="shared" si="116"/>
        <v>48883</v>
      </c>
    </row>
    <row r="7446" spans="1:5" x14ac:dyDescent="0.25">
      <c r="A7446" s="2">
        <f>IF(B7446="","",SUBTOTAL(3,$B$2:B7446))</f>
        <v>7445</v>
      </c>
      <c r="B7446" s="9" t="s">
        <v>48</v>
      </c>
      <c r="C7446" s="10" t="s">
        <v>49</v>
      </c>
      <c r="D7446" s="11">
        <v>34.470872113064452</v>
      </c>
      <c r="E7446" s="12">
        <f t="shared" si="116"/>
        <v>48884</v>
      </c>
    </row>
    <row r="7447" spans="1:5" x14ac:dyDescent="0.25">
      <c r="A7447" s="2">
        <f>IF(B7447="","",SUBTOTAL(3,$B$2:B7447))</f>
        <v>7446</v>
      </c>
      <c r="B7447" s="9" t="s">
        <v>48</v>
      </c>
      <c r="C7447" s="10" t="s">
        <v>49</v>
      </c>
      <c r="D7447" s="11">
        <v>160</v>
      </c>
      <c r="E7447" s="12">
        <f t="shared" si="116"/>
        <v>48885</v>
      </c>
    </row>
    <row r="7448" spans="1:5" x14ac:dyDescent="0.25">
      <c r="A7448" s="2">
        <f>IF(B7448="","",SUBTOTAL(3,$B$2:B7448))</f>
        <v>7447</v>
      </c>
      <c r="B7448" s="9" t="s">
        <v>55</v>
      </c>
      <c r="C7448" s="10" t="s">
        <v>52</v>
      </c>
      <c r="D7448" s="11">
        <v>158.73015873015873</v>
      </c>
      <c r="E7448" s="12">
        <f t="shared" si="116"/>
        <v>48886</v>
      </c>
    </row>
    <row r="7449" spans="1:5" x14ac:dyDescent="0.25">
      <c r="A7449" s="2">
        <f>IF(B7449="","",SUBTOTAL(3,$B$2:B7449))</f>
        <v>7448</v>
      </c>
      <c r="B7449" s="9" t="s">
        <v>48</v>
      </c>
      <c r="C7449" s="10" t="s">
        <v>49</v>
      </c>
      <c r="D7449" s="11">
        <v>61.614294516327789</v>
      </c>
      <c r="E7449" s="12">
        <f t="shared" si="116"/>
        <v>48887</v>
      </c>
    </row>
    <row r="7450" spans="1:5" x14ac:dyDescent="0.25">
      <c r="A7450" s="2">
        <f>IF(B7450="","",SUBTOTAL(3,$B$2:B7450))</f>
        <v>7449</v>
      </c>
      <c r="B7450" s="9" t="s">
        <v>55</v>
      </c>
      <c r="C7450" s="10" t="s">
        <v>52</v>
      </c>
      <c r="D7450" s="11">
        <v>17.079999999999998</v>
      </c>
      <c r="E7450" s="12">
        <f t="shared" si="116"/>
        <v>48888</v>
      </c>
    </row>
    <row r="7451" spans="1:5" x14ac:dyDescent="0.25">
      <c r="A7451" s="2">
        <f>IF(B7451="","",SUBTOTAL(3,$B$2:B7451))</f>
        <v>7450</v>
      </c>
      <c r="B7451" s="9" t="s">
        <v>51</v>
      </c>
      <c r="C7451" s="10" t="s">
        <v>49</v>
      </c>
      <c r="D7451" s="11">
        <v>26.474637297469023</v>
      </c>
      <c r="E7451" s="12">
        <f t="shared" si="116"/>
        <v>48889</v>
      </c>
    </row>
    <row r="7452" spans="1:5" x14ac:dyDescent="0.25">
      <c r="A7452" s="2">
        <f>IF(B7452="","",SUBTOTAL(3,$B$2:B7452))</f>
        <v>7451</v>
      </c>
      <c r="B7452" s="9" t="s">
        <v>53</v>
      </c>
      <c r="C7452" s="10" t="s">
        <v>54</v>
      </c>
      <c r="D7452" s="11">
        <v>183.17198933939025</v>
      </c>
      <c r="E7452" s="12">
        <f t="shared" si="116"/>
        <v>48890</v>
      </c>
    </row>
    <row r="7453" spans="1:5" x14ac:dyDescent="0.25">
      <c r="A7453" s="2">
        <f>IF(B7453="","",SUBTOTAL(3,$B$2:B7453))</f>
        <v>7452</v>
      </c>
      <c r="B7453" s="9" t="s">
        <v>53</v>
      </c>
      <c r="C7453" s="10" t="s">
        <v>54</v>
      </c>
      <c r="D7453" s="11">
        <v>11.906179307060365</v>
      </c>
      <c r="E7453" s="12">
        <f t="shared" si="116"/>
        <v>48891</v>
      </c>
    </row>
    <row r="7454" spans="1:5" x14ac:dyDescent="0.25">
      <c r="A7454" s="2">
        <f>IF(B7454="","",SUBTOTAL(3,$B$2:B7454))</f>
        <v>7453</v>
      </c>
      <c r="B7454" s="9" t="s">
        <v>48</v>
      </c>
      <c r="C7454" s="10" t="s">
        <v>54</v>
      </c>
      <c r="D7454" s="11">
        <v>154.03573629081947</v>
      </c>
      <c r="E7454" s="12">
        <f t="shared" si="116"/>
        <v>48892</v>
      </c>
    </row>
    <row r="7455" spans="1:5" x14ac:dyDescent="0.25">
      <c r="A7455" s="2">
        <f>IF(B7455="","",SUBTOTAL(3,$B$2:B7455))</f>
        <v>7454</v>
      </c>
      <c r="B7455" s="9" t="s">
        <v>48</v>
      </c>
      <c r="C7455" s="10" t="s">
        <v>54</v>
      </c>
      <c r="D7455" s="11">
        <v>10.341261633919338</v>
      </c>
      <c r="E7455" s="12">
        <f t="shared" si="116"/>
        <v>48893</v>
      </c>
    </row>
    <row r="7456" spans="1:5" x14ac:dyDescent="0.25">
      <c r="A7456" s="2">
        <f>IF(B7456="","",SUBTOTAL(3,$B$2:B7456))</f>
        <v>7455</v>
      </c>
      <c r="B7456" s="9" t="s">
        <v>48</v>
      </c>
      <c r="C7456" s="10" t="s">
        <v>49</v>
      </c>
      <c r="D7456" s="11">
        <v>51.392083049606214</v>
      </c>
      <c r="E7456" s="12">
        <f t="shared" si="116"/>
        <v>48894</v>
      </c>
    </row>
    <row r="7457" spans="1:5" x14ac:dyDescent="0.25">
      <c r="A7457" s="2">
        <f>IF(B7457="","",SUBTOTAL(3,$B$2:B7457))</f>
        <v>7456</v>
      </c>
      <c r="B7457" s="9" t="s">
        <v>51</v>
      </c>
      <c r="C7457" s="10" t="s">
        <v>52</v>
      </c>
      <c r="D7457" s="11">
        <v>21.179709837975221</v>
      </c>
      <c r="E7457" s="12">
        <f t="shared" si="116"/>
        <v>48895</v>
      </c>
    </row>
    <row r="7458" spans="1:5" x14ac:dyDescent="0.25">
      <c r="A7458" s="2">
        <f>IF(B7458="","",SUBTOTAL(3,$B$2:B7458))</f>
        <v>7457</v>
      </c>
      <c r="B7458" s="9" t="s">
        <v>50</v>
      </c>
      <c r="C7458" s="10" t="s">
        <v>52</v>
      </c>
      <c r="D7458" s="11">
        <v>66.137566137566139</v>
      </c>
      <c r="E7458" s="12">
        <f t="shared" si="116"/>
        <v>48896</v>
      </c>
    </row>
    <row r="7459" spans="1:5" x14ac:dyDescent="0.25">
      <c r="A7459" s="2">
        <f>IF(B7459="","",SUBTOTAL(3,$B$2:B7459))</f>
        <v>7458</v>
      </c>
      <c r="B7459" s="9" t="s">
        <v>50</v>
      </c>
      <c r="C7459" s="10" t="s">
        <v>56</v>
      </c>
      <c r="D7459" s="11">
        <v>661.37566137566137</v>
      </c>
      <c r="E7459" s="12">
        <f t="shared" si="116"/>
        <v>48897</v>
      </c>
    </row>
    <row r="7460" spans="1:5" x14ac:dyDescent="0.25">
      <c r="A7460" s="2">
        <f>IF(B7460="","",SUBTOTAL(3,$B$2:B7460))</f>
        <v>7459</v>
      </c>
      <c r="B7460" s="9" t="s">
        <v>48</v>
      </c>
      <c r="C7460" s="10" t="s">
        <v>49</v>
      </c>
      <c r="D7460" s="11">
        <v>38.508934072704868</v>
      </c>
      <c r="E7460" s="12">
        <f t="shared" si="116"/>
        <v>48898</v>
      </c>
    </row>
    <row r="7461" spans="1:5" x14ac:dyDescent="0.25">
      <c r="A7461" s="2">
        <f>IF(B7461="","",SUBTOTAL(3,$B$2:B7461))</f>
        <v>7460</v>
      </c>
      <c r="B7461" s="9" t="s">
        <v>48</v>
      </c>
      <c r="C7461" s="10" t="s">
        <v>54</v>
      </c>
      <c r="D7461" s="11">
        <v>18.484288354898336</v>
      </c>
      <c r="E7461" s="12">
        <f t="shared" si="116"/>
        <v>48899</v>
      </c>
    </row>
    <row r="7462" spans="1:5" x14ac:dyDescent="0.25">
      <c r="A7462" s="2">
        <f>IF(B7462="","",SUBTOTAL(3,$B$2:B7462))</f>
        <v>7461</v>
      </c>
      <c r="B7462" s="9" t="s">
        <v>48</v>
      </c>
      <c r="C7462" s="10" t="s">
        <v>49</v>
      </c>
      <c r="D7462" s="11">
        <v>23.105360443622921</v>
      </c>
      <c r="E7462" s="12">
        <f t="shared" si="116"/>
        <v>48900</v>
      </c>
    </row>
    <row r="7463" spans="1:5" x14ac:dyDescent="0.25">
      <c r="A7463" s="2">
        <f>IF(B7463="","",SUBTOTAL(3,$B$2:B7463))</f>
        <v>7462</v>
      </c>
      <c r="B7463" s="9" t="s">
        <v>55</v>
      </c>
      <c r="C7463" s="10" t="s">
        <v>56</v>
      </c>
      <c r="D7463" s="11">
        <v>500</v>
      </c>
      <c r="E7463" s="12">
        <f t="shared" si="116"/>
        <v>48901</v>
      </c>
    </row>
    <row r="7464" spans="1:5" x14ac:dyDescent="0.25">
      <c r="A7464" s="2">
        <f>IF(B7464="","",SUBTOTAL(3,$B$2:B7464))</f>
        <v>7463</v>
      </c>
      <c r="B7464" s="9" t="s">
        <v>55</v>
      </c>
      <c r="C7464" s="10" t="s">
        <v>54</v>
      </c>
      <c r="D7464" s="11">
        <v>27.475798400908538</v>
      </c>
      <c r="E7464" s="12">
        <f t="shared" si="116"/>
        <v>48902</v>
      </c>
    </row>
    <row r="7465" spans="1:5" x14ac:dyDescent="0.25">
      <c r="A7465" s="2">
        <f>IF(B7465="","",SUBTOTAL(3,$B$2:B7465))</f>
        <v>7464</v>
      </c>
      <c r="B7465" s="9" t="s">
        <v>48</v>
      </c>
      <c r="C7465" s="10" t="s">
        <v>49</v>
      </c>
      <c r="D7465" s="11">
        <v>107.82501540357363</v>
      </c>
      <c r="E7465" s="12">
        <f t="shared" si="116"/>
        <v>48903</v>
      </c>
    </row>
    <row r="7466" spans="1:5" x14ac:dyDescent="0.25">
      <c r="A7466" s="2">
        <f>IF(B7466="","",SUBTOTAL(3,$B$2:B7466))</f>
        <v>7465</v>
      </c>
      <c r="B7466" s="9" t="s">
        <v>50</v>
      </c>
      <c r="C7466" s="10" t="s">
        <v>49</v>
      </c>
      <c r="D7466" s="11">
        <v>15.4320987654321</v>
      </c>
      <c r="E7466" s="12">
        <f t="shared" si="116"/>
        <v>48904</v>
      </c>
    </row>
    <row r="7467" spans="1:5" x14ac:dyDescent="0.25">
      <c r="A7467" s="2">
        <f>IF(B7467="","",SUBTOTAL(3,$B$2:B7467))</f>
        <v>7466</v>
      </c>
      <c r="B7467" s="9" t="s">
        <v>50</v>
      </c>
      <c r="C7467" s="10" t="s">
        <v>52</v>
      </c>
      <c r="D7467" s="11">
        <v>66.137566137566139</v>
      </c>
      <c r="E7467" s="12">
        <f t="shared" si="116"/>
        <v>48905</v>
      </c>
    </row>
    <row r="7468" spans="1:5" x14ac:dyDescent="0.25">
      <c r="A7468" s="2">
        <f>IF(B7468="","",SUBTOTAL(3,$B$2:B7468))</f>
        <v>7467</v>
      </c>
      <c r="B7468" s="9" t="s">
        <v>50</v>
      </c>
      <c r="C7468" s="10" t="s">
        <v>52</v>
      </c>
      <c r="D7468" s="11">
        <v>66.137566137566139</v>
      </c>
      <c r="E7468" s="12">
        <f t="shared" si="116"/>
        <v>48906</v>
      </c>
    </row>
    <row r="7469" spans="1:5" x14ac:dyDescent="0.25">
      <c r="A7469" s="2">
        <f>IF(B7469="","",SUBTOTAL(3,$B$2:B7469))</f>
        <v>7468</v>
      </c>
      <c r="B7469" s="9" t="s">
        <v>50</v>
      </c>
      <c r="C7469" s="10" t="s">
        <v>52</v>
      </c>
      <c r="D7469" s="11">
        <v>220.45855379188714</v>
      </c>
      <c r="E7469" s="12">
        <f t="shared" si="116"/>
        <v>48907</v>
      </c>
    </row>
    <row r="7470" spans="1:5" x14ac:dyDescent="0.25">
      <c r="A7470" s="2">
        <f>IF(B7470="","",SUBTOTAL(3,$B$2:B7470))</f>
        <v>7469</v>
      </c>
      <c r="B7470" s="9" t="s">
        <v>51</v>
      </c>
      <c r="C7470" s="10" t="s">
        <v>49</v>
      </c>
      <c r="D7470" s="11">
        <v>52.949274594938046</v>
      </c>
      <c r="E7470" s="12">
        <f t="shared" si="116"/>
        <v>48908</v>
      </c>
    </row>
    <row r="7471" spans="1:5" x14ac:dyDescent="0.25">
      <c r="A7471" s="2">
        <f>IF(B7471="","",SUBTOTAL(3,$B$2:B7471))</f>
        <v>7470</v>
      </c>
      <c r="B7471" s="9" t="s">
        <v>55</v>
      </c>
      <c r="C7471" s="10" t="s">
        <v>49</v>
      </c>
      <c r="D7471" s="11">
        <v>104.31</v>
      </c>
      <c r="E7471" s="12">
        <f t="shared" si="116"/>
        <v>48909</v>
      </c>
    </row>
    <row r="7472" spans="1:5" x14ac:dyDescent="0.25">
      <c r="A7472" s="2">
        <f>IF(B7472="","",SUBTOTAL(3,$B$2:B7472))</f>
        <v>7471</v>
      </c>
      <c r="B7472" s="9" t="s">
        <v>50</v>
      </c>
      <c r="C7472" s="10" t="s">
        <v>52</v>
      </c>
      <c r="D7472" s="11">
        <v>176.3668430335097</v>
      </c>
      <c r="E7472" s="12">
        <f t="shared" si="116"/>
        <v>48910</v>
      </c>
    </row>
    <row r="7473" spans="1:5" x14ac:dyDescent="0.25">
      <c r="A7473" s="2">
        <f>IF(B7473="","",SUBTOTAL(3,$B$2:B7473))</f>
        <v>7472</v>
      </c>
      <c r="B7473" s="9" t="s">
        <v>50</v>
      </c>
      <c r="C7473" s="10" t="s">
        <v>52</v>
      </c>
      <c r="D7473" s="11">
        <v>66.137566137566139</v>
      </c>
      <c r="E7473" s="12">
        <f t="shared" si="116"/>
        <v>48911</v>
      </c>
    </row>
    <row r="7474" spans="1:5" x14ac:dyDescent="0.25">
      <c r="A7474" s="2">
        <f>IF(B7474="","",SUBTOTAL(3,$B$2:B7474))</f>
        <v>7473</v>
      </c>
      <c r="B7474" s="9" t="s">
        <v>55</v>
      </c>
      <c r="C7474" s="10" t="s">
        <v>49</v>
      </c>
      <c r="D7474" s="11">
        <v>4.0215088805605346</v>
      </c>
      <c r="E7474" s="12">
        <f t="shared" si="116"/>
        <v>48912</v>
      </c>
    </row>
    <row r="7475" spans="1:5" x14ac:dyDescent="0.25">
      <c r="A7475" s="2">
        <f>IF(B7475="","",SUBTOTAL(3,$B$2:B7475))</f>
        <v>7474</v>
      </c>
      <c r="B7475" s="9" t="s">
        <v>48</v>
      </c>
      <c r="C7475" s="10" t="s">
        <v>49</v>
      </c>
      <c r="D7475" s="11">
        <v>49.291435613062234</v>
      </c>
      <c r="E7475" s="12">
        <f t="shared" si="116"/>
        <v>48913</v>
      </c>
    </row>
    <row r="7476" spans="1:5" x14ac:dyDescent="0.25">
      <c r="A7476" s="2">
        <f>IF(B7476="","",SUBTOTAL(3,$B$2:B7476))</f>
        <v>7475</v>
      </c>
      <c r="B7476" s="9" t="s">
        <v>48</v>
      </c>
      <c r="C7476" s="10" t="s">
        <v>54</v>
      </c>
      <c r="D7476" s="11">
        <v>24.645717806531117</v>
      </c>
      <c r="E7476" s="12">
        <f t="shared" si="116"/>
        <v>48914</v>
      </c>
    </row>
    <row r="7477" spans="1:5" x14ac:dyDescent="0.25">
      <c r="A7477" s="2">
        <f>IF(B7477="","",SUBTOTAL(3,$B$2:B7477))</f>
        <v>7476</v>
      </c>
      <c r="B7477" s="9" t="s">
        <v>50</v>
      </c>
      <c r="C7477" s="10" t="s">
        <v>52</v>
      </c>
      <c r="D7477" s="11">
        <v>110.22927689594357</v>
      </c>
      <c r="E7477" s="12">
        <f t="shared" si="116"/>
        <v>48915</v>
      </c>
    </row>
    <row r="7478" spans="1:5" x14ac:dyDescent="0.25">
      <c r="A7478" s="2">
        <f>IF(B7478="","",SUBTOTAL(3,$B$2:B7478))</f>
        <v>7477</v>
      </c>
      <c r="B7478" s="9" t="s">
        <v>48</v>
      </c>
      <c r="C7478" s="10" t="s">
        <v>49</v>
      </c>
      <c r="D7478" s="11">
        <v>49.291435613062234</v>
      </c>
      <c r="E7478" s="12">
        <f t="shared" si="116"/>
        <v>48916</v>
      </c>
    </row>
    <row r="7479" spans="1:5" x14ac:dyDescent="0.25">
      <c r="A7479" s="2">
        <f>IF(B7479="","",SUBTOTAL(3,$B$2:B7479))</f>
        <v>7478</v>
      </c>
      <c r="B7479" s="9" t="s">
        <v>53</v>
      </c>
      <c r="C7479" s="10" t="s">
        <v>57</v>
      </c>
      <c r="D7479" s="11">
        <v>9.1585994669695108E-6</v>
      </c>
      <c r="E7479" s="12">
        <f t="shared" si="116"/>
        <v>48917</v>
      </c>
    </row>
    <row r="7480" spans="1:5" x14ac:dyDescent="0.25">
      <c r="A7480" s="2">
        <f>IF(B7480="","",SUBTOTAL(3,$B$2:B7480))</f>
        <v>7479</v>
      </c>
      <c r="B7480" s="9" t="s">
        <v>53</v>
      </c>
      <c r="C7480" s="10" t="s">
        <v>54</v>
      </c>
      <c r="D7480" s="11">
        <v>6.2278476375392682</v>
      </c>
      <c r="E7480" s="12">
        <f t="shared" si="116"/>
        <v>48918</v>
      </c>
    </row>
    <row r="7481" spans="1:5" x14ac:dyDescent="0.25">
      <c r="A7481" s="2">
        <f>IF(B7481="","",SUBTOTAL(3,$B$2:B7481))</f>
        <v>7480</v>
      </c>
      <c r="B7481" s="9" t="s">
        <v>50</v>
      </c>
      <c r="C7481" s="10" t="s">
        <v>52</v>
      </c>
      <c r="D7481" s="11">
        <v>88.183421516754848</v>
      </c>
      <c r="E7481" s="12">
        <f t="shared" si="116"/>
        <v>48919</v>
      </c>
    </row>
    <row r="7482" spans="1:5" x14ac:dyDescent="0.25">
      <c r="A7482" s="2">
        <f>IF(B7482="","",SUBTOTAL(3,$B$2:B7482))</f>
        <v>7481</v>
      </c>
      <c r="B7482" s="9" t="s">
        <v>55</v>
      </c>
      <c r="C7482" s="10" t="s">
        <v>52</v>
      </c>
      <c r="D7482" s="11">
        <v>50.325000000000003</v>
      </c>
      <c r="E7482" s="12">
        <f t="shared" si="116"/>
        <v>48920</v>
      </c>
    </row>
    <row r="7483" spans="1:5" x14ac:dyDescent="0.25">
      <c r="A7483" s="2">
        <f>IF(B7483="","",SUBTOTAL(3,$B$2:B7483))</f>
        <v>7482</v>
      </c>
      <c r="B7483" s="9" t="s">
        <v>48</v>
      </c>
      <c r="C7483" s="10" t="s">
        <v>52</v>
      </c>
      <c r="D7483" s="11">
        <v>924.21441774491689</v>
      </c>
      <c r="E7483" s="12">
        <f t="shared" si="116"/>
        <v>48921</v>
      </c>
    </row>
    <row r="7484" spans="1:5" x14ac:dyDescent="0.25">
      <c r="A7484" s="2">
        <f>IF(B7484="","",SUBTOTAL(3,$B$2:B7484))</f>
        <v>7483</v>
      </c>
      <c r="B7484" s="9" t="s">
        <v>50</v>
      </c>
      <c r="C7484" s="10" t="s">
        <v>52</v>
      </c>
      <c r="D7484" s="11">
        <v>66.137566137566139</v>
      </c>
      <c r="E7484" s="12">
        <f t="shared" si="116"/>
        <v>48922</v>
      </c>
    </row>
    <row r="7485" spans="1:5" x14ac:dyDescent="0.25">
      <c r="A7485" s="2">
        <f>IF(B7485="","",SUBTOTAL(3,$B$2:B7485))</f>
        <v>7484</v>
      </c>
      <c r="B7485" s="9" t="s">
        <v>51</v>
      </c>
      <c r="C7485" s="10" t="s">
        <v>52</v>
      </c>
      <c r="D7485" s="11">
        <v>162.0614212786646</v>
      </c>
      <c r="E7485" s="12">
        <f t="shared" si="116"/>
        <v>48923</v>
      </c>
    </row>
    <row r="7486" spans="1:5" x14ac:dyDescent="0.25">
      <c r="A7486" s="2">
        <f>IF(B7486="","",SUBTOTAL(3,$B$2:B7486))</f>
        <v>7485</v>
      </c>
      <c r="B7486" s="9" t="s">
        <v>53</v>
      </c>
      <c r="C7486" s="10" t="s">
        <v>57</v>
      </c>
      <c r="D7486" s="11">
        <v>9.1585994669695116E-7</v>
      </c>
      <c r="E7486" s="12">
        <f t="shared" si="116"/>
        <v>48924</v>
      </c>
    </row>
    <row r="7487" spans="1:5" x14ac:dyDescent="0.25">
      <c r="A7487" s="2">
        <f>IF(B7487="","",SUBTOTAL(3,$B$2:B7487))</f>
        <v>7486</v>
      </c>
      <c r="B7487" s="9" t="s">
        <v>51</v>
      </c>
      <c r="C7487" s="10" t="s">
        <v>56</v>
      </c>
      <c r="D7487" s="11">
        <v>137.66811394683893</v>
      </c>
      <c r="E7487" s="12">
        <f t="shared" si="116"/>
        <v>48925</v>
      </c>
    </row>
    <row r="7488" spans="1:5" x14ac:dyDescent="0.25">
      <c r="A7488" s="2">
        <f>IF(B7488="","",SUBTOTAL(3,$B$2:B7488))</f>
        <v>7487</v>
      </c>
      <c r="B7488" s="9" t="s">
        <v>48</v>
      </c>
      <c r="C7488" s="10" t="s">
        <v>52</v>
      </c>
      <c r="D7488" s="11">
        <v>123.22858903265558</v>
      </c>
      <c r="E7488" s="12">
        <f t="shared" si="116"/>
        <v>48926</v>
      </c>
    </row>
    <row r="7489" spans="1:5" x14ac:dyDescent="0.25">
      <c r="A7489" s="2">
        <f>IF(B7489="","",SUBTOTAL(3,$B$2:B7489))</f>
        <v>7488</v>
      </c>
      <c r="B7489" s="9" t="s">
        <v>51</v>
      </c>
      <c r="C7489" s="10" t="s">
        <v>52</v>
      </c>
      <c r="D7489" s="11">
        <v>79.423911892407062</v>
      </c>
      <c r="E7489" s="12">
        <f t="shared" si="116"/>
        <v>48927</v>
      </c>
    </row>
    <row r="7490" spans="1:5" x14ac:dyDescent="0.25">
      <c r="A7490" s="2">
        <f>IF(B7490="","",SUBTOTAL(3,$B$2:B7490))</f>
        <v>7489</v>
      </c>
      <c r="B7490" s="9" t="s">
        <v>50</v>
      </c>
      <c r="C7490" s="10" t="s">
        <v>52</v>
      </c>
      <c r="D7490" s="11">
        <v>88.183421516754848</v>
      </c>
      <c r="E7490" s="12">
        <f t="shared" si="116"/>
        <v>48928</v>
      </c>
    </row>
    <row r="7491" spans="1:5" x14ac:dyDescent="0.25">
      <c r="A7491" s="2">
        <f>IF(B7491="","",SUBTOTAL(3,$B$2:B7491))</f>
        <v>7490</v>
      </c>
      <c r="B7491" s="9" t="s">
        <v>48</v>
      </c>
      <c r="C7491" s="10" t="s">
        <v>52</v>
      </c>
      <c r="D7491" s="11">
        <v>84.411583487369072</v>
      </c>
      <c r="E7491" s="12">
        <f t="shared" si="116"/>
        <v>48929</v>
      </c>
    </row>
    <row r="7492" spans="1:5" x14ac:dyDescent="0.25">
      <c r="A7492" s="2">
        <f>IF(B7492="","",SUBTOTAL(3,$B$2:B7492))</f>
        <v>7491</v>
      </c>
      <c r="B7492" s="9" t="s">
        <v>50</v>
      </c>
      <c r="C7492" s="10" t="s">
        <v>49</v>
      </c>
      <c r="D7492" s="11">
        <v>220.45855379188714</v>
      </c>
      <c r="E7492" s="12">
        <f t="shared" ref="E7492:E7555" si="117">E7491+1</f>
        <v>48930</v>
      </c>
    </row>
    <row r="7493" spans="1:5" x14ac:dyDescent="0.25">
      <c r="A7493" s="2">
        <f>IF(B7493="","",SUBTOTAL(3,$B$2:B7493))</f>
        <v>7492</v>
      </c>
      <c r="B7493" s="9" t="s">
        <v>48</v>
      </c>
      <c r="C7493" s="10" t="s">
        <v>56</v>
      </c>
      <c r="D7493" s="11">
        <v>369.68576709796673</v>
      </c>
      <c r="E7493" s="12">
        <f t="shared" si="117"/>
        <v>48931</v>
      </c>
    </row>
    <row r="7494" spans="1:5" x14ac:dyDescent="0.25">
      <c r="A7494" s="2">
        <f>IF(B7494="","",SUBTOTAL(3,$B$2:B7494))</f>
        <v>7493</v>
      </c>
      <c r="B7494" s="9" t="s">
        <v>53</v>
      </c>
      <c r="C7494" s="10" t="s">
        <v>54</v>
      </c>
      <c r="D7494" s="11">
        <v>41.213697601362803</v>
      </c>
      <c r="E7494" s="12">
        <f t="shared" si="117"/>
        <v>48932</v>
      </c>
    </row>
    <row r="7495" spans="1:5" x14ac:dyDescent="0.25">
      <c r="A7495" s="2">
        <f>IF(B7495="","",SUBTOTAL(3,$B$2:B7495))</f>
        <v>7494</v>
      </c>
      <c r="B7495" s="9" t="s">
        <v>51</v>
      </c>
      <c r="C7495" s="10" t="s">
        <v>54</v>
      </c>
      <c r="D7495" s="11">
        <v>60.362173038229372</v>
      </c>
      <c r="E7495" s="12">
        <f t="shared" si="117"/>
        <v>48933</v>
      </c>
    </row>
    <row r="7496" spans="1:5" x14ac:dyDescent="0.25">
      <c r="A7496" s="2">
        <f>IF(B7496="","",SUBTOTAL(3,$B$2:B7496))</f>
        <v>7495</v>
      </c>
      <c r="B7496" s="9" t="s">
        <v>50</v>
      </c>
      <c r="C7496" s="10" t="s">
        <v>49</v>
      </c>
      <c r="D7496" s="11">
        <v>48.500881834215171</v>
      </c>
      <c r="E7496" s="12">
        <f t="shared" si="117"/>
        <v>48934</v>
      </c>
    </row>
    <row r="7497" spans="1:5" x14ac:dyDescent="0.25">
      <c r="A7497" s="2">
        <f>IF(B7497="","",SUBTOTAL(3,$B$2:B7497))</f>
        <v>7496</v>
      </c>
      <c r="B7497" s="9" t="s">
        <v>51</v>
      </c>
      <c r="C7497" s="10" t="s">
        <v>49</v>
      </c>
      <c r="D7497" s="11">
        <v>158.84782378481412</v>
      </c>
      <c r="E7497" s="12">
        <f t="shared" si="117"/>
        <v>48935</v>
      </c>
    </row>
    <row r="7498" spans="1:5" x14ac:dyDescent="0.25">
      <c r="A7498" s="2">
        <f>IF(B7498="","",SUBTOTAL(3,$B$2:B7498))</f>
        <v>7497</v>
      </c>
      <c r="B7498" s="9" t="s">
        <v>51</v>
      </c>
      <c r="C7498" s="10" t="s">
        <v>52</v>
      </c>
      <c r="D7498" s="11">
        <v>264.74637297469025</v>
      </c>
      <c r="E7498" s="12">
        <f t="shared" si="117"/>
        <v>48936</v>
      </c>
    </row>
    <row r="7499" spans="1:5" x14ac:dyDescent="0.25">
      <c r="A7499" s="2">
        <f>IF(B7499="","",SUBTOTAL(3,$B$2:B7499))</f>
        <v>7498</v>
      </c>
      <c r="B7499" s="9" t="s">
        <v>48</v>
      </c>
      <c r="C7499" s="10" t="s">
        <v>52</v>
      </c>
      <c r="D7499" s="11">
        <v>154.03573629081947</v>
      </c>
      <c r="E7499" s="12">
        <f t="shared" si="117"/>
        <v>48937</v>
      </c>
    </row>
    <row r="7500" spans="1:5" x14ac:dyDescent="0.25">
      <c r="A7500" s="2">
        <f>IF(B7500="","",SUBTOTAL(3,$B$2:B7500))</f>
        <v>7499</v>
      </c>
      <c r="B7500" s="9" t="s">
        <v>51</v>
      </c>
      <c r="C7500" s="10" t="s">
        <v>52</v>
      </c>
      <c r="D7500" s="11">
        <v>112.4748490945674</v>
      </c>
      <c r="E7500" s="12">
        <f t="shared" si="117"/>
        <v>48938</v>
      </c>
    </row>
    <row r="7501" spans="1:5" x14ac:dyDescent="0.25">
      <c r="A7501" s="2">
        <f>IF(B7501="","",SUBTOTAL(3,$B$2:B7501))</f>
        <v>7500</v>
      </c>
      <c r="B7501" s="9" t="s">
        <v>55</v>
      </c>
      <c r="C7501" s="10" t="s">
        <v>54</v>
      </c>
      <c r="D7501" s="11">
        <v>100</v>
      </c>
      <c r="E7501" s="12">
        <f t="shared" si="117"/>
        <v>48939</v>
      </c>
    </row>
    <row r="7502" spans="1:5" x14ac:dyDescent="0.25">
      <c r="A7502" s="2">
        <f>IF(B7502="","",SUBTOTAL(3,$B$2:B7502))</f>
        <v>7501</v>
      </c>
      <c r="B7502" s="9" t="s">
        <v>55</v>
      </c>
      <c r="C7502" s="10" t="s">
        <v>52</v>
      </c>
      <c r="D7502" s="11">
        <v>98.712135669959252</v>
      </c>
      <c r="E7502" s="12">
        <f t="shared" si="117"/>
        <v>48940</v>
      </c>
    </row>
    <row r="7503" spans="1:5" x14ac:dyDescent="0.25">
      <c r="A7503" s="2">
        <f>IF(B7503="","",SUBTOTAL(3,$B$2:B7503))</f>
        <v>7502</v>
      </c>
      <c r="B7503" s="9" t="s">
        <v>55</v>
      </c>
      <c r="C7503" s="10" t="s">
        <v>52</v>
      </c>
      <c r="D7503" s="11">
        <v>264.55026455026456</v>
      </c>
      <c r="E7503" s="12">
        <f t="shared" si="117"/>
        <v>48941</v>
      </c>
    </row>
    <row r="7504" spans="1:5" x14ac:dyDescent="0.25">
      <c r="A7504" s="2">
        <f>IF(B7504="","",SUBTOTAL(3,$B$2:B7504))</f>
        <v>7503</v>
      </c>
      <c r="B7504" s="9" t="s">
        <v>50</v>
      </c>
      <c r="C7504" s="10" t="s">
        <v>52</v>
      </c>
      <c r="D7504" s="11">
        <v>77.160493827160494</v>
      </c>
      <c r="E7504" s="12">
        <f t="shared" si="117"/>
        <v>48942</v>
      </c>
    </row>
    <row r="7505" spans="1:5" x14ac:dyDescent="0.25">
      <c r="A7505" s="2">
        <f>IF(B7505="","",SUBTOTAL(3,$B$2:B7505))</f>
        <v>7504</v>
      </c>
      <c r="B7505" s="9" t="s">
        <v>48</v>
      </c>
      <c r="C7505" s="10" t="s">
        <v>52</v>
      </c>
      <c r="D7505" s="11">
        <v>103.41261633919338</v>
      </c>
      <c r="E7505" s="12">
        <f t="shared" si="117"/>
        <v>48943</v>
      </c>
    </row>
    <row r="7506" spans="1:5" x14ac:dyDescent="0.25">
      <c r="A7506" s="2">
        <f>IF(B7506="","",SUBTOTAL(3,$B$2:B7506))</f>
        <v>7505</v>
      </c>
      <c r="B7506" s="9" t="s">
        <v>48</v>
      </c>
      <c r="C7506" s="10" t="s">
        <v>52</v>
      </c>
      <c r="D7506" s="11">
        <v>103.41261633919338</v>
      </c>
      <c r="E7506" s="12">
        <f t="shared" si="117"/>
        <v>48944</v>
      </c>
    </row>
    <row r="7507" spans="1:5" x14ac:dyDescent="0.25">
      <c r="A7507" s="2">
        <f>IF(B7507="","",SUBTOTAL(3,$B$2:B7507))</f>
        <v>7506</v>
      </c>
      <c r="B7507" s="9" t="s">
        <v>48</v>
      </c>
      <c r="C7507" s="10" t="s">
        <v>49</v>
      </c>
      <c r="D7507" s="11">
        <v>25.696041524803107</v>
      </c>
      <c r="E7507" s="12">
        <f t="shared" si="117"/>
        <v>48945</v>
      </c>
    </row>
    <row r="7508" spans="1:5" x14ac:dyDescent="0.25">
      <c r="A7508" s="2">
        <f>IF(B7508="","",SUBTOTAL(3,$B$2:B7508))</f>
        <v>7507</v>
      </c>
      <c r="B7508" s="9" t="s">
        <v>48</v>
      </c>
      <c r="C7508" s="10" t="s">
        <v>52</v>
      </c>
      <c r="D7508" s="11">
        <v>2.5696041524803106</v>
      </c>
      <c r="E7508" s="12">
        <f t="shared" si="117"/>
        <v>48946</v>
      </c>
    </row>
    <row r="7509" spans="1:5" x14ac:dyDescent="0.25">
      <c r="A7509" s="2">
        <f>IF(B7509="","",SUBTOTAL(3,$B$2:B7509))</f>
        <v>7508</v>
      </c>
      <c r="B7509" s="9" t="s">
        <v>50</v>
      </c>
      <c r="C7509" s="10" t="s">
        <v>52</v>
      </c>
      <c r="D7509" s="11">
        <v>33.06878306878307</v>
      </c>
      <c r="E7509" s="12">
        <f t="shared" si="117"/>
        <v>48947</v>
      </c>
    </row>
    <row r="7510" spans="1:5" x14ac:dyDescent="0.25">
      <c r="A7510" s="2">
        <f>IF(B7510="","",SUBTOTAL(3,$B$2:B7510))</f>
        <v>7509</v>
      </c>
      <c r="B7510" s="9" t="s">
        <v>48</v>
      </c>
      <c r="C7510" s="10" t="s">
        <v>52</v>
      </c>
      <c r="D7510" s="11">
        <v>344.70872113064462</v>
      </c>
      <c r="E7510" s="12">
        <f t="shared" si="117"/>
        <v>48948</v>
      </c>
    </row>
    <row r="7511" spans="1:5" x14ac:dyDescent="0.25">
      <c r="A7511" s="2">
        <f>IF(B7511="","",SUBTOTAL(3,$B$2:B7511))</f>
        <v>7510</v>
      </c>
      <c r="B7511" s="9" t="s">
        <v>50</v>
      </c>
      <c r="C7511" s="10" t="s">
        <v>49</v>
      </c>
      <c r="D7511" s="11">
        <v>22.045855379188712</v>
      </c>
      <c r="E7511" s="12">
        <f t="shared" si="117"/>
        <v>48949</v>
      </c>
    </row>
    <row r="7512" spans="1:5" x14ac:dyDescent="0.25">
      <c r="A7512" s="2">
        <f>IF(B7512="","",SUBTOTAL(3,$B$2:B7512))</f>
        <v>7511</v>
      </c>
      <c r="B7512" s="9" t="s">
        <v>51</v>
      </c>
      <c r="C7512" s="10" t="s">
        <v>49</v>
      </c>
      <c r="D7512" s="11">
        <v>47.654347135444247</v>
      </c>
      <c r="E7512" s="12">
        <f t="shared" si="117"/>
        <v>48950</v>
      </c>
    </row>
    <row r="7513" spans="1:5" x14ac:dyDescent="0.25">
      <c r="A7513" s="2">
        <f>IF(B7513="","",SUBTOTAL(3,$B$2:B7513))</f>
        <v>7512</v>
      </c>
      <c r="B7513" s="9" t="s">
        <v>55</v>
      </c>
      <c r="C7513" s="10" t="s">
        <v>52</v>
      </c>
      <c r="D7513" s="11">
        <v>5.9540492097115854</v>
      </c>
      <c r="E7513" s="12">
        <f t="shared" si="117"/>
        <v>48951</v>
      </c>
    </row>
    <row r="7514" spans="1:5" x14ac:dyDescent="0.25">
      <c r="A7514" s="2">
        <f>IF(B7514="","",SUBTOTAL(3,$B$2:B7514))</f>
        <v>7513</v>
      </c>
      <c r="B7514" s="9" t="s">
        <v>55</v>
      </c>
      <c r="C7514" s="10" t="s">
        <v>52</v>
      </c>
      <c r="D7514" s="11">
        <v>6.8046276682418121</v>
      </c>
      <c r="E7514" s="12">
        <f t="shared" si="117"/>
        <v>48952</v>
      </c>
    </row>
    <row r="7515" spans="1:5" x14ac:dyDescent="0.25">
      <c r="A7515" s="2">
        <f>IF(B7515="","",SUBTOTAL(3,$B$2:B7515))</f>
        <v>7514</v>
      </c>
      <c r="B7515" s="9" t="s">
        <v>48</v>
      </c>
      <c r="C7515" s="10" t="s">
        <v>54</v>
      </c>
      <c r="D7515" s="11">
        <v>30.807147258163894</v>
      </c>
      <c r="E7515" s="12">
        <f t="shared" si="117"/>
        <v>48953</v>
      </c>
    </row>
    <row r="7516" spans="1:5" x14ac:dyDescent="0.25">
      <c r="A7516" s="2">
        <f>IF(B7516="","",SUBTOTAL(3,$B$2:B7516))</f>
        <v>7515</v>
      </c>
      <c r="B7516" s="9" t="s">
        <v>53</v>
      </c>
      <c r="C7516" s="10" t="s">
        <v>49</v>
      </c>
      <c r="D7516" s="11">
        <v>183.17198933939025</v>
      </c>
      <c r="E7516" s="12">
        <f t="shared" si="117"/>
        <v>48954</v>
      </c>
    </row>
    <row r="7517" spans="1:5" x14ac:dyDescent="0.25">
      <c r="A7517" s="2">
        <f>IF(B7517="","",SUBTOTAL(3,$B$2:B7517))</f>
        <v>7516</v>
      </c>
      <c r="B7517" s="9" t="s">
        <v>48</v>
      </c>
      <c r="C7517" s="10" t="s">
        <v>52</v>
      </c>
      <c r="D7517" s="11">
        <v>51.392083049606214</v>
      </c>
      <c r="E7517" s="12">
        <f t="shared" si="117"/>
        <v>48955</v>
      </c>
    </row>
    <row r="7518" spans="1:5" x14ac:dyDescent="0.25">
      <c r="A7518" s="2">
        <f>IF(B7518="","",SUBTOTAL(3,$B$2:B7518))</f>
        <v>7517</v>
      </c>
      <c r="B7518" s="9" t="s">
        <v>55</v>
      </c>
      <c r="C7518" s="10" t="s">
        <v>52</v>
      </c>
      <c r="D7518" s="11">
        <v>80</v>
      </c>
      <c r="E7518" s="12">
        <f t="shared" si="117"/>
        <v>48956</v>
      </c>
    </row>
    <row r="7519" spans="1:5" x14ac:dyDescent="0.25">
      <c r="A7519" s="2">
        <f>IF(B7519="","",SUBTOTAL(3,$B$2:B7519))</f>
        <v>7518</v>
      </c>
      <c r="B7519" s="9" t="s">
        <v>51</v>
      </c>
      <c r="C7519" s="10" t="s">
        <v>49</v>
      </c>
      <c r="D7519" s="11">
        <v>136.10081541882874</v>
      </c>
      <c r="E7519" s="12">
        <f t="shared" si="117"/>
        <v>48957</v>
      </c>
    </row>
    <row r="7520" spans="1:5" x14ac:dyDescent="0.25">
      <c r="A7520" s="2">
        <f>IF(B7520="","",SUBTOTAL(3,$B$2:B7520))</f>
        <v>7519</v>
      </c>
      <c r="B7520" s="9" t="s">
        <v>51</v>
      </c>
      <c r="C7520" s="10" t="s">
        <v>49</v>
      </c>
      <c r="D7520" s="11">
        <v>423.59419675950437</v>
      </c>
      <c r="E7520" s="12">
        <f t="shared" si="117"/>
        <v>48958</v>
      </c>
    </row>
    <row r="7521" spans="1:5" x14ac:dyDescent="0.25">
      <c r="A7521" s="2">
        <f>IF(B7521="","",SUBTOTAL(3,$B$2:B7521))</f>
        <v>7520</v>
      </c>
      <c r="B7521" s="9" t="s">
        <v>51</v>
      </c>
      <c r="C7521" s="10" t="s">
        <v>49</v>
      </c>
      <c r="D7521" s="11">
        <v>317.69564756962825</v>
      </c>
      <c r="E7521" s="12">
        <f t="shared" si="117"/>
        <v>48959</v>
      </c>
    </row>
    <row r="7522" spans="1:5" x14ac:dyDescent="0.25">
      <c r="A7522" s="2">
        <f>IF(B7522="","",SUBTOTAL(3,$B$2:B7522))</f>
        <v>7521</v>
      </c>
      <c r="B7522" s="9" t="s">
        <v>50</v>
      </c>
      <c r="C7522" s="10" t="s">
        <v>49</v>
      </c>
      <c r="D7522" s="11">
        <v>104.71781305114638</v>
      </c>
      <c r="E7522" s="12">
        <f t="shared" si="117"/>
        <v>48960</v>
      </c>
    </row>
    <row r="7523" spans="1:5" x14ac:dyDescent="0.25">
      <c r="A7523" s="2">
        <f>IF(B7523="","",SUBTOTAL(3,$B$2:B7523))</f>
        <v>7522</v>
      </c>
      <c r="B7523" s="9" t="s">
        <v>48</v>
      </c>
      <c r="C7523" s="10" t="s">
        <v>49</v>
      </c>
      <c r="D7523" s="11">
        <v>30.807147258163894</v>
      </c>
      <c r="E7523" s="12">
        <f t="shared" si="117"/>
        <v>48961</v>
      </c>
    </row>
    <row r="7524" spans="1:5" x14ac:dyDescent="0.25">
      <c r="A7524" s="2">
        <f>IF(B7524="","",SUBTOTAL(3,$B$2:B7524))</f>
        <v>7523</v>
      </c>
      <c r="B7524" s="9" t="s">
        <v>48</v>
      </c>
      <c r="C7524" s="10" t="s">
        <v>54</v>
      </c>
      <c r="D7524" s="11">
        <v>23.105360443622921</v>
      </c>
      <c r="E7524" s="12">
        <f t="shared" si="117"/>
        <v>48962</v>
      </c>
    </row>
    <row r="7525" spans="1:5" x14ac:dyDescent="0.25">
      <c r="A7525" s="2">
        <f>IF(B7525="","",SUBTOTAL(3,$B$2:B7525))</f>
        <v>7524</v>
      </c>
      <c r="B7525" s="9" t="s">
        <v>51</v>
      </c>
      <c r="C7525" s="10" t="s">
        <v>52</v>
      </c>
      <c r="D7525" s="11">
        <v>47.654347135444247</v>
      </c>
      <c r="E7525" s="12">
        <f t="shared" si="117"/>
        <v>48963</v>
      </c>
    </row>
    <row r="7526" spans="1:5" x14ac:dyDescent="0.25">
      <c r="A7526" s="2">
        <f>IF(B7526="","",SUBTOTAL(3,$B$2:B7526))</f>
        <v>7525</v>
      </c>
      <c r="B7526" s="9" t="s">
        <v>48</v>
      </c>
      <c r="C7526" s="10" t="s">
        <v>49</v>
      </c>
      <c r="D7526" s="11">
        <v>84.719654959950716</v>
      </c>
      <c r="E7526" s="12">
        <f t="shared" si="117"/>
        <v>48964</v>
      </c>
    </row>
    <row r="7527" spans="1:5" x14ac:dyDescent="0.25">
      <c r="A7527" s="2">
        <f>IF(B7527="","",SUBTOTAL(3,$B$2:B7527))</f>
        <v>7526</v>
      </c>
      <c r="B7527" s="9" t="s">
        <v>48</v>
      </c>
      <c r="C7527" s="10" t="s">
        <v>49</v>
      </c>
      <c r="D7527" s="11">
        <v>30.807147258163894</v>
      </c>
      <c r="E7527" s="12">
        <f t="shared" si="117"/>
        <v>48965</v>
      </c>
    </row>
    <row r="7528" spans="1:5" x14ac:dyDescent="0.25">
      <c r="A7528" s="2">
        <f>IF(B7528="","",SUBTOTAL(3,$B$2:B7528))</f>
        <v>7527</v>
      </c>
      <c r="B7528" s="9" t="s">
        <v>48</v>
      </c>
      <c r="C7528" s="10" t="s">
        <v>54</v>
      </c>
      <c r="D7528" s="11">
        <v>64.24010381200776</v>
      </c>
      <c r="E7528" s="12">
        <f t="shared" si="117"/>
        <v>48966</v>
      </c>
    </row>
    <row r="7529" spans="1:5" x14ac:dyDescent="0.25">
      <c r="A7529" s="2">
        <f>IF(B7529="","",SUBTOTAL(3,$B$2:B7529))</f>
        <v>7528</v>
      </c>
      <c r="B7529" s="9" t="s">
        <v>48</v>
      </c>
      <c r="C7529" s="10" t="s">
        <v>49</v>
      </c>
      <c r="D7529" s="11">
        <v>46.210720887245841</v>
      </c>
      <c r="E7529" s="12">
        <f t="shared" si="117"/>
        <v>48967</v>
      </c>
    </row>
    <row r="7530" spans="1:5" x14ac:dyDescent="0.25">
      <c r="A7530" s="2">
        <f>IF(B7530="","",SUBTOTAL(3,$B$2:B7530))</f>
        <v>7529</v>
      </c>
      <c r="B7530" s="9" t="s">
        <v>50</v>
      </c>
      <c r="C7530" s="10" t="s">
        <v>49</v>
      </c>
      <c r="D7530" s="11">
        <v>44.091710758377424</v>
      </c>
      <c r="E7530" s="12">
        <f t="shared" si="117"/>
        <v>48968</v>
      </c>
    </row>
    <row r="7531" spans="1:5" x14ac:dyDescent="0.25">
      <c r="A7531" s="2">
        <f>IF(B7531="","",SUBTOTAL(3,$B$2:B7531))</f>
        <v>7530</v>
      </c>
      <c r="B7531" s="9" t="s">
        <v>51</v>
      </c>
      <c r="C7531" s="10" t="s">
        <v>52</v>
      </c>
      <c r="D7531" s="11">
        <v>216.54135338345861</v>
      </c>
      <c r="E7531" s="12">
        <f t="shared" si="117"/>
        <v>48969</v>
      </c>
    </row>
    <row r="7532" spans="1:5" x14ac:dyDescent="0.25">
      <c r="A7532" s="2">
        <f>IF(B7532="","",SUBTOTAL(3,$B$2:B7532))</f>
        <v>7531</v>
      </c>
      <c r="B7532" s="9" t="s">
        <v>55</v>
      </c>
      <c r="C7532" s="10" t="s">
        <v>49</v>
      </c>
      <c r="D7532" s="11">
        <v>60.1829561868079</v>
      </c>
      <c r="E7532" s="12">
        <f t="shared" si="117"/>
        <v>48970</v>
      </c>
    </row>
    <row r="7533" spans="1:5" x14ac:dyDescent="0.25">
      <c r="A7533" s="2">
        <f>IF(B7533="","",SUBTOTAL(3,$B$2:B7533))</f>
        <v>7532</v>
      </c>
      <c r="B7533" s="9" t="s">
        <v>55</v>
      </c>
      <c r="C7533" s="10" t="s">
        <v>49</v>
      </c>
      <c r="D7533" s="11">
        <v>802.43941582410525</v>
      </c>
      <c r="E7533" s="12">
        <f t="shared" si="117"/>
        <v>48971</v>
      </c>
    </row>
    <row r="7534" spans="1:5" x14ac:dyDescent="0.25">
      <c r="A7534" s="2">
        <f>IF(B7534="","",SUBTOTAL(3,$B$2:B7534))</f>
        <v>7533</v>
      </c>
      <c r="B7534" s="9" t="s">
        <v>50</v>
      </c>
      <c r="C7534" s="10" t="s">
        <v>49</v>
      </c>
      <c r="D7534" s="11">
        <v>149.91181657848324</v>
      </c>
      <c r="E7534" s="12">
        <f t="shared" si="117"/>
        <v>48972</v>
      </c>
    </row>
    <row r="7535" spans="1:5" x14ac:dyDescent="0.25">
      <c r="A7535" s="2">
        <f>IF(B7535="","",SUBTOTAL(3,$B$2:B7535))</f>
        <v>7534</v>
      </c>
      <c r="B7535" s="9" t="s">
        <v>55</v>
      </c>
      <c r="C7535" s="10" t="s">
        <v>56</v>
      </c>
      <c r="D7535" s="11">
        <v>24</v>
      </c>
      <c r="E7535" s="12">
        <f t="shared" si="117"/>
        <v>48973</v>
      </c>
    </row>
    <row r="7536" spans="1:5" x14ac:dyDescent="0.25">
      <c r="A7536" s="2">
        <f>IF(B7536="","",SUBTOTAL(3,$B$2:B7536))</f>
        <v>7535</v>
      </c>
      <c r="B7536" s="9" t="s">
        <v>55</v>
      </c>
      <c r="C7536" s="10" t="s">
        <v>52</v>
      </c>
      <c r="D7536" s="11">
        <v>65.808090446639511</v>
      </c>
      <c r="E7536" s="12">
        <f t="shared" si="117"/>
        <v>48974</v>
      </c>
    </row>
    <row r="7537" spans="1:5" x14ac:dyDescent="0.25">
      <c r="A7537" s="2">
        <f>IF(B7537="","",SUBTOTAL(3,$B$2:B7537))</f>
        <v>7536</v>
      </c>
      <c r="B7537" s="9" t="s">
        <v>48</v>
      </c>
      <c r="C7537" s="10" t="s">
        <v>52</v>
      </c>
      <c r="D7537" s="11">
        <v>154.03573629081947</v>
      </c>
      <c r="E7537" s="12">
        <f t="shared" si="117"/>
        <v>48975</v>
      </c>
    </row>
    <row r="7538" spans="1:5" x14ac:dyDescent="0.25">
      <c r="A7538" s="2">
        <f>IF(B7538="","",SUBTOTAL(3,$B$2:B7538))</f>
        <v>7537</v>
      </c>
      <c r="B7538" s="9" t="s">
        <v>48</v>
      </c>
      <c r="C7538" s="10" t="s">
        <v>49</v>
      </c>
      <c r="D7538" s="11">
        <v>261.86075169439312</v>
      </c>
      <c r="E7538" s="12">
        <f t="shared" si="117"/>
        <v>48976</v>
      </c>
    </row>
    <row r="7539" spans="1:5" x14ac:dyDescent="0.25">
      <c r="A7539" s="2">
        <f>IF(B7539="","",SUBTOTAL(3,$B$2:B7539))</f>
        <v>7538</v>
      </c>
      <c r="B7539" s="9" t="s">
        <v>48</v>
      </c>
      <c r="C7539" s="10" t="s">
        <v>49</v>
      </c>
      <c r="D7539" s="11">
        <v>123.22858903265558</v>
      </c>
      <c r="E7539" s="12">
        <f t="shared" si="117"/>
        <v>48977</v>
      </c>
    </row>
    <row r="7540" spans="1:5" x14ac:dyDescent="0.25">
      <c r="A7540" s="2">
        <f>IF(B7540="","",SUBTOTAL(3,$B$2:B7540))</f>
        <v>7539</v>
      </c>
      <c r="B7540" s="9" t="s">
        <v>50</v>
      </c>
      <c r="C7540" s="10" t="s">
        <v>49</v>
      </c>
      <c r="D7540" s="11">
        <v>274.75798400908536</v>
      </c>
      <c r="E7540" s="12">
        <f t="shared" si="117"/>
        <v>48978</v>
      </c>
    </row>
    <row r="7541" spans="1:5" x14ac:dyDescent="0.25">
      <c r="A7541" s="2">
        <f>IF(B7541="","",SUBTOTAL(3,$B$2:B7541))</f>
        <v>7540</v>
      </c>
      <c r="B7541" s="9" t="s">
        <v>48</v>
      </c>
      <c r="C7541" s="10" t="s">
        <v>49</v>
      </c>
      <c r="D7541" s="11">
        <v>15.403573629081947</v>
      </c>
      <c r="E7541" s="12">
        <f t="shared" si="117"/>
        <v>48979</v>
      </c>
    </row>
    <row r="7542" spans="1:5" x14ac:dyDescent="0.25">
      <c r="A7542" s="2">
        <f>IF(B7542="","",SUBTOTAL(3,$B$2:B7542))</f>
        <v>7541</v>
      </c>
      <c r="B7542" s="9" t="s">
        <v>53</v>
      </c>
      <c r="C7542" s="10" t="s">
        <v>49</v>
      </c>
      <c r="D7542" s="11">
        <v>91.585994669695125</v>
      </c>
      <c r="E7542" s="12">
        <f t="shared" si="117"/>
        <v>48980</v>
      </c>
    </row>
    <row r="7543" spans="1:5" x14ac:dyDescent="0.25">
      <c r="A7543" s="2">
        <f>IF(B7543="","",SUBTOTAL(3,$B$2:B7543))</f>
        <v>7542</v>
      </c>
      <c r="B7543" s="9" t="s">
        <v>48</v>
      </c>
      <c r="C7543" s="10" t="s">
        <v>49</v>
      </c>
      <c r="D7543" s="11">
        <v>15.403573629081947</v>
      </c>
      <c r="E7543" s="12">
        <f t="shared" si="117"/>
        <v>48981</v>
      </c>
    </row>
    <row r="7544" spans="1:5" x14ac:dyDescent="0.25">
      <c r="A7544" s="2">
        <f>IF(B7544="","",SUBTOTAL(3,$B$2:B7544))</f>
        <v>7543</v>
      </c>
      <c r="B7544" s="9" t="s">
        <v>48</v>
      </c>
      <c r="C7544" s="10" t="s">
        <v>49</v>
      </c>
      <c r="D7544" s="11">
        <v>15.403573629081947</v>
      </c>
      <c r="E7544" s="12">
        <f t="shared" si="117"/>
        <v>48982</v>
      </c>
    </row>
    <row r="7545" spans="1:5" x14ac:dyDescent="0.25">
      <c r="A7545" s="2">
        <f>IF(B7545="","",SUBTOTAL(3,$B$2:B7545))</f>
        <v>7544</v>
      </c>
      <c r="B7545" s="9" t="s">
        <v>55</v>
      </c>
      <c r="C7545" s="10" t="s">
        <v>49</v>
      </c>
      <c r="D7545" s="11">
        <v>200</v>
      </c>
      <c r="E7545" s="12">
        <f t="shared" si="117"/>
        <v>48983</v>
      </c>
    </row>
    <row r="7546" spans="1:5" x14ac:dyDescent="0.25">
      <c r="A7546" s="2">
        <f>IF(B7546="","",SUBTOTAL(3,$B$2:B7546))</f>
        <v>7545</v>
      </c>
      <c r="B7546" s="9" t="s">
        <v>50</v>
      </c>
      <c r="C7546" s="10" t="s">
        <v>52</v>
      </c>
      <c r="D7546" s="11">
        <v>110.22927689594357</v>
      </c>
      <c r="E7546" s="12">
        <f t="shared" si="117"/>
        <v>48984</v>
      </c>
    </row>
    <row r="7547" spans="1:5" x14ac:dyDescent="0.25">
      <c r="A7547" s="2">
        <f>IF(B7547="","",SUBTOTAL(3,$B$2:B7547))</f>
        <v>7546</v>
      </c>
      <c r="B7547" s="9" t="s">
        <v>48</v>
      </c>
      <c r="C7547" s="10" t="s">
        <v>49</v>
      </c>
      <c r="D7547" s="11">
        <v>15.403573629081947</v>
      </c>
      <c r="E7547" s="12">
        <f t="shared" si="117"/>
        <v>48985</v>
      </c>
    </row>
    <row r="7548" spans="1:5" x14ac:dyDescent="0.25">
      <c r="A7548" s="2">
        <f>IF(B7548="","",SUBTOTAL(3,$B$2:B7548))</f>
        <v>7547</v>
      </c>
      <c r="B7548" s="9" t="s">
        <v>48</v>
      </c>
      <c r="C7548" s="10" t="s">
        <v>49</v>
      </c>
      <c r="D7548" s="11">
        <v>15.403573629081947</v>
      </c>
      <c r="E7548" s="12">
        <f t="shared" si="117"/>
        <v>48986</v>
      </c>
    </row>
    <row r="7549" spans="1:5" x14ac:dyDescent="0.25">
      <c r="A7549" s="2">
        <f>IF(B7549="","",SUBTOTAL(3,$B$2:B7549))</f>
        <v>7548</v>
      </c>
      <c r="B7549" s="9" t="s">
        <v>48</v>
      </c>
      <c r="C7549" s="10" t="s">
        <v>49</v>
      </c>
      <c r="D7549" s="11">
        <v>15.403573629081947</v>
      </c>
      <c r="E7549" s="12">
        <f t="shared" si="117"/>
        <v>48987</v>
      </c>
    </row>
    <row r="7550" spans="1:5" x14ac:dyDescent="0.25">
      <c r="A7550" s="2">
        <f>IF(B7550="","",SUBTOTAL(3,$B$2:B7550))</f>
        <v>7549</v>
      </c>
      <c r="B7550" s="9" t="s">
        <v>48</v>
      </c>
      <c r="C7550" s="10" t="s">
        <v>49</v>
      </c>
      <c r="D7550" s="11">
        <v>15.403573629081947</v>
      </c>
      <c r="E7550" s="12">
        <f t="shared" si="117"/>
        <v>48988</v>
      </c>
    </row>
    <row r="7551" spans="1:5" x14ac:dyDescent="0.25">
      <c r="A7551" s="2">
        <f>IF(B7551="","",SUBTOTAL(3,$B$2:B7551))</f>
        <v>7550</v>
      </c>
      <c r="B7551" s="9" t="s">
        <v>48</v>
      </c>
      <c r="C7551" s="10" t="s">
        <v>49</v>
      </c>
      <c r="D7551" s="11">
        <v>15.403573629081947</v>
      </c>
      <c r="E7551" s="12">
        <f t="shared" si="117"/>
        <v>48989</v>
      </c>
    </row>
    <row r="7552" spans="1:5" x14ac:dyDescent="0.25">
      <c r="A7552" s="2">
        <f>IF(B7552="","",SUBTOTAL(3,$B$2:B7552))</f>
        <v>7551</v>
      </c>
      <c r="B7552" s="9" t="s">
        <v>48</v>
      </c>
      <c r="C7552" s="10" t="s">
        <v>49</v>
      </c>
      <c r="D7552" s="11">
        <v>15.403573629081947</v>
      </c>
      <c r="E7552" s="12">
        <f t="shared" si="117"/>
        <v>48990</v>
      </c>
    </row>
    <row r="7553" spans="1:5" x14ac:dyDescent="0.25">
      <c r="A7553" s="2">
        <f>IF(B7553="","",SUBTOTAL(3,$B$2:B7553))</f>
        <v>7552</v>
      </c>
      <c r="B7553" s="9" t="s">
        <v>48</v>
      </c>
      <c r="C7553" s="10" t="s">
        <v>49</v>
      </c>
      <c r="D7553" s="11">
        <v>15.403573629081947</v>
      </c>
      <c r="E7553" s="12">
        <f t="shared" si="117"/>
        <v>48991</v>
      </c>
    </row>
    <row r="7554" spans="1:5" x14ac:dyDescent="0.25">
      <c r="A7554" s="2">
        <f>IF(B7554="","",SUBTOTAL(3,$B$2:B7554))</f>
        <v>7553</v>
      </c>
      <c r="B7554" s="9" t="s">
        <v>48</v>
      </c>
      <c r="C7554" s="10" t="s">
        <v>49</v>
      </c>
      <c r="D7554" s="11">
        <v>15.403573629081947</v>
      </c>
      <c r="E7554" s="12">
        <f t="shared" si="117"/>
        <v>48992</v>
      </c>
    </row>
    <row r="7555" spans="1:5" x14ac:dyDescent="0.25">
      <c r="A7555" s="2">
        <f>IF(B7555="","",SUBTOTAL(3,$B$2:B7555))</f>
        <v>7554</v>
      </c>
      <c r="B7555" s="9" t="s">
        <v>48</v>
      </c>
      <c r="C7555" s="10" t="s">
        <v>54</v>
      </c>
      <c r="D7555" s="11">
        <v>53.912507701786815</v>
      </c>
      <c r="E7555" s="12">
        <f t="shared" si="117"/>
        <v>48993</v>
      </c>
    </row>
    <row r="7556" spans="1:5" x14ac:dyDescent="0.25">
      <c r="A7556" s="2">
        <f>IF(B7556="","",SUBTOTAL(3,$B$2:B7556))</f>
        <v>7555</v>
      </c>
      <c r="B7556" s="9" t="s">
        <v>48</v>
      </c>
      <c r="C7556" s="10" t="s">
        <v>49</v>
      </c>
      <c r="D7556" s="11">
        <v>15.403573629081947</v>
      </c>
      <c r="E7556" s="12">
        <f t="shared" ref="E7556:E7619" si="118">E7555+1</f>
        <v>48994</v>
      </c>
    </row>
    <row r="7557" spans="1:5" x14ac:dyDescent="0.25">
      <c r="A7557" s="2">
        <f>IF(B7557="","",SUBTOTAL(3,$B$2:B7557))</f>
        <v>7556</v>
      </c>
      <c r="B7557" s="9" t="s">
        <v>55</v>
      </c>
      <c r="C7557" s="10" t="s">
        <v>52</v>
      </c>
      <c r="D7557" s="11">
        <v>200</v>
      </c>
      <c r="E7557" s="12">
        <f t="shared" si="118"/>
        <v>48995</v>
      </c>
    </row>
    <row r="7558" spans="1:5" x14ac:dyDescent="0.25">
      <c r="A7558" s="2">
        <f>IF(B7558="","",SUBTOTAL(3,$B$2:B7558))</f>
        <v>7557</v>
      </c>
      <c r="B7558" s="9" t="s">
        <v>55</v>
      </c>
      <c r="C7558" s="10" t="s">
        <v>52</v>
      </c>
      <c r="D7558" s="11">
        <v>30</v>
      </c>
      <c r="E7558" s="12">
        <f t="shared" si="118"/>
        <v>48996</v>
      </c>
    </row>
    <row r="7559" spans="1:5" x14ac:dyDescent="0.25">
      <c r="A7559" s="2">
        <f>IF(B7559="","",SUBTOTAL(3,$B$2:B7559))</f>
        <v>7558</v>
      </c>
      <c r="B7559" s="9" t="s">
        <v>48</v>
      </c>
      <c r="C7559" s="10" t="s">
        <v>49</v>
      </c>
      <c r="D7559" s="11">
        <v>15.403573629081947</v>
      </c>
      <c r="E7559" s="12">
        <f t="shared" si="118"/>
        <v>48997</v>
      </c>
    </row>
    <row r="7560" spans="1:5" x14ac:dyDescent="0.25">
      <c r="A7560" s="2">
        <f>IF(B7560="","",SUBTOTAL(3,$B$2:B7560))</f>
        <v>7559</v>
      </c>
      <c r="B7560" s="9" t="s">
        <v>48</v>
      </c>
      <c r="C7560" s="10" t="s">
        <v>49</v>
      </c>
      <c r="D7560" s="11">
        <v>15.403573629081947</v>
      </c>
      <c r="E7560" s="12">
        <f t="shared" si="118"/>
        <v>48998</v>
      </c>
    </row>
    <row r="7561" spans="1:5" x14ac:dyDescent="0.25">
      <c r="A7561" s="2">
        <f>IF(B7561="","",SUBTOTAL(3,$B$2:B7561))</f>
        <v>7560</v>
      </c>
      <c r="B7561" s="9" t="s">
        <v>48</v>
      </c>
      <c r="C7561" s="10" t="s">
        <v>49</v>
      </c>
      <c r="D7561" s="11">
        <v>15.403573629081947</v>
      </c>
      <c r="E7561" s="12">
        <f t="shared" si="118"/>
        <v>48999</v>
      </c>
    </row>
    <row r="7562" spans="1:5" x14ac:dyDescent="0.25">
      <c r="A7562" s="2">
        <f>IF(B7562="","",SUBTOTAL(3,$B$2:B7562))</f>
        <v>7561</v>
      </c>
      <c r="B7562" s="9" t="s">
        <v>50</v>
      </c>
      <c r="C7562" s="10" t="s">
        <v>54</v>
      </c>
      <c r="D7562" s="11">
        <v>0.55114638447971775</v>
      </c>
      <c r="E7562" s="12">
        <f t="shared" si="118"/>
        <v>49000</v>
      </c>
    </row>
    <row r="7563" spans="1:5" x14ac:dyDescent="0.25">
      <c r="A7563" s="2">
        <f>IF(B7563="","",SUBTOTAL(3,$B$2:B7563))</f>
        <v>7562</v>
      </c>
      <c r="B7563" s="9" t="s">
        <v>48</v>
      </c>
      <c r="C7563" s="10" t="s">
        <v>54</v>
      </c>
      <c r="D7563" s="11">
        <v>46.210720887245841</v>
      </c>
      <c r="E7563" s="12">
        <f t="shared" si="118"/>
        <v>49001</v>
      </c>
    </row>
    <row r="7564" spans="1:5" x14ac:dyDescent="0.25">
      <c r="A7564" s="2">
        <f>IF(B7564="","",SUBTOTAL(3,$B$2:B7564))</f>
        <v>7563</v>
      </c>
      <c r="B7564" s="9" t="s">
        <v>48</v>
      </c>
      <c r="C7564" s="10" t="s">
        <v>49</v>
      </c>
      <c r="D7564" s="11">
        <v>15.403573629081947</v>
      </c>
      <c r="E7564" s="12">
        <f t="shared" si="118"/>
        <v>49002</v>
      </c>
    </row>
    <row r="7565" spans="1:5" x14ac:dyDescent="0.25">
      <c r="A7565" s="2">
        <f>IF(B7565="","",SUBTOTAL(3,$B$2:B7565))</f>
        <v>7564</v>
      </c>
      <c r="B7565" s="9" t="s">
        <v>48</v>
      </c>
      <c r="C7565" s="10" t="s">
        <v>49</v>
      </c>
      <c r="D7565" s="11">
        <v>15.403573629081947</v>
      </c>
      <c r="E7565" s="12">
        <f t="shared" si="118"/>
        <v>49003</v>
      </c>
    </row>
    <row r="7566" spans="1:5" x14ac:dyDescent="0.25">
      <c r="A7566" s="2">
        <f>IF(B7566="","",SUBTOTAL(3,$B$2:B7566))</f>
        <v>7565</v>
      </c>
      <c r="B7566" s="9" t="s">
        <v>48</v>
      </c>
      <c r="C7566" s="10" t="s">
        <v>49</v>
      </c>
      <c r="D7566" s="11">
        <v>123.22858903265558</v>
      </c>
      <c r="E7566" s="12">
        <f t="shared" si="118"/>
        <v>49004</v>
      </c>
    </row>
    <row r="7567" spans="1:5" x14ac:dyDescent="0.25">
      <c r="A7567" s="2">
        <f>IF(B7567="","",SUBTOTAL(3,$B$2:B7567))</f>
        <v>7566</v>
      </c>
      <c r="B7567" s="9" t="s">
        <v>55</v>
      </c>
      <c r="C7567" s="10" t="s">
        <v>52</v>
      </c>
      <c r="D7567" s="11">
        <v>97.767638911520294</v>
      </c>
      <c r="E7567" s="12">
        <f t="shared" si="118"/>
        <v>49005</v>
      </c>
    </row>
    <row r="7568" spans="1:5" x14ac:dyDescent="0.25">
      <c r="A7568" s="2">
        <f>IF(B7568="","",SUBTOTAL(3,$B$2:B7568))</f>
        <v>7567</v>
      </c>
      <c r="B7568" s="9" t="s">
        <v>48</v>
      </c>
      <c r="C7568" s="10" t="s">
        <v>49</v>
      </c>
      <c r="D7568" s="11">
        <v>15.403573629081947</v>
      </c>
      <c r="E7568" s="12">
        <f t="shared" si="118"/>
        <v>49006</v>
      </c>
    </row>
    <row r="7569" spans="1:5" x14ac:dyDescent="0.25">
      <c r="A7569" s="2">
        <f>IF(B7569="","",SUBTOTAL(3,$B$2:B7569))</f>
        <v>7568</v>
      </c>
      <c r="B7569" s="9" t="s">
        <v>48</v>
      </c>
      <c r="C7569" s="10" t="s">
        <v>49</v>
      </c>
      <c r="D7569" s="11">
        <v>15.403573629081947</v>
      </c>
      <c r="E7569" s="12">
        <f t="shared" si="118"/>
        <v>49007</v>
      </c>
    </row>
    <row r="7570" spans="1:5" x14ac:dyDescent="0.25">
      <c r="A7570" s="2">
        <f>IF(B7570="","",SUBTOTAL(3,$B$2:B7570))</f>
        <v>7569</v>
      </c>
      <c r="B7570" s="9" t="s">
        <v>48</v>
      </c>
      <c r="C7570" s="10" t="s">
        <v>49</v>
      </c>
      <c r="D7570" s="11">
        <v>15.403573629081947</v>
      </c>
      <c r="E7570" s="12">
        <f t="shared" si="118"/>
        <v>49008</v>
      </c>
    </row>
    <row r="7571" spans="1:5" x14ac:dyDescent="0.25">
      <c r="A7571" s="2">
        <f>IF(B7571="","",SUBTOTAL(3,$B$2:B7571))</f>
        <v>7570</v>
      </c>
      <c r="B7571" s="9" t="s">
        <v>48</v>
      </c>
      <c r="C7571" s="10" t="s">
        <v>49</v>
      </c>
      <c r="D7571" s="11">
        <v>15.403573629081947</v>
      </c>
      <c r="E7571" s="12">
        <f t="shared" si="118"/>
        <v>49009</v>
      </c>
    </row>
    <row r="7572" spans="1:5" x14ac:dyDescent="0.25">
      <c r="A7572" s="2">
        <f>IF(B7572="","",SUBTOTAL(3,$B$2:B7572))</f>
        <v>7571</v>
      </c>
      <c r="B7572" s="9" t="s">
        <v>48</v>
      </c>
      <c r="C7572" s="10" t="s">
        <v>49</v>
      </c>
      <c r="D7572" s="11">
        <v>15.403573629081947</v>
      </c>
      <c r="E7572" s="12">
        <f t="shared" si="118"/>
        <v>49010</v>
      </c>
    </row>
    <row r="7573" spans="1:5" x14ac:dyDescent="0.25">
      <c r="A7573" s="2">
        <f>IF(B7573="","",SUBTOTAL(3,$B$2:B7573))</f>
        <v>7572</v>
      </c>
      <c r="B7573" s="9" t="s">
        <v>48</v>
      </c>
      <c r="C7573" s="10" t="s">
        <v>49</v>
      </c>
      <c r="D7573" s="11">
        <v>15.403573629081947</v>
      </c>
      <c r="E7573" s="12">
        <f t="shared" si="118"/>
        <v>49011</v>
      </c>
    </row>
    <row r="7574" spans="1:5" x14ac:dyDescent="0.25">
      <c r="A7574" s="2">
        <f>IF(B7574="","",SUBTOTAL(3,$B$2:B7574))</f>
        <v>7573</v>
      </c>
      <c r="B7574" s="9" t="s">
        <v>48</v>
      </c>
      <c r="C7574" s="10" t="s">
        <v>49</v>
      </c>
      <c r="D7574" s="11">
        <v>15.403573629081947</v>
      </c>
      <c r="E7574" s="12">
        <f t="shared" si="118"/>
        <v>49012</v>
      </c>
    </row>
    <row r="7575" spans="1:5" x14ac:dyDescent="0.25">
      <c r="A7575" s="2">
        <f>IF(B7575="","",SUBTOTAL(3,$B$2:B7575))</f>
        <v>7574</v>
      </c>
      <c r="B7575" s="9" t="s">
        <v>48</v>
      </c>
      <c r="C7575" s="10" t="s">
        <v>49</v>
      </c>
      <c r="D7575" s="11">
        <v>15.403573629081947</v>
      </c>
      <c r="E7575" s="12">
        <f t="shared" si="118"/>
        <v>49013</v>
      </c>
    </row>
    <row r="7576" spans="1:5" x14ac:dyDescent="0.25">
      <c r="A7576" s="2">
        <f>IF(B7576="","",SUBTOTAL(3,$B$2:B7576))</f>
        <v>7575</v>
      </c>
      <c r="B7576" s="9" t="s">
        <v>48</v>
      </c>
      <c r="C7576" s="10" t="s">
        <v>49</v>
      </c>
      <c r="D7576" s="11">
        <v>15.403573629081947</v>
      </c>
      <c r="E7576" s="12">
        <f t="shared" si="118"/>
        <v>49014</v>
      </c>
    </row>
    <row r="7577" spans="1:5" x14ac:dyDescent="0.25">
      <c r="A7577" s="2">
        <f>IF(B7577="","",SUBTOTAL(3,$B$2:B7577))</f>
        <v>7576</v>
      </c>
      <c r="B7577" s="9" t="s">
        <v>55</v>
      </c>
      <c r="C7577" s="10" t="s">
        <v>52</v>
      </c>
      <c r="D7577" s="11">
        <v>220.45855379188714</v>
      </c>
      <c r="E7577" s="12">
        <f t="shared" si="118"/>
        <v>49015</v>
      </c>
    </row>
    <row r="7578" spans="1:5" x14ac:dyDescent="0.25">
      <c r="A7578" s="2">
        <f>IF(B7578="","",SUBTOTAL(3,$B$2:B7578))</f>
        <v>7577</v>
      </c>
      <c r="B7578" s="9" t="s">
        <v>55</v>
      </c>
      <c r="C7578" s="10" t="s">
        <v>54</v>
      </c>
      <c r="D7578" s="11">
        <v>100</v>
      </c>
      <c r="E7578" s="12">
        <f t="shared" si="118"/>
        <v>49016</v>
      </c>
    </row>
    <row r="7579" spans="1:5" x14ac:dyDescent="0.25">
      <c r="A7579" s="2">
        <f>IF(B7579="","",SUBTOTAL(3,$B$2:B7579))</f>
        <v>7578</v>
      </c>
      <c r="B7579" s="9" t="s">
        <v>48</v>
      </c>
      <c r="C7579" s="10" t="s">
        <v>52</v>
      </c>
      <c r="D7579" s="11">
        <v>68.971224584103524</v>
      </c>
      <c r="E7579" s="12">
        <f t="shared" si="118"/>
        <v>49017</v>
      </c>
    </row>
    <row r="7580" spans="1:5" x14ac:dyDescent="0.25">
      <c r="A7580" s="2">
        <f>IF(B7580="","",SUBTOTAL(3,$B$2:B7580))</f>
        <v>7579</v>
      </c>
      <c r="B7580" s="9" t="s">
        <v>48</v>
      </c>
      <c r="C7580" s="10" t="s">
        <v>49</v>
      </c>
      <c r="D7580" s="11">
        <v>427.59565619223656</v>
      </c>
      <c r="E7580" s="12">
        <f t="shared" si="118"/>
        <v>49018</v>
      </c>
    </row>
    <row r="7581" spans="1:5" x14ac:dyDescent="0.25">
      <c r="A7581" s="2">
        <f>IF(B7581="","",SUBTOTAL(3,$B$2:B7581))</f>
        <v>7580</v>
      </c>
      <c r="B7581" s="9" t="s">
        <v>48</v>
      </c>
      <c r="C7581" s="10" t="s">
        <v>49</v>
      </c>
      <c r="D7581" s="11">
        <v>1.5403573629081948</v>
      </c>
      <c r="E7581" s="12">
        <f t="shared" si="118"/>
        <v>49019</v>
      </c>
    </row>
    <row r="7582" spans="1:5" x14ac:dyDescent="0.25">
      <c r="A7582" s="2">
        <f>IF(B7582="","",SUBTOTAL(3,$B$2:B7582))</f>
        <v>7581</v>
      </c>
      <c r="B7582" s="9" t="s">
        <v>55</v>
      </c>
      <c r="C7582" s="10" t="s">
        <v>52</v>
      </c>
      <c r="D7582" s="11">
        <v>200</v>
      </c>
      <c r="E7582" s="12">
        <f t="shared" si="118"/>
        <v>49020</v>
      </c>
    </row>
    <row r="7583" spans="1:5" x14ac:dyDescent="0.25">
      <c r="A7583" s="2">
        <f>IF(B7583="","",SUBTOTAL(3,$B$2:B7583))</f>
        <v>7582</v>
      </c>
      <c r="B7583" s="9" t="s">
        <v>48</v>
      </c>
      <c r="C7583" s="10" t="s">
        <v>49</v>
      </c>
      <c r="D7583" s="11">
        <v>15.403573629081947</v>
      </c>
      <c r="E7583" s="12">
        <f t="shared" si="118"/>
        <v>49021</v>
      </c>
    </row>
    <row r="7584" spans="1:5" x14ac:dyDescent="0.25">
      <c r="A7584" s="2">
        <f>IF(B7584="","",SUBTOTAL(3,$B$2:B7584))</f>
        <v>7583</v>
      </c>
      <c r="B7584" s="9" t="s">
        <v>55</v>
      </c>
      <c r="C7584" s="10" t="s">
        <v>52</v>
      </c>
      <c r="D7584" s="11">
        <v>15.86</v>
      </c>
      <c r="E7584" s="12">
        <f t="shared" si="118"/>
        <v>49022</v>
      </c>
    </row>
    <row r="7585" spans="1:5" x14ac:dyDescent="0.25">
      <c r="A7585" s="2">
        <f>IF(B7585="","",SUBTOTAL(3,$B$2:B7585))</f>
        <v>7584</v>
      </c>
      <c r="B7585" s="9" t="s">
        <v>51</v>
      </c>
      <c r="C7585" s="10" t="s">
        <v>52</v>
      </c>
      <c r="D7585" s="11">
        <v>953.08694270888486</v>
      </c>
      <c r="E7585" s="12">
        <f t="shared" si="118"/>
        <v>49023</v>
      </c>
    </row>
    <row r="7586" spans="1:5" x14ac:dyDescent="0.25">
      <c r="A7586" s="2">
        <f>IF(B7586="","",SUBTOTAL(3,$B$2:B7586))</f>
        <v>7585</v>
      </c>
      <c r="B7586" s="9" t="s">
        <v>48</v>
      </c>
      <c r="C7586" s="10" t="s">
        <v>49</v>
      </c>
      <c r="D7586" s="11">
        <v>15.403573629081947</v>
      </c>
      <c r="E7586" s="12">
        <f t="shared" si="118"/>
        <v>49024</v>
      </c>
    </row>
    <row r="7587" spans="1:5" x14ac:dyDescent="0.25">
      <c r="A7587" s="2">
        <f>IF(B7587="","",SUBTOTAL(3,$B$2:B7587))</f>
        <v>7586</v>
      </c>
      <c r="B7587" s="9" t="s">
        <v>48</v>
      </c>
      <c r="C7587" s="10" t="s">
        <v>49</v>
      </c>
      <c r="D7587" s="11">
        <v>15.403573629081947</v>
      </c>
      <c r="E7587" s="12">
        <f t="shared" si="118"/>
        <v>49025</v>
      </c>
    </row>
    <row r="7588" spans="1:5" x14ac:dyDescent="0.25">
      <c r="A7588" s="2">
        <f>IF(B7588="","",SUBTOTAL(3,$B$2:B7588))</f>
        <v>7587</v>
      </c>
      <c r="B7588" s="9" t="s">
        <v>48</v>
      </c>
      <c r="C7588" s="10" t="s">
        <v>49</v>
      </c>
      <c r="D7588" s="11">
        <v>641.33949476278497</v>
      </c>
      <c r="E7588" s="12">
        <f t="shared" si="118"/>
        <v>49026</v>
      </c>
    </row>
    <row r="7589" spans="1:5" x14ac:dyDescent="0.25">
      <c r="A7589" s="2">
        <f>IF(B7589="","",SUBTOTAL(3,$B$2:B7589))</f>
        <v>7588</v>
      </c>
      <c r="B7589" s="9" t="s">
        <v>48</v>
      </c>
      <c r="C7589" s="10" t="s">
        <v>49</v>
      </c>
      <c r="D7589" s="11">
        <v>77.017868145409736</v>
      </c>
      <c r="E7589" s="12">
        <f t="shared" si="118"/>
        <v>49027</v>
      </c>
    </row>
    <row r="7590" spans="1:5" x14ac:dyDescent="0.25">
      <c r="A7590" s="2">
        <f>IF(B7590="","",SUBTOTAL(3,$B$2:B7590))</f>
        <v>7589</v>
      </c>
      <c r="B7590" s="9" t="s">
        <v>48</v>
      </c>
      <c r="C7590" s="10" t="s">
        <v>54</v>
      </c>
      <c r="D7590" s="11">
        <v>300</v>
      </c>
      <c r="E7590" s="12">
        <f t="shared" si="118"/>
        <v>49028</v>
      </c>
    </row>
    <row r="7591" spans="1:5" x14ac:dyDescent="0.25">
      <c r="A7591" s="2">
        <f>IF(B7591="","",SUBTOTAL(3,$B$2:B7591))</f>
        <v>7590</v>
      </c>
      <c r="B7591" s="9" t="s">
        <v>51</v>
      </c>
      <c r="C7591" s="10" t="s">
        <v>52</v>
      </c>
      <c r="D7591" s="11">
        <v>51.195594620353702</v>
      </c>
      <c r="E7591" s="12">
        <f t="shared" si="118"/>
        <v>49029</v>
      </c>
    </row>
    <row r="7592" spans="1:5" x14ac:dyDescent="0.25">
      <c r="A7592" s="2">
        <f>IF(B7592="","",SUBTOTAL(3,$B$2:B7592))</f>
        <v>7591</v>
      </c>
      <c r="B7592" s="9" t="s">
        <v>51</v>
      </c>
      <c r="C7592" s="10" t="s">
        <v>54</v>
      </c>
      <c r="D7592" s="11">
        <v>48.618426383599385</v>
      </c>
      <c r="E7592" s="12">
        <f t="shared" si="118"/>
        <v>49030</v>
      </c>
    </row>
    <row r="7593" spans="1:5" x14ac:dyDescent="0.25">
      <c r="A7593" s="2">
        <f>IF(B7593="","",SUBTOTAL(3,$B$2:B7593))</f>
        <v>7592</v>
      </c>
      <c r="B7593" s="9" t="s">
        <v>48</v>
      </c>
      <c r="C7593" s="10" t="s">
        <v>52</v>
      </c>
      <c r="D7593" s="11">
        <v>64.24010381200776</v>
      </c>
      <c r="E7593" s="12">
        <f t="shared" si="118"/>
        <v>49031</v>
      </c>
    </row>
    <row r="7594" spans="1:5" x14ac:dyDescent="0.25">
      <c r="A7594" s="2">
        <f>IF(B7594="","",SUBTOTAL(3,$B$2:B7594))</f>
        <v>7593</v>
      </c>
      <c r="B7594" s="9" t="s">
        <v>55</v>
      </c>
      <c r="C7594" s="10" t="s">
        <v>49</v>
      </c>
      <c r="D7594" s="11">
        <v>10.98256477106078</v>
      </c>
      <c r="E7594" s="12">
        <f t="shared" si="118"/>
        <v>49032</v>
      </c>
    </row>
    <row r="7595" spans="1:5" x14ac:dyDescent="0.25">
      <c r="A7595" s="2">
        <f>IF(B7595="","",SUBTOTAL(3,$B$2:B7595))</f>
        <v>7594</v>
      </c>
      <c r="B7595" s="9" t="s">
        <v>48</v>
      </c>
      <c r="C7595" s="10" t="s">
        <v>52</v>
      </c>
      <c r="D7595" s="11">
        <v>34.470872113064452</v>
      </c>
      <c r="E7595" s="12">
        <f t="shared" si="118"/>
        <v>49033</v>
      </c>
    </row>
    <row r="7596" spans="1:5" x14ac:dyDescent="0.25">
      <c r="A7596" s="2">
        <f>IF(B7596="","",SUBTOTAL(3,$B$2:B7596))</f>
        <v>7595</v>
      </c>
      <c r="B7596" s="9" t="s">
        <v>55</v>
      </c>
      <c r="C7596" s="10" t="s">
        <v>52</v>
      </c>
      <c r="D7596" s="11">
        <v>15.888300433317285</v>
      </c>
      <c r="E7596" s="12">
        <f t="shared" si="118"/>
        <v>49034</v>
      </c>
    </row>
    <row r="7597" spans="1:5" x14ac:dyDescent="0.25">
      <c r="A7597" s="2">
        <f>IF(B7597="","",SUBTOTAL(3,$B$2:B7597))</f>
        <v>7596</v>
      </c>
      <c r="B7597" s="9" t="s">
        <v>55</v>
      </c>
      <c r="C7597" s="10" t="s">
        <v>49</v>
      </c>
      <c r="D7597" s="11">
        <v>35</v>
      </c>
      <c r="E7597" s="12">
        <f t="shared" si="118"/>
        <v>49035</v>
      </c>
    </row>
    <row r="7598" spans="1:5" x14ac:dyDescent="0.25">
      <c r="A7598" s="2">
        <f>IF(B7598="","",SUBTOTAL(3,$B$2:B7598))</f>
        <v>7597</v>
      </c>
      <c r="B7598" s="9" t="s">
        <v>53</v>
      </c>
      <c r="C7598" s="10" t="s">
        <v>54</v>
      </c>
      <c r="D7598" s="11">
        <v>45.792997334847563</v>
      </c>
      <c r="E7598" s="12">
        <f t="shared" si="118"/>
        <v>49036</v>
      </c>
    </row>
    <row r="7599" spans="1:5" x14ac:dyDescent="0.25">
      <c r="A7599" s="2">
        <f>IF(B7599="","",SUBTOTAL(3,$B$2:B7599))</f>
        <v>7598</v>
      </c>
      <c r="B7599" s="9" t="s">
        <v>48</v>
      </c>
      <c r="C7599" s="10" t="s">
        <v>49</v>
      </c>
      <c r="D7599" s="11">
        <v>130.93037584719656</v>
      </c>
      <c r="E7599" s="12">
        <f t="shared" si="118"/>
        <v>49037</v>
      </c>
    </row>
    <row r="7600" spans="1:5" x14ac:dyDescent="0.25">
      <c r="A7600" s="2">
        <f>IF(B7600="","",SUBTOTAL(3,$B$2:B7600))</f>
        <v>7599</v>
      </c>
      <c r="B7600" s="9" t="s">
        <v>48</v>
      </c>
      <c r="C7600" s="10" t="s">
        <v>49</v>
      </c>
      <c r="D7600" s="11">
        <v>154.03573629081947</v>
      </c>
      <c r="E7600" s="12">
        <f t="shared" si="118"/>
        <v>49038</v>
      </c>
    </row>
    <row r="7601" spans="1:5" x14ac:dyDescent="0.25">
      <c r="A7601" s="2">
        <f>IF(B7601="","",SUBTOTAL(3,$B$2:B7601))</f>
        <v>7600</v>
      </c>
      <c r="B7601" s="9" t="s">
        <v>48</v>
      </c>
      <c r="C7601" s="10" t="s">
        <v>49</v>
      </c>
      <c r="D7601" s="11">
        <v>53.853843502240608</v>
      </c>
      <c r="E7601" s="12">
        <f t="shared" si="118"/>
        <v>49039</v>
      </c>
    </row>
    <row r="7602" spans="1:5" x14ac:dyDescent="0.25">
      <c r="A7602" s="2">
        <f>IF(B7602="","",SUBTOTAL(3,$B$2:B7602))</f>
        <v>7601</v>
      </c>
      <c r="B7602" s="9" t="s">
        <v>55</v>
      </c>
      <c r="C7602" s="10" t="s">
        <v>49</v>
      </c>
      <c r="D7602" s="11">
        <v>20.107544402802674</v>
      </c>
      <c r="E7602" s="12">
        <f t="shared" si="118"/>
        <v>49040</v>
      </c>
    </row>
    <row r="7603" spans="1:5" x14ac:dyDescent="0.25">
      <c r="A7603" s="2">
        <f>IF(B7603="","",SUBTOTAL(3,$B$2:B7603))</f>
        <v>7602</v>
      </c>
      <c r="B7603" s="9" t="s">
        <v>48</v>
      </c>
      <c r="C7603" s="10" t="s">
        <v>52</v>
      </c>
      <c r="D7603" s="11">
        <v>92.421441774491683</v>
      </c>
      <c r="E7603" s="12">
        <f t="shared" si="118"/>
        <v>49041</v>
      </c>
    </row>
    <row r="7604" spans="1:5" x14ac:dyDescent="0.25">
      <c r="A7604" s="2">
        <f>IF(B7604="","",SUBTOTAL(3,$B$2:B7604))</f>
        <v>7603</v>
      </c>
      <c r="B7604" s="9" t="s">
        <v>48</v>
      </c>
      <c r="C7604" s="10" t="s">
        <v>49</v>
      </c>
      <c r="D7604" s="11">
        <v>154.03573629081947</v>
      </c>
      <c r="E7604" s="12">
        <f t="shared" si="118"/>
        <v>49042</v>
      </c>
    </row>
    <row r="7605" spans="1:5" x14ac:dyDescent="0.25">
      <c r="A7605" s="2">
        <f>IF(B7605="","",SUBTOTAL(3,$B$2:B7605))</f>
        <v>7604</v>
      </c>
      <c r="B7605" s="9" t="s">
        <v>55</v>
      </c>
      <c r="C7605" s="10" t="s">
        <v>49</v>
      </c>
      <c r="D7605" s="11">
        <v>85.4</v>
      </c>
      <c r="E7605" s="12">
        <f t="shared" si="118"/>
        <v>49043</v>
      </c>
    </row>
    <row r="7606" spans="1:5" x14ac:dyDescent="0.25">
      <c r="A7606" s="2">
        <f>IF(B7606="","",SUBTOTAL(3,$B$2:B7606))</f>
        <v>7605</v>
      </c>
      <c r="B7606" s="9" t="s">
        <v>55</v>
      </c>
      <c r="C7606" s="10" t="s">
        <v>52</v>
      </c>
      <c r="D7606" s="11">
        <v>100</v>
      </c>
      <c r="E7606" s="12">
        <f t="shared" si="118"/>
        <v>49044</v>
      </c>
    </row>
    <row r="7607" spans="1:5" x14ac:dyDescent="0.25">
      <c r="A7607" s="2">
        <f>IF(B7607="","",SUBTOTAL(3,$B$2:B7607))</f>
        <v>7606</v>
      </c>
      <c r="B7607" s="9" t="s">
        <v>55</v>
      </c>
      <c r="C7607" s="10" t="s">
        <v>52</v>
      </c>
      <c r="D7607" s="11">
        <v>100</v>
      </c>
      <c r="E7607" s="12">
        <f t="shared" si="118"/>
        <v>49045</v>
      </c>
    </row>
    <row r="7608" spans="1:5" x14ac:dyDescent="0.25">
      <c r="A7608" s="2">
        <f>IF(B7608="","",SUBTOTAL(3,$B$2:B7608))</f>
        <v>7607</v>
      </c>
      <c r="B7608" s="9" t="s">
        <v>51</v>
      </c>
      <c r="C7608" s="10" t="s">
        <v>49</v>
      </c>
      <c r="D7608" s="11">
        <v>60.773032979499227</v>
      </c>
      <c r="E7608" s="12">
        <f t="shared" si="118"/>
        <v>49046</v>
      </c>
    </row>
    <row r="7609" spans="1:5" x14ac:dyDescent="0.25">
      <c r="A7609" s="2">
        <f>IF(B7609="","",SUBTOTAL(3,$B$2:B7609))</f>
        <v>7608</v>
      </c>
      <c r="B7609" s="9" t="s">
        <v>51</v>
      </c>
      <c r="C7609" s="10" t="s">
        <v>49</v>
      </c>
      <c r="D7609" s="11">
        <v>31.769564756962826</v>
      </c>
      <c r="E7609" s="12">
        <f t="shared" si="118"/>
        <v>49047</v>
      </c>
    </row>
    <row r="7610" spans="1:5" x14ac:dyDescent="0.25">
      <c r="A7610" s="2">
        <f>IF(B7610="","",SUBTOTAL(3,$B$2:B7610))</f>
        <v>7609</v>
      </c>
      <c r="B7610" s="9" t="s">
        <v>48</v>
      </c>
      <c r="C7610" s="10" t="s">
        <v>49</v>
      </c>
      <c r="D7610" s="11">
        <v>48.259220958290243</v>
      </c>
      <c r="E7610" s="12">
        <f t="shared" si="118"/>
        <v>49048</v>
      </c>
    </row>
    <row r="7611" spans="1:5" x14ac:dyDescent="0.25">
      <c r="A7611" s="2">
        <f>IF(B7611="","",SUBTOTAL(3,$B$2:B7611))</f>
        <v>7610</v>
      </c>
      <c r="B7611" s="9" t="s">
        <v>48</v>
      </c>
      <c r="C7611" s="10" t="s">
        <v>54</v>
      </c>
      <c r="D7611" s="11">
        <v>83.795440542205796</v>
      </c>
      <c r="E7611" s="12">
        <f t="shared" si="118"/>
        <v>49049</v>
      </c>
    </row>
    <row r="7612" spans="1:5" x14ac:dyDescent="0.25">
      <c r="A7612" s="2">
        <f>IF(B7612="","",SUBTOTAL(3,$B$2:B7612))</f>
        <v>7611</v>
      </c>
      <c r="B7612" s="9" t="s">
        <v>55</v>
      </c>
      <c r="C7612" s="10" t="s">
        <v>49</v>
      </c>
      <c r="D7612" s="11">
        <v>32.589212970506765</v>
      </c>
      <c r="E7612" s="12">
        <f t="shared" si="118"/>
        <v>49050</v>
      </c>
    </row>
    <row r="7613" spans="1:5" x14ac:dyDescent="0.25">
      <c r="A7613" s="2">
        <f>IF(B7613="","",SUBTOTAL(3,$B$2:B7613))</f>
        <v>7612</v>
      </c>
      <c r="B7613" s="9" t="s">
        <v>48</v>
      </c>
      <c r="C7613" s="10" t="s">
        <v>52</v>
      </c>
      <c r="D7613" s="11">
        <v>46.210720887245841</v>
      </c>
      <c r="E7613" s="12">
        <f t="shared" si="118"/>
        <v>49051</v>
      </c>
    </row>
    <row r="7614" spans="1:5" x14ac:dyDescent="0.25">
      <c r="A7614" s="2">
        <f>IF(B7614="","",SUBTOTAL(3,$B$2:B7614))</f>
        <v>7613</v>
      </c>
      <c r="B7614" s="9" t="s">
        <v>55</v>
      </c>
      <c r="C7614" s="10" t="s">
        <v>52</v>
      </c>
      <c r="D7614" s="11">
        <v>21.228000000000002</v>
      </c>
      <c r="E7614" s="12">
        <f t="shared" si="118"/>
        <v>49052</v>
      </c>
    </row>
    <row r="7615" spans="1:5" x14ac:dyDescent="0.25">
      <c r="A7615" s="2">
        <f>IF(B7615="","",SUBTOTAL(3,$B$2:B7615))</f>
        <v>7614</v>
      </c>
      <c r="B7615" s="9" t="s">
        <v>55</v>
      </c>
      <c r="C7615" s="10" t="s">
        <v>49</v>
      </c>
      <c r="D7615" s="11">
        <v>48.883819455760147</v>
      </c>
      <c r="E7615" s="12">
        <f t="shared" si="118"/>
        <v>49053</v>
      </c>
    </row>
    <row r="7616" spans="1:5" x14ac:dyDescent="0.25">
      <c r="A7616" s="2">
        <f>IF(B7616="","",SUBTOTAL(3,$B$2:B7616))</f>
        <v>7615</v>
      </c>
      <c r="B7616" s="9" t="s">
        <v>55</v>
      </c>
      <c r="C7616" s="10" t="s">
        <v>49</v>
      </c>
      <c r="D7616" s="11">
        <v>42.7</v>
      </c>
      <c r="E7616" s="12">
        <f t="shared" si="118"/>
        <v>49054</v>
      </c>
    </row>
    <row r="7617" spans="1:5" x14ac:dyDescent="0.25">
      <c r="A7617" s="2">
        <f>IF(B7617="","",SUBTOTAL(3,$B$2:B7617))</f>
        <v>7616</v>
      </c>
      <c r="B7617" s="9" t="s">
        <v>50</v>
      </c>
      <c r="C7617" s="10" t="s">
        <v>52</v>
      </c>
      <c r="D7617" s="11">
        <v>100</v>
      </c>
      <c r="E7617" s="12">
        <f t="shared" si="118"/>
        <v>49055</v>
      </c>
    </row>
    <row r="7618" spans="1:5" x14ac:dyDescent="0.25">
      <c r="A7618" s="2">
        <f>IF(B7618="","",SUBTOTAL(3,$B$2:B7618))</f>
        <v>7617</v>
      </c>
      <c r="B7618" s="9" t="s">
        <v>50</v>
      </c>
      <c r="C7618" s="10" t="s">
        <v>52</v>
      </c>
      <c r="D7618" s="11">
        <v>150</v>
      </c>
      <c r="E7618" s="12">
        <f t="shared" si="118"/>
        <v>49056</v>
      </c>
    </row>
    <row r="7619" spans="1:5" x14ac:dyDescent="0.25">
      <c r="A7619" s="2">
        <f>IF(B7619="","",SUBTOTAL(3,$B$2:B7619))</f>
        <v>7618</v>
      </c>
      <c r="B7619" s="9" t="s">
        <v>48</v>
      </c>
      <c r="C7619" s="10" t="s">
        <v>56</v>
      </c>
      <c r="D7619" s="11">
        <v>12.848020762401553</v>
      </c>
      <c r="E7619" s="12">
        <f t="shared" si="118"/>
        <v>49057</v>
      </c>
    </row>
    <row r="7620" spans="1:5" x14ac:dyDescent="0.25">
      <c r="A7620" s="2">
        <f>IF(B7620="","",SUBTOTAL(3,$B$2:B7620))</f>
        <v>7619</v>
      </c>
      <c r="B7620" s="9" t="s">
        <v>51</v>
      </c>
      <c r="C7620" s="10" t="s">
        <v>52</v>
      </c>
      <c r="D7620" s="11">
        <v>64.529280948850996</v>
      </c>
      <c r="E7620" s="12">
        <f t="shared" ref="E7620:E7683" si="119">E7619+1</f>
        <v>49058</v>
      </c>
    </row>
    <row r="7621" spans="1:5" x14ac:dyDescent="0.25">
      <c r="A7621" s="2">
        <f>IF(B7621="","",SUBTOTAL(3,$B$2:B7621))</f>
        <v>7620</v>
      </c>
      <c r="B7621" s="9" t="s">
        <v>48</v>
      </c>
      <c r="C7621" s="10" t="s">
        <v>49</v>
      </c>
      <c r="D7621" s="11">
        <v>34.470872113064452</v>
      </c>
      <c r="E7621" s="12">
        <f t="shared" si="119"/>
        <v>49059</v>
      </c>
    </row>
    <row r="7622" spans="1:5" x14ac:dyDescent="0.25">
      <c r="A7622" s="2">
        <f>IF(B7622="","",SUBTOTAL(3,$B$2:B7622))</f>
        <v>7621</v>
      </c>
      <c r="B7622" s="9" t="s">
        <v>48</v>
      </c>
      <c r="C7622" s="10" t="s">
        <v>49</v>
      </c>
      <c r="D7622" s="11">
        <v>34.470872113064452</v>
      </c>
      <c r="E7622" s="12">
        <f t="shared" si="119"/>
        <v>49060</v>
      </c>
    </row>
    <row r="7623" spans="1:5" x14ac:dyDescent="0.25">
      <c r="A7623" s="2">
        <f>IF(B7623="","",SUBTOTAL(3,$B$2:B7623))</f>
        <v>7622</v>
      </c>
      <c r="B7623" s="9" t="s">
        <v>50</v>
      </c>
      <c r="C7623" s="10" t="s">
        <v>49</v>
      </c>
      <c r="D7623" s="11">
        <v>23.452676366843033</v>
      </c>
      <c r="E7623" s="12">
        <f t="shared" si="119"/>
        <v>49061</v>
      </c>
    </row>
    <row r="7624" spans="1:5" x14ac:dyDescent="0.25">
      <c r="A7624" s="2">
        <f>IF(B7624="","",SUBTOTAL(3,$B$2:B7624))</f>
        <v>7623</v>
      </c>
      <c r="B7624" s="9" t="s">
        <v>51</v>
      </c>
      <c r="C7624" s="10" t="s">
        <v>52</v>
      </c>
      <c r="D7624" s="11">
        <v>255.80853542306468</v>
      </c>
      <c r="E7624" s="12">
        <f t="shared" si="119"/>
        <v>49062</v>
      </c>
    </row>
    <row r="7625" spans="1:5" x14ac:dyDescent="0.25">
      <c r="A7625" s="2">
        <f>IF(B7625="","",SUBTOTAL(3,$B$2:B7625))</f>
        <v>7624</v>
      </c>
      <c r="B7625" s="9" t="s">
        <v>48</v>
      </c>
      <c r="C7625" s="10" t="s">
        <v>49</v>
      </c>
      <c r="D7625" s="11">
        <v>616.14294516327789</v>
      </c>
      <c r="E7625" s="12">
        <f t="shared" si="119"/>
        <v>49063</v>
      </c>
    </row>
    <row r="7626" spans="1:5" x14ac:dyDescent="0.25">
      <c r="A7626" s="2">
        <f>IF(B7626="","",SUBTOTAL(3,$B$2:B7626))</f>
        <v>7625</v>
      </c>
      <c r="B7626" s="9" t="s">
        <v>55</v>
      </c>
      <c r="C7626" s="10" t="s">
        <v>49</v>
      </c>
      <c r="D7626" s="11">
        <v>80</v>
      </c>
      <c r="E7626" s="12">
        <f t="shared" si="119"/>
        <v>49064</v>
      </c>
    </row>
    <row r="7627" spans="1:5" x14ac:dyDescent="0.25">
      <c r="A7627" s="2">
        <f>IF(B7627="","",SUBTOTAL(3,$B$2:B7627))</f>
        <v>7626</v>
      </c>
      <c r="B7627" s="9" t="s">
        <v>48</v>
      </c>
      <c r="C7627" s="10" t="s">
        <v>52</v>
      </c>
      <c r="D7627" s="11">
        <v>25.696041524803107</v>
      </c>
      <c r="E7627" s="12">
        <f t="shared" si="119"/>
        <v>49065</v>
      </c>
    </row>
    <row r="7628" spans="1:5" x14ac:dyDescent="0.25">
      <c r="A7628" s="2">
        <f>IF(B7628="","",SUBTOTAL(3,$B$2:B7628))</f>
        <v>7627</v>
      </c>
      <c r="B7628" s="9" t="s">
        <v>48</v>
      </c>
      <c r="C7628" s="10" t="s">
        <v>49</v>
      </c>
      <c r="D7628" s="11">
        <v>25.696041524803107</v>
      </c>
      <c r="E7628" s="12">
        <f t="shared" si="119"/>
        <v>49066</v>
      </c>
    </row>
    <row r="7629" spans="1:5" x14ac:dyDescent="0.25">
      <c r="A7629" s="2">
        <f>IF(B7629="","",SUBTOTAL(3,$B$2:B7629))</f>
        <v>7628</v>
      </c>
      <c r="B7629" s="9" t="s">
        <v>51</v>
      </c>
      <c r="C7629" s="10" t="s">
        <v>52</v>
      </c>
      <c r="D7629" s="11">
        <v>52.949274594938046</v>
      </c>
      <c r="E7629" s="12">
        <f t="shared" si="119"/>
        <v>49067</v>
      </c>
    </row>
    <row r="7630" spans="1:5" x14ac:dyDescent="0.25">
      <c r="A7630" s="2">
        <f>IF(B7630="","",SUBTOTAL(3,$B$2:B7630))</f>
        <v>7629</v>
      </c>
      <c r="B7630" s="9" t="s">
        <v>50</v>
      </c>
      <c r="C7630" s="10" t="s">
        <v>52</v>
      </c>
      <c r="D7630" s="11">
        <v>110.22927689594357</v>
      </c>
      <c r="E7630" s="12">
        <f t="shared" si="119"/>
        <v>49068</v>
      </c>
    </row>
    <row r="7631" spans="1:5" x14ac:dyDescent="0.25">
      <c r="A7631" s="2">
        <f>IF(B7631="","",SUBTOTAL(3,$B$2:B7631))</f>
        <v>7630</v>
      </c>
      <c r="B7631" s="9" t="s">
        <v>48</v>
      </c>
      <c r="C7631" s="10" t="s">
        <v>56</v>
      </c>
      <c r="D7631" s="11">
        <v>25.853154084798344</v>
      </c>
      <c r="E7631" s="12">
        <f t="shared" si="119"/>
        <v>49069</v>
      </c>
    </row>
    <row r="7632" spans="1:5" x14ac:dyDescent="0.25">
      <c r="A7632" s="2">
        <f>IF(B7632="","",SUBTOTAL(3,$B$2:B7632))</f>
        <v>7631</v>
      </c>
      <c r="B7632" s="9" t="s">
        <v>50</v>
      </c>
      <c r="C7632" s="10" t="s">
        <v>49</v>
      </c>
      <c r="D7632" s="11">
        <v>391.73677248677251</v>
      </c>
      <c r="E7632" s="12">
        <f t="shared" si="119"/>
        <v>49070</v>
      </c>
    </row>
    <row r="7633" spans="1:5" x14ac:dyDescent="0.25">
      <c r="A7633" s="2">
        <f>IF(B7633="","",SUBTOTAL(3,$B$2:B7633))</f>
        <v>7632</v>
      </c>
      <c r="B7633" s="9" t="s">
        <v>55</v>
      </c>
      <c r="C7633" s="10" t="s">
        <v>54</v>
      </c>
      <c r="D7633" s="11">
        <v>11.489327032752161</v>
      </c>
      <c r="E7633" s="12">
        <f t="shared" si="119"/>
        <v>49071</v>
      </c>
    </row>
    <row r="7634" spans="1:5" x14ac:dyDescent="0.25">
      <c r="A7634" s="2">
        <f>IF(B7634="","",SUBTOTAL(3,$B$2:B7634))</f>
        <v>7633</v>
      </c>
      <c r="B7634" s="9" t="s">
        <v>50</v>
      </c>
      <c r="C7634" s="10" t="s">
        <v>54</v>
      </c>
      <c r="D7634" s="11">
        <v>23.259611992945327</v>
      </c>
      <c r="E7634" s="12">
        <f t="shared" si="119"/>
        <v>49072</v>
      </c>
    </row>
    <row r="7635" spans="1:5" x14ac:dyDescent="0.25">
      <c r="A7635" s="2">
        <f>IF(B7635="","",SUBTOTAL(3,$B$2:B7635))</f>
        <v>7634</v>
      </c>
      <c r="B7635" s="9" t="s">
        <v>53</v>
      </c>
      <c r="C7635" s="10" t="s">
        <v>49</v>
      </c>
      <c r="D7635" s="11">
        <v>39.3819777079689</v>
      </c>
      <c r="E7635" s="12">
        <f t="shared" si="119"/>
        <v>49073</v>
      </c>
    </row>
    <row r="7636" spans="1:5" x14ac:dyDescent="0.25">
      <c r="A7636" s="2">
        <f>IF(B7636="","",SUBTOTAL(3,$B$2:B7636))</f>
        <v>7635</v>
      </c>
      <c r="B7636" s="9" t="s">
        <v>55</v>
      </c>
      <c r="C7636" s="10" t="s">
        <v>52</v>
      </c>
      <c r="D7636" s="11">
        <v>60</v>
      </c>
      <c r="E7636" s="12">
        <f t="shared" si="119"/>
        <v>49074</v>
      </c>
    </row>
    <row r="7637" spans="1:5" x14ac:dyDescent="0.25">
      <c r="A7637" s="2">
        <f>IF(B7637="","",SUBTOTAL(3,$B$2:B7637))</f>
        <v>7636</v>
      </c>
      <c r="B7637" s="9" t="s">
        <v>51</v>
      </c>
      <c r="C7637" s="10" t="s">
        <v>49</v>
      </c>
      <c r="D7637" s="11">
        <v>423.59419675950437</v>
      </c>
      <c r="E7637" s="12">
        <f t="shared" si="119"/>
        <v>49075</v>
      </c>
    </row>
    <row r="7638" spans="1:5" x14ac:dyDescent="0.25">
      <c r="A7638" s="2">
        <f>IF(B7638="","",SUBTOTAL(3,$B$2:B7638))</f>
        <v>7637</v>
      </c>
      <c r="B7638" s="9" t="s">
        <v>48</v>
      </c>
      <c r="C7638" s="10" t="s">
        <v>49</v>
      </c>
      <c r="D7638" s="11">
        <v>46.210720887245841</v>
      </c>
      <c r="E7638" s="12">
        <f t="shared" si="119"/>
        <v>49076</v>
      </c>
    </row>
    <row r="7639" spans="1:5" x14ac:dyDescent="0.25">
      <c r="A7639" s="2">
        <f>IF(B7639="","",SUBTOTAL(3,$B$2:B7639))</f>
        <v>7638</v>
      </c>
      <c r="B7639" s="9" t="s">
        <v>48</v>
      </c>
      <c r="C7639" s="10" t="s">
        <v>54</v>
      </c>
      <c r="D7639" s="11">
        <v>36.968576709796672</v>
      </c>
      <c r="E7639" s="12">
        <f t="shared" si="119"/>
        <v>49077</v>
      </c>
    </row>
    <row r="7640" spans="1:5" x14ac:dyDescent="0.25">
      <c r="A7640" s="2">
        <f>IF(B7640="","",SUBTOTAL(3,$B$2:B7640))</f>
        <v>7639</v>
      </c>
      <c r="B7640" s="9" t="s">
        <v>51</v>
      </c>
      <c r="C7640" s="10" t="s">
        <v>52</v>
      </c>
      <c r="D7640" s="11">
        <v>140.8344805676162</v>
      </c>
      <c r="E7640" s="12">
        <f t="shared" si="119"/>
        <v>49078</v>
      </c>
    </row>
    <row r="7641" spans="1:5" x14ac:dyDescent="0.25">
      <c r="A7641" s="2">
        <f>IF(B7641="","",SUBTOTAL(3,$B$2:B7641))</f>
        <v>7640</v>
      </c>
      <c r="B7641" s="9" t="s">
        <v>53</v>
      </c>
      <c r="C7641" s="10" t="s">
        <v>49</v>
      </c>
      <c r="D7641" s="11">
        <v>54.951596801817075</v>
      </c>
      <c r="E7641" s="12">
        <f t="shared" si="119"/>
        <v>49079</v>
      </c>
    </row>
    <row r="7642" spans="1:5" x14ac:dyDescent="0.25">
      <c r="A7642" s="2">
        <f>IF(B7642="","",SUBTOTAL(3,$B$2:B7642))</f>
        <v>7641</v>
      </c>
      <c r="B7642" s="9" t="s">
        <v>55</v>
      </c>
      <c r="C7642" s="10" t="s">
        <v>56</v>
      </c>
      <c r="D7642" s="11">
        <v>50</v>
      </c>
      <c r="E7642" s="12">
        <f t="shared" si="119"/>
        <v>49080</v>
      </c>
    </row>
    <row r="7643" spans="1:5" x14ac:dyDescent="0.25">
      <c r="A7643" s="2">
        <f>IF(B7643="","",SUBTOTAL(3,$B$2:B7643))</f>
        <v>7642</v>
      </c>
      <c r="B7643" s="9" t="s">
        <v>50</v>
      </c>
      <c r="C7643" s="10" t="s">
        <v>49</v>
      </c>
      <c r="D7643" s="11">
        <v>48.967151675485006</v>
      </c>
      <c r="E7643" s="12">
        <f t="shared" si="119"/>
        <v>49081</v>
      </c>
    </row>
    <row r="7644" spans="1:5" x14ac:dyDescent="0.25">
      <c r="A7644" s="2">
        <f>IF(B7644="","",SUBTOTAL(3,$B$2:B7644))</f>
        <v>7643</v>
      </c>
      <c r="B7644" s="9" t="s">
        <v>51</v>
      </c>
      <c r="C7644" s="10" t="s">
        <v>54</v>
      </c>
      <c r="D7644" s="11">
        <v>42.359419675950441</v>
      </c>
      <c r="E7644" s="12">
        <f t="shared" si="119"/>
        <v>49082</v>
      </c>
    </row>
    <row r="7645" spans="1:5" x14ac:dyDescent="0.25">
      <c r="A7645" s="2">
        <f>IF(B7645="","",SUBTOTAL(3,$B$2:B7645))</f>
        <v>7644</v>
      </c>
      <c r="B7645" s="9" t="s">
        <v>51</v>
      </c>
      <c r="C7645" s="10" t="s">
        <v>52</v>
      </c>
      <c r="D7645" s="11">
        <v>21.179709837975221</v>
      </c>
      <c r="E7645" s="12">
        <f t="shared" si="119"/>
        <v>49083</v>
      </c>
    </row>
    <row r="7646" spans="1:5" x14ac:dyDescent="0.25">
      <c r="A7646" s="2">
        <f>IF(B7646="","",SUBTOTAL(3,$B$2:B7646))</f>
        <v>7645</v>
      </c>
      <c r="B7646" s="9" t="s">
        <v>51</v>
      </c>
      <c r="C7646" s="10" t="s">
        <v>52</v>
      </c>
      <c r="D7646" s="11">
        <v>52.949274594938046</v>
      </c>
      <c r="E7646" s="12">
        <f t="shared" si="119"/>
        <v>49084</v>
      </c>
    </row>
    <row r="7647" spans="1:5" x14ac:dyDescent="0.25">
      <c r="A7647" s="2">
        <f>IF(B7647="","",SUBTOTAL(3,$B$2:B7647))</f>
        <v>7646</v>
      </c>
      <c r="B7647" s="9" t="s">
        <v>51</v>
      </c>
      <c r="C7647" s="10" t="s">
        <v>52</v>
      </c>
      <c r="D7647" s="11">
        <v>52.949274594938046</v>
      </c>
      <c r="E7647" s="12">
        <f t="shared" si="119"/>
        <v>49085</v>
      </c>
    </row>
    <row r="7648" spans="1:5" x14ac:dyDescent="0.25">
      <c r="A7648" s="2">
        <f>IF(B7648="","",SUBTOTAL(3,$B$2:B7648))</f>
        <v>7647</v>
      </c>
      <c r="B7648" s="9" t="s">
        <v>51</v>
      </c>
      <c r="C7648" s="10" t="s">
        <v>52</v>
      </c>
      <c r="D7648" s="11">
        <v>52.949274594938046</v>
      </c>
      <c r="E7648" s="12">
        <f t="shared" si="119"/>
        <v>49086</v>
      </c>
    </row>
    <row r="7649" spans="1:5" x14ac:dyDescent="0.25">
      <c r="A7649" s="2">
        <f>IF(B7649="","",SUBTOTAL(3,$B$2:B7649))</f>
        <v>7648</v>
      </c>
      <c r="B7649" s="9" t="s">
        <v>51</v>
      </c>
      <c r="C7649" s="10" t="s">
        <v>52</v>
      </c>
      <c r="D7649" s="11">
        <v>52.949274594938046</v>
      </c>
      <c r="E7649" s="12">
        <f t="shared" si="119"/>
        <v>49087</v>
      </c>
    </row>
    <row r="7650" spans="1:5" x14ac:dyDescent="0.25">
      <c r="A7650" s="2">
        <f>IF(B7650="","",SUBTOTAL(3,$B$2:B7650))</f>
        <v>7649</v>
      </c>
      <c r="B7650" s="9" t="s">
        <v>48</v>
      </c>
      <c r="C7650" s="10" t="s">
        <v>49</v>
      </c>
      <c r="D7650" s="11">
        <v>46.210720887245841</v>
      </c>
      <c r="E7650" s="12">
        <f t="shared" si="119"/>
        <v>49088</v>
      </c>
    </row>
    <row r="7651" spans="1:5" x14ac:dyDescent="0.25">
      <c r="A7651" s="2">
        <f>IF(B7651="","",SUBTOTAL(3,$B$2:B7651))</f>
        <v>7650</v>
      </c>
      <c r="B7651" s="9" t="s">
        <v>51</v>
      </c>
      <c r="C7651" s="10" t="s">
        <v>52</v>
      </c>
      <c r="D7651" s="11">
        <v>52.949274594938046</v>
      </c>
      <c r="E7651" s="12">
        <f t="shared" si="119"/>
        <v>49089</v>
      </c>
    </row>
    <row r="7652" spans="1:5" x14ac:dyDescent="0.25">
      <c r="A7652" s="2">
        <f>IF(B7652="","",SUBTOTAL(3,$B$2:B7652))</f>
        <v>7651</v>
      </c>
      <c r="B7652" s="9" t="s">
        <v>50</v>
      </c>
      <c r="C7652" s="10" t="s">
        <v>52</v>
      </c>
      <c r="D7652" s="11">
        <v>110.22927689594357</v>
      </c>
      <c r="E7652" s="12">
        <f t="shared" si="119"/>
        <v>49090</v>
      </c>
    </row>
    <row r="7653" spans="1:5" x14ac:dyDescent="0.25">
      <c r="A7653" s="2">
        <f>IF(B7653="","",SUBTOTAL(3,$B$2:B7653))</f>
        <v>7652</v>
      </c>
      <c r="B7653" s="9" t="s">
        <v>48</v>
      </c>
      <c r="C7653" s="10" t="s">
        <v>52</v>
      </c>
      <c r="D7653" s="11">
        <v>23.983599999999999</v>
      </c>
      <c r="E7653" s="12">
        <f t="shared" si="119"/>
        <v>49091</v>
      </c>
    </row>
    <row r="7654" spans="1:5" x14ac:dyDescent="0.25">
      <c r="A7654" s="2">
        <f>IF(B7654="","",SUBTOTAL(3,$B$2:B7654))</f>
        <v>7653</v>
      </c>
      <c r="B7654" s="9" t="s">
        <v>51</v>
      </c>
      <c r="C7654" s="10" t="s">
        <v>52</v>
      </c>
      <c r="D7654" s="11">
        <v>52.949274594938046</v>
      </c>
      <c r="E7654" s="12">
        <f t="shared" si="119"/>
        <v>49092</v>
      </c>
    </row>
    <row r="7655" spans="1:5" x14ac:dyDescent="0.25">
      <c r="A7655" s="2">
        <f>IF(B7655="","",SUBTOTAL(3,$B$2:B7655))</f>
        <v>7654</v>
      </c>
      <c r="B7655" s="9" t="s">
        <v>48</v>
      </c>
      <c r="C7655" s="10" t="s">
        <v>52</v>
      </c>
      <c r="D7655" s="11">
        <v>81.330868761552694</v>
      </c>
      <c r="E7655" s="12">
        <f t="shared" si="119"/>
        <v>49093</v>
      </c>
    </row>
    <row r="7656" spans="1:5" x14ac:dyDescent="0.25">
      <c r="A7656" s="2">
        <f>IF(B7656="","",SUBTOTAL(3,$B$2:B7656))</f>
        <v>7655</v>
      </c>
      <c r="B7656" s="9" t="s">
        <v>48</v>
      </c>
      <c r="C7656" s="10" t="s">
        <v>52</v>
      </c>
      <c r="D7656" s="11">
        <v>91.497227356746762</v>
      </c>
      <c r="E7656" s="12">
        <f t="shared" si="119"/>
        <v>49094</v>
      </c>
    </row>
    <row r="7657" spans="1:5" x14ac:dyDescent="0.25">
      <c r="A7657" s="2">
        <f>IF(B7657="","",SUBTOTAL(3,$B$2:B7657))</f>
        <v>7656</v>
      </c>
      <c r="B7657" s="9" t="s">
        <v>48</v>
      </c>
      <c r="C7657" s="10" t="s">
        <v>49</v>
      </c>
      <c r="D7657" s="11">
        <v>616.14294516327789</v>
      </c>
      <c r="E7657" s="12">
        <f t="shared" si="119"/>
        <v>49095</v>
      </c>
    </row>
    <row r="7658" spans="1:5" x14ac:dyDescent="0.25">
      <c r="A7658" s="2">
        <f>IF(B7658="","",SUBTOTAL(3,$B$2:B7658))</f>
        <v>7657</v>
      </c>
      <c r="B7658" s="9" t="s">
        <v>48</v>
      </c>
      <c r="C7658" s="10" t="s">
        <v>49</v>
      </c>
      <c r="D7658" s="11">
        <v>1540.3573629081948</v>
      </c>
      <c r="E7658" s="12">
        <f t="shared" si="119"/>
        <v>49096</v>
      </c>
    </row>
    <row r="7659" spans="1:5" x14ac:dyDescent="0.25">
      <c r="A7659" s="2">
        <f>IF(B7659="","",SUBTOTAL(3,$B$2:B7659))</f>
        <v>7658</v>
      </c>
      <c r="B7659" s="9" t="s">
        <v>53</v>
      </c>
      <c r="C7659" s="10" t="s">
        <v>49</v>
      </c>
      <c r="D7659" s="11">
        <v>91.585994669695125</v>
      </c>
      <c r="E7659" s="12">
        <f t="shared" si="119"/>
        <v>49097</v>
      </c>
    </row>
    <row r="7660" spans="1:5" x14ac:dyDescent="0.25">
      <c r="A7660" s="2">
        <f>IF(B7660="","",SUBTOTAL(3,$B$2:B7660))</f>
        <v>7659</v>
      </c>
      <c r="B7660" s="9" t="s">
        <v>55</v>
      </c>
      <c r="C7660" s="10" t="s">
        <v>49</v>
      </c>
      <c r="D7660" s="11">
        <v>20.106240834283852</v>
      </c>
      <c r="E7660" s="12">
        <f t="shared" si="119"/>
        <v>49098</v>
      </c>
    </row>
    <row r="7661" spans="1:5" x14ac:dyDescent="0.25">
      <c r="A7661" s="2">
        <f>IF(B7661="","",SUBTOTAL(3,$B$2:B7661))</f>
        <v>7660</v>
      </c>
      <c r="B7661" s="9" t="s">
        <v>48</v>
      </c>
      <c r="C7661" s="10" t="s">
        <v>49</v>
      </c>
      <c r="D7661" s="11">
        <v>770.17868145409739</v>
      </c>
      <c r="E7661" s="12">
        <f t="shared" si="119"/>
        <v>49099</v>
      </c>
    </row>
    <row r="7662" spans="1:5" x14ac:dyDescent="0.25">
      <c r="A7662" s="2">
        <f>IF(B7662="","",SUBTOTAL(3,$B$2:B7662))</f>
        <v>7661</v>
      </c>
      <c r="B7662" s="9" t="s">
        <v>55</v>
      </c>
      <c r="C7662" s="10" t="s">
        <v>49</v>
      </c>
      <c r="D7662" s="11">
        <v>130.35685188202706</v>
      </c>
      <c r="E7662" s="12">
        <f t="shared" si="119"/>
        <v>49100</v>
      </c>
    </row>
    <row r="7663" spans="1:5" x14ac:dyDescent="0.25">
      <c r="A7663" s="2">
        <f>IF(B7663="","",SUBTOTAL(3,$B$2:B7663))</f>
        <v>7662</v>
      </c>
      <c r="B7663" s="9" t="s">
        <v>53</v>
      </c>
      <c r="C7663" s="10" t="s">
        <v>49</v>
      </c>
      <c r="D7663" s="11">
        <v>30.223378240999391</v>
      </c>
      <c r="E7663" s="12">
        <f t="shared" si="119"/>
        <v>49101</v>
      </c>
    </row>
    <row r="7664" spans="1:5" x14ac:dyDescent="0.25">
      <c r="A7664" s="2">
        <f>IF(B7664="","",SUBTOTAL(3,$B$2:B7664))</f>
        <v>7663</v>
      </c>
      <c r="B7664" s="9" t="s">
        <v>48</v>
      </c>
      <c r="C7664" s="10" t="s">
        <v>52</v>
      </c>
      <c r="D7664" s="11">
        <v>462.10720887245844</v>
      </c>
      <c r="E7664" s="12">
        <f t="shared" si="119"/>
        <v>49102</v>
      </c>
    </row>
    <row r="7665" spans="1:5" x14ac:dyDescent="0.25">
      <c r="A7665" s="2">
        <f>IF(B7665="","",SUBTOTAL(3,$B$2:B7665))</f>
        <v>7664</v>
      </c>
      <c r="B7665" s="9" t="s">
        <v>48</v>
      </c>
      <c r="C7665" s="10" t="s">
        <v>52</v>
      </c>
      <c r="D7665" s="11">
        <v>400.49291435613065</v>
      </c>
      <c r="E7665" s="12">
        <f t="shared" si="119"/>
        <v>49103</v>
      </c>
    </row>
    <row r="7666" spans="1:5" x14ac:dyDescent="0.25">
      <c r="A7666" s="2">
        <f>IF(B7666="","",SUBTOTAL(3,$B$2:B7666))</f>
        <v>7665</v>
      </c>
      <c r="B7666" s="9" t="s">
        <v>48</v>
      </c>
      <c r="C7666" s="10" t="s">
        <v>49</v>
      </c>
      <c r="D7666" s="11">
        <v>117.20096518441916</v>
      </c>
      <c r="E7666" s="12">
        <f t="shared" si="119"/>
        <v>49104</v>
      </c>
    </row>
    <row r="7667" spans="1:5" x14ac:dyDescent="0.25">
      <c r="A7667" s="2">
        <f>IF(B7667="","",SUBTOTAL(3,$B$2:B7667))</f>
        <v>7666</v>
      </c>
      <c r="B7667" s="9" t="s">
        <v>48</v>
      </c>
      <c r="C7667" s="10" t="s">
        <v>52</v>
      </c>
      <c r="D7667" s="11">
        <v>308.07147258163894</v>
      </c>
      <c r="E7667" s="12">
        <f t="shared" si="119"/>
        <v>49105</v>
      </c>
    </row>
    <row r="7668" spans="1:5" x14ac:dyDescent="0.25">
      <c r="A7668" s="2">
        <f>IF(B7668="","",SUBTOTAL(3,$B$2:B7668))</f>
        <v>7667</v>
      </c>
      <c r="B7668" s="9" t="s">
        <v>48</v>
      </c>
      <c r="C7668" s="10" t="s">
        <v>49</v>
      </c>
      <c r="D7668" s="11">
        <v>154.03573629081947</v>
      </c>
      <c r="E7668" s="12">
        <f t="shared" si="119"/>
        <v>49106</v>
      </c>
    </row>
    <row r="7669" spans="1:5" x14ac:dyDescent="0.25">
      <c r="A7669" s="2">
        <f>IF(B7669="","",SUBTOTAL(3,$B$2:B7669))</f>
        <v>7668</v>
      </c>
      <c r="B7669" s="9" t="s">
        <v>55</v>
      </c>
      <c r="C7669" s="10" t="s">
        <v>49</v>
      </c>
      <c r="D7669" s="11">
        <v>12.06354896529249</v>
      </c>
      <c r="E7669" s="12">
        <f t="shared" si="119"/>
        <v>49107</v>
      </c>
    </row>
    <row r="7670" spans="1:5" x14ac:dyDescent="0.25">
      <c r="A7670" s="2">
        <f>IF(B7670="","",SUBTOTAL(3,$B$2:B7670))</f>
        <v>7669</v>
      </c>
      <c r="B7670" s="9" t="s">
        <v>55</v>
      </c>
      <c r="C7670" s="10" t="s">
        <v>52</v>
      </c>
      <c r="D7670" s="11">
        <v>280.85379553843683</v>
      </c>
      <c r="E7670" s="12">
        <f t="shared" si="119"/>
        <v>49108</v>
      </c>
    </row>
    <row r="7671" spans="1:5" x14ac:dyDescent="0.25">
      <c r="A7671" s="2">
        <f>IF(B7671="","",SUBTOTAL(3,$B$2:B7671))</f>
        <v>7670</v>
      </c>
      <c r="B7671" s="9" t="s">
        <v>50</v>
      </c>
      <c r="C7671" s="10" t="s">
        <v>49</v>
      </c>
      <c r="D7671" s="11">
        <v>77.160493827160494</v>
      </c>
      <c r="E7671" s="12">
        <f t="shared" si="119"/>
        <v>49109</v>
      </c>
    </row>
    <row r="7672" spans="1:5" x14ac:dyDescent="0.25">
      <c r="A7672" s="2">
        <f>IF(B7672="","",SUBTOTAL(3,$B$2:B7672))</f>
        <v>7671</v>
      </c>
      <c r="B7672" s="9" t="s">
        <v>55</v>
      </c>
      <c r="C7672" s="10" t="s">
        <v>49</v>
      </c>
      <c r="D7672" s="11">
        <v>375.33881563835166</v>
      </c>
      <c r="E7672" s="12">
        <f t="shared" si="119"/>
        <v>49110</v>
      </c>
    </row>
    <row r="7673" spans="1:5" x14ac:dyDescent="0.25">
      <c r="A7673" s="2">
        <f>IF(B7673="","",SUBTOTAL(3,$B$2:B7673))</f>
        <v>7672</v>
      </c>
      <c r="B7673" s="9" t="s">
        <v>53</v>
      </c>
      <c r="C7673" s="10" t="s">
        <v>49</v>
      </c>
      <c r="D7673" s="11">
        <v>64.110196268786581</v>
      </c>
      <c r="E7673" s="12">
        <f t="shared" si="119"/>
        <v>49111</v>
      </c>
    </row>
    <row r="7674" spans="1:5" x14ac:dyDescent="0.25">
      <c r="A7674" s="2">
        <f>IF(B7674="","",SUBTOTAL(3,$B$2:B7674))</f>
        <v>7673</v>
      </c>
      <c r="B7674" s="9" t="s">
        <v>48</v>
      </c>
      <c r="C7674" s="10" t="s">
        <v>52</v>
      </c>
      <c r="D7674" s="11">
        <v>154.03573629081947</v>
      </c>
      <c r="E7674" s="12">
        <f t="shared" si="119"/>
        <v>49112</v>
      </c>
    </row>
    <row r="7675" spans="1:5" x14ac:dyDescent="0.25">
      <c r="A7675" s="2">
        <f>IF(B7675="","",SUBTOTAL(3,$B$2:B7675))</f>
        <v>7674</v>
      </c>
      <c r="B7675" s="9" t="s">
        <v>53</v>
      </c>
      <c r="C7675" s="10" t="s">
        <v>49</v>
      </c>
      <c r="D7675" s="11">
        <v>64.110196268786581</v>
      </c>
      <c r="E7675" s="12">
        <f t="shared" si="119"/>
        <v>49113</v>
      </c>
    </row>
    <row r="7676" spans="1:5" x14ac:dyDescent="0.25">
      <c r="A7676" s="2">
        <f>IF(B7676="","",SUBTOTAL(3,$B$2:B7676))</f>
        <v>7675</v>
      </c>
      <c r="B7676" s="9" t="s">
        <v>48</v>
      </c>
      <c r="C7676" s="10" t="s">
        <v>52</v>
      </c>
      <c r="D7676" s="11">
        <v>154.03573629081947</v>
      </c>
      <c r="E7676" s="12">
        <f t="shared" si="119"/>
        <v>49114</v>
      </c>
    </row>
    <row r="7677" spans="1:5" x14ac:dyDescent="0.25">
      <c r="A7677" s="2">
        <f>IF(B7677="","",SUBTOTAL(3,$B$2:B7677))</f>
        <v>7676</v>
      </c>
      <c r="B7677" s="9" t="s">
        <v>48</v>
      </c>
      <c r="C7677" s="10" t="s">
        <v>49</v>
      </c>
      <c r="D7677" s="11">
        <v>385.44062287204662</v>
      </c>
      <c r="E7677" s="12">
        <f t="shared" si="119"/>
        <v>49115</v>
      </c>
    </row>
    <row r="7678" spans="1:5" x14ac:dyDescent="0.25">
      <c r="A7678" s="2">
        <f>IF(B7678="","",SUBTOTAL(3,$B$2:B7678))</f>
        <v>7677</v>
      </c>
      <c r="B7678" s="9" t="s">
        <v>48</v>
      </c>
      <c r="C7678" s="10" t="s">
        <v>54</v>
      </c>
      <c r="D7678" s="11">
        <v>142.94200000000001</v>
      </c>
      <c r="E7678" s="12">
        <f t="shared" si="119"/>
        <v>49116</v>
      </c>
    </row>
    <row r="7679" spans="1:5" x14ac:dyDescent="0.25">
      <c r="A7679" s="2">
        <f>IF(B7679="","",SUBTOTAL(3,$B$2:B7679))</f>
        <v>7678</v>
      </c>
      <c r="B7679" s="9" t="s">
        <v>48</v>
      </c>
      <c r="C7679" s="10" t="s">
        <v>54</v>
      </c>
      <c r="D7679" s="11">
        <v>142.94200000000001</v>
      </c>
      <c r="E7679" s="12">
        <f t="shared" si="119"/>
        <v>49117</v>
      </c>
    </row>
    <row r="7680" spans="1:5" x14ac:dyDescent="0.25">
      <c r="A7680" s="2">
        <f>IF(B7680="","",SUBTOTAL(3,$B$2:B7680))</f>
        <v>7679</v>
      </c>
      <c r="B7680" s="9" t="s">
        <v>48</v>
      </c>
      <c r="C7680" s="10" t="s">
        <v>49</v>
      </c>
      <c r="D7680" s="11">
        <v>61.614294516327789</v>
      </c>
      <c r="E7680" s="12">
        <f t="shared" si="119"/>
        <v>49118</v>
      </c>
    </row>
    <row r="7681" spans="1:5" x14ac:dyDescent="0.25">
      <c r="A7681" s="2">
        <f>IF(B7681="","",SUBTOTAL(3,$B$2:B7681))</f>
        <v>7680</v>
      </c>
      <c r="B7681" s="9" t="s">
        <v>48</v>
      </c>
      <c r="C7681" s="10" t="s">
        <v>52</v>
      </c>
      <c r="D7681" s="11">
        <v>77.017868145409736</v>
      </c>
      <c r="E7681" s="12">
        <f t="shared" si="119"/>
        <v>49119</v>
      </c>
    </row>
    <row r="7682" spans="1:5" x14ac:dyDescent="0.25">
      <c r="A7682" s="2">
        <f>IF(B7682="","",SUBTOTAL(3,$B$2:B7682))</f>
        <v>7681</v>
      </c>
      <c r="B7682" s="9" t="s">
        <v>48</v>
      </c>
      <c r="C7682" s="10" t="s">
        <v>49</v>
      </c>
      <c r="D7682" s="11">
        <v>34.470872113064452</v>
      </c>
      <c r="E7682" s="12">
        <f t="shared" si="119"/>
        <v>49120</v>
      </c>
    </row>
    <row r="7683" spans="1:5" x14ac:dyDescent="0.25">
      <c r="A7683" s="2">
        <f>IF(B7683="","",SUBTOTAL(3,$B$2:B7683))</f>
        <v>7682</v>
      </c>
      <c r="B7683" s="9" t="s">
        <v>48</v>
      </c>
      <c r="C7683" s="10" t="s">
        <v>49</v>
      </c>
      <c r="D7683" s="11">
        <v>1232.2858903265558</v>
      </c>
      <c r="E7683" s="12">
        <f t="shared" si="119"/>
        <v>49121</v>
      </c>
    </row>
    <row r="7684" spans="1:5" x14ac:dyDescent="0.25">
      <c r="A7684" s="2">
        <f>IF(B7684="","",SUBTOTAL(3,$B$2:B7684))</f>
        <v>7683</v>
      </c>
      <c r="B7684" s="9" t="s">
        <v>53</v>
      </c>
      <c r="C7684" s="10" t="s">
        <v>49</v>
      </c>
      <c r="D7684" s="11">
        <v>549.51596801817072</v>
      </c>
      <c r="E7684" s="12">
        <f t="shared" ref="E7684:E7747" si="120">E7683+1</f>
        <v>49122</v>
      </c>
    </row>
    <row r="7685" spans="1:5" x14ac:dyDescent="0.25">
      <c r="A7685" s="2">
        <f>IF(B7685="","",SUBTOTAL(3,$B$2:B7685))</f>
        <v>7684</v>
      </c>
      <c r="B7685" s="9" t="s">
        <v>50</v>
      </c>
      <c r="C7685" s="10" t="s">
        <v>49</v>
      </c>
      <c r="D7685" s="11">
        <v>66.137566137566139</v>
      </c>
      <c r="E7685" s="12">
        <f t="shared" si="120"/>
        <v>49123</v>
      </c>
    </row>
    <row r="7686" spans="1:5" x14ac:dyDescent="0.25">
      <c r="A7686" s="2">
        <f>IF(B7686="","",SUBTOTAL(3,$B$2:B7686))</f>
        <v>7685</v>
      </c>
      <c r="B7686" s="9" t="s">
        <v>48</v>
      </c>
      <c r="C7686" s="10" t="s">
        <v>49</v>
      </c>
      <c r="D7686" s="11">
        <v>81.006549465701482</v>
      </c>
      <c r="E7686" s="12">
        <f t="shared" si="120"/>
        <v>49124</v>
      </c>
    </row>
    <row r="7687" spans="1:5" x14ac:dyDescent="0.25">
      <c r="A7687" s="2">
        <f>IF(B7687="","",SUBTOTAL(3,$B$2:B7687))</f>
        <v>7686</v>
      </c>
      <c r="B7687" s="9" t="s">
        <v>50</v>
      </c>
      <c r="C7687" s="10" t="s">
        <v>49</v>
      </c>
      <c r="D7687" s="11">
        <v>13.227513227513228</v>
      </c>
      <c r="E7687" s="12">
        <f t="shared" si="120"/>
        <v>49125</v>
      </c>
    </row>
    <row r="7688" spans="1:5" x14ac:dyDescent="0.25">
      <c r="A7688" s="2">
        <f>IF(B7688="","",SUBTOTAL(3,$B$2:B7688))</f>
        <v>7687</v>
      </c>
      <c r="B7688" s="9" t="s">
        <v>50</v>
      </c>
      <c r="C7688" s="10" t="s">
        <v>49</v>
      </c>
      <c r="D7688" s="11">
        <v>88.183421516754848</v>
      </c>
      <c r="E7688" s="12">
        <f t="shared" si="120"/>
        <v>49126</v>
      </c>
    </row>
    <row r="7689" spans="1:5" x14ac:dyDescent="0.25">
      <c r="A7689" s="2">
        <f>IF(B7689="","",SUBTOTAL(3,$B$2:B7689))</f>
        <v>7688</v>
      </c>
      <c r="B7689" s="9" t="s">
        <v>48</v>
      </c>
      <c r="C7689" s="10" t="s">
        <v>52</v>
      </c>
      <c r="D7689" s="11">
        <v>3.8508934072704868</v>
      </c>
      <c r="E7689" s="12">
        <f t="shared" si="120"/>
        <v>49127</v>
      </c>
    </row>
    <row r="7690" spans="1:5" x14ac:dyDescent="0.25">
      <c r="A7690" s="2">
        <f>IF(B7690="","",SUBTOTAL(3,$B$2:B7690))</f>
        <v>7689</v>
      </c>
      <c r="B7690" s="9" t="s">
        <v>48</v>
      </c>
      <c r="C7690" s="10" t="s">
        <v>49</v>
      </c>
      <c r="D7690" s="11">
        <v>31.023784901758013</v>
      </c>
      <c r="E7690" s="12">
        <f t="shared" si="120"/>
        <v>49128</v>
      </c>
    </row>
    <row r="7691" spans="1:5" x14ac:dyDescent="0.25">
      <c r="A7691" s="2">
        <f>IF(B7691="","",SUBTOTAL(3,$B$2:B7691))</f>
        <v>7690</v>
      </c>
      <c r="B7691" s="9" t="s">
        <v>48</v>
      </c>
      <c r="C7691" s="10" t="s">
        <v>49</v>
      </c>
      <c r="D7691" s="11">
        <v>2.7576697690451564</v>
      </c>
      <c r="E7691" s="12">
        <f t="shared" si="120"/>
        <v>49129</v>
      </c>
    </row>
    <row r="7692" spans="1:5" x14ac:dyDescent="0.25">
      <c r="A7692" s="2">
        <f>IF(B7692="","",SUBTOTAL(3,$B$2:B7692))</f>
        <v>7691</v>
      </c>
      <c r="B7692" s="9" t="s">
        <v>48</v>
      </c>
      <c r="C7692" s="10" t="s">
        <v>49</v>
      </c>
      <c r="D7692" s="11">
        <v>137.88348845225781</v>
      </c>
      <c r="E7692" s="12">
        <f t="shared" si="120"/>
        <v>49130</v>
      </c>
    </row>
    <row r="7693" spans="1:5" x14ac:dyDescent="0.25">
      <c r="A7693" s="2">
        <f>IF(B7693="","",SUBTOTAL(3,$B$2:B7693))</f>
        <v>7692</v>
      </c>
      <c r="B7693" s="9" t="s">
        <v>48</v>
      </c>
      <c r="C7693" s="10" t="s">
        <v>49</v>
      </c>
      <c r="D7693" s="11">
        <v>354.28219346888477</v>
      </c>
      <c r="E7693" s="12">
        <f t="shared" si="120"/>
        <v>49131</v>
      </c>
    </row>
    <row r="7694" spans="1:5" x14ac:dyDescent="0.25">
      <c r="A7694" s="2">
        <f>IF(B7694="","",SUBTOTAL(3,$B$2:B7694))</f>
        <v>7693</v>
      </c>
      <c r="B7694" s="9" t="s">
        <v>50</v>
      </c>
      <c r="C7694" s="10" t="s">
        <v>49</v>
      </c>
      <c r="D7694" s="11">
        <v>1102.2927689594355</v>
      </c>
      <c r="E7694" s="12">
        <f t="shared" si="120"/>
        <v>49132</v>
      </c>
    </row>
    <row r="7695" spans="1:5" x14ac:dyDescent="0.25">
      <c r="A7695" s="2">
        <f>IF(B7695="","",SUBTOTAL(3,$B$2:B7695))</f>
        <v>7694</v>
      </c>
      <c r="B7695" s="9" t="s">
        <v>48</v>
      </c>
      <c r="C7695" s="10" t="s">
        <v>49</v>
      </c>
      <c r="D7695" s="11">
        <v>46.210720887245841</v>
      </c>
      <c r="E7695" s="12">
        <f t="shared" si="120"/>
        <v>49133</v>
      </c>
    </row>
    <row r="7696" spans="1:5" x14ac:dyDescent="0.25">
      <c r="A7696" s="2">
        <f>IF(B7696="","",SUBTOTAL(3,$B$2:B7696))</f>
        <v>7695</v>
      </c>
      <c r="B7696" s="9" t="s">
        <v>55</v>
      </c>
      <c r="C7696" s="10" t="s">
        <v>49</v>
      </c>
      <c r="D7696" s="11">
        <v>76.258758350985829</v>
      </c>
      <c r="E7696" s="12">
        <f t="shared" si="120"/>
        <v>49134</v>
      </c>
    </row>
    <row r="7697" spans="1:5" x14ac:dyDescent="0.25">
      <c r="A7697" s="2">
        <f>IF(B7697="","",SUBTOTAL(3,$B$2:B7697))</f>
        <v>7696</v>
      </c>
      <c r="B7697" s="9" t="s">
        <v>48</v>
      </c>
      <c r="C7697" s="10" t="s">
        <v>52</v>
      </c>
      <c r="D7697" s="11">
        <v>231.05360443622922</v>
      </c>
      <c r="E7697" s="12">
        <f t="shared" si="120"/>
        <v>49135</v>
      </c>
    </row>
    <row r="7698" spans="1:5" x14ac:dyDescent="0.25">
      <c r="A7698" s="2">
        <f>IF(B7698="","",SUBTOTAL(3,$B$2:B7698))</f>
        <v>7697</v>
      </c>
      <c r="B7698" s="9" t="s">
        <v>48</v>
      </c>
      <c r="C7698" s="10" t="s">
        <v>52</v>
      </c>
      <c r="D7698" s="11">
        <v>184.84288354898337</v>
      </c>
      <c r="E7698" s="12">
        <f t="shared" si="120"/>
        <v>49136</v>
      </c>
    </row>
    <row r="7699" spans="1:5" x14ac:dyDescent="0.25">
      <c r="A7699" s="2">
        <f>IF(B7699="","",SUBTOTAL(3,$B$2:B7699))</f>
        <v>7698</v>
      </c>
      <c r="B7699" s="9" t="s">
        <v>51</v>
      </c>
      <c r="C7699" s="10" t="s">
        <v>49</v>
      </c>
      <c r="D7699" s="11">
        <v>84.718839351900883</v>
      </c>
      <c r="E7699" s="12">
        <f t="shared" si="120"/>
        <v>49137</v>
      </c>
    </row>
    <row r="7700" spans="1:5" x14ac:dyDescent="0.25">
      <c r="A7700" s="2">
        <f>IF(B7700="","",SUBTOTAL(3,$B$2:B7700))</f>
        <v>7699</v>
      </c>
      <c r="B7700" s="9" t="s">
        <v>48</v>
      </c>
      <c r="C7700" s="10" t="s">
        <v>49</v>
      </c>
      <c r="D7700" s="11">
        <v>92.421441774491683</v>
      </c>
      <c r="E7700" s="12">
        <f t="shared" si="120"/>
        <v>49138</v>
      </c>
    </row>
    <row r="7701" spans="1:5" x14ac:dyDescent="0.25">
      <c r="A7701" s="2">
        <f>IF(B7701="","",SUBTOTAL(3,$B$2:B7701))</f>
        <v>7700</v>
      </c>
      <c r="B7701" s="9" t="s">
        <v>48</v>
      </c>
      <c r="C7701" s="10" t="s">
        <v>49</v>
      </c>
      <c r="D7701" s="11">
        <v>123.22858903265558</v>
      </c>
      <c r="E7701" s="12">
        <f t="shared" si="120"/>
        <v>49139</v>
      </c>
    </row>
    <row r="7702" spans="1:5" x14ac:dyDescent="0.25">
      <c r="A7702" s="2">
        <f>IF(B7702="","",SUBTOTAL(3,$B$2:B7702))</f>
        <v>7701</v>
      </c>
      <c r="B7702" s="9" t="s">
        <v>48</v>
      </c>
      <c r="C7702" s="10" t="s">
        <v>49</v>
      </c>
      <c r="D7702" s="11">
        <v>1.7580144777662874</v>
      </c>
      <c r="E7702" s="12">
        <f t="shared" si="120"/>
        <v>49140</v>
      </c>
    </row>
    <row r="7703" spans="1:5" x14ac:dyDescent="0.25">
      <c r="A7703" s="2">
        <f>IF(B7703="","",SUBTOTAL(3,$B$2:B7703))</f>
        <v>7702</v>
      </c>
      <c r="B7703" s="9" t="s">
        <v>48</v>
      </c>
      <c r="C7703" s="10" t="s">
        <v>49</v>
      </c>
      <c r="D7703" s="11">
        <v>69.316081330868769</v>
      </c>
      <c r="E7703" s="12">
        <f t="shared" si="120"/>
        <v>49141</v>
      </c>
    </row>
    <row r="7704" spans="1:5" x14ac:dyDescent="0.25">
      <c r="A7704" s="2">
        <f>IF(B7704="","",SUBTOTAL(3,$B$2:B7704))</f>
        <v>7703</v>
      </c>
      <c r="B7704" s="9" t="s">
        <v>48</v>
      </c>
      <c r="C7704" s="10" t="s">
        <v>56</v>
      </c>
      <c r="D7704" s="11">
        <v>13.788348845225784</v>
      </c>
      <c r="E7704" s="12">
        <f t="shared" si="120"/>
        <v>49142</v>
      </c>
    </row>
    <row r="7705" spans="1:5" x14ac:dyDescent="0.25">
      <c r="A7705" s="2">
        <f>IF(B7705="","",SUBTOTAL(3,$B$2:B7705))</f>
        <v>7704</v>
      </c>
      <c r="B7705" s="9" t="s">
        <v>55</v>
      </c>
      <c r="C7705" s="10" t="s">
        <v>52</v>
      </c>
      <c r="D7705" s="11">
        <v>25</v>
      </c>
      <c r="E7705" s="12">
        <f t="shared" si="120"/>
        <v>49143</v>
      </c>
    </row>
    <row r="7706" spans="1:5" x14ac:dyDescent="0.25">
      <c r="A7706" s="2">
        <f>IF(B7706="","",SUBTOTAL(3,$B$2:B7706))</f>
        <v>7705</v>
      </c>
      <c r="B7706" s="9" t="s">
        <v>48</v>
      </c>
      <c r="C7706" s="10" t="s">
        <v>52</v>
      </c>
      <c r="D7706" s="11">
        <v>123.22858903265558</v>
      </c>
      <c r="E7706" s="12">
        <f t="shared" si="120"/>
        <v>49144</v>
      </c>
    </row>
    <row r="7707" spans="1:5" x14ac:dyDescent="0.25">
      <c r="A7707" s="2">
        <f>IF(B7707="","",SUBTOTAL(3,$B$2:B7707))</f>
        <v>7706</v>
      </c>
      <c r="B7707" s="9" t="s">
        <v>50</v>
      </c>
      <c r="C7707" s="10" t="s">
        <v>54</v>
      </c>
      <c r="D7707" s="11">
        <v>440.91710758377428</v>
      </c>
      <c r="E7707" s="12">
        <f t="shared" si="120"/>
        <v>49145</v>
      </c>
    </row>
    <row r="7708" spans="1:5" x14ac:dyDescent="0.25">
      <c r="A7708" s="2">
        <f>IF(B7708="","",SUBTOTAL(3,$B$2:B7708))</f>
        <v>7707</v>
      </c>
      <c r="B7708" s="9" t="s">
        <v>55</v>
      </c>
      <c r="C7708" s="10" t="s">
        <v>49</v>
      </c>
      <c r="D7708" s="11">
        <v>433.43653250773997</v>
      </c>
      <c r="E7708" s="12">
        <f t="shared" si="120"/>
        <v>49146</v>
      </c>
    </row>
    <row r="7709" spans="1:5" x14ac:dyDescent="0.25">
      <c r="A7709" s="2">
        <f>IF(B7709="","",SUBTOTAL(3,$B$2:B7709))</f>
        <v>7708</v>
      </c>
      <c r="B7709" s="9" t="s">
        <v>48</v>
      </c>
      <c r="C7709" s="10" t="s">
        <v>52</v>
      </c>
      <c r="D7709" s="11">
        <v>77.017868145409736</v>
      </c>
      <c r="E7709" s="12">
        <f t="shared" si="120"/>
        <v>49147</v>
      </c>
    </row>
    <row r="7710" spans="1:5" x14ac:dyDescent="0.25">
      <c r="A7710" s="2">
        <f>IF(B7710="","",SUBTOTAL(3,$B$2:B7710))</f>
        <v>7709</v>
      </c>
      <c r="B7710" s="9" t="s">
        <v>51</v>
      </c>
      <c r="C7710" s="10" t="s">
        <v>52</v>
      </c>
      <c r="D7710" s="11">
        <v>12.707825902785132</v>
      </c>
      <c r="E7710" s="12">
        <f t="shared" si="120"/>
        <v>49148</v>
      </c>
    </row>
    <row r="7711" spans="1:5" x14ac:dyDescent="0.25">
      <c r="A7711" s="2">
        <f>IF(B7711="","",SUBTOTAL(3,$B$2:B7711))</f>
        <v>7710</v>
      </c>
      <c r="B7711" s="9" t="s">
        <v>55</v>
      </c>
      <c r="C7711" s="10" t="s">
        <v>49</v>
      </c>
      <c r="D7711" s="11">
        <v>308.21426930674875</v>
      </c>
      <c r="E7711" s="12">
        <f t="shared" si="120"/>
        <v>49149</v>
      </c>
    </row>
    <row r="7712" spans="1:5" x14ac:dyDescent="0.25">
      <c r="A7712" s="2">
        <f>IF(B7712="","",SUBTOTAL(3,$B$2:B7712))</f>
        <v>7711</v>
      </c>
      <c r="B7712" s="9" t="s">
        <v>53</v>
      </c>
      <c r="C7712" s="10" t="s">
        <v>49</v>
      </c>
      <c r="D7712" s="11">
        <v>183.17198933939025</v>
      </c>
      <c r="E7712" s="12">
        <f t="shared" si="120"/>
        <v>49150</v>
      </c>
    </row>
    <row r="7713" spans="1:5" x14ac:dyDescent="0.25">
      <c r="A7713" s="2">
        <f>IF(B7713="","",SUBTOTAL(3,$B$2:B7713))</f>
        <v>7712</v>
      </c>
      <c r="B7713" s="9" t="s">
        <v>53</v>
      </c>
      <c r="C7713" s="10" t="s">
        <v>52</v>
      </c>
      <c r="D7713" s="11">
        <v>183.17198933939025</v>
      </c>
      <c r="E7713" s="12">
        <f t="shared" si="120"/>
        <v>49151</v>
      </c>
    </row>
    <row r="7714" spans="1:5" x14ac:dyDescent="0.25">
      <c r="A7714" s="2">
        <f>IF(B7714="","",SUBTOTAL(3,$B$2:B7714))</f>
        <v>7713</v>
      </c>
      <c r="B7714" s="9" t="s">
        <v>55</v>
      </c>
      <c r="C7714" s="10" t="s">
        <v>52</v>
      </c>
      <c r="D7714" s="11">
        <v>150</v>
      </c>
      <c r="E7714" s="12">
        <f t="shared" si="120"/>
        <v>49152</v>
      </c>
    </row>
    <row r="7715" spans="1:5" x14ac:dyDescent="0.25">
      <c r="A7715" s="2">
        <f>IF(B7715="","",SUBTOTAL(3,$B$2:B7715))</f>
        <v>7714</v>
      </c>
      <c r="B7715" s="9" t="s">
        <v>48</v>
      </c>
      <c r="C7715" s="10" t="s">
        <v>49</v>
      </c>
      <c r="D7715" s="11">
        <v>14.425340151349685</v>
      </c>
      <c r="E7715" s="12">
        <f t="shared" si="120"/>
        <v>49153</v>
      </c>
    </row>
    <row r="7716" spans="1:5" x14ac:dyDescent="0.25">
      <c r="A7716" s="2">
        <f>IF(B7716="","",SUBTOTAL(3,$B$2:B7716))</f>
        <v>7715</v>
      </c>
      <c r="B7716" s="9" t="s">
        <v>48</v>
      </c>
      <c r="C7716" s="10" t="s">
        <v>49</v>
      </c>
      <c r="D7716" s="11">
        <v>184.84288354898337</v>
      </c>
      <c r="E7716" s="12">
        <f t="shared" si="120"/>
        <v>49154</v>
      </c>
    </row>
    <row r="7717" spans="1:5" x14ac:dyDescent="0.25">
      <c r="A7717" s="2">
        <f>IF(B7717="","",SUBTOTAL(3,$B$2:B7717))</f>
        <v>7716</v>
      </c>
      <c r="B7717" s="9" t="s">
        <v>51</v>
      </c>
      <c r="C7717" s="10" t="s">
        <v>52</v>
      </c>
      <c r="D7717" s="11">
        <v>79.423911892407062</v>
      </c>
      <c r="E7717" s="12">
        <f t="shared" si="120"/>
        <v>49155</v>
      </c>
    </row>
    <row r="7718" spans="1:5" x14ac:dyDescent="0.25">
      <c r="A7718" s="2">
        <f>IF(B7718="","",SUBTOTAL(3,$B$2:B7718))</f>
        <v>7717</v>
      </c>
      <c r="B7718" s="9" t="s">
        <v>48</v>
      </c>
      <c r="C7718" s="10" t="s">
        <v>54</v>
      </c>
      <c r="D7718" s="11">
        <v>15.403573629081947</v>
      </c>
      <c r="E7718" s="12">
        <f t="shared" si="120"/>
        <v>49156</v>
      </c>
    </row>
    <row r="7719" spans="1:5" x14ac:dyDescent="0.25">
      <c r="A7719" s="2">
        <f>IF(B7719="","",SUBTOTAL(3,$B$2:B7719))</f>
        <v>7718</v>
      </c>
      <c r="B7719" s="9" t="s">
        <v>48</v>
      </c>
      <c r="C7719" s="10" t="s">
        <v>54</v>
      </c>
      <c r="D7719" s="11">
        <v>7.7017868145409736</v>
      </c>
      <c r="E7719" s="12">
        <f t="shared" si="120"/>
        <v>49157</v>
      </c>
    </row>
    <row r="7720" spans="1:5" x14ac:dyDescent="0.25">
      <c r="A7720" s="2">
        <f>IF(B7720="","",SUBTOTAL(3,$B$2:B7720))</f>
        <v>7719</v>
      </c>
      <c r="B7720" s="9" t="s">
        <v>48</v>
      </c>
      <c r="C7720" s="10" t="s">
        <v>54</v>
      </c>
      <c r="D7720" s="11">
        <v>7.7017868145409736</v>
      </c>
      <c r="E7720" s="12">
        <f t="shared" si="120"/>
        <v>49158</v>
      </c>
    </row>
    <row r="7721" spans="1:5" x14ac:dyDescent="0.25">
      <c r="A7721" s="2">
        <f>IF(B7721="","",SUBTOTAL(3,$B$2:B7721))</f>
        <v>7720</v>
      </c>
      <c r="B7721" s="9" t="s">
        <v>48</v>
      </c>
      <c r="C7721" s="10" t="s">
        <v>54</v>
      </c>
      <c r="D7721" s="11">
        <v>7.7017868145409736</v>
      </c>
      <c r="E7721" s="12">
        <f t="shared" si="120"/>
        <v>49159</v>
      </c>
    </row>
    <row r="7722" spans="1:5" x14ac:dyDescent="0.25">
      <c r="A7722" s="2">
        <f>IF(B7722="","",SUBTOTAL(3,$B$2:B7722))</f>
        <v>7721</v>
      </c>
      <c r="B7722" s="9" t="s">
        <v>50</v>
      </c>
      <c r="C7722" s="10" t="s">
        <v>49</v>
      </c>
      <c r="D7722" s="11">
        <v>385.80246913580248</v>
      </c>
      <c r="E7722" s="12">
        <f t="shared" si="120"/>
        <v>49160</v>
      </c>
    </row>
    <row r="7723" spans="1:5" x14ac:dyDescent="0.25">
      <c r="A7723" s="2">
        <f>IF(B7723="","",SUBTOTAL(3,$B$2:B7723))</f>
        <v>7722</v>
      </c>
      <c r="B7723" s="9" t="s">
        <v>51</v>
      </c>
      <c r="C7723" s="10" t="s">
        <v>54</v>
      </c>
      <c r="D7723" s="11">
        <v>980.27999999999986</v>
      </c>
      <c r="E7723" s="12">
        <f t="shared" si="120"/>
        <v>49161</v>
      </c>
    </row>
    <row r="7724" spans="1:5" x14ac:dyDescent="0.25">
      <c r="A7724" s="2">
        <f>IF(B7724="","",SUBTOTAL(3,$B$2:B7724))</f>
        <v>7723</v>
      </c>
      <c r="B7724" s="9" t="s">
        <v>48</v>
      </c>
      <c r="C7724" s="10" t="s">
        <v>49</v>
      </c>
      <c r="D7724" s="11">
        <v>44.670363524337645</v>
      </c>
      <c r="E7724" s="12">
        <f t="shared" si="120"/>
        <v>49162</v>
      </c>
    </row>
    <row r="7725" spans="1:5" x14ac:dyDescent="0.25">
      <c r="A7725" s="2">
        <f>IF(B7725="","",SUBTOTAL(3,$B$2:B7725))</f>
        <v>7724</v>
      </c>
      <c r="B7725" s="9" t="s">
        <v>48</v>
      </c>
      <c r="C7725" s="10" t="s">
        <v>49</v>
      </c>
      <c r="D7725" s="11">
        <v>165.4601861427094</v>
      </c>
      <c r="E7725" s="12">
        <f t="shared" si="120"/>
        <v>49163</v>
      </c>
    </row>
    <row r="7726" spans="1:5" x14ac:dyDescent="0.25">
      <c r="A7726" s="2">
        <f>IF(B7726="","",SUBTOTAL(3,$B$2:B7726))</f>
        <v>7725</v>
      </c>
      <c r="B7726" s="9" t="s">
        <v>48</v>
      </c>
      <c r="C7726" s="10" t="s">
        <v>52</v>
      </c>
      <c r="D7726" s="11">
        <v>123.22858903265558</v>
      </c>
      <c r="E7726" s="12">
        <f t="shared" si="120"/>
        <v>49164</v>
      </c>
    </row>
    <row r="7727" spans="1:5" x14ac:dyDescent="0.25">
      <c r="A7727" s="2">
        <f>IF(B7727="","",SUBTOTAL(3,$B$2:B7727))</f>
        <v>7726</v>
      </c>
      <c r="B7727" s="9" t="s">
        <v>50</v>
      </c>
      <c r="C7727" s="10" t="s">
        <v>49</v>
      </c>
      <c r="D7727" s="11">
        <v>77.160493827160494</v>
      </c>
      <c r="E7727" s="12">
        <f t="shared" si="120"/>
        <v>49165</v>
      </c>
    </row>
    <row r="7728" spans="1:5" x14ac:dyDescent="0.25">
      <c r="A7728" s="2">
        <f>IF(B7728="","",SUBTOTAL(3,$B$2:B7728))</f>
        <v>7727</v>
      </c>
      <c r="B7728" s="9" t="s">
        <v>48</v>
      </c>
      <c r="C7728" s="10" t="s">
        <v>54</v>
      </c>
      <c r="D7728" s="11">
        <v>92.421441774491683</v>
      </c>
      <c r="E7728" s="12">
        <f t="shared" si="120"/>
        <v>49166</v>
      </c>
    </row>
    <row r="7729" spans="1:5" x14ac:dyDescent="0.25">
      <c r="A7729" s="2">
        <f>IF(B7729="","",SUBTOTAL(3,$B$2:B7729))</f>
        <v>7728</v>
      </c>
      <c r="B7729" s="9" t="s">
        <v>48</v>
      </c>
      <c r="C7729" s="10" t="s">
        <v>52</v>
      </c>
      <c r="D7729" s="11">
        <v>308.07147258163894</v>
      </c>
      <c r="E7729" s="12">
        <f t="shared" si="120"/>
        <v>49167</v>
      </c>
    </row>
    <row r="7730" spans="1:5" x14ac:dyDescent="0.25">
      <c r="A7730" s="2">
        <f>IF(B7730="","",SUBTOTAL(3,$B$2:B7730))</f>
        <v>7729</v>
      </c>
      <c r="B7730" s="9" t="s">
        <v>51</v>
      </c>
      <c r="C7730" s="10" t="s">
        <v>49</v>
      </c>
      <c r="D7730" s="11">
        <v>8.1030710639332302</v>
      </c>
      <c r="E7730" s="12">
        <f t="shared" si="120"/>
        <v>49168</v>
      </c>
    </row>
    <row r="7731" spans="1:5" x14ac:dyDescent="0.25">
      <c r="A7731" s="2">
        <f>IF(B7731="","",SUBTOTAL(3,$B$2:B7731))</f>
        <v>7730</v>
      </c>
      <c r="B7731" s="9" t="s">
        <v>48</v>
      </c>
      <c r="C7731" s="10" t="s">
        <v>49</v>
      </c>
      <c r="D7731" s="11">
        <v>231.05360443622922</v>
      </c>
      <c r="E7731" s="12">
        <f t="shared" si="120"/>
        <v>49169</v>
      </c>
    </row>
    <row r="7732" spans="1:5" x14ac:dyDescent="0.25">
      <c r="A7732" s="2">
        <f>IF(B7732="","",SUBTOTAL(3,$B$2:B7732))</f>
        <v>7731</v>
      </c>
      <c r="B7732" s="9" t="s">
        <v>48</v>
      </c>
      <c r="C7732" s="10" t="s">
        <v>49</v>
      </c>
      <c r="D7732" s="11">
        <v>154.03573629081947</v>
      </c>
      <c r="E7732" s="12">
        <f t="shared" si="120"/>
        <v>49170</v>
      </c>
    </row>
    <row r="7733" spans="1:5" x14ac:dyDescent="0.25">
      <c r="A7733" s="2">
        <f>IF(B7733="","",SUBTOTAL(3,$B$2:B7733))</f>
        <v>7732</v>
      </c>
      <c r="B7733" s="9" t="s">
        <v>51</v>
      </c>
      <c r="C7733" s="10" t="s">
        <v>49</v>
      </c>
      <c r="D7733" s="11">
        <v>10</v>
      </c>
      <c r="E7733" s="12">
        <f t="shared" si="120"/>
        <v>49171</v>
      </c>
    </row>
    <row r="7734" spans="1:5" x14ac:dyDescent="0.25">
      <c r="A7734" s="2">
        <f>IF(B7734="","",SUBTOTAL(3,$B$2:B7734))</f>
        <v>7733</v>
      </c>
      <c r="B7734" s="9" t="s">
        <v>55</v>
      </c>
      <c r="C7734" s="10" t="s">
        <v>49</v>
      </c>
      <c r="D7734" s="11">
        <v>25</v>
      </c>
      <c r="E7734" s="12">
        <f t="shared" si="120"/>
        <v>49172</v>
      </c>
    </row>
    <row r="7735" spans="1:5" x14ac:dyDescent="0.25">
      <c r="A7735" s="2">
        <f>IF(B7735="","",SUBTOTAL(3,$B$2:B7735))</f>
        <v>7734</v>
      </c>
      <c r="B7735" s="9" t="s">
        <v>55</v>
      </c>
      <c r="C7735" s="10" t="s">
        <v>49</v>
      </c>
      <c r="D7735" s="11">
        <v>10</v>
      </c>
      <c r="E7735" s="12">
        <f t="shared" si="120"/>
        <v>49173</v>
      </c>
    </row>
    <row r="7736" spans="1:5" x14ac:dyDescent="0.25">
      <c r="A7736" s="2">
        <f>IF(B7736="","",SUBTOTAL(3,$B$2:B7736))</f>
        <v>7735</v>
      </c>
      <c r="B7736" s="9" t="s">
        <v>48</v>
      </c>
      <c r="C7736" s="10" t="s">
        <v>49</v>
      </c>
      <c r="D7736" s="11">
        <v>46.210720887245841</v>
      </c>
      <c r="E7736" s="12">
        <f t="shared" si="120"/>
        <v>49174</v>
      </c>
    </row>
    <row r="7737" spans="1:5" x14ac:dyDescent="0.25">
      <c r="A7737" s="2">
        <f>IF(B7737="","",SUBTOTAL(3,$B$2:B7737))</f>
        <v>7736</v>
      </c>
      <c r="B7737" s="9" t="s">
        <v>48</v>
      </c>
      <c r="C7737" s="10" t="s">
        <v>49</v>
      </c>
      <c r="D7737" s="11">
        <v>23.105360443622921</v>
      </c>
      <c r="E7737" s="12">
        <f t="shared" si="120"/>
        <v>49175</v>
      </c>
    </row>
    <row r="7738" spans="1:5" x14ac:dyDescent="0.25">
      <c r="A7738" s="2">
        <f>IF(B7738="","",SUBTOTAL(3,$B$2:B7738))</f>
        <v>7737</v>
      </c>
      <c r="B7738" s="9" t="s">
        <v>55</v>
      </c>
      <c r="C7738" s="10" t="s">
        <v>54</v>
      </c>
      <c r="D7738" s="11">
        <v>200</v>
      </c>
      <c r="E7738" s="12">
        <f t="shared" si="120"/>
        <v>49176</v>
      </c>
    </row>
    <row r="7739" spans="1:5" x14ac:dyDescent="0.25">
      <c r="A7739" s="2">
        <f>IF(B7739="","",SUBTOTAL(3,$B$2:B7739))</f>
        <v>7738</v>
      </c>
      <c r="B7739" s="9" t="s">
        <v>48</v>
      </c>
      <c r="C7739" s="10" t="s">
        <v>49</v>
      </c>
      <c r="D7739" s="11">
        <v>12.322858903265558</v>
      </c>
      <c r="E7739" s="12">
        <f t="shared" si="120"/>
        <v>49177</v>
      </c>
    </row>
    <row r="7740" spans="1:5" x14ac:dyDescent="0.25">
      <c r="A7740" s="2">
        <f>IF(B7740="","",SUBTOTAL(3,$B$2:B7740))</f>
        <v>7739</v>
      </c>
      <c r="B7740" s="9" t="s">
        <v>50</v>
      </c>
      <c r="C7740" s="10" t="s">
        <v>49</v>
      </c>
      <c r="D7740" s="11">
        <v>7.1649029982363315</v>
      </c>
      <c r="E7740" s="12">
        <f t="shared" si="120"/>
        <v>49178</v>
      </c>
    </row>
    <row r="7741" spans="1:5" x14ac:dyDescent="0.25">
      <c r="A7741" s="2">
        <f>IF(B7741="","",SUBTOTAL(3,$B$2:B7741))</f>
        <v>7740</v>
      </c>
      <c r="B7741" s="9" t="s">
        <v>51</v>
      </c>
      <c r="C7741" s="10" t="s">
        <v>52</v>
      </c>
      <c r="D7741" s="11">
        <v>450.0688340569734</v>
      </c>
      <c r="E7741" s="12">
        <f t="shared" si="120"/>
        <v>49179</v>
      </c>
    </row>
    <row r="7742" spans="1:5" x14ac:dyDescent="0.25">
      <c r="A7742" s="2">
        <f>IF(B7742="","",SUBTOTAL(3,$B$2:B7742))</f>
        <v>7741</v>
      </c>
      <c r="B7742" s="9" t="s">
        <v>48</v>
      </c>
      <c r="C7742" s="10" t="s">
        <v>52</v>
      </c>
      <c r="D7742" s="11">
        <v>77.017868145409736</v>
      </c>
      <c r="E7742" s="12">
        <f t="shared" si="120"/>
        <v>49180</v>
      </c>
    </row>
    <row r="7743" spans="1:5" x14ac:dyDescent="0.25">
      <c r="A7743" s="2">
        <f>IF(B7743="","",SUBTOTAL(3,$B$2:B7743))</f>
        <v>7742</v>
      </c>
      <c r="B7743" s="9" t="s">
        <v>48</v>
      </c>
      <c r="C7743" s="10" t="s">
        <v>49</v>
      </c>
      <c r="D7743" s="11">
        <v>79.085335797905103</v>
      </c>
      <c r="E7743" s="12">
        <f t="shared" si="120"/>
        <v>49181</v>
      </c>
    </row>
    <row r="7744" spans="1:5" x14ac:dyDescent="0.25">
      <c r="A7744" s="2">
        <f>IF(B7744="","",SUBTOTAL(3,$B$2:B7744))</f>
        <v>7743</v>
      </c>
      <c r="B7744" s="9" t="s">
        <v>53</v>
      </c>
      <c r="C7744" s="10" t="s">
        <v>49</v>
      </c>
      <c r="D7744" s="11">
        <v>141.95829173802744</v>
      </c>
      <c r="E7744" s="12">
        <f t="shared" si="120"/>
        <v>49182</v>
      </c>
    </row>
    <row r="7745" spans="1:5" x14ac:dyDescent="0.25">
      <c r="A7745" s="2">
        <f>IF(B7745="","",SUBTOTAL(3,$B$2:B7745))</f>
        <v>7744</v>
      </c>
      <c r="B7745" s="9" t="s">
        <v>53</v>
      </c>
      <c r="C7745" s="10" t="s">
        <v>49</v>
      </c>
      <c r="D7745" s="11">
        <v>146.32694368377187</v>
      </c>
      <c r="E7745" s="12">
        <f t="shared" si="120"/>
        <v>49183</v>
      </c>
    </row>
    <row r="7746" spans="1:5" x14ac:dyDescent="0.25">
      <c r="A7746" s="2">
        <f>IF(B7746="","",SUBTOTAL(3,$B$2:B7746))</f>
        <v>7745</v>
      </c>
      <c r="B7746" s="9" t="s">
        <v>51</v>
      </c>
      <c r="C7746" s="10" t="s">
        <v>52</v>
      </c>
      <c r="D7746" s="11">
        <v>211.79709837975219</v>
      </c>
      <c r="E7746" s="12">
        <f t="shared" si="120"/>
        <v>49184</v>
      </c>
    </row>
    <row r="7747" spans="1:5" x14ac:dyDescent="0.25">
      <c r="A7747" s="2">
        <f>IF(B7747="","",SUBTOTAL(3,$B$2:B7747))</f>
        <v>7746</v>
      </c>
      <c r="B7747" s="9" t="s">
        <v>48</v>
      </c>
      <c r="C7747" s="10" t="s">
        <v>52</v>
      </c>
      <c r="D7747" s="11">
        <v>92.421441774491683</v>
      </c>
      <c r="E7747" s="12">
        <f t="shared" si="120"/>
        <v>49185</v>
      </c>
    </row>
    <row r="7748" spans="1:5" x14ac:dyDescent="0.25">
      <c r="A7748" s="2">
        <f>IF(B7748="","",SUBTOTAL(3,$B$2:B7748))</f>
        <v>7747</v>
      </c>
      <c r="B7748" s="9" t="s">
        <v>48</v>
      </c>
      <c r="C7748" s="10" t="s">
        <v>54</v>
      </c>
      <c r="D7748" s="11">
        <v>30.807147258163894</v>
      </c>
      <c r="E7748" s="12">
        <f t="shared" ref="E7748:E7811" si="121">E7747+1</f>
        <v>49186</v>
      </c>
    </row>
    <row r="7749" spans="1:5" x14ac:dyDescent="0.25">
      <c r="A7749" s="2">
        <f>IF(B7749="","",SUBTOTAL(3,$B$2:B7749))</f>
        <v>7748</v>
      </c>
      <c r="B7749" s="9" t="s">
        <v>48</v>
      </c>
      <c r="C7749" s="10" t="s">
        <v>56</v>
      </c>
      <c r="D7749" s="11">
        <v>308.07147258163894</v>
      </c>
      <c r="E7749" s="12">
        <f t="shared" si="121"/>
        <v>49187</v>
      </c>
    </row>
    <row r="7750" spans="1:5" x14ac:dyDescent="0.25">
      <c r="A7750" s="2">
        <f>IF(B7750="","",SUBTOTAL(3,$B$2:B7750))</f>
        <v>7749</v>
      </c>
      <c r="B7750" s="9" t="s">
        <v>48</v>
      </c>
      <c r="C7750" s="10" t="s">
        <v>49</v>
      </c>
      <c r="D7750" s="11">
        <v>26.076180627369872</v>
      </c>
      <c r="E7750" s="12">
        <f t="shared" si="121"/>
        <v>49188</v>
      </c>
    </row>
    <row r="7751" spans="1:5" x14ac:dyDescent="0.25">
      <c r="A7751" s="2">
        <f>IF(B7751="","",SUBTOTAL(3,$B$2:B7751))</f>
        <v>7750</v>
      </c>
      <c r="B7751" s="9" t="s">
        <v>48</v>
      </c>
      <c r="C7751" s="10" t="s">
        <v>49</v>
      </c>
      <c r="D7751" s="11">
        <v>61.614294516327789</v>
      </c>
      <c r="E7751" s="12">
        <f t="shared" si="121"/>
        <v>49189</v>
      </c>
    </row>
    <row r="7752" spans="1:5" x14ac:dyDescent="0.25">
      <c r="A7752" s="2">
        <f>IF(B7752="","",SUBTOTAL(3,$B$2:B7752))</f>
        <v>7751</v>
      </c>
      <c r="B7752" s="9" t="s">
        <v>55</v>
      </c>
      <c r="C7752" s="10" t="s">
        <v>54</v>
      </c>
      <c r="D7752" s="11">
        <v>16.294606485253382</v>
      </c>
      <c r="E7752" s="12">
        <f t="shared" si="121"/>
        <v>49190</v>
      </c>
    </row>
    <row r="7753" spans="1:5" x14ac:dyDescent="0.25">
      <c r="A7753" s="2">
        <f>IF(B7753="","",SUBTOTAL(3,$B$2:B7753))</f>
        <v>7752</v>
      </c>
      <c r="B7753" s="9" t="s">
        <v>48</v>
      </c>
      <c r="C7753" s="10" t="s">
        <v>52</v>
      </c>
      <c r="D7753" s="11">
        <v>462.10720887245844</v>
      </c>
      <c r="E7753" s="12">
        <f t="shared" si="121"/>
        <v>49191</v>
      </c>
    </row>
    <row r="7754" spans="1:5" x14ac:dyDescent="0.25">
      <c r="A7754" s="2">
        <f>IF(B7754="","",SUBTOTAL(3,$B$2:B7754))</f>
        <v>7753</v>
      </c>
      <c r="B7754" s="9" t="s">
        <v>48</v>
      </c>
      <c r="C7754" s="10" t="s">
        <v>49</v>
      </c>
      <c r="D7754" s="11">
        <v>34.470872113064452</v>
      </c>
      <c r="E7754" s="12">
        <f t="shared" si="121"/>
        <v>49192</v>
      </c>
    </row>
    <row r="7755" spans="1:5" x14ac:dyDescent="0.25">
      <c r="A7755" s="2">
        <f>IF(B7755="","",SUBTOTAL(3,$B$2:B7755))</f>
        <v>7754</v>
      </c>
      <c r="B7755" s="9" t="s">
        <v>48</v>
      </c>
      <c r="C7755" s="10" t="s">
        <v>52</v>
      </c>
      <c r="D7755" s="11">
        <v>203.32717190388172</v>
      </c>
      <c r="E7755" s="12">
        <f t="shared" si="121"/>
        <v>49193</v>
      </c>
    </row>
    <row r="7756" spans="1:5" x14ac:dyDescent="0.25">
      <c r="A7756" s="2">
        <f>IF(B7756="","",SUBTOTAL(3,$B$2:B7756))</f>
        <v>7755</v>
      </c>
      <c r="B7756" s="9" t="s">
        <v>50</v>
      </c>
      <c r="C7756" s="10" t="s">
        <v>49</v>
      </c>
      <c r="D7756" s="11">
        <v>154.32098765432099</v>
      </c>
      <c r="E7756" s="12">
        <f t="shared" si="121"/>
        <v>49194</v>
      </c>
    </row>
    <row r="7757" spans="1:5" x14ac:dyDescent="0.25">
      <c r="A7757" s="2">
        <f>IF(B7757="","",SUBTOTAL(3,$B$2:B7757))</f>
        <v>7756</v>
      </c>
      <c r="B7757" s="9" t="s">
        <v>48</v>
      </c>
      <c r="C7757" s="10" t="s">
        <v>56</v>
      </c>
      <c r="D7757" s="11">
        <v>6.8941744226128918</v>
      </c>
      <c r="E7757" s="12">
        <f t="shared" si="121"/>
        <v>49195</v>
      </c>
    </row>
    <row r="7758" spans="1:5" x14ac:dyDescent="0.25">
      <c r="A7758" s="2">
        <f>IF(B7758="","",SUBTOTAL(3,$B$2:B7758))</f>
        <v>7757</v>
      </c>
      <c r="B7758" s="9" t="s">
        <v>48</v>
      </c>
      <c r="C7758" s="10" t="s">
        <v>52</v>
      </c>
      <c r="D7758" s="11">
        <v>308.07147258163894</v>
      </c>
      <c r="E7758" s="12">
        <f t="shared" si="121"/>
        <v>49196</v>
      </c>
    </row>
    <row r="7759" spans="1:5" x14ac:dyDescent="0.25">
      <c r="A7759" s="2">
        <f>IF(B7759="","",SUBTOTAL(3,$B$2:B7759))</f>
        <v>7758</v>
      </c>
      <c r="B7759" s="9" t="s">
        <v>48</v>
      </c>
      <c r="C7759" s="10" t="s">
        <v>52</v>
      </c>
      <c r="D7759" s="11">
        <v>308.07147258163894</v>
      </c>
      <c r="E7759" s="12">
        <f t="shared" si="121"/>
        <v>49197</v>
      </c>
    </row>
    <row r="7760" spans="1:5" x14ac:dyDescent="0.25">
      <c r="A7760" s="2">
        <f>IF(B7760="","",SUBTOTAL(3,$B$2:B7760))</f>
        <v>7759</v>
      </c>
      <c r="B7760" s="9" t="s">
        <v>48</v>
      </c>
      <c r="C7760" s="10" t="s">
        <v>49</v>
      </c>
      <c r="D7760" s="11">
        <v>23.105360443622921</v>
      </c>
      <c r="E7760" s="12">
        <f t="shared" si="121"/>
        <v>49198</v>
      </c>
    </row>
    <row r="7761" spans="1:5" x14ac:dyDescent="0.25">
      <c r="A7761" s="2">
        <f>IF(B7761="","",SUBTOTAL(3,$B$2:B7761))</f>
        <v>7760</v>
      </c>
      <c r="B7761" s="9" t="s">
        <v>48</v>
      </c>
      <c r="C7761" s="10" t="s">
        <v>54</v>
      </c>
      <c r="D7761" s="11">
        <v>1.5403573629081947E-2</v>
      </c>
      <c r="E7761" s="12">
        <f t="shared" si="121"/>
        <v>49199</v>
      </c>
    </row>
    <row r="7762" spans="1:5" x14ac:dyDescent="0.25">
      <c r="A7762" s="2">
        <f>IF(B7762="","",SUBTOTAL(3,$B$2:B7762))</f>
        <v>7761</v>
      </c>
      <c r="B7762" s="9" t="s">
        <v>51</v>
      </c>
      <c r="C7762" s="10" t="s">
        <v>52</v>
      </c>
      <c r="D7762" s="11">
        <v>31.769564756962826</v>
      </c>
      <c r="E7762" s="12">
        <f t="shared" si="121"/>
        <v>49200</v>
      </c>
    </row>
    <row r="7763" spans="1:5" x14ac:dyDescent="0.25">
      <c r="A7763" s="2">
        <f>IF(B7763="","",SUBTOTAL(3,$B$2:B7763))</f>
        <v>7762</v>
      </c>
      <c r="B7763" s="9" t="s">
        <v>50</v>
      </c>
      <c r="C7763" s="10" t="s">
        <v>49</v>
      </c>
      <c r="D7763" s="11">
        <v>22</v>
      </c>
      <c r="E7763" s="12">
        <f t="shared" si="121"/>
        <v>49201</v>
      </c>
    </row>
    <row r="7764" spans="1:5" x14ac:dyDescent="0.25">
      <c r="A7764" s="2">
        <f>IF(B7764="","",SUBTOTAL(3,$B$2:B7764))</f>
        <v>7763</v>
      </c>
      <c r="B7764" s="9" t="s">
        <v>48</v>
      </c>
      <c r="C7764" s="10" t="s">
        <v>49</v>
      </c>
      <c r="D7764" s="11">
        <v>46.210720887245841</v>
      </c>
      <c r="E7764" s="12">
        <f t="shared" si="121"/>
        <v>49202</v>
      </c>
    </row>
    <row r="7765" spans="1:5" x14ac:dyDescent="0.25">
      <c r="A7765" s="2">
        <f>IF(B7765="","",SUBTOTAL(3,$B$2:B7765))</f>
        <v>7764</v>
      </c>
      <c r="B7765" s="9" t="s">
        <v>50</v>
      </c>
      <c r="C7765" s="10" t="s">
        <v>52</v>
      </c>
      <c r="D7765" s="11">
        <v>242.50440917107585</v>
      </c>
      <c r="E7765" s="12">
        <f t="shared" si="121"/>
        <v>49203</v>
      </c>
    </row>
    <row r="7766" spans="1:5" x14ac:dyDescent="0.25">
      <c r="A7766" s="2">
        <f>IF(B7766="","",SUBTOTAL(3,$B$2:B7766))</f>
        <v>7765</v>
      </c>
      <c r="B7766" s="9" t="s">
        <v>50</v>
      </c>
      <c r="C7766" s="10" t="s">
        <v>52</v>
      </c>
      <c r="D7766" s="11">
        <v>0</v>
      </c>
      <c r="E7766" s="12">
        <f t="shared" si="121"/>
        <v>49204</v>
      </c>
    </row>
    <row r="7767" spans="1:5" x14ac:dyDescent="0.25">
      <c r="A7767" s="2">
        <f>IF(B7767="","",SUBTOTAL(3,$B$2:B7767))</f>
        <v>7766</v>
      </c>
      <c r="B7767" s="9" t="s">
        <v>48</v>
      </c>
      <c r="C7767" s="10" t="s">
        <v>54</v>
      </c>
      <c r="D7767" s="11">
        <v>23.105360443622921</v>
      </c>
      <c r="E7767" s="12">
        <f t="shared" si="121"/>
        <v>49205</v>
      </c>
    </row>
    <row r="7768" spans="1:5" x14ac:dyDescent="0.25">
      <c r="A7768" s="2">
        <f>IF(B7768="","",SUBTOTAL(3,$B$2:B7768))</f>
        <v>7767</v>
      </c>
      <c r="B7768" s="9" t="s">
        <v>55</v>
      </c>
      <c r="C7768" s="10" t="s">
        <v>52</v>
      </c>
      <c r="D7768" s="11">
        <v>64.195153265928425</v>
      </c>
      <c r="E7768" s="12">
        <f t="shared" si="121"/>
        <v>49206</v>
      </c>
    </row>
    <row r="7769" spans="1:5" x14ac:dyDescent="0.25">
      <c r="A7769" s="2">
        <f>IF(B7769="","",SUBTOTAL(3,$B$2:B7769))</f>
        <v>7768</v>
      </c>
      <c r="B7769" s="9" t="s">
        <v>53</v>
      </c>
      <c r="C7769" s="10" t="s">
        <v>49</v>
      </c>
      <c r="D7769" s="11">
        <v>183.17198933939025</v>
      </c>
      <c r="E7769" s="12">
        <f t="shared" si="121"/>
        <v>49207</v>
      </c>
    </row>
    <row r="7770" spans="1:5" x14ac:dyDescent="0.25">
      <c r="A7770" s="2">
        <f>IF(B7770="","",SUBTOTAL(3,$B$2:B7770))</f>
        <v>7769</v>
      </c>
      <c r="B7770" s="9" t="s">
        <v>48</v>
      </c>
      <c r="C7770" s="10" t="s">
        <v>56</v>
      </c>
      <c r="D7770" s="11">
        <v>20.042912389346419</v>
      </c>
      <c r="E7770" s="12">
        <f t="shared" si="121"/>
        <v>49208</v>
      </c>
    </row>
    <row r="7771" spans="1:5" x14ac:dyDescent="0.25">
      <c r="A7771" s="2">
        <f>IF(B7771="","",SUBTOTAL(3,$B$2:B7771))</f>
        <v>7770</v>
      </c>
      <c r="B7771" s="9" t="s">
        <v>53</v>
      </c>
      <c r="C7771" s="10" t="s">
        <v>49</v>
      </c>
      <c r="D7771" s="11">
        <v>54.951596801817075</v>
      </c>
      <c r="E7771" s="12">
        <f t="shared" si="121"/>
        <v>49209</v>
      </c>
    </row>
    <row r="7772" spans="1:5" x14ac:dyDescent="0.25">
      <c r="A7772" s="2">
        <f>IF(B7772="","",SUBTOTAL(3,$B$2:B7772))</f>
        <v>7771</v>
      </c>
      <c r="B7772" s="9" t="s">
        <v>55</v>
      </c>
      <c r="C7772" s="10" t="s">
        <v>52</v>
      </c>
      <c r="D7772" s="11">
        <v>0</v>
      </c>
      <c r="E7772" s="12">
        <f t="shared" si="121"/>
        <v>49210</v>
      </c>
    </row>
    <row r="7773" spans="1:5" x14ac:dyDescent="0.25">
      <c r="A7773" s="2">
        <f>IF(B7773="","",SUBTOTAL(3,$B$2:B7773))</f>
        <v>7772</v>
      </c>
      <c r="B7773" s="9" t="s">
        <v>48</v>
      </c>
      <c r="C7773" s="10" t="s">
        <v>54</v>
      </c>
      <c r="D7773" s="11">
        <v>86.177180282661155</v>
      </c>
      <c r="E7773" s="12">
        <f t="shared" si="121"/>
        <v>49211</v>
      </c>
    </row>
    <row r="7774" spans="1:5" x14ac:dyDescent="0.25">
      <c r="A7774" s="2">
        <f>IF(B7774="","",SUBTOTAL(3,$B$2:B7774))</f>
        <v>7773</v>
      </c>
      <c r="B7774" s="9" t="s">
        <v>51</v>
      </c>
      <c r="C7774" s="10" t="s">
        <v>54</v>
      </c>
      <c r="D7774" s="11">
        <v>105.89854918987609</v>
      </c>
      <c r="E7774" s="12">
        <f t="shared" si="121"/>
        <v>49212</v>
      </c>
    </row>
    <row r="7775" spans="1:5" x14ac:dyDescent="0.25">
      <c r="A7775" s="2">
        <f>IF(B7775="","",SUBTOTAL(3,$B$2:B7775))</f>
        <v>7774</v>
      </c>
      <c r="B7775" s="9" t="s">
        <v>55</v>
      </c>
      <c r="C7775" s="10" t="s">
        <v>52</v>
      </c>
      <c r="D7775" s="11">
        <v>5.8660583346912167</v>
      </c>
      <c r="E7775" s="12">
        <f t="shared" si="121"/>
        <v>49213</v>
      </c>
    </row>
    <row r="7776" spans="1:5" x14ac:dyDescent="0.25">
      <c r="A7776" s="2">
        <f>IF(B7776="","",SUBTOTAL(3,$B$2:B7776))</f>
        <v>7775</v>
      </c>
      <c r="B7776" s="9" t="s">
        <v>48</v>
      </c>
      <c r="C7776" s="10" t="s">
        <v>49</v>
      </c>
      <c r="D7776" s="11">
        <v>385.44062287204662</v>
      </c>
      <c r="E7776" s="12">
        <f t="shared" si="121"/>
        <v>49214</v>
      </c>
    </row>
    <row r="7777" spans="1:5" x14ac:dyDescent="0.25">
      <c r="A7777" s="2">
        <f>IF(B7777="","",SUBTOTAL(3,$B$2:B7777))</f>
        <v>7776</v>
      </c>
      <c r="B7777" s="9" t="s">
        <v>55</v>
      </c>
      <c r="C7777" s="10" t="s">
        <v>56</v>
      </c>
      <c r="D7777" s="11">
        <v>75.435291955712771</v>
      </c>
      <c r="E7777" s="12">
        <f t="shared" si="121"/>
        <v>49215</v>
      </c>
    </row>
    <row r="7778" spans="1:5" x14ac:dyDescent="0.25">
      <c r="A7778" s="2">
        <f>IF(B7778="","",SUBTOTAL(3,$B$2:B7778))</f>
        <v>7777</v>
      </c>
      <c r="B7778" s="9" t="s">
        <v>48</v>
      </c>
      <c r="C7778" s="10" t="s">
        <v>56</v>
      </c>
      <c r="D7778" s="11">
        <v>15.511892450879007</v>
      </c>
      <c r="E7778" s="12">
        <f t="shared" si="121"/>
        <v>49216</v>
      </c>
    </row>
    <row r="7779" spans="1:5" x14ac:dyDescent="0.25">
      <c r="A7779" s="2">
        <f>IF(B7779="","",SUBTOTAL(3,$B$2:B7779))</f>
        <v>7778</v>
      </c>
      <c r="B7779" s="9" t="s">
        <v>48</v>
      </c>
      <c r="C7779" s="10" t="s">
        <v>49</v>
      </c>
      <c r="D7779" s="11">
        <v>154.03573629081947</v>
      </c>
      <c r="E7779" s="12">
        <f t="shared" si="121"/>
        <v>49217</v>
      </c>
    </row>
    <row r="7780" spans="1:5" x14ac:dyDescent="0.25">
      <c r="A7780" s="2">
        <f>IF(B7780="","",SUBTOTAL(3,$B$2:B7780))</f>
        <v>7779</v>
      </c>
      <c r="B7780" s="9" t="s">
        <v>48</v>
      </c>
      <c r="C7780" s="10" t="s">
        <v>49</v>
      </c>
      <c r="D7780" s="11">
        <v>61.614294516327789</v>
      </c>
      <c r="E7780" s="12">
        <f t="shared" si="121"/>
        <v>49218</v>
      </c>
    </row>
    <row r="7781" spans="1:5" x14ac:dyDescent="0.25">
      <c r="A7781" s="2">
        <f>IF(B7781="","",SUBTOTAL(3,$B$2:B7781))</f>
        <v>7780</v>
      </c>
      <c r="B7781" s="9" t="s">
        <v>50</v>
      </c>
      <c r="C7781" s="10" t="s">
        <v>49</v>
      </c>
      <c r="D7781" s="11">
        <v>12.125220458553793</v>
      </c>
      <c r="E7781" s="12">
        <f t="shared" si="121"/>
        <v>49219</v>
      </c>
    </row>
    <row r="7782" spans="1:5" x14ac:dyDescent="0.25">
      <c r="A7782" s="2">
        <f>IF(B7782="","",SUBTOTAL(3,$B$2:B7782))</f>
        <v>7781</v>
      </c>
      <c r="B7782" s="9" t="s">
        <v>48</v>
      </c>
      <c r="C7782" s="10" t="s">
        <v>49</v>
      </c>
      <c r="D7782" s="11">
        <v>16.173752310536045</v>
      </c>
      <c r="E7782" s="12">
        <f t="shared" si="121"/>
        <v>49220</v>
      </c>
    </row>
    <row r="7783" spans="1:5" x14ac:dyDescent="0.25">
      <c r="A7783" s="2">
        <f>IF(B7783="","",SUBTOTAL(3,$B$2:B7783))</f>
        <v>7782</v>
      </c>
      <c r="B7783" s="9" t="s">
        <v>48</v>
      </c>
      <c r="C7783" s="10" t="s">
        <v>52</v>
      </c>
      <c r="D7783" s="11">
        <v>92.421441774491683</v>
      </c>
      <c r="E7783" s="12">
        <f t="shared" si="121"/>
        <v>49221</v>
      </c>
    </row>
    <row r="7784" spans="1:5" x14ac:dyDescent="0.25">
      <c r="A7784" s="2">
        <f>IF(B7784="","",SUBTOTAL(3,$B$2:B7784))</f>
        <v>7783</v>
      </c>
      <c r="B7784" s="9" t="s">
        <v>48</v>
      </c>
      <c r="C7784" s="10" t="s">
        <v>52</v>
      </c>
      <c r="D7784" s="11">
        <v>92.421441774491683</v>
      </c>
      <c r="E7784" s="12">
        <f t="shared" si="121"/>
        <v>49222</v>
      </c>
    </row>
    <row r="7785" spans="1:5" x14ac:dyDescent="0.25">
      <c r="A7785" s="2">
        <f>IF(B7785="","",SUBTOTAL(3,$B$2:B7785))</f>
        <v>7784</v>
      </c>
      <c r="B7785" s="9" t="s">
        <v>51</v>
      </c>
      <c r="C7785" s="10" t="s">
        <v>49</v>
      </c>
      <c r="D7785" s="11">
        <v>8.1030710639332302</v>
      </c>
      <c r="E7785" s="12">
        <f t="shared" si="121"/>
        <v>49223</v>
      </c>
    </row>
    <row r="7786" spans="1:5" x14ac:dyDescent="0.25">
      <c r="A7786" s="2">
        <f>IF(B7786="","",SUBTOTAL(3,$B$2:B7786))</f>
        <v>7785</v>
      </c>
      <c r="B7786" s="9" t="s">
        <v>48</v>
      </c>
      <c r="C7786" s="10" t="s">
        <v>49</v>
      </c>
      <c r="D7786" s="11">
        <v>53.912507701786815</v>
      </c>
      <c r="E7786" s="12">
        <f t="shared" si="121"/>
        <v>49224</v>
      </c>
    </row>
    <row r="7787" spans="1:5" x14ac:dyDescent="0.25">
      <c r="A7787" s="2">
        <f>IF(B7787="","",SUBTOTAL(3,$B$2:B7787))</f>
        <v>7786</v>
      </c>
      <c r="B7787" s="9" t="s">
        <v>53</v>
      </c>
      <c r="C7787" s="10" t="s">
        <v>56</v>
      </c>
      <c r="D7787" s="11">
        <v>549.51596801817072</v>
      </c>
      <c r="E7787" s="12">
        <f t="shared" si="121"/>
        <v>49225</v>
      </c>
    </row>
    <row r="7788" spans="1:5" x14ac:dyDescent="0.25">
      <c r="A7788" s="2">
        <f>IF(B7788="","",SUBTOTAL(3,$B$2:B7788))</f>
        <v>7787</v>
      </c>
      <c r="B7788" s="9" t="s">
        <v>48</v>
      </c>
      <c r="C7788" s="10" t="s">
        <v>52</v>
      </c>
      <c r="D7788" s="11">
        <v>308.07147258163894</v>
      </c>
      <c r="E7788" s="12">
        <f t="shared" si="121"/>
        <v>49226</v>
      </c>
    </row>
    <row r="7789" spans="1:5" x14ac:dyDescent="0.25">
      <c r="A7789" s="2">
        <f>IF(B7789="","",SUBTOTAL(3,$B$2:B7789))</f>
        <v>7788</v>
      </c>
      <c r="B7789" s="9" t="s">
        <v>48</v>
      </c>
      <c r="C7789" s="10" t="s">
        <v>54</v>
      </c>
      <c r="D7789" s="11">
        <v>68.941744226128904</v>
      </c>
      <c r="E7789" s="12">
        <f t="shared" si="121"/>
        <v>49227</v>
      </c>
    </row>
    <row r="7790" spans="1:5" x14ac:dyDescent="0.25">
      <c r="A7790" s="2">
        <f>IF(B7790="","",SUBTOTAL(3,$B$2:B7790))</f>
        <v>7789</v>
      </c>
      <c r="B7790" s="9" t="s">
        <v>48</v>
      </c>
      <c r="C7790" s="10" t="s">
        <v>49</v>
      </c>
      <c r="D7790" s="11">
        <v>131.38572905894517</v>
      </c>
      <c r="E7790" s="12">
        <f t="shared" si="121"/>
        <v>49228</v>
      </c>
    </row>
    <row r="7791" spans="1:5" x14ac:dyDescent="0.25">
      <c r="A7791" s="2">
        <f>IF(B7791="","",SUBTOTAL(3,$B$2:B7791))</f>
        <v>7790</v>
      </c>
      <c r="B7791" s="9" t="s">
        <v>48</v>
      </c>
      <c r="C7791" s="10" t="s">
        <v>57</v>
      </c>
      <c r="D7791" s="11">
        <v>61.614294516327789</v>
      </c>
      <c r="E7791" s="12">
        <f t="shared" si="121"/>
        <v>49229</v>
      </c>
    </row>
    <row r="7792" spans="1:5" x14ac:dyDescent="0.25">
      <c r="A7792" s="2">
        <f>IF(B7792="","",SUBTOTAL(3,$B$2:B7792))</f>
        <v>7791</v>
      </c>
      <c r="B7792" s="9" t="s">
        <v>50</v>
      </c>
      <c r="C7792" s="10" t="s">
        <v>56</v>
      </c>
      <c r="D7792" s="11">
        <v>176.3668430335097</v>
      </c>
      <c r="E7792" s="12">
        <f t="shared" si="121"/>
        <v>49230</v>
      </c>
    </row>
    <row r="7793" spans="1:5" x14ac:dyDescent="0.25">
      <c r="A7793" s="2">
        <f>IF(B7793="","",SUBTOTAL(3,$B$2:B7793))</f>
        <v>7792</v>
      </c>
      <c r="B7793" s="9" t="s">
        <v>50</v>
      </c>
      <c r="C7793" s="10" t="s">
        <v>49</v>
      </c>
      <c r="D7793" s="11">
        <v>3.6080246913580249</v>
      </c>
      <c r="E7793" s="12">
        <f t="shared" si="121"/>
        <v>49231</v>
      </c>
    </row>
    <row r="7794" spans="1:5" x14ac:dyDescent="0.25">
      <c r="A7794" s="2">
        <f>IF(B7794="","",SUBTOTAL(3,$B$2:B7794))</f>
        <v>7793</v>
      </c>
      <c r="B7794" s="9" t="s">
        <v>48</v>
      </c>
      <c r="C7794" s="10" t="s">
        <v>49</v>
      </c>
      <c r="D7794" s="11">
        <v>27.576697690451567</v>
      </c>
      <c r="E7794" s="12">
        <f t="shared" si="121"/>
        <v>49232</v>
      </c>
    </row>
    <row r="7795" spans="1:5" x14ac:dyDescent="0.25">
      <c r="A7795" s="2">
        <f>IF(B7795="","",SUBTOTAL(3,$B$2:B7795))</f>
        <v>7794</v>
      </c>
      <c r="B7795" s="9" t="s">
        <v>48</v>
      </c>
      <c r="C7795" s="10" t="s">
        <v>52</v>
      </c>
      <c r="D7795" s="11">
        <v>154.03573629081947</v>
      </c>
      <c r="E7795" s="12">
        <f t="shared" si="121"/>
        <v>49233</v>
      </c>
    </row>
    <row r="7796" spans="1:5" x14ac:dyDescent="0.25">
      <c r="A7796" s="2">
        <f>IF(B7796="","",SUBTOTAL(3,$B$2:B7796))</f>
        <v>7795</v>
      </c>
      <c r="B7796" s="9" t="s">
        <v>48</v>
      </c>
      <c r="C7796" s="10" t="s">
        <v>49</v>
      </c>
      <c r="D7796" s="11">
        <v>41.365046535677351</v>
      </c>
      <c r="E7796" s="12">
        <f t="shared" si="121"/>
        <v>49234</v>
      </c>
    </row>
    <row r="7797" spans="1:5" x14ac:dyDescent="0.25">
      <c r="A7797" s="2">
        <f>IF(B7797="","",SUBTOTAL(3,$B$2:B7797))</f>
        <v>7796</v>
      </c>
      <c r="B7797" s="9" t="s">
        <v>48</v>
      </c>
      <c r="C7797" s="10" t="s">
        <v>52</v>
      </c>
      <c r="D7797" s="11">
        <v>154.03573629081947</v>
      </c>
      <c r="E7797" s="12">
        <f t="shared" si="121"/>
        <v>49235</v>
      </c>
    </row>
    <row r="7798" spans="1:5" x14ac:dyDescent="0.25">
      <c r="A7798" s="2">
        <f>IF(B7798="","",SUBTOTAL(3,$B$2:B7798))</f>
        <v>7797</v>
      </c>
      <c r="B7798" s="9" t="s">
        <v>48</v>
      </c>
      <c r="C7798" s="10" t="s">
        <v>52</v>
      </c>
      <c r="D7798" s="11">
        <v>154.03573629081947</v>
      </c>
      <c r="E7798" s="12">
        <f t="shared" si="121"/>
        <v>49236</v>
      </c>
    </row>
    <row r="7799" spans="1:5" x14ac:dyDescent="0.25">
      <c r="A7799" s="2">
        <f>IF(B7799="","",SUBTOTAL(3,$B$2:B7799))</f>
        <v>7798</v>
      </c>
      <c r="B7799" s="9" t="s">
        <v>48</v>
      </c>
      <c r="C7799" s="10" t="s">
        <v>52</v>
      </c>
      <c r="D7799" s="11">
        <v>154.03573629081947</v>
      </c>
      <c r="E7799" s="12">
        <f t="shared" si="121"/>
        <v>49237</v>
      </c>
    </row>
    <row r="7800" spans="1:5" x14ac:dyDescent="0.25">
      <c r="A7800" s="2">
        <f>IF(B7800="","",SUBTOTAL(3,$B$2:B7800))</f>
        <v>7799</v>
      </c>
      <c r="B7800" s="9" t="s">
        <v>48</v>
      </c>
      <c r="C7800" s="10" t="s">
        <v>52</v>
      </c>
      <c r="D7800" s="11">
        <v>123.22858903265558</v>
      </c>
      <c r="E7800" s="12">
        <f t="shared" si="121"/>
        <v>49238</v>
      </c>
    </row>
    <row r="7801" spans="1:5" x14ac:dyDescent="0.25">
      <c r="A7801" s="2">
        <f>IF(B7801="","",SUBTOTAL(3,$B$2:B7801))</f>
        <v>7800</v>
      </c>
      <c r="B7801" s="9" t="s">
        <v>48</v>
      </c>
      <c r="C7801" s="10" t="s">
        <v>52</v>
      </c>
      <c r="D7801" s="11">
        <v>123.22858903265558</v>
      </c>
      <c r="E7801" s="12">
        <f t="shared" si="121"/>
        <v>49239</v>
      </c>
    </row>
    <row r="7802" spans="1:5" x14ac:dyDescent="0.25">
      <c r="A7802" s="2">
        <f>IF(B7802="","",SUBTOTAL(3,$B$2:B7802))</f>
        <v>7801</v>
      </c>
      <c r="B7802" s="9" t="s">
        <v>51</v>
      </c>
      <c r="C7802" s="10" t="s">
        <v>54</v>
      </c>
      <c r="D7802" s="11">
        <v>0</v>
      </c>
      <c r="E7802" s="12">
        <f t="shared" si="121"/>
        <v>49240</v>
      </c>
    </row>
    <row r="7803" spans="1:5" x14ac:dyDescent="0.25">
      <c r="A7803" s="2">
        <f>IF(B7803="","",SUBTOTAL(3,$B$2:B7803))</f>
        <v>7802</v>
      </c>
      <c r="B7803" s="9" t="s">
        <v>51</v>
      </c>
      <c r="C7803" s="10" t="s">
        <v>52</v>
      </c>
      <c r="D7803" s="11">
        <v>36.463819787699542</v>
      </c>
      <c r="E7803" s="12">
        <f t="shared" si="121"/>
        <v>49241</v>
      </c>
    </row>
    <row r="7804" spans="1:5" x14ac:dyDescent="0.25">
      <c r="A7804" s="2">
        <f>IF(B7804="","",SUBTOTAL(3,$B$2:B7804))</f>
        <v>7803</v>
      </c>
      <c r="B7804" s="9" t="s">
        <v>51</v>
      </c>
      <c r="C7804" s="10" t="s">
        <v>49</v>
      </c>
      <c r="D7804" s="11">
        <v>152.81690140845072</v>
      </c>
      <c r="E7804" s="12">
        <f t="shared" si="121"/>
        <v>49242</v>
      </c>
    </row>
    <row r="7805" spans="1:5" x14ac:dyDescent="0.25">
      <c r="A7805" s="2">
        <f>IF(B7805="","",SUBTOTAL(3,$B$2:B7805))</f>
        <v>7804</v>
      </c>
      <c r="B7805" s="9" t="s">
        <v>50</v>
      </c>
      <c r="C7805" s="10" t="s">
        <v>49</v>
      </c>
      <c r="D7805" s="11">
        <v>8.8183421516754841</v>
      </c>
      <c r="E7805" s="12">
        <f t="shared" si="121"/>
        <v>49243</v>
      </c>
    </row>
    <row r="7806" spans="1:5" x14ac:dyDescent="0.25">
      <c r="A7806" s="2">
        <f>IF(B7806="","",SUBTOTAL(3,$B$2:B7806))</f>
        <v>7805</v>
      </c>
      <c r="B7806" s="9" t="s">
        <v>48</v>
      </c>
      <c r="C7806" s="10" t="s">
        <v>52</v>
      </c>
      <c r="D7806" s="11">
        <v>123.22858903265558</v>
      </c>
      <c r="E7806" s="12">
        <f t="shared" si="121"/>
        <v>49244</v>
      </c>
    </row>
    <row r="7807" spans="1:5" x14ac:dyDescent="0.25">
      <c r="A7807" s="2">
        <f>IF(B7807="","",SUBTOTAL(3,$B$2:B7807))</f>
        <v>7806</v>
      </c>
      <c r="B7807" s="9" t="s">
        <v>48</v>
      </c>
      <c r="C7807" s="10" t="s">
        <v>52</v>
      </c>
      <c r="D7807" s="11">
        <v>92.421441774491683</v>
      </c>
      <c r="E7807" s="12">
        <f t="shared" si="121"/>
        <v>49245</v>
      </c>
    </row>
    <row r="7808" spans="1:5" x14ac:dyDescent="0.25">
      <c r="A7808" s="2">
        <f>IF(B7808="","",SUBTOTAL(3,$B$2:B7808))</f>
        <v>7807</v>
      </c>
      <c r="B7808" s="9" t="s">
        <v>53</v>
      </c>
      <c r="C7808" s="10" t="s">
        <v>49</v>
      </c>
      <c r="D7808" s="11">
        <v>39.275737954152056</v>
      </c>
      <c r="E7808" s="12">
        <f t="shared" si="121"/>
        <v>49246</v>
      </c>
    </row>
    <row r="7809" spans="1:5" x14ac:dyDescent="0.25">
      <c r="A7809" s="2">
        <f>IF(B7809="","",SUBTOTAL(3,$B$2:B7809))</f>
        <v>7808</v>
      </c>
      <c r="B7809" s="9" t="s">
        <v>50</v>
      </c>
      <c r="C7809" s="10" t="s">
        <v>49</v>
      </c>
      <c r="D7809" s="11">
        <v>8.8183421516754841</v>
      </c>
      <c r="E7809" s="12">
        <f t="shared" si="121"/>
        <v>49247</v>
      </c>
    </row>
    <row r="7810" spans="1:5" x14ac:dyDescent="0.25">
      <c r="A7810" s="2">
        <f>IF(B7810="","",SUBTOTAL(3,$B$2:B7810))</f>
        <v>7809</v>
      </c>
      <c r="B7810" s="9" t="s">
        <v>50</v>
      </c>
      <c r="C7810" s="10" t="s">
        <v>52</v>
      </c>
      <c r="D7810" s="11">
        <v>88.183421516754848</v>
      </c>
      <c r="E7810" s="12">
        <f t="shared" si="121"/>
        <v>49248</v>
      </c>
    </row>
    <row r="7811" spans="1:5" x14ac:dyDescent="0.25">
      <c r="A7811" s="2">
        <f>IF(B7811="","",SUBTOTAL(3,$B$2:B7811))</f>
        <v>7810</v>
      </c>
      <c r="B7811" s="9" t="s">
        <v>48</v>
      </c>
      <c r="C7811" s="10" t="s">
        <v>57</v>
      </c>
      <c r="D7811" s="11">
        <v>25.696041524803107</v>
      </c>
      <c r="E7811" s="12">
        <f t="shared" si="121"/>
        <v>49249</v>
      </c>
    </row>
    <row r="7812" spans="1:5" x14ac:dyDescent="0.25">
      <c r="A7812" s="2">
        <f>IF(B7812="","",SUBTOTAL(3,$B$2:B7812))</f>
        <v>7811</v>
      </c>
      <c r="B7812" s="9" t="s">
        <v>48</v>
      </c>
      <c r="C7812" s="10" t="s">
        <v>54</v>
      </c>
      <c r="D7812" s="11">
        <v>74.910967344423895</v>
      </c>
      <c r="E7812" s="12">
        <f t="shared" ref="E7812:E7875" si="122">E7811+1</f>
        <v>49250</v>
      </c>
    </row>
    <row r="7813" spans="1:5" x14ac:dyDescent="0.25">
      <c r="A7813" s="2">
        <f>IF(B7813="","",SUBTOTAL(3,$B$2:B7813))</f>
        <v>7812</v>
      </c>
      <c r="B7813" s="9" t="s">
        <v>48</v>
      </c>
      <c r="C7813" s="10" t="s">
        <v>54</v>
      </c>
      <c r="D7813" s="11">
        <v>75.659272951324709</v>
      </c>
      <c r="E7813" s="12">
        <f t="shared" si="122"/>
        <v>49251</v>
      </c>
    </row>
    <row r="7814" spans="1:5" x14ac:dyDescent="0.25">
      <c r="A7814" s="2">
        <f>IF(B7814="","",SUBTOTAL(3,$B$2:B7814))</f>
        <v>7813</v>
      </c>
      <c r="B7814" s="9" t="s">
        <v>48</v>
      </c>
      <c r="C7814" s="10" t="s">
        <v>49</v>
      </c>
      <c r="D7814" s="11">
        <v>65.494657014822465</v>
      </c>
      <c r="E7814" s="12">
        <f t="shared" si="122"/>
        <v>49252</v>
      </c>
    </row>
    <row r="7815" spans="1:5" x14ac:dyDescent="0.25">
      <c r="A7815" s="2">
        <f>IF(B7815="","",SUBTOTAL(3,$B$2:B7815))</f>
        <v>7814</v>
      </c>
      <c r="B7815" s="9" t="s">
        <v>48</v>
      </c>
      <c r="C7815" s="10" t="s">
        <v>54</v>
      </c>
      <c r="D7815" s="11">
        <v>97.64754467036353</v>
      </c>
      <c r="E7815" s="12">
        <f t="shared" si="122"/>
        <v>49253</v>
      </c>
    </row>
    <row r="7816" spans="1:5" x14ac:dyDescent="0.25">
      <c r="A7816" s="2">
        <f>IF(B7816="","",SUBTOTAL(3,$B$2:B7816))</f>
        <v>7815</v>
      </c>
      <c r="B7816" s="9" t="s">
        <v>48</v>
      </c>
      <c r="C7816" s="10" t="s">
        <v>49</v>
      </c>
      <c r="D7816" s="11">
        <v>30.807147258163894</v>
      </c>
      <c r="E7816" s="12">
        <f t="shared" si="122"/>
        <v>49254</v>
      </c>
    </row>
    <row r="7817" spans="1:5" x14ac:dyDescent="0.25">
      <c r="A7817" s="2">
        <f>IF(B7817="","",SUBTOTAL(3,$B$2:B7817))</f>
        <v>7816</v>
      </c>
      <c r="B7817" s="9" t="s">
        <v>55</v>
      </c>
      <c r="C7817" s="10" t="s">
        <v>52</v>
      </c>
      <c r="D7817" s="11">
        <v>100</v>
      </c>
      <c r="E7817" s="12">
        <f t="shared" si="122"/>
        <v>49255</v>
      </c>
    </row>
    <row r="7818" spans="1:5" x14ac:dyDescent="0.25">
      <c r="A7818" s="2">
        <f>IF(B7818="","",SUBTOTAL(3,$B$2:B7818))</f>
        <v>7817</v>
      </c>
      <c r="B7818" s="9" t="s">
        <v>48</v>
      </c>
      <c r="C7818" s="10" t="s">
        <v>52</v>
      </c>
      <c r="D7818" s="11">
        <v>215.65003080714726</v>
      </c>
      <c r="E7818" s="12">
        <f t="shared" si="122"/>
        <v>49256</v>
      </c>
    </row>
    <row r="7819" spans="1:5" x14ac:dyDescent="0.25">
      <c r="A7819" s="2">
        <f>IF(B7819="","",SUBTOTAL(3,$B$2:B7819))</f>
        <v>7818</v>
      </c>
      <c r="B7819" s="9" t="s">
        <v>48</v>
      </c>
      <c r="C7819" s="10" t="s">
        <v>49</v>
      </c>
      <c r="D7819" s="11">
        <v>206.82523267838675</v>
      </c>
      <c r="E7819" s="12">
        <f t="shared" si="122"/>
        <v>49257</v>
      </c>
    </row>
    <row r="7820" spans="1:5" x14ac:dyDescent="0.25">
      <c r="A7820" s="2">
        <f>IF(B7820="","",SUBTOTAL(3,$B$2:B7820))</f>
        <v>7819</v>
      </c>
      <c r="B7820" s="9" t="s">
        <v>48</v>
      </c>
      <c r="C7820" s="10" t="s">
        <v>49</v>
      </c>
      <c r="D7820" s="11">
        <v>154.03573629081947</v>
      </c>
      <c r="E7820" s="12">
        <f t="shared" si="122"/>
        <v>49258</v>
      </c>
    </row>
    <row r="7821" spans="1:5" x14ac:dyDescent="0.25">
      <c r="A7821" s="2">
        <f>IF(B7821="","",SUBTOTAL(3,$B$2:B7821))</f>
        <v>7820</v>
      </c>
      <c r="B7821" s="9" t="s">
        <v>48</v>
      </c>
      <c r="C7821" s="10" t="s">
        <v>49</v>
      </c>
      <c r="D7821" s="11">
        <v>30.807147258163894</v>
      </c>
      <c r="E7821" s="12">
        <f t="shared" si="122"/>
        <v>49259</v>
      </c>
    </row>
    <row r="7822" spans="1:5" x14ac:dyDescent="0.25">
      <c r="A7822" s="2">
        <f>IF(B7822="","",SUBTOTAL(3,$B$2:B7822))</f>
        <v>7821</v>
      </c>
      <c r="B7822" s="9" t="s">
        <v>50</v>
      </c>
      <c r="C7822" s="10" t="s">
        <v>49</v>
      </c>
      <c r="D7822" s="11">
        <v>66.137566137566139</v>
      </c>
      <c r="E7822" s="12">
        <f t="shared" si="122"/>
        <v>49260</v>
      </c>
    </row>
    <row r="7823" spans="1:5" x14ac:dyDescent="0.25">
      <c r="A7823" s="2">
        <f>IF(B7823="","",SUBTOTAL(3,$B$2:B7823))</f>
        <v>7822</v>
      </c>
      <c r="B7823" s="9" t="s">
        <v>48</v>
      </c>
      <c r="C7823" s="10" t="s">
        <v>52</v>
      </c>
      <c r="D7823" s="11">
        <v>154.03573629081947</v>
      </c>
      <c r="E7823" s="12">
        <f t="shared" si="122"/>
        <v>49261</v>
      </c>
    </row>
    <row r="7824" spans="1:5" x14ac:dyDescent="0.25">
      <c r="A7824" s="2">
        <f>IF(B7824="","",SUBTOTAL(3,$B$2:B7824))</f>
        <v>7823</v>
      </c>
      <c r="B7824" s="9" t="s">
        <v>48</v>
      </c>
      <c r="C7824" s="10" t="s">
        <v>52</v>
      </c>
      <c r="D7824" s="11">
        <v>154.03573629081947</v>
      </c>
      <c r="E7824" s="12">
        <f t="shared" si="122"/>
        <v>49262</v>
      </c>
    </row>
    <row r="7825" spans="1:5" x14ac:dyDescent="0.25">
      <c r="A7825" s="2">
        <f>IF(B7825="","",SUBTOTAL(3,$B$2:B7825))</f>
        <v>7824</v>
      </c>
      <c r="B7825" s="9" t="s">
        <v>48</v>
      </c>
      <c r="C7825" s="10" t="s">
        <v>52</v>
      </c>
      <c r="D7825" s="11">
        <v>154.03573629081947</v>
      </c>
      <c r="E7825" s="12">
        <f t="shared" si="122"/>
        <v>49263</v>
      </c>
    </row>
    <row r="7826" spans="1:5" x14ac:dyDescent="0.25">
      <c r="A7826" s="2">
        <f>IF(B7826="","",SUBTOTAL(3,$B$2:B7826))</f>
        <v>7825</v>
      </c>
      <c r="B7826" s="9" t="s">
        <v>51</v>
      </c>
      <c r="C7826" s="10" t="s">
        <v>52</v>
      </c>
      <c r="D7826" s="11">
        <v>150</v>
      </c>
      <c r="E7826" s="12">
        <f t="shared" si="122"/>
        <v>49264</v>
      </c>
    </row>
    <row r="7827" spans="1:5" x14ac:dyDescent="0.25">
      <c r="A7827" s="2">
        <f>IF(B7827="","",SUBTOTAL(3,$B$2:B7827))</f>
        <v>7826</v>
      </c>
      <c r="B7827" s="9" t="s">
        <v>55</v>
      </c>
      <c r="C7827" s="10" t="s">
        <v>54</v>
      </c>
      <c r="D7827" s="11">
        <v>451.77339110897128</v>
      </c>
      <c r="E7827" s="12">
        <f t="shared" si="122"/>
        <v>49265</v>
      </c>
    </row>
    <row r="7828" spans="1:5" x14ac:dyDescent="0.25">
      <c r="A7828" s="2">
        <f>IF(B7828="","",SUBTOTAL(3,$B$2:B7828))</f>
        <v>7827</v>
      </c>
      <c r="B7828" s="9" t="s">
        <v>48</v>
      </c>
      <c r="C7828" s="10" t="s">
        <v>54</v>
      </c>
      <c r="D7828" s="11">
        <v>51.748527418361057</v>
      </c>
      <c r="E7828" s="12">
        <f t="shared" si="122"/>
        <v>49266</v>
      </c>
    </row>
    <row r="7829" spans="1:5" x14ac:dyDescent="0.25">
      <c r="A7829" s="2">
        <f>IF(B7829="","",SUBTOTAL(3,$B$2:B7829))</f>
        <v>7828</v>
      </c>
      <c r="B7829" s="9" t="s">
        <v>50</v>
      </c>
      <c r="C7829" s="10" t="s">
        <v>49</v>
      </c>
      <c r="D7829" s="11">
        <v>216.04938271604939</v>
      </c>
      <c r="E7829" s="12">
        <f t="shared" si="122"/>
        <v>49267</v>
      </c>
    </row>
    <row r="7830" spans="1:5" x14ac:dyDescent="0.25">
      <c r="A7830" s="2">
        <f>IF(B7830="","",SUBTOTAL(3,$B$2:B7830))</f>
        <v>7829</v>
      </c>
      <c r="B7830" s="9" t="s">
        <v>48</v>
      </c>
      <c r="C7830" s="10" t="s">
        <v>57</v>
      </c>
      <c r="D7830" s="11">
        <v>1.5403573629081948</v>
      </c>
      <c r="E7830" s="12">
        <f t="shared" si="122"/>
        <v>49268</v>
      </c>
    </row>
    <row r="7831" spans="1:5" x14ac:dyDescent="0.25">
      <c r="A7831" s="2">
        <f>IF(B7831="","",SUBTOTAL(3,$B$2:B7831))</f>
        <v>7830</v>
      </c>
      <c r="B7831" s="9" t="s">
        <v>55</v>
      </c>
      <c r="C7831" s="10" t="s">
        <v>49</v>
      </c>
      <c r="D7831" s="11">
        <v>369.88756721525181</v>
      </c>
      <c r="E7831" s="12">
        <f t="shared" si="122"/>
        <v>49269</v>
      </c>
    </row>
    <row r="7832" spans="1:5" x14ac:dyDescent="0.25">
      <c r="A7832" s="2">
        <f>IF(B7832="","",SUBTOTAL(3,$B$2:B7832))</f>
        <v>7831</v>
      </c>
      <c r="B7832" s="9" t="s">
        <v>48</v>
      </c>
      <c r="C7832" s="10" t="s">
        <v>49</v>
      </c>
      <c r="D7832" s="11">
        <v>46.210720887245841</v>
      </c>
      <c r="E7832" s="12">
        <f t="shared" si="122"/>
        <v>49270</v>
      </c>
    </row>
    <row r="7833" spans="1:5" x14ac:dyDescent="0.25">
      <c r="A7833" s="2">
        <f>IF(B7833="","",SUBTOTAL(3,$B$2:B7833))</f>
        <v>7832</v>
      </c>
      <c r="B7833" s="9" t="s">
        <v>48</v>
      </c>
      <c r="C7833" s="10" t="s">
        <v>52</v>
      </c>
      <c r="D7833" s="11">
        <v>154.03573629081947</v>
      </c>
      <c r="E7833" s="12">
        <f t="shared" si="122"/>
        <v>49271</v>
      </c>
    </row>
    <row r="7834" spans="1:5" x14ac:dyDescent="0.25">
      <c r="A7834" s="2">
        <f>IF(B7834="","",SUBTOTAL(3,$B$2:B7834))</f>
        <v>7833</v>
      </c>
      <c r="B7834" s="9" t="s">
        <v>48</v>
      </c>
      <c r="C7834" s="10" t="s">
        <v>52</v>
      </c>
      <c r="D7834" s="11">
        <v>154.03573629081947</v>
      </c>
      <c r="E7834" s="12">
        <f t="shared" si="122"/>
        <v>49272</v>
      </c>
    </row>
    <row r="7835" spans="1:5" x14ac:dyDescent="0.25">
      <c r="A7835" s="2">
        <f>IF(B7835="","",SUBTOTAL(3,$B$2:B7835))</f>
        <v>7834</v>
      </c>
      <c r="B7835" s="9" t="s">
        <v>48</v>
      </c>
      <c r="C7835" s="10" t="s">
        <v>52</v>
      </c>
      <c r="D7835" s="11">
        <v>169.43930991990143</v>
      </c>
      <c r="E7835" s="12">
        <f t="shared" si="122"/>
        <v>49273</v>
      </c>
    </row>
    <row r="7836" spans="1:5" x14ac:dyDescent="0.25">
      <c r="A7836" s="2">
        <f>IF(B7836="","",SUBTOTAL(3,$B$2:B7836))</f>
        <v>7835</v>
      </c>
      <c r="B7836" s="9" t="s">
        <v>48</v>
      </c>
      <c r="C7836" s="10" t="s">
        <v>52</v>
      </c>
      <c r="D7836" s="11">
        <v>38.508934072704868</v>
      </c>
      <c r="E7836" s="12">
        <f t="shared" si="122"/>
        <v>49274</v>
      </c>
    </row>
    <row r="7837" spans="1:5" x14ac:dyDescent="0.25">
      <c r="A7837" s="2">
        <f>IF(B7837="","",SUBTOTAL(3,$B$2:B7837))</f>
        <v>7836</v>
      </c>
      <c r="B7837" s="9" t="s">
        <v>51</v>
      </c>
      <c r="C7837" s="10" t="s">
        <v>52</v>
      </c>
      <c r="D7837" s="11">
        <v>202.57677659833075</v>
      </c>
      <c r="E7837" s="12">
        <f t="shared" si="122"/>
        <v>49275</v>
      </c>
    </row>
    <row r="7838" spans="1:5" x14ac:dyDescent="0.25">
      <c r="A7838" s="2">
        <f>IF(B7838="","",SUBTOTAL(3,$B$2:B7838))</f>
        <v>7837</v>
      </c>
      <c r="B7838" s="9" t="s">
        <v>55</v>
      </c>
      <c r="C7838" s="10" t="s">
        <v>52</v>
      </c>
      <c r="D7838" s="11">
        <v>1378.2331051591862</v>
      </c>
      <c r="E7838" s="12">
        <f t="shared" si="122"/>
        <v>49276</v>
      </c>
    </row>
    <row r="7839" spans="1:5" x14ac:dyDescent="0.25">
      <c r="A7839" s="2">
        <f>IF(B7839="","",SUBTOTAL(3,$B$2:B7839))</f>
        <v>7838</v>
      </c>
      <c r="B7839" s="9" t="s">
        <v>50</v>
      </c>
      <c r="C7839" s="10" t="s">
        <v>52</v>
      </c>
      <c r="D7839" s="11">
        <v>44.091710758377424</v>
      </c>
      <c r="E7839" s="12">
        <f t="shared" si="122"/>
        <v>49277</v>
      </c>
    </row>
    <row r="7840" spans="1:5" x14ac:dyDescent="0.25">
      <c r="A7840" s="2">
        <f>IF(B7840="","",SUBTOTAL(3,$B$2:B7840))</f>
        <v>7839</v>
      </c>
      <c r="B7840" s="9" t="s">
        <v>51</v>
      </c>
      <c r="C7840" s="10" t="s">
        <v>52</v>
      </c>
      <c r="D7840" s="11">
        <v>105.89854918987609</v>
      </c>
      <c r="E7840" s="12">
        <f t="shared" si="122"/>
        <v>49278</v>
      </c>
    </row>
    <row r="7841" spans="1:5" x14ac:dyDescent="0.25">
      <c r="A7841" s="2">
        <f>IF(B7841="","",SUBTOTAL(3,$B$2:B7841))</f>
        <v>7840</v>
      </c>
      <c r="B7841" s="9" t="s">
        <v>55</v>
      </c>
      <c r="C7841" s="10" t="s">
        <v>49</v>
      </c>
      <c r="D7841" s="11">
        <v>110.98680136874695</v>
      </c>
      <c r="E7841" s="12">
        <f t="shared" si="122"/>
        <v>49279</v>
      </c>
    </row>
    <row r="7842" spans="1:5" x14ac:dyDescent="0.25">
      <c r="A7842" s="2">
        <f>IF(B7842="","",SUBTOTAL(3,$B$2:B7842))</f>
        <v>7841</v>
      </c>
      <c r="B7842" s="9" t="s">
        <v>48</v>
      </c>
      <c r="C7842" s="10" t="s">
        <v>49</v>
      </c>
      <c r="D7842" s="11">
        <v>46.210720887245841</v>
      </c>
      <c r="E7842" s="12">
        <f t="shared" si="122"/>
        <v>49280</v>
      </c>
    </row>
    <row r="7843" spans="1:5" x14ac:dyDescent="0.25">
      <c r="A7843" s="2">
        <f>IF(B7843="","",SUBTOTAL(3,$B$2:B7843))</f>
        <v>7842</v>
      </c>
      <c r="B7843" s="9" t="s">
        <v>51</v>
      </c>
      <c r="C7843" s="10" t="s">
        <v>52</v>
      </c>
      <c r="D7843" s="11">
        <v>121.54606595899845</v>
      </c>
      <c r="E7843" s="12">
        <f t="shared" si="122"/>
        <v>49281</v>
      </c>
    </row>
    <row r="7844" spans="1:5" x14ac:dyDescent="0.25">
      <c r="A7844" s="2">
        <f>IF(B7844="","",SUBTOTAL(3,$B$2:B7844))</f>
        <v>7843</v>
      </c>
      <c r="B7844" s="9" t="s">
        <v>51</v>
      </c>
      <c r="C7844" s="10" t="s">
        <v>52</v>
      </c>
      <c r="D7844" s="11">
        <v>162.0614212786646</v>
      </c>
      <c r="E7844" s="12">
        <f t="shared" si="122"/>
        <v>49282</v>
      </c>
    </row>
    <row r="7845" spans="1:5" x14ac:dyDescent="0.25">
      <c r="A7845" s="2">
        <f>IF(B7845="","",SUBTOTAL(3,$B$2:B7845))</f>
        <v>7844</v>
      </c>
      <c r="B7845" s="9" t="s">
        <v>55</v>
      </c>
      <c r="C7845" s="10" t="s">
        <v>52</v>
      </c>
      <c r="D7845" s="11">
        <v>100</v>
      </c>
      <c r="E7845" s="12">
        <f t="shared" si="122"/>
        <v>49283</v>
      </c>
    </row>
    <row r="7846" spans="1:5" x14ac:dyDescent="0.25">
      <c r="A7846" s="2">
        <f>IF(B7846="","",SUBTOTAL(3,$B$2:B7846))</f>
        <v>7845</v>
      </c>
      <c r="B7846" s="9" t="s">
        <v>55</v>
      </c>
      <c r="C7846" s="10" t="s">
        <v>52</v>
      </c>
      <c r="D7846" s="11">
        <v>140.20849999999999</v>
      </c>
      <c r="E7846" s="12">
        <f t="shared" si="122"/>
        <v>49284</v>
      </c>
    </row>
    <row r="7847" spans="1:5" x14ac:dyDescent="0.25">
      <c r="A7847" s="2">
        <f>IF(B7847="","",SUBTOTAL(3,$B$2:B7847))</f>
        <v>7846</v>
      </c>
      <c r="B7847" s="9" t="s">
        <v>55</v>
      </c>
      <c r="C7847" s="10" t="s">
        <v>52</v>
      </c>
      <c r="D7847" s="11">
        <v>1816.2750000000001</v>
      </c>
      <c r="E7847" s="12">
        <f t="shared" si="122"/>
        <v>49285</v>
      </c>
    </row>
    <row r="7848" spans="1:5" x14ac:dyDescent="0.25">
      <c r="A7848" s="2">
        <f>IF(B7848="","",SUBTOTAL(3,$B$2:B7848))</f>
        <v>7847</v>
      </c>
      <c r="B7848" s="9" t="s">
        <v>50</v>
      </c>
      <c r="C7848" s="10" t="s">
        <v>49</v>
      </c>
      <c r="D7848" s="11">
        <v>66.137566137566139</v>
      </c>
      <c r="E7848" s="12">
        <f t="shared" si="122"/>
        <v>49286</v>
      </c>
    </row>
    <row r="7849" spans="1:5" x14ac:dyDescent="0.25">
      <c r="A7849" s="2">
        <f>IF(B7849="","",SUBTOTAL(3,$B$2:B7849))</f>
        <v>7848</v>
      </c>
      <c r="B7849" s="9" t="s">
        <v>51</v>
      </c>
      <c r="C7849" s="10" t="s">
        <v>54</v>
      </c>
      <c r="D7849" s="11">
        <v>200</v>
      </c>
      <c r="E7849" s="12">
        <f t="shared" si="122"/>
        <v>49287</v>
      </c>
    </row>
    <row r="7850" spans="1:5" x14ac:dyDescent="0.25">
      <c r="A7850" s="2">
        <f>IF(B7850="","",SUBTOTAL(3,$B$2:B7850))</f>
        <v>7849</v>
      </c>
      <c r="B7850" s="9" t="s">
        <v>48</v>
      </c>
      <c r="C7850" s="10" t="s">
        <v>49</v>
      </c>
      <c r="D7850" s="11">
        <v>84.719654959950716</v>
      </c>
      <c r="E7850" s="12">
        <f t="shared" si="122"/>
        <v>49288</v>
      </c>
    </row>
    <row r="7851" spans="1:5" x14ac:dyDescent="0.25">
      <c r="A7851" s="2">
        <f>IF(B7851="","",SUBTOTAL(3,$B$2:B7851))</f>
        <v>7850</v>
      </c>
      <c r="B7851" s="9" t="s">
        <v>48</v>
      </c>
      <c r="C7851" s="10" t="s">
        <v>49</v>
      </c>
      <c r="D7851" s="11">
        <v>84.719654959950716</v>
      </c>
      <c r="E7851" s="12">
        <f t="shared" si="122"/>
        <v>49289</v>
      </c>
    </row>
    <row r="7852" spans="1:5" x14ac:dyDescent="0.25">
      <c r="A7852" s="2">
        <f>IF(B7852="","",SUBTOTAL(3,$B$2:B7852))</f>
        <v>7851</v>
      </c>
      <c r="B7852" s="9" t="s">
        <v>48</v>
      </c>
      <c r="C7852" s="10" t="s">
        <v>54</v>
      </c>
      <c r="D7852" s="11">
        <v>77.017868145409736</v>
      </c>
      <c r="E7852" s="12">
        <f t="shared" si="122"/>
        <v>49290</v>
      </c>
    </row>
    <row r="7853" spans="1:5" x14ac:dyDescent="0.25">
      <c r="A7853" s="2">
        <f>IF(B7853="","",SUBTOTAL(3,$B$2:B7853))</f>
        <v>7852</v>
      </c>
      <c r="B7853" s="9" t="s">
        <v>48</v>
      </c>
      <c r="C7853" s="10" t="s">
        <v>54</v>
      </c>
      <c r="D7853" s="11">
        <v>46.210720887245841</v>
      </c>
      <c r="E7853" s="12">
        <f t="shared" si="122"/>
        <v>49291</v>
      </c>
    </row>
    <row r="7854" spans="1:5" x14ac:dyDescent="0.25">
      <c r="A7854" s="2">
        <f>IF(B7854="","",SUBTOTAL(3,$B$2:B7854))</f>
        <v>7853</v>
      </c>
      <c r="B7854" s="9" t="s">
        <v>48</v>
      </c>
      <c r="C7854" s="10" t="s">
        <v>54</v>
      </c>
      <c r="D7854" s="11">
        <v>46.210720887245841</v>
      </c>
      <c r="E7854" s="12">
        <f t="shared" si="122"/>
        <v>49292</v>
      </c>
    </row>
    <row r="7855" spans="1:5" x14ac:dyDescent="0.25">
      <c r="A7855" s="2">
        <f>IF(B7855="","",SUBTOTAL(3,$B$2:B7855))</f>
        <v>7854</v>
      </c>
      <c r="B7855" s="9" t="s">
        <v>48</v>
      </c>
      <c r="C7855" s="10" t="s">
        <v>54</v>
      </c>
      <c r="D7855" s="11">
        <v>92.421441774491683</v>
      </c>
      <c r="E7855" s="12">
        <f t="shared" si="122"/>
        <v>49293</v>
      </c>
    </row>
    <row r="7856" spans="1:5" x14ac:dyDescent="0.25">
      <c r="A7856" s="2">
        <f>IF(B7856="","",SUBTOTAL(3,$B$2:B7856))</f>
        <v>7855</v>
      </c>
      <c r="B7856" s="9" t="s">
        <v>48</v>
      </c>
      <c r="C7856" s="10" t="s">
        <v>52</v>
      </c>
      <c r="D7856" s="11">
        <v>123.22858903265558</v>
      </c>
      <c r="E7856" s="12">
        <f t="shared" si="122"/>
        <v>49294</v>
      </c>
    </row>
    <row r="7857" spans="1:5" x14ac:dyDescent="0.25">
      <c r="A7857" s="2">
        <f>IF(B7857="","",SUBTOTAL(3,$B$2:B7857))</f>
        <v>7856</v>
      </c>
      <c r="B7857" s="9" t="s">
        <v>48</v>
      </c>
      <c r="C7857" s="10" t="s">
        <v>54</v>
      </c>
      <c r="D7857" s="11">
        <v>1.8484288354898335</v>
      </c>
      <c r="E7857" s="12">
        <f t="shared" si="122"/>
        <v>49295</v>
      </c>
    </row>
    <row r="7858" spans="1:5" x14ac:dyDescent="0.25">
      <c r="A7858" s="2">
        <f>IF(B7858="","",SUBTOTAL(3,$B$2:B7858))</f>
        <v>7857</v>
      </c>
      <c r="B7858" s="9" t="s">
        <v>50</v>
      </c>
      <c r="C7858" s="10" t="s">
        <v>52</v>
      </c>
      <c r="D7858" s="11">
        <v>22.045855379188712</v>
      </c>
      <c r="E7858" s="12">
        <f t="shared" si="122"/>
        <v>49296</v>
      </c>
    </row>
    <row r="7859" spans="1:5" x14ac:dyDescent="0.25">
      <c r="A7859" s="2">
        <f>IF(B7859="","",SUBTOTAL(3,$B$2:B7859))</f>
        <v>7858</v>
      </c>
      <c r="B7859" s="9" t="s">
        <v>51</v>
      </c>
      <c r="C7859" s="10" t="s">
        <v>49</v>
      </c>
      <c r="D7859" s="11">
        <v>52.949274594938046</v>
      </c>
      <c r="E7859" s="12">
        <f t="shared" si="122"/>
        <v>49297</v>
      </c>
    </row>
    <row r="7860" spans="1:5" x14ac:dyDescent="0.25">
      <c r="A7860" s="2">
        <f>IF(B7860="","",SUBTOTAL(3,$B$2:B7860))</f>
        <v>7859</v>
      </c>
      <c r="B7860" s="9" t="s">
        <v>51</v>
      </c>
      <c r="C7860" s="10" t="s">
        <v>54</v>
      </c>
      <c r="D7860" s="11">
        <v>47.654347135444247</v>
      </c>
      <c r="E7860" s="12">
        <f t="shared" si="122"/>
        <v>49298</v>
      </c>
    </row>
    <row r="7861" spans="1:5" x14ac:dyDescent="0.25">
      <c r="A7861" s="2">
        <f>IF(B7861="","",SUBTOTAL(3,$B$2:B7861))</f>
        <v>7860</v>
      </c>
      <c r="B7861" s="9" t="s">
        <v>50</v>
      </c>
      <c r="C7861" s="10" t="s">
        <v>49</v>
      </c>
      <c r="D7861" s="11">
        <v>1.5</v>
      </c>
      <c r="E7861" s="12">
        <f t="shared" si="122"/>
        <v>49299</v>
      </c>
    </row>
    <row r="7862" spans="1:5" x14ac:dyDescent="0.25">
      <c r="A7862" s="2">
        <f>IF(B7862="","",SUBTOTAL(3,$B$2:B7862))</f>
        <v>7861</v>
      </c>
      <c r="B7862" s="9" t="s">
        <v>53</v>
      </c>
      <c r="C7862" s="10" t="s">
        <v>52</v>
      </c>
      <c r="D7862" s="11">
        <v>91.585994669695125</v>
      </c>
      <c r="E7862" s="12">
        <f t="shared" si="122"/>
        <v>49300</v>
      </c>
    </row>
    <row r="7863" spans="1:5" x14ac:dyDescent="0.25">
      <c r="A7863" s="2">
        <f>IF(B7863="","",SUBTOTAL(3,$B$2:B7863))</f>
        <v>7862</v>
      </c>
      <c r="B7863" s="9" t="s">
        <v>51</v>
      </c>
      <c r="C7863" s="10" t="s">
        <v>49</v>
      </c>
      <c r="D7863" s="11">
        <v>21.179709837975221</v>
      </c>
      <c r="E7863" s="12">
        <f t="shared" si="122"/>
        <v>49301</v>
      </c>
    </row>
    <row r="7864" spans="1:5" x14ac:dyDescent="0.25">
      <c r="A7864" s="2">
        <f>IF(B7864="","",SUBTOTAL(3,$B$2:B7864))</f>
        <v>7863</v>
      </c>
      <c r="B7864" s="9" t="s">
        <v>55</v>
      </c>
      <c r="C7864" s="10" t="s">
        <v>52</v>
      </c>
      <c r="D7864" s="11">
        <v>100</v>
      </c>
      <c r="E7864" s="12">
        <f t="shared" si="122"/>
        <v>49302</v>
      </c>
    </row>
    <row r="7865" spans="1:5" x14ac:dyDescent="0.25">
      <c r="A7865" s="2">
        <f>IF(B7865="","",SUBTOTAL(3,$B$2:B7865))</f>
        <v>7864</v>
      </c>
      <c r="B7865" s="9" t="s">
        <v>55</v>
      </c>
      <c r="C7865" s="10" t="s">
        <v>52</v>
      </c>
      <c r="D7865" s="11">
        <v>100</v>
      </c>
      <c r="E7865" s="12">
        <f t="shared" si="122"/>
        <v>49303</v>
      </c>
    </row>
    <row r="7866" spans="1:5" x14ac:dyDescent="0.25">
      <c r="A7866" s="2">
        <f>IF(B7866="","",SUBTOTAL(3,$B$2:B7866))</f>
        <v>7865</v>
      </c>
      <c r="B7866" s="9" t="s">
        <v>48</v>
      </c>
      <c r="C7866" s="10" t="s">
        <v>52</v>
      </c>
      <c r="D7866" s="11">
        <v>123.22858903265558</v>
      </c>
      <c r="E7866" s="12">
        <f t="shared" si="122"/>
        <v>49304</v>
      </c>
    </row>
    <row r="7867" spans="1:5" x14ac:dyDescent="0.25">
      <c r="A7867" s="2">
        <f>IF(B7867="","",SUBTOTAL(3,$B$2:B7867))</f>
        <v>7866</v>
      </c>
      <c r="B7867" s="9" t="s">
        <v>48</v>
      </c>
      <c r="C7867" s="10" t="s">
        <v>49</v>
      </c>
      <c r="D7867" s="11">
        <v>77.017868145409736</v>
      </c>
      <c r="E7867" s="12">
        <f t="shared" si="122"/>
        <v>49305</v>
      </c>
    </row>
    <row r="7868" spans="1:5" x14ac:dyDescent="0.25">
      <c r="A7868" s="2">
        <f>IF(B7868="","",SUBTOTAL(3,$B$2:B7868))</f>
        <v>7867</v>
      </c>
      <c r="B7868" s="9" t="s">
        <v>48</v>
      </c>
      <c r="C7868" s="10" t="s">
        <v>52</v>
      </c>
      <c r="D7868" s="11">
        <v>41.58964879852126</v>
      </c>
      <c r="E7868" s="12">
        <f t="shared" si="122"/>
        <v>49306</v>
      </c>
    </row>
    <row r="7869" spans="1:5" x14ac:dyDescent="0.25">
      <c r="A7869" s="2">
        <f>IF(B7869="","",SUBTOTAL(3,$B$2:B7869))</f>
        <v>7868</v>
      </c>
      <c r="B7869" s="9" t="s">
        <v>48</v>
      </c>
      <c r="C7869" s="10" t="s">
        <v>56</v>
      </c>
      <c r="D7869" s="11">
        <v>92.421441774491683</v>
      </c>
      <c r="E7869" s="12">
        <f t="shared" si="122"/>
        <v>49307</v>
      </c>
    </row>
    <row r="7870" spans="1:5" x14ac:dyDescent="0.25">
      <c r="A7870" s="2">
        <f>IF(B7870="","",SUBTOTAL(3,$B$2:B7870))</f>
        <v>7869</v>
      </c>
      <c r="B7870" s="9" t="s">
        <v>55</v>
      </c>
      <c r="C7870" s="10" t="s">
        <v>52</v>
      </c>
      <c r="D7870" s="11">
        <v>39.484854267983707</v>
      </c>
      <c r="E7870" s="12">
        <f t="shared" si="122"/>
        <v>49308</v>
      </c>
    </row>
    <row r="7871" spans="1:5" x14ac:dyDescent="0.25">
      <c r="A7871" s="2">
        <f>IF(B7871="","",SUBTOTAL(3,$B$2:B7871))</f>
        <v>7870</v>
      </c>
      <c r="B7871" s="9" t="s">
        <v>55</v>
      </c>
      <c r="C7871" s="10" t="s">
        <v>52</v>
      </c>
      <c r="D7871" s="11">
        <v>100</v>
      </c>
      <c r="E7871" s="12">
        <f t="shared" si="122"/>
        <v>49309</v>
      </c>
    </row>
    <row r="7872" spans="1:5" x14ac:dyDescent="0.25">
      <c r="A7872" s="2">
        <f>IF(B7872="","",SUBTOTAL(3,$B$2:B7872))</f>
        <v>7871</v>
      </c>
      <c r="B7872" s="9" t="s">
        <v>48</v>
      </c>
      <c r="C7872" s="10" t="s">
        <v>49</v>
      </c>
      <c r="D7872" s="11">
        <v>34.470872113064452</v>
      </c>
      <c r="E7872" s="12">
        <f t="shared" si="122"/>
        <v>49310</v>
      </c>
    </row>
    <row r="7873" spans="1:5" x14ac:dyDescent="0.25">
      <c r="A7873" s="2">
        <f>IF(B7873="","",SUBTOTAL(3,$B$2:B7873))</f>
        <v>7872</v>
      </c>
      <c r="B7873" s="9" t="s">
        <v>55</v>
      </c>
      <c r="C7873" s="10" t="s">
        <v>54</v>
      </c>
      <c r="D7873" s="11">
        <v>35</v>
      </c>
      <c r="E7873" s="12">
        <f t="shared" si="122"/>
        <v>49311</v>
      </c>
    </row>
    <row r="7874" spans="1:5" x14ac:dyDescent="0.25">
      <c r="A7874" s="2">
        <f>IF(B7874="","",SUBTOTAL(3,$B$2:B7874))</f>
        <v>7873</v>
      </c>
      <c r="B7874" s="9" t="s">
        <v>48</v>
      </c>
      <c r="C7874" s="10" t="s">
        <v>49</v>
      </c>
      <c r="D7874" s="11">
        <v>51.706308169596689</v>
      </c>
      <c r="E7874" s="12">
        <f t="shared" si="122"/>
        <v>49312</v>
      </c>
    </row>
    <row r="7875" spans="1:5" x14ac:dyDescent="0.25">
      <c r="A7875" s="2">
        <f>IF(B7875="","",SUBTOTAL(3,$B$2:B7875))</f>
        <v>7874</v>
      </c>
      <c r="B7875" s="9" t="s">
        <v>48</v>
      </c>
      <c r="C7875" s="10" t="s">
        <v>52</v>
      </c>
      <c r="D7875" s="11">
        <v>36.846776973457423</v>
      </c>
      <c r="E7875" s="12">
        <f t="shared" si="122"/>
        <v>49313</v>
      </c>
    </row>
    <row r="7876" spans="1:5" x14ac:dyDescent="0.25">
      <c r="A7876" s="2">
        <f>IF(B7876="","",SUBTOTAL(3,$B$2:B7876))</f>
        <v>7875</v>
      </c>
      <c r="B7876" s="9" t="s">
        <v>50</v>
      </c>
      <c r="C7876" s="10" t="s">
        <v>52</v>
      </c>
      <c r="D7876" s="11">
        <v>77.160493827160494</v>
      </c>
      <c r="E7876" s="12">
        <f t="shared" ref="E7876:E7939" si="123">E7875+1</f>
        <v>49314</v>
      </c>
    </row>
    <row r="7877" spans="1:5" x14ac:dyDescent="0.25">
      <c r="A7877" s="2">
        <f>IF(B7877="","",SUBTOTAL(3,$B$2:B7877))</f>
        <v>7876</v>
      </c>
      <c r="B7877" s="9" t="s">
        <v>48</v>
      </c>
      <c r="C7877" s="10" t="s">
        <v>49</v>
      </c>
      <c r="D7877" s="11">
        <v>68.941744226128904</v>
      </c>
      <c r="E7877" s="12">
        <f t="shared" si="123"/>
        <v>49315</v>
      </c>
    </row>
    <row r="7878" spans="1:5" x14ac:dyDescent="0.25">
      <c r="A7878" s="2">
        <f>IF(B7878="","",SUBTOTAL(3,$B$2:B7878))</f>
        <v>7877</v>
      </c>
      <c r="B7878" s="9" t="s">
        <v>53</v>
      </c>
      <c r="C7878" s="10" t="s">
        <v>54</v>
      </c>
      <c r="D7878" s="11">
        <v>45.792997334847563</v>
      </c>
      <c r="E7878" s="12">
        <f t="shared" si="123"/>
        <v>49316</v>
      </c>
    </row>
    <row r="7879" spans="1:5" x14ac:dyDescent="0.25">
      <c r="A7879" s="2">
        <f>IF(B7879="","",SUBTOTAL(3,$B$2:B7879))</f>
        <v>7878</v>
      </c>
      <c r="B7879" s="9" t="s">
        <v>53</v>
      </c>
      <c r="C7879" s="10" t="s">
        <v>49</v>
      </c>
      <c r="D7879" s="11">
        <v>1427.6424849112075</v>
      </c>
      <c r="E7879" s="12">
        <f t="shared" si="123"/>
        <v>49317</v>
      </c>
    </row>
    <row r="7880" spans="1:5" x14ac:dyDescent="0.25">
      <c r="A7880" s="2">
        <f>IF(B7880="","",SUBTOTAL(3,$B$2:B7880))</f>
        <v>7879</v>
      </c>
      <c r="B7880" s="9" t="s">
        <v>53</v>
      </c>
      <c r="C7880" s="10" t="s">
        <v>49</v>
      </c>
      <c r="D7880" s="11">
        <v>27.475798400908538</v>
      </c>
      <c r="E7880" s="12">
        <f t="shared" si="123"/>
        <v>49318</v>
      </c>
    </row>
    <row r="7881" spans="1:5" x14ac:dyDescent="0.25">
      <c r="A7881" s="2">
        <f>IF(B7881="","",SUBTOTAL(3,$B$2:B7881))</f>
        <v>7880</v>
      </c>
      <c r="B7881" s="9" t="s">
        <v>53</v>
      </c>
      <c r="C7881" s="10" t="s">
        <v>49</v>
      </c>
      <c r="D7881" s="11">
        <v>45.792997334847563</v>
      </c>
      <c r="E7881" s="12">
        <f t="shared" si="123"/>
        <v>49319</v>
      </c>
    </row>
    <row r="7882" spans="1:5" x14ac:dyDescent="0.25">
      <c r="A7882" s="2">
        <f>IF(B7882="","",SUBTOTAL(3,$B$2:B7882))</f>
        <v>7881</v>
      </c>
      <c r="B7882" s="9" t="s">
        <v>55</v>
      </c>
      <c r="C7882" s="10" t="s">
        <v>49</v>
      </c>
      <c r="D7882" s="11">
        <v>12.301534432857077</v>
      </c>
      <c r="E7882" s="12">
        <f t="shared" si="123"/>
        <v>49320</v>
      </c>
    </row>
    <row r="7883" spans="1:5" x14ac:dyDescent="0.25">
      <c r="A7883" s="2">
        <f>IF(B7883="","",SUBTOTAL(3,$B$2:B7883))</f>
        <v>7882</v>
      </c>
      <c r="B7883" s="9" t="s">
        <v>48</v>
      </c>
      <c r="C7883" s="10" t="s">
        <v>56</v>
      </c>
      <c r="D7883" s="11">
        <v>46.210720887245841</v>
      </c>
      <c r="E7883" s="12">
        <f t="shared" si="123"/>
        <v>49321</v>
      </c>
    </row>
    <row r="7884" spans="1:5" x14ac:dyDescent="0.25">
      <c r="A7884" s="2">
        <f>IF(B7884="","",SUBTOTAL(3,$B$2:B7884))</f>
        <v>7883</v>
      </c>
      <c r="B7884" s="9" t="s">
        <v>48</v>
      </c>
      <c r="C7884" s="10" t="s">
        <v>49</v>
      </c>
      <c r="D7884" s="11">
        <v>462.10720887245844</v>
      </c>
      <c r="E7884" s="12">
        <f t="shared" si="123"/>
        <v>49322</v>
      </c>
    </row>
    <row r="7885" spans="1:5" x14ac:dyDescent="0.25">
      <c r="A7885" s="2">
        <f>IF(B7885="","",SUBTOTAL(3,$B$2:B7885))</f>
        <v>7884</v>
      </c>
      <c r="B7885" s="9" t="s">
        <v>48</v>
      </c>
      <c r="C7885" s="10" t="s">
        <v>54</v>
      </c>
      <c r="D7885" s="11">
        <v>7.7017868145409736</v>
      </c>
      <c r="E7885" s="12">
        <f t="shared" si="123"/>
        <v>49323</v>
      </c>
    </row>
    <row r="7886" spans="1:5" x14ac:dyDescent="0.25">
      <c r="A7886" s="2">
        <f>IF(B7886="","",SUBTOTAL(3,$B$2:B7886))</f>
        <v>7885</v>
      </c>
      <c r="B7886" s="9" t="s">
        <v>48</v>
      </c>
      <c r="C7886" s="10" t="s">
        <v>49</v>
      </c>
      <c r="D7886" s="11">
        <v>46.210720887245841</v>
      </c>
      <c r="E7886" s="12">
        <f t="shared" si="123"/>
        <v>49324</v>
      </c>
    </row>
    <row r="7887" spans="1:5" x14ac:dyDescent="0.25">
      <c r="A7887" s="2">
        <f>IF(B7887="","",SUBTOTAL(3,$B$2:B7887))</f>
        <v>7886</v>
      </c>
      <c r="B7887" s="9" t="s">
        <v>48</v>
      </c>
      <c r="C7887" s="10" t="s">
        <v>49</v>
      </c>
      <c r="D7887" s="11">
        <v>61.614294516327789</v>
      </c>
      <c r="E7887" s="12">
        <f t="shared" si="123"/>
        <v>49325</v>
      </c>
    </row>
    <row r="7888" spans="1:5" x14ac:dyDescent="0.25">
      <c r="A7888" s="2">
        <f>IF(B7888="","",SUBTOTAL(3,$B$2:B7888))</f>
        <v>7887</v>
      </c>
      <c r="B7888" s="9" t="s">
        <v>48</v>
      </c>
      <c r="C7888" s="10" t="s">
        <v>49</v>
      </c>
      <c r="D7888" s="11">
        <v>4.621072088724584</v>
      </c>
      <c r="E7888" s="12">
        <f t="shared" si="123"/>
        <v>49326</v>
      </c>
    </row>
    <row r="7889" spans="1:5" x14ac:dyDescent="0.25">
      <c r="A7889" s="2">
        <f>IF(B7889="","",SUBTOTAL(3,$B$2:B7889))</f>
        <v>7888</v>
      </c>
      <c r="B7889" s="9" t="s">
        <v>48</v>
      </c>
      <c r="C7889" s="10" t="s">
        <v>49</v>
      </c>
      <c r="D7889" s="11">
        <v>15.403573629081947</v>
      </c>
      <c r="E7889" s="12">
        <f t="shared" si="123"/>
        <v>49327</v>
      </c>
    </row>
    <row r="7890" spans="1:5" x14ac:dyDescent="0.25">
      <c r="A7890" s="2">
        <f>IF(B7890="","",SUBTOTAL(3,$B$2:B7890))</f>
        <v>7889</v>
      </c>
      <c r="B7890" s="9" t="s">
        <v>48</v>
      </c>
      <c r="C7890" s="10" t="s">
        <v>49</v>
      </c>
      <c r="D7890" s="11">
        <v>154.03573629081947</v>
      </c>
      <c r="E7890" s="12">
        <f t="shared" si="123"/>
        <v>49328</v>
      </c>
    </row>
    <row r="7891" spans="1:5" x14ac:dyDescent="0.25">
      <c r="A7891" s="2">
        <f>IF(B7891="","",SUBTOTAL(3,$B$2:B7891))</f>
        <v>7890</v>
      </c>
      <c r="B7891" s="9" t="s">
        <v>48</v>
      </c>
      <c r="C7891" s="10" t="s">
        <v>49</v>
      </c>
      <c r="D7891" s="11">
        <v>231.05360443622922</v>
      </c>
      <c r="E7891" s="12">
        <f t="shared" si="123"/>
        <v>49329</v>
      </c>
    </row>
    <row r="7892" spans="1:5" x14ac:dyDescent="0.25">
      <c r="A7892" s="2">
        <f>IF(B7892="","",SUBTOTAL(3,$B$2:B7892))</f>
        <v>7891</v>
      </c>
      <c r="B7892" s="9" t="s">
        <v>48</v>
      </c>
      <c r="C7892" s="10" t="s">
        <v>54</v>
      </c>
      <c r="D7892" s="11">
        <v>34.470872113064452</v>
      </c>
      <c r="E7892" s="12">
        <f t="shared" si="123"/>
        <v>49330</v>
      </c>
    </row>
    <row r="7893" spans="1:5" x14ac:dyDescent="0.25">
      <c r="A7893" s="2">
        <f>IF(B7893="","",SUBTOTAL(3,$B$2:B7893))</f>
        <v>7892</v>
      </c>
      <c r="B7893" s="9" t="s">
        <v>48</v>
      </c>
      <c r="C7893" s="10" t="s">
        <v>49</v>
      </c>
      <c r="D7893" s="11">
        <v>22.652345406190175</v>
      </c>
      <c r="E7893" s="12">
        <f t="shared" si="123"/>
        <v>49331</v>
      </c>
    </row>
    <row r="7894" spans="1:5" x14ac:dyDescent="0.25">
      <c r="A7894" s="2">
        <f>IF(B7894="","",SUBTOTAL(3,$B$2:B7894))</f>
        <v>7893</v>
      </c>
      <c r="B7894" s="9" t="s">
        <v>55</v>
      </c>
      <c r="C7894" s="10" t="s">
        <v>56</v>
      </c>
      <c r="D7894" s="11">
        <v>230.32831656323827</v>
      </c>
      <c r="E7894" s="12">
        <f t="shared" si="123"/>
        <v>49332</v>
      </c>
    </row>
    <row r="7895" spans="1:5" x14ac:dyDescent="0.25">
      <c r="A7895" s="2">
        <f>IF(B7895="","",SUBTOTAL(3,$B$2:B7895))</f>
        <v>7894</v>
      </c>
      <c r="B7895" s="9" t="s">
        <v>55</v>
      </c>
      <c r="C7895" s="10" t="s">
        <v>56</v>
      </c>
      <c r="D7895" s="11">
        <v>98.712135669959252</v>
      </c>
      <c r="E7895" s="12">
        <f t="shared" si="123"/>
        <v>49333</v>
      </c>
    </row>
    <row r="7896" spans="1:5" x14ac:dyDescent="0.25">
      <c r="A7896" s="2">
        <f>IF(B7896="","",SUBTOTAL(3,$B$2:B7896))</f>
        <v>7895</v>
      </c>
      <c r="B7896" s="9" t="s">
        <v>55</v>
      </c>
      <c r="C7896" s="10" t="s">
        <v>56</v>
      </c>
      <c r="D7896" s="11">
        <v>19.742427133991853</v>
      </c>
      <c r="E7896" s="12">
        <f t="shared" si="123"/>
        <v>49334</v>
      </c>
    </row>
    <row r="7897" spans="1:5" x14ac:dyDescent="0.25">
      <c r="A7897" s="2">
        <f>IF(B7897="","",SUBTOTAL(3,$B$2:B7897))</f>
        <v>7896</v>
      </c>
      <c r="B7897" s="9" t="s">
        <v>55</v>
      </c>
      <c r="C7897" s="10" t="s">
        <v>56</v>
      </c>
      <c r="D7897" s="11">
        <v>658.08090446639505</v>
      </c>
      <c r="E7897" s="12">
        <f t="shared" si="123"/>
        <v>49335</v>
      </c>
    </row>
    <row r="7898" spans="1:5" x14ac:dyDescent="0.25">
      <c r="A7898" s="2">
        <f>IF(B7898="","",SUBTOTAL(3,$B$2:B7898))</f>
        <v>7897</v>
      </c>
      <c r="B7898" s="9" t="s">
        <v>48</v>
      </c>
      <c r="C7898" s="10" t="s">
        <v>49</v>
      </c>
      <c r="D7898" s="11">
        <v>22.652345406190175</v>
      </c>
      <c r="E7898" s="12">
        <f t="shared" si="123"/>
        <v>49336</v>
      </c>
    </row>
    <row r="7899" spans="1:5" x14ac:dyDescent="0.25">
      <c r="A7899" s="2">
        <f>IF(B7899="","",SUBTOTAL(3,$B$2:B7899))</f>
        <v>7898</v>
      </c>
      <c r="B7899" s="9" t="s">
        <v>48</v>
      </c>
      <c r="C7899" s="10" t="s">
        <v>56</v>
      </c>
      <c r="D7899" s="11">
        <v>46.210720887245841</v>
      </c>
      <c r="E7899" s="12">
        <f t="shared" si="123"/>
        <v>49337</v>
      </c>
    </row>
    <row r="7900" spans="1:5" x14ac:dyDescent="0.25">
      <c r="A7900" s="2">
        <f>IF(B7900="","",SUBTOTAL(3,$B$2:B7900))</f>
        <v>7899</v>
      </c>
      <c r="B7900" s="9" t="s">
        <v>51</v>
      </c>
      <c r="C7900" s="10" t="s">
        <v>52</v>
      </c>
      <c r="D7900" s="11">
        <v>22.23869532987398</v>
      </c>
      <c r="E7900" s="12">
        <f t="shared" si="123"/>
        <v>49338</v>
      </c>
    </row>
    <row r="7901" spans="1:5" x14ac:dyDescent="0.25">
      <c r="A7901" s="2">
        <f>IF(B7901="","",SUBTOTAL(3,$B$2:B7901))</f>
        <v>7900</v>
      </c>
      <c r="B7901" s="9" t="s">
        <v>48</v>
      </c>
      <c r="C7901" s="10" t="s">
        <v>49</v>
      </c>
      <c r="D7901" s="11">
        <v>61.614294516327789</v>
      </c>
      <c r="E7901" s="12">
        <f t="shared" si="123"/>
        <v>49339</v>
      </c>
    </row>
    <row r="7902" spans="1:5" x14ac:dyDescent="0.25">
      <c r="A7902" s="2">
        <f>IF(B7902="","",SUBTOTAL(3,$B$2:B7902))</f>
        <v>7901</v>
      </c>
      <c r="B7902" s="9" t="s">
        <v>48</v>
      </c>
      <c r="C7902" s="10" t="s">
        <v>49</v>
      </c>
      <c r="D7902" s="11">
        <v>30.807147258163894</v>
      </c>
      <c r="E7902" s="12">
        <f t="shared" si="123"/>
        <v>49340</v>
      </c>
    </row>
    <row r="7903" spans="1:5" x14ac:dyDescent="0.25">
      <c r="A7903" s="2">
        <f>IF(B7903="","",SUBTOTAL(3,$B$2:B7903))</f>
        <v>7902</v>
      </c>
      <c r="B7903" s="9" t="s">
        <v>48</v>
      </c>
      <c r="C7903" s="10" t="s">
        <v>52</v>
      </c>
      <c r="D7903" s="11">
        <v>51.392083049606214</v>
      </c>
      <c r="E7903" s="12">
        <f t="shared" si="123"/>
        <v>49341</v>
      </c>
    </row>
    <row r="7904" spans="1:5" x14ac:dyDescent="0.25">
      <c r="A7904" s="2">
        <f>IF(B7904="","",SUBTOTAL(3,$B$2:B7904))</f>
        <v>7903</v>
      </c>
      <c r="B7904" s="9" t="s">
        <v>51</v>
      </c>
      <c r="C7904" s="10" t="s">
        <v>54</v>
      </c>
      <c r="D7904" s="11">
        <v>63.539129513925651</v>
      </c>
      <c r="E7904" s="12">
        <f t="shared" si="123"/>
        <v>49342</v>
      </c>
    </row>
    <row r="7905" spans="1:5" x14ac:dyDescent="0.25">
      <c r="A7905" s="2">
        <f>IF(B7905="","",SUBTOTAL(3,$B$2:B7905))</f>
        <v>7904</v>
      </c>
      <c r="B7905" s="9" t="s">
        <v>51</v>
      </c>
      <c r="C7905" s="10" t="s">
        <v>52</v>
      </c>
      <c r="D7905" s="11">
        <v>47.654347135444247</v>
      </c>
      <c r="E7905" s="12">
        <f t="shared" si="123"/>
        <v>49343</v>
      </c>
    </row>
    <row r="7906" spans="1:5" x14ac:dyDescent="0.25">
      <c r="A7906" s="2">
        <f>IF(B7906="","",SUBTOTAL(3,$B$2:B7906))</f>
        <v>7905</v>
      </c>
      <c r="B7906" s="9" t="s">
        <v>50</v>
      </c>
      <c r="C7906" s="10" t="s">
        <v>49</v>
      </c>
      <c r="D7906" s="11">
        <v>143.56102292768961</v>
      </c>
      <c r="E7906" s="12">
        <f t="shared" si="123"/>
        <v>49344</v>
      </c>
    </row>
    <row r="7907" spans="1:5" x14ac:dyDescent="0.25">
      <c r="A7907" s="2">
        <f>IF(B7907="","",SUBTOTAL(3,$B$2:B7907))</f>
        <v>7906</v>
      </c>
      <c r="B7907" s="9" t="s">
        <v>55</v>
      </c>
      <c r="C7907" s="10" t="s">
        <v>52</v>
      </c>
      <c r="D7907" s="11">
        <v>64.985489316056515</v>
      </c>
      <c r="E7907" s="12">
        <f t="shared" si="123"/>
        <v>49345</v>
      </c>
    </row>
    <row r="7908" spans="1:5" x14ac:dyDescent="0.25">
      <c r="A7908" s="2">
        <f>IF(B7908="","",SUBTOTAL(3,$B$2:B7908))</f>
        <v>7907</v>
      </c>
      <c r="B7908" s="9" t="s">
        <v>50</v>
      </c>
      <c r="C7908" s="10" t="s">
        <v>49</v>
      </c>
      <c r="D7908" s="11">
        <v>204.58553791887127</v>
      </c>
      <c r="E7908" s="12">
        <f t="shared" si="123"/>
        <v>49346</v>
      </c>
    </row>
    <row r="7909" spans="1:5" x14ac:dyDescent="0.25">
      <c r="A7909" s="2">
        <f>IF(B7909="","",SUBTOTAL(3,$B$2:B7909))</f>
        <v>7908</v>
      </c>
      <c r="B7909" s="9" t="s">
        <v>48</v>
      </c>
      <c r="C7909" s="10" t="s">
        <v>54</v>
      </c>
      <c r="D7909" s="11">
        <v>20.682523267838675</v>
      </c>
      <c r="E7909" s="12">
        <f t="shared" si="123"/>
        <v>49347</v>
      </c>
    </row>
    <row r="7910" spans="1:5" x14ac:dyDescent="0.25">
      <c r="A7910" s="2">
        <f>IF(B7910="","",SUBTOTAL(3,$B$2:B7910))</f>
        <v>7909</v>
      </c>
      <c r="B7910" s="9" t="s">
        <v>55</v>
      </c>
      <c r="C7910" s="10" t="s">
        <v>56</v>
      </c>
      <c r="D7910" s="11">
        <v>32.904045223319756</v>
      </c>
      <c r="E7910" s="12">
        <f t="shared" si="123"/>
        <v>49348</v>
      </c>
    </row>
    <row r="7911" spans="1:5" x14ac:dyDescent="0.25">
      <c r="A7911" s="2">
        <f>IF(B7911="","",SUBTOTAL(3,$B$2:B7911))</f>
        <v>7910</v>
      </c>
      <c r="B7911" s="9" t="s">
        <v>55</v>
      </c>
      <c r="C7911" s="10" t="s">
        <v>56</v>
      </c>
      <c r="D7911" s="11">
        <v>49.356067834979626</v>
      </c>
      <c r="E7911" s="12">
        <f t="shared" si="123"/>
        <v>49349</v>
      </c>
    </row>
    <row r="7912" spans="1:5" x14ac:dyDescent="0.25">
      <c r="A7912" s="2">
        <f>IF(B7912="","",SUBTOTAL(3,$B$2:B7912))</f>
        <v>7911</v>
      </c>
      <c r="B7912" s="9" t="s">
        <v>55</v>
      </c>
      <c r="C7912" s="10" t="s">
        <v>56</v>
      </c>
      <c r="D7912" s="11">
        <v>329.04045223319753</v>
      </c>
      <c r="E7912" s="12">
        <f t="shared" si="123"/>
        <v>49350</v>
      </c>
    </row>
    <row r="7913" spans="1:5" x14ac:dyDescent="0.25">
      <c r="A7913" s="2">
        <f>IF(B7913="","",SUBTOTAL(3,$B$2:B7913))</f>
        <v>7912</v>
      </c>
      <c r="B7913" s="9" t="s">
        <v>48</v>
      </c>
      <c r="C7913" s="10" t="s">
        <v>52</v>
      </c>
      <c r="D7913" s="11">
        <v>102.78416609921243</v>
      </c>
      <c r="E7913" s="12">
        <f t="shared" si="123"/>
        <v>49351</v>
      </c>
    </row>
    <row r="7914" spans="1:5" x14ac:dyDescent="0.25">
      <c r="A7914" s="2">
        <f>IF(B7914="","",SUBTOTAL(3,$B$2:B7914))</f>
        <v>7913</v>
      </c>
      <c r="B7914" s="9" t="s">
        <v>48</v>
      </c>
      <c r="C7914" s="10" t="s">
        <v>49</v>
      </c>
      <c r="D7914" s="11">
        <v>25.696041524803107</v>
      </c>
      <c r="E7914" s="12">
        <f t="shared" si="123"/>
        <v>49352</v>
      </c>
    </row>
    <row r="7915" spans="1:5" x14ac:dyDescent="0.25">
      <c r="A7915" s="2">
        <f>IF(B7915="","",SUBTOTAL(3,$B$2:B7915))</f>
        <v>7914</v>
      </c>
      <c r="B7915" s="9" t="s">
        <v>51</v>
      </c>
      <c r="C7915" s="10" t="s">
        <v>56</v>
      </c>
      <c r="D7915" s="11">
        <v>31.769564756962826</v>
      </c>
      <c r="E7915" s="12">
        <f t="shared" si="123"/>
        <v>49353</v>
      </c>
    </row>
    <row r="7916" spans="1:5" x14ac:dyDescent="0.25">
      <c r="A7916" s="2">
        <f>IF(B7916="","",SUBTOTAL(3,$B$2:B7916))</f>
        <v>7915</v>
      </c>
      <c r="B7916" s="9" t="s">
        <v>50</v>
      </c>
      <c r="C7916" s="10" t="s">
        <v>49</v>
      </c>
      <c r="D7916" s="11">
        <v>119.47089947089947</v>
      </c>
      <c r="E7916" s="12">
        <f t="shared" si="123"/>
        <v>49354</v>
      </c>
    </row>
    <row r="7917" spans="1:5" x14ac:dyDescent="0.25">
      <c r="A7917" s="2">
        <f>IF(B7917="","",SUBTOTAL(3,$B$2:B7917))</f>
        <v>7916</v>
      </c>
      <c r="B7917" s="9" t="s">
        <v>55</v>
      </c>
      <c r="C7917" s="10" t="s">
        <v>49</v>
      </c>
      <c r="D7917" s="11">
        <v>3.2589212970506763E-3</v>
      </c>
      <c r="E7917" s="12">
        <f t="shared" si="123"/>
        <v>49355</v>
      </c>
    </row>
    <row r="7918" spans="1:5" x14ac:dyDescent="0.25">
      <c r="A7918" s="2">
        <f>IF(B7918="","",SUBTOTAL(3,$B$2:B7918))</f>
        <v>7917</v>
      </c>
      <c r="B7918" s="9" t="s">
        <v>48</v>
      </c>
      <c r="C7918" s="10" t="s">
        <v>54</v>
      </c>
      <c r="D7918" s="11">
        <v>15.403573629081947</v>
      </c>
      <c r="E7918" s="12">
        <f t="shared" si="123"/>
        <v>49356</v>
      </c>
    </row>
    <row r="7919" spans="1:5" x14ac:dyDescent="0.25">
      <c r="A7919" s="2">
        <f>IF(B7919="","",SUBTOTAL(3,$B$2:B7919))</f>
        <v>7918</v>
      </c>
      <c r="B7919" s="9" t="s">
        <v>51</v>
      </c>
      <c r="C7919" s="10" t="s">
        <v>49</v>
      </c>
      <c r="D7919" s="11">
        <v>158.84782378481412</v>
      </c>
      <c r="E7919" s="12">
        <f t="shared" si="123"/>
        <v>49357</v>
      </c>
    </row>
    <row r="7920" spans="1:5" x14ac:dyDescent="0.25">
      <c r="A7920" s="2">
        <f>IF(B7920="","",SUBTOTAL(3,$B$2:B7920))</f>
        <v>7919</v>
      </c>
      <c r="B7920" s="9" t="s">
        <v>48</v>
      </c>
      <c r="C7920" s="10" t="s">
        <v>49</v>
      </c>
      <c r="D7920" s="11">
        <v>100.12322858903266</v>
      </c>
      <c r="E7920" s="12">
        <f t="shared" si="123"/>
        <v>49358</v>
      </c>
    </row>
    <row r="7921" spans="1:5" x14ac:dyDescent="0.25">
      <c r="A7921" s="2">
        <f>IF(B7921="","",SUBTOTAL(3,$B$2:B7921))</f>
        <v>7920</v>
      </c>
      <c r="B7921" s="9" t="s">
        <v>51</v>
      </c>
      <c r="C7921" s="10" t="s">
        <v>54</v>
      </c>
      <c r="D7921" s="11">
        <v>50</v>
      </c>
      <c r="E7921" s="12">
        <f t="shared" si="123"/>
        <v>49359</v>
      </c>
    </row>
    <row r="7922" spans="1:5" x14ac:dyDescent="0.25">
      <c r="A7922" s="2">
        <f>IF(B7922="","",SUBTOTAL(3,$B$2:B7922))</f>
        <v>7921</v>
      </c>
      <c r="B7922" s="9" t="s">
        <v>55</v>
      </c>
      <c r="C7922" s="10" t="s">
        <v>49</v>
      </c>
      <c r="D7922" s="11">
        <v>1.407528108196187</v>
      </c>
      <c r="E7922" s="12">
        <f t="shared" si="123"/>
        <v>49360</v>
      </c>
    </row>
    <row r="7923" spans="1:5" x14ac:dyDescent="0.25">
      <c r="A7923" s="2">
        <f>IF(B7923="","",SUBTOTAL(3,$B$2:B7923))</f>
        <v>7922</v>
      </c>
      <c r="B7923" s="9" t="s">
        <v>53</v>
      </c>
      <c r="C7923" s="10" t="s">
        <v>49</v>
      </c>
      <c r="D7923" s="11">
        <v>91.585994669695125</v>
      </c>
      <c r="E7923" s="12">
        <f t="shared" si="123"/>
        <v>49361</v>
      </c>
    </row>
    <row r="7924" spans="1:5" x14ac:dyDescent="0.25">
      <c r="A7924" s="2">
        <f>IF(B7924="","",SUBTOTAL(3,$B$2:B7924))</f>
        <v>7923</v>
      </c>
      <c r="B7924" s="9" t="s">
        <v>50</v>
      </c>
      <c r="C7924" s="10" t="s">
        <v>54</v>
      </c>
      <c r="D7924" s="11">
        <v>44.091710758377424</v>
      </c>
      <c r="E7924" s="12">
        <f t="shared" si="123"/>
        <v>49362</v>
      </c>
    </row>
    <row r="7925" spans="1:5" x14ac:dyDescent="0.25">
      <c r="A7925" s="2">
        <f>IF(B7925="","",SUBTOTAL(3,$B$2:B7925))</f>
        <v>7924</v>
      </c>
      <c r="B7925" s="9" t="s">
        <v>48</v>
      </c>
      <c r="C7925" s="10" t="s">
        <v>49</v>
      </c>
      <c r="D7925" s="11">
        <v>46.210720887245841</v>
      </c>
      <c r="E7925" s="12">
        <f t="shared" si="123"/>
        <v>49363</v>
      </c>
    </row>
    <row r="7926" spans="1:5" x14ac:dyDescent="0.25">
      <c r="A7926" s="2">
        <f>IF(B7926="","",SUBTOTAL(3,$B$2:B7926))</f>
        <v>7925</v>
      </c>
      <c r="B7926" s="9" t="s">
        <v>48</v>
      </c>
      <c r="C7926" s="10" t="s">
        <v>49</v>
      </c>
      <c r="D7926" s="11">
        <v>51.392083049606214</v>
      </c>
      <c r="E7926" s="12">
        <f t="shared" si="123"/>
        <v>49364</v>
      </c>
    </row>
    <row r="7927" spans="1:5" x14ac:dyDescent="0.25">
      <c r="A7927" s="2">
        <f>IF(B7927="","",SUBTOTAL(3,$B$2:B7927))</f>
        <v>7926</v>
      </c>
      <c r="B7927" s="9" t="s">
        <v>51</v>
      </c>
      <c r="C7927" s="10" t="s">
        <v>54</v>
      </c>
      <c r="D7927" s="11">
        <v>84.718839351900883</v>
      </c>
      <c r="E7927" s="12">
        <f t="shared" si="123"/>
        <v>49365</v>
      </c>
    </row>
    <row r="7928" spans="1:5" x14ac:dyDescent="0.25">
      <c r="A7928" s="2">
        <f>IF(B7928="","",SUBTOTAL(3,$B$2:B7928))</f>
        <v>7927</v>
      </c>
      <c r="B7928" s="9" t="s">
        <v>48</v>
      </c>
      <c r="C7928" s="10" t="s">
        <v>49</v>
      </c>
      <c r="D7928" s="11">
        <v>38.508934072704868</v>
      </c>
      <c r="E7928" s="12">
        <f t="shared" si="123"/>
        <v>49366</v>
      </c>
    </row>
    <row r="7929" spans="1:5" x14ac:dyDescent="0.25">
      <c r="A7929" s="2">
        <f>IF(B7929="","",SUBTOTAL(3,$B$2:B7929))</f>
        <v>7928</v>
      </c>
      <c r="B7929" s="9" t="s">
        <v>48</v>
      </c>
      <c r="C7929" s="10" t="s">
        <v>52</v>
      </c>
      <c r="D7929" s="11">
        <v>123.22858903265558</v>
      </c>
      <c r="E7929" s="12">
        <f t="shared" si="123"/>
        <v>49367</v>
      </c>
    </row>
    <row r="7930" spans="1:5" x14ac:dyDescent="0.25">
      <c r="A7930" s="2">
        <f>IF(B7930="","",SUBTOTAL(3,$B$2:B7930))</f>
        <v>7929</v>
      </c>
      <c r="B7930" s="9" t="s">
        <v>48</v>
      </c>
      <c r="C7930" s="10" t="s">
        <v>56</v>
      </c>
      <c r="D7930" s="11">
        <v>4621.0720887245843</v>
      </c>
      <c r="E7930" s="12">
        <f t="shared" si="123"/>
        <v>49368</v>
      </c>
    </row>
    <row r="7931" spans="1:5" x14ac:dyDescent="0.25">
      <c r="A7931" s="2">
        <f>IF(B7931="","",SUBTOTAL(3,$B$2:B7931))</f>
        <v>7930</v>
      </c>
      <c r="B7931" s="9" t="s">
        <v>51</v>
      </c>
      <c r="C7931" s="10" t="s">
        <v>49</v>
      </c>
      <c r="D7931" s="11">
        <v>81.030710639332298</v>
      </c>
      <c r="E7931" s="12">
        <f t="shared" si="123"/>
        <v>49369</v>
      </c>
    </row>
    <row r="7932" spans="1:5" x14ac:dyDescent="0.25">
      <c r="A7932" s="2">
        <f>IF(B7932="","",SUBTOTAL(3,$B$2:B7932))</f>
        <v>7931</v>
      </c>
      <c r="B7932" s="9" t="s">
        <v>50</v>
      </c>
      <c r="C7932" s="10" t="s">
        <v>49</v>
      </c>
      <c r="D7932" s="11">
        <v>21.274250440917108</v>
      </c>
      <c r="E7932" s="12">
        <f t="shared" si="123"/>
        <v>49370</v>
      </c>
    </row>
    <row r="7933" spans="1:5" x14ac:dyDescent="0.25">
      <c r="A7933" s="2">
        <f>IF(B7933="","",SUBTOTAL(3,$B$2:B7933))</f>
        <v>7932</v>
      </c>
      <c r="B7933" s="9" t="s">
        <v>48</v>
      </c>
      <c r="C7933" s="10" t="s">
        <v>56</v>
      </c>
      <c r="D7933" s="11">
        <v>25.696041524803107</v>
      </c>
      <c r="E7933" s="12">
        <f t="shared" si="123"/>
        <v>49371</v>
      </c>
    </row>
    <row r="7934" spans="1:5" x14ac:dyDescent="0.25">
      <c r="A7934" s="2">
        <f>IF(B7934="","",SUBTOTAL(3,$B$2:B7934))</f>
        <v>7933</v>
      </c>
      <c r="B7934" s="9" t="s">
        <v>55</v>
      </c>
      <c r="C7934" s="10" t="s">
        <v>54</v>
      </c>
      <c r="D7934" s="11">
        <v>256.7806130637137</v>
      </c>
      <c r="E7934" s="12">
        <f t="shared" si="123"/>
        <v>49372</v>
      </c>
    </row>
    <row r="7935" spans="1:5" x14ac:dyDescent="0.25">
      <c r="A7935" s="2">
        <f>IF(B7935="","",SUBTOTAL(3,$B$2:B7935))</f>
        <v>7934</v>
      </c>
      <c r="B7935" s="9" t="s">
        <v>50</v>
      </c>
      <c r="C7935" s="10" t="s">
        <v>52</v>
      </c>
      <c r="D7935" s="11">
        <v>33.06878306878307</v>
      </c>
      <c r="E7935" s="12">
        <f t="shared" si="123"/>
        <v>49373</v>
      </c>
    </row>
    <row r="7936" spans="1:5" x14ac:dyDescent="0.25">
      <c r="A7936" s="2">
        <f>IF(B7936="","",SUBTOTAL(3,$B$2:B7936))</f>
        <v>7935</v>
      </c>
      <c r="B7936" s="9" t="s">
        <v>48</v>
      </c>
      <c r="C7936" s="10" t="s">
        <v>56</v>
      </c>
      <c r="D7936" s="11">
        <v>25.696041524803107</v>
      </c>
      <c r="E7936" s="12">
        <f t="shared" si="123"/>
        <v>49374</v>
      </c>
    </row>
    <row r="7937" spans="1:5" x14ac:dyDescent="0.25">
      <c r="A7937" s="2">
        <f>IF(B7937="","",SUBTOTAL(3,$B$2:B7937))</f>
        <v>7936</v>
      </c>
      <c r="B7937" s="9" t="s">
        <v>51</v>
      </c>
      <c r="C7937" s="10" t="s">
        <v>54</v>
      </c>
      <c r="D7937" s="11">
        <v>40.515355319666149</v>
      </c>
      <c r="E7937" s="12">
        <f t="shared" si="123"/>
        <v>49375</v>
      </c>
    </row>
    <row r="7938" spans="1:5" x14ac:dyDescent="0.25">
      <c r="A7938" s="2">
        <f>IF(B7938="","",SUBTOTAL(3,$B$2:B7938))</f>
        <v>7937</v>
      </c>
      <c r="B7938" s="9" t="s">
        <v>50</v>
      </c>
      <c r="C7938" s="10" t="s">
        <v>49</v>
      </c>
      <c r="D7938" s="11">
        <v>55.114638447971785</v>
      </c>
      <c r="E7938" s="12">
        <f t="shared" si="123"/>
        <v>49376</v>
      </c>
    </row>
    <row r="7939" spans="1:5" x14ac:dyDescent="0.25">
      <c r="A7939" s="2">
        <f>IF(B7939="","",SUBTOTAL(3,$B$2:B7939))</f>
        <v>7938</v>
      </c>
      <c r="B7939" s="9" t="s">
        <v>50</v>
      </c>
      <c r="C7939" s="10" t="s">
        <v>49</v>
      </c>
      <c r="D7939" s="11">
        <v>110.22927689594357</v>
      </c>
      <c r="E7939" s="12">
        <f t="shared" si="123"/>
        <v>49377</v>
      </c>
    </row>
    <row r="7940" spans="1:5" x14ac:dyDescent="0.25">
      <c r="A7940" s="2">
        <f>IF(B7940="","",SUBTOTAL(3,$B$2:B7940))</f>
        <v>7939</v>
      </c>
      <c r="B7940" s="9" t="s">
        <v>55</v>
      </c>
      <c r="C7940" s="10" t="s">
        <v>52</v>
      </c>
      <c r="D7940" s="11">
        <v>100</v>
      </c>
      <c r="E7940" s="12">
        <f t="shared" ref="E7940:E8003" si="124">E7939+1</f>
        <v>49378</v>
      </c>
    </row>
    <row r="7941" spans="1:5" x14ac:dyDescent="0.25">
      <c r="A7941" s="2">
        <f>IF(B7941="","",SUBTOTAL(3,$B$2:B7941))</f>
        <v>7940</v>
      </c>
      <c r="B7941" s="9" t="s">
        <v>51</v>
      </c>
      <c r="C7941" s="10" t="s">
        <v>52</v>
      </c>
      <c r="D7941" s="11">
        <v>0.1058985491898761</v>
      </c>
      <c r="E7941" s="12">
        <f t="shared" si="124"/>
        <v>49379</v>
      </c>
    </row>
    <row r="7942" spans="1:5" x14ac:dyDescent="0.25">
      <c r="A7942" s="2">
        <f>IF(B7942="","",SUBTOTAL(3,$B$2:B7942))</f>
        <v>7941</v>
      </c>
      <c r="B7942" s="9" t="s">
        <v>48</v>
      </c>
      <c r="C7942" s="10" t="s">
        <v>56</v>
      </c>
      <c r="D7942" s="11">
        <v>38.54406228720466</v>
      </c>
      <c r="E7942" s="12">
        <f t="shared" si="124"/>
        <v>49380</v>
      </c>
    </row>
    <row r="7943" spans="1:5" x14ac:dyDescent="0.25">
      <c r="A7943" s="2">
        <f>IF(B7943="","",SUBTOTAL(3,$B$2:B7943))</f>
        <v>7942</v>
      </c>
      <c r="B7943" s="9" t="s">
        <v>50</v>
      </c>
      <c r="C7943" s="10" t="s">
        <v>49</v>
      </c>
      <c r="D7943" s="11">
        <v>97.001763668430343</v>
      </c>
      <c r="E7943" s="12">
        <f t="shared" si="124"/>
        <v>49381</v>
      </c>
    </row>
    <row r="7944" spans="1:5" x14ac:dyDescent="0.25">
      <c r="A7944" s="2">
        <f>IF(B7944="","",SUBTOTAL(3,$B$2:B7944))</f>
        <v>7943</v>
      </c>
      <c r="B7944" s="9" t="s">
        <v>48</v>
      </c>
      <c r="C7944" s="10" t="s">
        <v>56</v>
      </c>
      <c r="D7944" s="11">
        <v>539.12507701786819</v>
      </c>
      <c r="E7944" s="12">
        <f t="shared" si="124"/>
        <v>49382</v>
      </c>
    </row>
    <row r="7945" spans="1:5" x14ac:dyDescent="0.25">
      <c r="A7945" s="2">
        <f>IF(B7945="","",SUBTOTAL(3,$B$2:B7945))</f>
        <v>7944</v>
      </c>
      <c r="B7945" s="9" t="s">
        <v>51</v>
      </c>
      <c r="C7945" s="10" t="s">
        <v>56</v>
      </c>
      <c r="D7945" s="11">
        <v>52.949274594938046</v>
      </c>
      <c r="E7945" s="12">
        <f t="shared" si="124"/>
        <v>49383</v>
      </c>
    </row>
    <row r="7946" spans="1:5" x14ac:dyDescent="0.25">
      <c r="A7946" s="2">
        <f>IF(B7946="","",SUBTOTAL(3,$B$2:B7946))</f>
        <v>7945</v>
      </c>
      <c r="B7946" s="9" t="s">
        <v>48</v>
      </c>
      <c r="C7946" s="10" t="s">
        <v>49</v>
      </c>
      <c r="D7946" s="11">
        <v>3.3887861983980283</v>
      </c>
      <c r="E7946" s="12">
        <f t="shared" si="124"/>
        <v>49384</v>
      </c>
    </row>
    <row r="7947" spans="1:5" x14ac:dyDescent="0.25">
      <c r="A7947" s="2">
        <f>IF(B7947="","",SUBTOTAL(3,$B$2:B7947))</f>
        <v>7946</v>
      </c>
      <c r="B7947" s="9" t="s">
        <v>48</v>
      </c>
      <c r="C7947" s="10" t="s">
        <v>49</v>
      </c>
      <c r="D7947" s="11">
        <v>4.61538</v>
      </c>
      <c r="E7947" s="12">
        <f t="shared" si="124"/>
        <v>49385</v>
      </c>
    </row>
    <row r="7948" spans="1:5" x14ac:dyDescent="0.25">
      <c r="A7948" s="2">
        <f>IF(B7948="","",SUBTOTAL(3,$B$2:B7948))</f>
        <v>7947</v>
      </c>
      <c r="B7948" s="9" t="s">
        <v>48</v>
      </c>
      <c r="C7948" s="10" t="s">
        <v>56</v>
      </c>
      <c r="D7948" s="11">
        <v>46.210720887245841</v>
      </c>
      <c r="E7948" s="12">
        <f t="shared" si="124"/>
        <v>49386</v>
      </c>
    </row>
    <row r="7949" spans="1:5" x14ac:dyDescent="0.25">
      <c r="A7949" s="2">
        <f>IF(B7949="","",SUBTOTAL(3,$B$2:B7949))</f>
        <v>7948</v>
      </c>
      <c r="B7949" s="9" t="s">
        <v>50</v>
      </c>
      <c r="C7949" s="10" t="s">
        <v>49</v>
      </c>
      <c r="D7949" s="11">
        <v>144.3241622574956</v>
      </c>
      <c r="E7949" s="12">
        <f t="shared" si="124"/>
        <v>49387</v>
      </c>
    </row>
    <row r="7950" spans="1:5" x14ac:dyDescent="0.25">
      <c r="A7950" s="2">
        <f>IF(B7950="","",SUBTOTAL(3,$B$2:B7950))</f>
        <v>7949</v>
      </c>
      <c r="B7950" s="9" t="s">
        <v>50</v>
      </c>
      <c r="C7950" s="10" t="s">
        <v>49</v>
      </c>
      <c r="D7950" s="11">
        <v>1102.2927689594355</v>
      </c>
      <c r="E7950" s="12">
        <f t="shared" si="124"/>
        <v>49388</v>
      </c>
    </row>
    <row r="7951" spans="1:5" x14ac:dyDescent="0.25">
      <c r="A7951" s="2">
        <f>IF(B7951="","",SUBTOTAL(3,$B$2:B7951))</f>
        <v>7950</v>
      </c>
      <c r="B7951" s="9" t="s">
        <v>51</v>
      </c>
      <c r="C7951" s="10" t="s">
        <v>54</v>
      </c>
      <c r="D7951" s="11">
        <v>1.0589854918987609</v>
      </c>
      <c r="E7951" s="12">
        <f t="shared" si="124"/>
        <v>49389</v>
      </c>
    </row>
    <row r="7952" spans="1:5" x14ac:dyDescent="0.25">
      <c r="A7952" s="2">
        <f>IF(B7952="","",SUBTOTAL(3,$B$2:B7952))</f>
        <v>7951</v>
      </c>
      <c r="B7952" s="9" t="s">
        <v>50</v>
      </c>
      <c r="C7952" s="10" t="s">
        <v>49</v>
      </c>
      <c r="D7952" s="11">
        <v>19.841269841269842</v>
      </c>
      <c r="E7952" s="12">
        <f t="shared" si="124"/>
        <v>49390</v>
      </c>
    </row>
    <row r="7953" spans="1:5" x14ac:dyDescent="0.25">
      <c r="A7953" s="2">
        <f>IF(B7953="","",SUBTOTAL(3,$B$2:B7953))</f>
        <v>7952</v>
      </c>
      <c r="B7953" s="9" t="s">
        <v>50</v>
      </c>
      <c r="C7953" s="10" t="s">
        <v>54</v>
      </c>
      <c r="D7953" s="11">
        <v>85.978835978835974</v>
      </c>
      <c r="E7953" s="12">
        <f t="shared" si="124"/>
        <v>49391</v>
      </c>
    </row>
    <row r="7954" spans="1:5" x14ac:dyDescent="0.25">
      <c r="A7954" s="2">
        <f>IF(B7954="","",SUBTOTAL(3,$B$2:B7954))</f>
        <v>7953</v>
      </c>
      <c r="B7954" s="9" t="s">
        <v>50</v>
      </c>
      <c r="C7954" s="10" t="s">
        <v>49</v>
      </c>
      <c r="D7954" s="11">
        <v>35.273368606701936</v>
      </c>
      <c r="E7954" s="12">
        <f t="shared" si="124"/>
        <v>49392</v>
      </c>
    </row>
    <row r="7955" spans="1:5" x14ac:dyDescent="0.25">
      <c r="A7955" s="2">
        <f>IF(B7955="","",SUBTOTAL(3,$B$2:B7955))</f>
        <v>7954</v>
      </c>
      <c r="B7955" s="9" t="s">
        <v>50</v>
      </c>
      <c r="C7955" s="10" t="s">
        <v>52</v>
      </c>
      <c r="D7955" s="11">
        <v>99.206349206349202</v>
      </c>
      <c r="E7955" s="12">
        <f t="shared" si="124"/>
        <v>49393</v>
      </c>
    </row>
    <row r="7956" spans="1:5" x14ac:dyDescent="0.25">
      <c r="A7956" s="2">
        <f>IF(B7956="","",SUBTOTAL(3,$B$2:B7956))</f>
        <v>7955</v>
      </c>
      <c r="B7956" s="9" t="s">
        <v>50</v>
      </c>
      <c r="C7956" s="10" t="s">
        <v>52</v>
      </c>
      <c r="D7956" s="11">
        <v>99.206349206349202</v>
      </c>
      <c r="E7956" s="12">
        <f t="shared" si="124"/>
        <v>49394</v>
      </c>
    </row>
    <row r="7957" spans="1:5" x14ac:dyDescent="0.25">
      <c r="A7957" s="2">
        <f>IF(B7957="","",SUBTOTAL(3,$B$2:B7957))</f>
        <v>7956</v>
      </c>
      <c r="B7957" s="9" t="s">
        <v>55</v>
      </c>
      <c r="C7957" s="10" t="s">
        <v>54</v>
      </c>
      <c r="D7957" s="11">
        <v>48.75</v>
      </c>
      <c r="E7957" s="12">
        <f t="shared" si="124"/>
        <v>49395</v>
      </c>
    </row>
    <row r="7958" spans="1:5" x14ac:dyDescent="0.25">
      <c r="A7958" s="2">
        <f>IF(B7958="","",SUBTOTAL(3,$B$2:B7958))</f>
        <v>7957</v>
      </c>
      <c r="B7958" s="9" t="s">
        <v>48</v>
      </c>
      <c r="C7958" s="10" t="s">
        <v>56</v>
      </c>
      <c r="D7958" s="11">
        <v>21.841635296082639</v>
      </c>
      <c r="E7958" s="12">
        <f t="shared" si="124"/>
        <v>49396</v>
      </c>
    </row>
    <row r="7959" spans="1:5" x14ac:dyDescent="0.25">
      <c r="A7959" s="2">
        <f>IF(B7959="","",SUBTOTAL(3,$B$2:B7959))</f>
        <v>7958</v>
      </c>
      <c r="B7959" s="9" t="s">
        <v>48</v>
      </c>
      <c r="C7959" s="10" t="s">
        <v>49</v>
      </c>
      <c r="D7959" s="11">
        <v>68.941744226128904</v>
      </c>
      <c r="E7959" s="12">
        <f t="shared" si="124"/>
        <v>49397</v>
      </c>
    </row>
    <row r="7960" spans="1:5" x14ac:dyDescent="0.25">
      <c r="A7960" s="2">
        <f>IF(B7960="","",SUBTOTAL(3,$B$2:B7960))</f>
        <v>7959</v>
      </c>
      <c r="B7960" s="9" t="s">
        <v>55</v>
      </c>
      <c r="C7960" s="10" t="s">
        <v>56</v>
      </c>
      <c r="D7960" s="11">
        <v>8.0243941582410532</v>
      </c>
      <c r="E7960" s="12">
        <f t="shared" si="124"/>
        <v>49398</v>
      </c>
    </row>
    <row r="7961" spans="1:5" x14ac:dyDescent="0.25">
      <c r="A7961" s="2">
        <f>IF(B7961="","",SUBTOTAL(3,$B$2:B7961))</f>
        <v>7960</v>
      </c>
      <c r="B7961" s="9" t="s">
        <v>51</v>
      </c>
      <c r="C7961" s="10" t="s">
        <v>49</v>
      </c>
      <c r="D7961" s="11">
        <v>211.79709837975219</v>
      </c>
      <c r="E7961" s="12">
        <f t="shared" si="124"/>
        <v>49399</v>
      </c>
    </row>
    <row r="7962" spans="1:5" x14ac:dyDescent="0.25">
      <c r="A7962" s="2">
        <f>IF(B7962="","",SUBTOTAL(3,$B$2:B7962))</f>
        <v>7961</v>
      </c>
      <c r="B7962" s="9" t="s">
        <v>55</v>
      </c>
      <c r="C7962" s="10" t="s">
        <v>52</v>
      </c>
      <c r="D7962" s="11">
        <v>200</v>
      </c>
      <c r="E7962" s="12">
        <f t="shared" si="124"/>
        <v>49400</v>
      </c>
    </row>
    <row r="7963" spans="1:5" x14ac:dyDescent="0.25">
      <c r="A7963" s="2">
        <f>IF(B7963="","",SUBTOTAL(3,$B$2:B7963))</f>
        <v>7962</v>
      </c>
      <c r="B7963" s="9" t="s">
        <v>51</v>
      </c>
      <c r="C7963" s="10" t="s">
        <v>54</v>
      </c>
      <c r="D7963" s="11">
        <v>529.49274594938049</v>
      </c>
      <c r="E7963" s="12">
        <f t="shared" si="124"/>
        <v>49401</v>
      </c>
    </row>
    <row r="7964" spans="1:5" x14ac:dyDescent="0.25">
      <c r="A7964" s="2">
        <f>IF(B7964="","",SUBTOTAL(3,$B$2:B7964))</f>
        <v>7963</v>
      </c>
      <c r="B7964" s="9" t="s">
        <v>51</v>
      </c>
      <c r="C7964" s="10" t="s">
        <v>56</v>
      </c>
      <c r="D7964" s="11">
        <v>52.949274594938046</v>
      </c>
      <c r="E7964" s="12">
        <f t="shared" si="124"/>
        <v>49402</v>
      </c>
    </row>
    <row r="7965" spans="1:5" x14ac:dyDescent="0.25">
      <c r="A7965" s="2">
        <f>IF(B7965="","",SUBTOTAL(3,$B$2:B7965))</f>
        <v>7964</v>
      </c>
      <c r="B7965" s="9" t="s">
        <v>51</v>
      </c>
      <c r="C7965" s="10" t="s">
        <v>52</v>
      </c>
      <c r="D7965" s="11">
        <v>31.769564756962826</v>
      </c>
      <c r="E7965" s="12">
        <f t="shared" si="124"/>
        <v>49403</v>
      </c>
    </row>
    <row r="7966" spans="1:5" x14ac:dyDescent="0.25">
      <c r="A7966" s="2">
        <f>IF(B7966="","",SUBTOTAL(3,$B$2:B7966))</f>
        <v>7965</v>
      </c>
      <c r="B7966" s="9" t="s">
        <v>51</v>
      </c>
      <c r="C7966" s="10" t="s">
        <v>49</v>
      </c>
      <c r="D7966" s="11">
        <v>40.515355319666149</v>
      </c>
      <c r="E7966" s="12">
        <f t="shared" si="124"/>
        <v>49404</v>
      </c>
    </row>
    <row r="7967" spans="1:5" x14ac:dyDescent="0.25">
      <c r="A7967" s="2">
        <f>IF(B7967="","",SUBTOTAL(3,$B$2:B7967))</f>
        <v>7966</v>
      </c>
      <c r="B7967" s="9" t="s">
        <v>50</v>
      </c>
      <c r="C7967" s="10" t="s">
        <v>49</v>
      </c>
      <c r="D7967" s="11">
        <v>88.183421516754848</v>
      </c>
      <c r="E7967" s="12">
        <f t="shared" si="124"/>
        <v>49405</v>
      </c>
    </row>
    <row r="7968" spans="1:5" x14ac:dyDescent="0.25">
      <c r="A7968" s="2">
        <f>IF(B7968="","",SUBTOTAL(3,$B$2:B7968))</f>
        <v>7967</v>
      </c>
      <c r="B7968" s="9" t="s">
        <v>50</v>
      </c>
      <c r="C7968" s="10" t="s">
        <v>49</v>
      </c>
      <c r="D7968" s="11">
        <v>97.934215167548501</v>
      </c>
      <c r="E7968" s="12">
        <f t="shared" si="124"/>
        <v>49406</v>
      </c>
    </row>
    <row r="7969" spans="1:5" x14ac:dyDescent="0.25">
      <c r="A7969" s="2">
        <f>IF(B7969="","",SUBTOTAL(3,$B$2:B7969))</f>
        <v>7968</v>
      </c>
      <c r="B7969" s="9" t="s">
        <v>50</v>
      </c>
      <c r="C7969" s="10" t="s">
        <v>49</v>
      </c>
      <c r="D7969" s="11">
        <v>77.160493827160494</v>
      </c>
      <c r="E7969" s="12">
        <f t="shared" si="124"/>
        <v>49407</v>
      </c>
    </row>
    <row r="7970" spans="1:5" x14ac:dyDescent="0.25">
      <c r="A7970" s="2">
        <f>IF(B7970="","",SUBTOTAL(3,$B$2:B7970))</f>
        <v>7969</v>
      </c>
      <c r="B7970" s="9" t="s">
        <v>50</v>
      </c>
      <c r="C7970" s="10" t="s">
        <v>49</v>
      </c>
      <c r="D7970" s="11">
        <v>88.183421516754848</v>
      </c>
      <c r="E7970" s="12">
        <f t="shared" si="124"/>
        <v>49408</v>
      </c>
    </row>
    <row r="7971" spans="1:5" x14ac:dyDescent="0.25">
      <c r="A7971" s="2">
        <f>IF(B7971="","",SUBTOTAL(3,$B$2:B7971))</f>
        <v>7970</v>
      </c>
      <c r="B7971" s="9" t="s">
        <v>50</v>
      </c>
      <c r="C7971" s="10" t="s">
        <v>52</v>
      </c>
      <c r="D7971" s="11">
        <v>72.162037037037038</v>
      </c>
      <c r="E7971" s="12">
        <f t="shared" si="124"/>
        <v>49409</v>
      </c>
    </row>
    <row r="7972" spans="1:5" x14ac:dyDescent="0.25">
      <c r="A7972" s="2">
        <f>IF(B7972="","",SUBTOTAL(3,$B$2:B7972))</f>
        <v>7971</v>
      </c>
      <c r="B7972" s="9" t="s">
        <v>48</v>
      </c>
      <c r="C7972" s="10" t="s">
        <v>56</v>
      </c>
      <c r="D7972" s="11">
        <v>30.807147258163894</v>
      </c>
      <c r="E7972" s="12">
        <f t="shared" si="124"/>
        <v>49410</v>
      </c>
    </row>
    <row r="7973" spans="1:5" x14ac:dyDescent="0.25">
      <c r="A7973" s="2">
        <f>IF(B7973="","",SUBTOTAL(3,$B$2:B7973))</f>
        <v>7972</v>
      </c>
      <c r="B7973" s="9" t="s">
        <v>48</v>
      </c>
      <c r="C7973" s="10" t="s">
        <v>49</v>
      </c>
      <c r="D7973" s="11">
        <v>66.552747549240038</v>
      </c>
      <c r="E7973" s="12">
        <f t="shared" si="124"/>
        <v>49411</v>
      </c>
    </row>
    <row r="7974" spans="1:5" x14ac:dyDescent="0.25">
      <c r="A7974" s="2">
        <f>IF(B7974="","",SUBTOTAL(3,$B$2:B7974))</f>
        <v>7973</v>
      </c>
      <c r="B7974" s="9" t="s">
        <v>48</v>
      </c>
      <c r="C7974" s="10" t="s">
        <v>52</v>
      </c>
      <c r="D7974" s="11">
        <v>154.03573629081947</v>
      </c>
      <c r="E7974" s="12">
        <f t="shared" si="124"/>
        <v>49412</v>
      </c>
    </row>
    <row r="7975" spans="1:5" x14ac:dyDescent="0.25">
      <c r="A7975" s="2">
        <f>IF(B7975="","",SUBTOTAL(3,$B$2:B7975))</f>
        <v>7974</v>
      </c>
      <c r="B7975" s="9" t="s">
        <v>50</v>
      </c>
      <c r="C7975" s="10" t="s">
        <v>49</v>
      </c>
      <c r="D7975" s="11">
        <v>88.183421516754848</v>
      </c>
      <c r="E7975" s="12">
        <f t="shared" si="124"/>
        <v>49413</v>
      </c>
    </row>
    <row r="7976" spans="1:5" x14ac:dyDescent="0.25">
      <c r="A7976" s="2">
        <f>IF(B7976="","",SUBTOTAL(3,$B$2:B7976))</f>
        <v>7975</v>
      </c>
      <c r="B7976" s="9" t="s">
        <v>50</v>
      </c>
      <c r="C7976" s="10" t="s">
        <v>49</v>
      </c>
      <c r="D7976" s="11">
        <v>33.06878306878307</v>
      </c>
      <c r="E7976" s="12">
        <f t="shared" si="124"/>
        <v>49414</v>
      </c>
    </row>
    <row r="7977" spans="1:5" x14ac:dyDescent="0.25">
      <c r="A7977" s="2">
        <f>IF(B7977="","",SUBTOTAL(3,$B$2:B7977))</f>
        <v>7976</v>
      </c>
      <c r="B7977" s="9" t="s">
        <v>50</v>
      </c>
      <c r="C7977" s="10" t="s">
        <v>49</v>
      </c>
      <c r="D7977" s="11">
        <v>176.3668430335097</v>
      </c>
      <c r="E7977" s="12">
        <f t="shared" si="124"/>
        <v>49415</v>
      </c>
    </row>
    <row r="7978" spans="1:5" x14ac:dyDescent="0.25">
      <c r="A7978" s="2">
        <f>IF(B7978="","",SUBTOTAL(3,$B$2:B7978))</f>
        <v>7977</v>
      </c>
      <c r="B7978" s="9" t="s">
        <v>51</v>
      </c>
      <c r="C7978" s="10" t="s">
        <v>54</v>
      </c>
      <c r="D7978" s="11">
        <v>211.79709837975219</v>
      </c>
      <c r="E7978" s="12">
        <f t="shared" si="124"/>
        <v>49416</v>
      </c>
    </row>
    <row r="7979" spans="1:5" x14ac:dyDescent="0.25">
      <c r="A7979" s="2">
        <f>IF(B7979="","",SUBTOTAL(3,$B$2:B7979))</f>
        <v>7978</v>
      </c>
      <c r="B7979" s="9" t="s">
        <v>51</v>
      </c>
      <c r="C7979" s="10" t="s">
        <v>56</v>
      </c>
      <c r="D7979" s="11">
        <v>26.474637297469023</v>
      </c>
      <c r="E7979" s="12">
        <f t="shared" si="124"/>
        <v>49417</v>
      </c>
    </row>
    <row r="7980" spans="1:5" x14ac:dyDescent="0.25">
      <c r="A7980" s="2">
        <f>IF(B7980="","",SUBTOTAL(3,$B$2:B7980))</f>
        <v>7979</v>
      </c>
      <c r="B7980" s="9" t="s">
        <v>48</v>
      </c>
      <c r="C7980" s="10" t="s">
        <v>52</v>
      </c>
      <c r="D7980" s="11">
        <v>128.48020762401552</v>
      </c>
      <c r="E7980" s="12">
        <f t="shared" si="124"/>
        <v>49418</v>
      </c>
    </row>
    <row r="7981" spans="1:5" x14ac:dyDescent="0.25">
      <c r="A7981" s="2">
        <f>IF(B7981="","",SUBTOTAL(3,$B$2:B7981))</f>
        <v>7980</v>
      </c>
      <c r="B7981" s="9" t="s">
        <v>55</v>
      </c>
      <c r="C7981" s="10" t="s">
        <v>52</v>
      </c>
      <c r="D7981" s="11">
        <v>70</v>
      </c>
      <c r="E7981" s="12">
        <f t="shared" si="124"/>
        <v>49419</v>
      </c>
    </row>
    <row r="7982" spans="1:5" x14ac:dyDescent="0.25">
      <c r="A7982" s="2">
        <f>IF(B7982="","",SUBTOTAL(3,$B$2:B7982))</f>
        <v>7981</v>
      </c>
      <c r="B7982" s="9" t="s">
        <v>55</v>
      </c>
      <c r="C7982" s="10" t="s">
        <v>49</v>
      </c>
      <c r="D7982" s="11">
        <v>100</v>
      </c>
      <c r="E7982" s="12">
        <f t="shared" si="124"/>
        <v>49420</v>
      </c>
    </row>
    <row r="7983" spans="1:5" x14ac:dyDescent="0.25">
      <c r="A7983" s="2">
        <f>IF(B7983="","",SUBTOTAL(3,$B$2:B7983))</f>
        <v>7982</v>
      </c>
      <c r="B7983" s="9" t="s">
        <v>48</v>
      </c>
      <c r="C7983" s="10" t="s">
        <v>49</v>
      </c>
      <c r="D7983" s="11">
        <v>12.848020762401553</v>
      </c>
      <c r="E7983" s="12">
        <f t="shared" si="124"/>
        <v>49421</v>
      </c>
    </row>
    <row r="7984" spans="1:5" x14ac:dyDescent="0.25">
      <c r="A7984" s="2">
        <f>IF(B7984="","",SUBTOTAL(3,$B$2:B7984))</f>
        <v>7983</v>
      </c>
      <c r="B7984" s="9" t="s">
        <v>50</v>
      </c>
      <c r="C7984" s="10" t="s">
        <v>52</v>
      </c>
      <c r="D7984" s="11">
        <v>110.22927689594357</v>
      </c>
      <c r="E7984" s="12">
        <f t="shared" si="124"/>
        <v>49422</v>
      </c>
    </row>
    <row r="7985" spans="1:5" x14ac:dyDescent="0.25">
      <c r="A7985" s="2">
        <f>IF(B7985="","",SUBTOTAL(3,$B$2:B7985))</f>
        <v>7984</v>
      </c>
      <c r="B7985" s="9" t="s">
        <v>50</v>
      </c>
      <c r="C7985" s="10" t="s">
        <v>49</v>
      </c>
      <c r="D7985" s="11">
        <v>48.967107583774251</v>
      </c>
      <c r="E7985" s="12">
        <f t="shared" si="124"/>
        <v>49423</v>
      </c>
    </row>
    <row r="7986" spans="1:5" x14ac:dyDescent="0.25">
      <c r="A7986" s="2">
        <f>IF(B7986="","",SUBTOTAL(3,$B$2:B7986))</f>
        <v>7985</v>
      </c>
      <c r="B7986" s="9" t="s">
        <v>48</v>
      </c>
      <c r="C7986" s="10" t="s">
        <v>49</v>
      </c>
      <c r="D7986" s="11">
        <v>241.29610479145123</v>
      </c>
      <c r="E7986" s="12">
        <f t="shared" si="124"/>
        <v>49424</v>
      </c>
    </row>
    <row r="7987" spans="1:5" x14ac:dyDescent="0.25">
      <c r="A7987" s="2">
        <f>IF(B7987="","",SUBTOTAL(3,$B$2:B7987))</f>
        <v>7986</v>
      </c>
      <c r="B7987" s="9" t="s">
        <v>50</v>
      </c>
      <c r="C7987" s="10" t="s">
        <v>49</v>
      </c>
      <c r="D7987" s="11">
        <v>661.37566137566137</v>
      </c>
      <c r="E7987" s="12">
        <f t="shared" si="124"/>
        <v>49425</v>
      </c>
    </row>
    <row r="7988" spans="1:5" x14ac:dyDescent="0.25">
      <c r="A7988" s="2">
        <f>IF(B7988="","",SUBTOTAL(3,$B$2:B7988))</f>
        <v>7987</v>
      </c>
      <c r="B7988" s="9" t="s">
        <v>51</v>
      </c>
      <c r="C7988" s="10" t="s">
        <v>56</v>
      </c>
      <c r="D7988" s="11">
        <v>6.3539129513925658</v>
      </c>
      <c r="E7988" s="12">
        <f t="shared" si="124"/>
        <v>49426</v>
      </c>
    </row>
    <row r="7989" spans="1:5" x14ac:dyDescent="0.25">
      <c r="A7989" s="2">
        <f>IF(B7989="","",SUBTOTAL(3,$B$2:B7989))</f>
        <v>7988</v>
      </c>
      <c r="B7989" s="9" t="s">
        <v>55</v>
      </c>
      <c r="C7989" s="10" t="s">
        <v>49</v>
      </c>
      <c r="D7989" s="11">
        <v>1645.2022611659877</v>
      </c>
      <c r="E7989" s="12">
        <f t="shared" si="124"/>
        <v>49427</v>
      </c>
    </row>
    <row r="7990" spans="1:5" x14ac:dyDescent="0.25">
      <c r="A7990" s="2">
        <f>IF(B7990="","",SUBTOTAL(3,$B$2:B7990))</f>
        <v>7989</v>
      </c>
      <c r="B7990" s="9" t="s">
        <v>50</v>
      </c>
      <c r="C7990" s="10" t="s">
        <v>52</v>
      </c>
      <c r="D7990" s="11">
        <v>4.409171075837742</v>
      </c>
      <c r="E7990" s="12">
        <f t="shared" si="124"/>
        <v>49428</v>
      </c>
    </row>
    <row r="7991" spans="1:5" x14ac:dyDescent="0.25">
      <c r="A7991" s="2">
        <f>IF(B7991="","",SUBTOTAL(3,$B$2:B7991))</f>
        <v>7990</v>
      </c>
      <c r="B7991" s="9" t="s">
        <v>50</v>
      </c>
      <c r="C7991" s="10" t="s">
        <v>54</v>
      </c>
      <c r="D7991" s="11">
        <v>4.409171075837742</v>
      </c>
      <c r="E7991" s="12">
        <f t="shared" si="124"/>
        <v>49429</v>
      </c>
    </row>
    <row r="7992" spans="1:5" x14ac:dyDescent="0.25">
      <c r="A7992" s="2">
        <f>IF(B7992="","",SUBTOTAL(3,$B$2:B7992))</f>
        <v>7991</v>
      </c>
      <c r="B7992" s="9" t="s">
        <v>50</v>
      </c>
      <c r="C7992" s="10" t="s">
        <v>54</v>
      </c>
      <c r="D7992" s="11">
        <v>71.693121693121697</v>
      </c>
      <c r="E7992" s="12">
        <f t="shared" si="124"/>
        <v>49430</v>
      </c>
    </row>
    <row r="7993" spans="1:5" x14ac:dyDescent="0.25">
      <c r="A7993" s="2">
        <f>IF(B7993="","",SUBTOTAL(3,$B$2:B7993))</f>
        <v>7992</v>
      </c>
      <c r="B7993" s="9" t="s">
        <v>50</v>
      </c>
      <c r="C7993" s="10" t="s">
        <v>52</v>
      </c>
      <c r="D7993" s="11">
        <v>4.409171075837742</v>
      </c>
      <c r="E7993" s="12">
        <f t="shared" si="124"/>
        <v>49431</v>
      </c>
    </row>
    <row r="7994" spans="1:5" x14ac:dyDescent="0.25">
      <c r="A7994" s="2">
        <f>IF(B7994="","",SUBTOTAL(3,$B$2:B7994))</f>
        <v>7993</v>
      </c>
      <c r="B7994" s="9" t="s">
        <v>48</v>
      </c>
      <c r="C7994" s="10" t="s">
        <v>49</v>
      </c>
      <c r="D7994" s="11">
        <v>1540.3573629081948</v>
      </c>
      <c r="E7994" s="12">
        <f t="shared" si="124"/>
        <v>49432</v>
      </c>
    </row>
    <row r="7995" spans="1:5" x14ac:dyDescent="0.25">
      <c r="A7995" s="2">
        <f>IF(B7995="","",SUBTOTAL(3,$B$2:B7995))</f>
        <v>7994</v>
      </c>
      <c r="B7995" s="9" t="s">
        <v>48</v>
      </c>
      <c r="C7995" s="10" t="s">
        <v>49</v>
      </c>
      <c r="D7995" s="11">
        <v>138.63216266173754</v>
      </c>
      <c r="E7995" s="12">
        <f t="shared" si="124"/>
        <v>49433</v>
      </c>
    </row>
    <row r="7996" spans="1:5" x14ac:dyDescent="0.25">
      <c r="A7996" s="2">
        <f>IF(B7996="","",SUBTOTAL(3,$B$2:B7996))</f>
        <v>7995</v>
      </c>
      <c r="B7996" s="9" t="s">
        <v>48</v>
      </c>
      <c r="C7996" s="10" t="s">
        <v>49</v>
      </c>
      <c r="D7996" s="11">
        <v>770.17868145409739</v>
      </c>
      <c r="E7996" s="12">
        <f t="shared" si="124"/>
        <v>49434</v>
      </c>
    </row>
    <row r="7997" spans="1:5" x14ac:dyDescent="0.25">
      <c r="A7997" s="2">
        <f>IF(B7997="","",SUBTOTAL(3,$B$2:B7997))</f>
        <v>7996</v>
      </c>
      <c r="B7997" s="9" t="s">
        <v>48</v>
      </c>
      <c r="C7997" s="10" t="s">
        <v>49</v>
      </c>
      <c r="D7997" s="11">
        <v>46.210720887245841</v>
      </c>
      <c r="E7997" s="12">
        <f t="shared" si="124"/>
        <v>49435</v>
      </c>
    </row>
    <row r="7998" spans="1:5" x14ac:dyDescent="0.25">
      <c r="A7998" s="2">
        <f>IF(B7998="","",SUBTOTAL(3,$B$2:B7998))</f>
        <v>7997</v>
      </c>
      <c r="B7998" s="9" t="s">
        <v>48</v>
      </c>
      <c r="C7998" s="10" t="s">
        <v>56</v>
      </c>
      <c r="D7998" s="11">
        <v>43.130006161429456</v>
      </c>
      <c r="E7998" s="12">
        <f t="shared" si="124"/>
        <v>49436</v>
      </c>
    </row>
    <row r="7999" spans="1:5" x14ac:dyDescent="0.25">
      <c r="A7999" s="2">
        <f>IF(B7999="","",SUBTOTAL(3,$B$2:B7999))</f>
        <v>7998</v>
      </c>
      <c r="B7999" s="9" t="s">
        <v>48</v>
      </c>
      <c r="C7999" s="10" t="s">
        <v>49</v>
      </c>
      <c r="D7999" s="11">
        <v>870.30191004313008</v>
      </c>
      <c r="E7999" s="12">
        <f t="shared" si="124"/>
        <v>49437</v>
      </c>
    </row>
    <row r="8000" spans="1:5" x14ac:dyDescent="0.25">
      <c r="A8000" s="2">
        <f>IF(B8000="","",SUBTOTAL(3,$B$2:B8000))</f>
        <v>7999</v>
      </c>
      <c r="B8000" s="9" t="s">
        <v>48</v>
      </c>
      <c r="C8000" s="10" t="s">
        <v>49</v>
      </c>
      <c r="D8000" s="11">
        <v>770.17868145409739</v>
      </c>
      <c r="E8000" s="12">
        <f t="shared" si="124"/>
        <v>49438</v>
      </c>
    </row>
    <row r="8001" spans="1:5" x14ac:dyDescent="0.25">
      <c r="A8001" s="2">
        <f>IF(B8001="","",SUBTOTAL(3,$B$2:B8001))</f>
        <v>8000</v>
      </c>
      <c r="B8001" s="9" t="s">
        <v>48</v>
      </c>
      <c r="C8001" s="10" t="s">
        <v>56</v>
      </c>
      <c r="D8001" s="11">
        <v>20.024645717806532</v>
      </c>
      <c r="E8001" s="12">
        <f t="shared" si="124"/>
        <v>49439</v>
      </c>
    </row>
    <row r="8002" spans="1:5" x14ac:dyDescent="0.25">
      <c r="A8002" s="2">
        <f>IF(B8002="","",SUBTOTAL(3,$B$2:B8002))</f>
        <v>8001</v>
      </c>
      <c r="B8002" s="9" t="s">
        <v>48</v>
      </c>
      <c r="C8002" s="10" t="s">
        <v>52</v>
      </c>
      <c r="D8002" s="11">
        <v>123.22858903265558</v>
      </c>
      <c r="E8002" s="12">
        <f t="shared" si="124"/>
        <v>49440</v>
      </c>
    </row>
    <row r="8003" spans="1:5" x14ac:dyDescent="0.25">
      <c r="A8003" s="2">
        <f>IF(B8003="","",SUBTOTAL(3,$B$2:B8003))</f>
        <v>8002</v>
      </c>
      <c r="B8003" s="9" t="s">
        <v>48</v>
      </c>
      <c r="C8003" s="10" t="s">
        <v>56</v>
      </c>
      <c r="D8003" s="11">
        <v>30.807147258163894</v>
      </c>
      <c r="E8003" s="12">
        <f t="shared" si="124"/>
        <v>49441</v>
      </c>
    </row>
    <row r="8004" spans="1:5" x14ac:dyDescent="0.25">
      <c r="A8004" s="2">
        <f>IF(B8004="","",SUBTOTAL(3,$B$2:B8004))</f>
        <v>8003</v>
      </c>
      <c r="B8004" s="9" t="s">
        <v>48</v>
      </c>
      <c r="C8004" s="10" t="s">
        <v>49</v>
      </c>
      <c r="D8004" s="11">
        <v>4.4812133746983802</v>
      </c>
      <c r="E8004" s="12">
        <f t="shared" ref="E8004:E8067" si="125">E8003+1</f>
        <v>49442</v>
      </c>
    </row>
    <row r="8005" spans="1:5" x14ac:dyDescent="0.25">
      <c r="A8005" s="2">
        <f>IF(B8005="","",SUBTOTAL(3,$B$2:B8005))</f>
        <v>8004</v>
      </c>
      <c r="B8005" s="9" t="s">
        <v>48</v>
      </c>
      <c r="C8005" s="10" t="s">
        <v>52</v>
      </c>
      <c r="D8005" s="11">
        <v>50</v>
      </c>
      <c r="E8005" s="12">
        <f t="shared" si="125"/>
        <v>49443</v>
      </c>
    </row>
    <row r="8006" spans="1:5" x14ac:dyDescent="0.25">
      <c r="A8006" s="2">
        <f>IF(B8006="","",SUBTOTAL(3,$B$2:B8006))</f>
        <v>8005</v>
      </c>
      <c r="B8006" s="9" t="s">
        <v>50</v>
      </c>
      <c r="C8006" s="10" t="s">
        <v>52</v>
      </c>
      <c r="D8006" s="11">
        <v>110.22927689594357</v>
      </c>
      <c r="E8006" s="12">
        <f t="shared" si="125"/>
        <v>49444</v>
      </c>
    </row>
    <row r="8007" spans="1:5" x14ac:dyDescent="0.25">
      <c r="A8007" s="2">
        <f>IF(B8007="","",SUBTOTAL(3,$B$2:B8007))</f>
        <v>8006</v>
      </c>
      <c r="B8007" s="9" t="s">
        <v>50</v>
      </c>
      <c r="C8007" s="10" t="s">
        <v>52</v>
      </c>
      <c r="D8007" s="11">
        <v>44.091710758377424</v>
      </c>
      <c r="E8007" s="12">
        <f t="shared" si="125"/>
        <v>49445</v>
      </c>
    </row>
    <row r="8008" spans="1:5" x14ac:dyDescent="0.25">
      <c r="A8008" s="2">
        <f>IF(B8008="","",SUBTOTAL(3,$B$2:B8008))</f>
        <v>8007</v>
      </c>
      <c r="B8008" s="9" t="s">
        <v>48</v>
      </c>
      <c r="C8008" s="10" t="s">
        <v>49</v>
      </c>
      <c r="D8008" s="11">
        <v>573.4807652533608</v>
      </c>
      <c r="E8008" s="12">
        <f t="shared" si="125"/>
        <v>49446</v>
      </c>
    </row>
    <row r="8009" spans="1:5" x14ac:dyDescent="0.25">
      <c r="A8009" s="2">
        <f>IF(B8009="","",SUBTOTAL(3,$B$2:B8009))</f>
        <v>8008</v>
      </c>
      <c r="B8009" s="9" t="s">
        <v>48</v>
      </c>
      <c r="C8009" s="10" t="s">
        <v>56</v>
      </c>
      <c r="D8009" s="11">
        <v>84.719654959950716</v>
      </c>
      <c r="E8009" s="12">
        <f t="shared" si="125"/>
        <v>49447</v>
      </c>
    </row>
    <row r="8010" spans="1:5" x14ac:dyDescent="0.25">
      <c r="A8010" s="2">
        <f>IF(B8010="","",SUBTOTAL(3,$B$2:B8010))</f>
        <v>8009</v>
      </c>
      <c r="B8010" s="9" t="s">
        <v>48</v>
      </c>
      <c r="C8010" s="10" t="s">
        <v>56</v>
      </c>
      <c r="D8010" s="11">
        <v>84.719654959950716</v>
      </c>
      <c r="E8010" s="12">
        <f t="shared" si="125"/>
        <v>49448</v>
      </c>
    </row>
    <row r="8011" spans="1:5" x14ac:dyDescent="0.25">
      <c r="A8011" s="2">
        <f>IF(B8011="","",SUBTOTAL(3,$B$2:B8011))</f>
        <v>8010</v>
      </c>
      <c r="B8011" s="9" t="s">
        <v>55</v>
      </c>
      <c r="C8011" s="10" t="s">
        <v>49</v>
      </c>
      <c r="D8011" s="11">
        <v>49.116832328499271</v>
      </c>
      <c r="E8011" s="12">
        <f t="shared" si="125"/>
        <v>49449</v>
      </c>
    </row>
    <row r="8012" spans="1:5" x14ac:dyDescent="0.25">
      <c r="A8012" s="2">
        <f>IF(B8012="","",SUBTOTAL(3,$B$2:B8012))</f>
        <v>8011</v>
      </c>
      <c r="B8012" s="9" t="s">
        <v>51</v>
      </c>
      <c r="C8012" s="10" t="s">
        <v>49</v>
      </c>
      <c r="D8012" s="11">
        <v>105.89854918987609</v>
      </c>
      <c r="E8012" s="12">
        <f t="shared" si="125"/>
        <v>49450</v>
      </c>
    </row>
    <row r="8013" spans="1:5" x14ac:dyDescent="0.25">
      <c r="A8013" s="2">
        <f>IF(B8013="","",SUBTOTAL(3,$B$2:B8013))</f>
        <v>8012</v>
      </c>
      <c r="B8013" s="9" t="s">
        <v>48</v>
      </c>
      <c r="C8013" s="10" t="s">
        <v>49</v>
      </c>
      <c r="D8013" s="11">
        <v>154.03573629081947</v>
      </c>
      <c r="E8013" s="12">
        <f t="shared" si="125"/>
        <v>49451</v>
      </c>
    </row>
    <row r="8014" spans="1:5" x14ac:dyDescent="0.25">
      <c r="A8014" s="2">
        <f>IF(B8014="","",SUBTOTAL(3,$B$2:B8014))</f>
        <v>8013</v>
      </c>
      <c r="B8014" s="9" t="s">
        <v>48</v>
      </c>
      <c r="C8014" s="10" t="s">
        <v>52</v>
      </c>
      <c r="D8014" s="11">
        <v>154.03573629081947</v>
      </c>
      <c r="E8014" s="12">
        <f t="shared" si="125"/>
        <v>49452</v>
      </c>
    </row>
    <row r="8015" spans="1:5" x14ac:dyDescent="0.25">
      <c r="A8015" s="2">
        <f>IF(B8015="","",SUBTOTAL(3,$B$2:B8015))</f>
        <v>8014</v>
      </c>
      <c r="B8015" s="9" t="s">
        <v>48</v>
      </c>
      <c r="C8015" s="10" t="s">
        <v>56</v>
      </c>
      <c r="D8015" s="11">
        <v>84.719654959950716</v>
      </c>
      <c r="E8015" s="12">
        <f t="shared" si="125"/>
        <v>49453</v>
      </c>
    </row>
    <row r="8016" spans="1:5" x14ac:dyDescent="0.25">
      <c r="A8016" s="2">
        <f>IF(B8016="","",SUBTOTAL(3,$B$2:B8016))</f>
        <v>8015</v>
      </c>
      <c r="B8016" s="9" t="s">
        <v>50</v>
      </c>
      <c r="C8016" s="10" t="s">
        <v>52</v>
      </c>
      <c r="D8016" s="11">
        <v>1.4432319223985892</v>
      </c>
      <c r="E8016" s="12">
        <f t="shared" si="125"/>
        <v>49454</v>
      </c>
    </row>
    <row r="8017" spans="1:5" x14ac:dyDescent="0.25">
      <c r="A8017" s="2">
        <f>IF(B8017="","",SUBTOTAL(3,$B$2:B8017))</f>
        <v>8016</v>
      </c>
      <c r="B8017" s="9" t="s">
        <v>50</v>
      </c>
      <c r="C8017" s="10" t="s">
        <v>49</v>
      </c>
      <c r="D8017" s="11">
        <v>97.934215167548501</v>
      </c>
      <c r="E8017" s="12">
        <f t="shared" si="125"/>
        <v>49455</v>
      </c>
    </row>
    <row r="8018" spans="1:5" x14ac:dyDescent="0.25">
      <c r="A8018" s="2">
        <f>IF(B8018="","",SUBTOTAL(3,$B$2:B8018))</f>
        <v>8017</v>
      </c>
      <c r="B8018" s="9" t="s">
        <v>55</v>
      </c>
      <c r="C8018" s="10" t="s">
        <v>52</v>
      </c>
      <c r="D8018" s="11">
        <v>100</v>
      </c>
      <c r="E8018" s="12">
        <f t="shared" si="125"/>
        <v>49456</v>
      </c>
    </row>
    <row r="8019" spans="1:5" x14ac:dyDescent="0.25">
      <c r="A8019" s="2">
        <f>IF(B8019="","",SUBTOTAL(3,$B$2:B8019))</f>
        <v>8018</v>
      </c>
      <c r="B8019" s="9" t="s">
        <v>55</v>
      </c>
      <c r="C8019" s="10" t="s">
        <v>49</v>
      </c>
      <c r="D8019" s="11">
        <v>61.75</v>
      </c>
      <c r="E8019" s="12">
        <f t="shared" si="125"/>
        <v>49457</v>
      </c>
    </row>
    <row r="8020" spans="1:5" x14ac:dyDescent="0.25">
      <c r="A8020" s="2">
        <f>IF(B8020="","",SUBTOTAL(3,$B$2:B8020))</f>
        <v>8019</v>
      </c>
      <c r="B8020" s="9" t="s">
        <v>51</v>
      </c>
      <c r="C8020" s="10" t="s">
        <v>52</v>
      </c>
      <c r="D8020" s="11">
        <v>81.030710639332298</v>
      </c>
      <c r="E8020" s="12">
        <f t="shared" si="125"/>
        <v>49458</v>
      </c>
    </row>
    <row r="8021" spans="1:5" x14ac:dyDescent="0.25">
      <c r="A8021" s="2">
        <f>IF(B8021="","",SUBTOTAL(3,$B$2:B8021))</f>
        <v>8020</v>
      </c>
      <c r="B8021" s="9" t="s">
        <v>51</v>
      </c>
      <c r="C8021" s="10" t="s">
        <v>56</v>
      </c>
      <c r="D8021" s="11">
        <v>1482.5796886582655</v>
      </c>
      <c r="E8021" s="12">
        <f t="shared" si="125"/>
        <v>49459</v>
      </c>
    </row>
    <row r="8022" spans="1:5" x14ac:dyDescent="0.25">
      <c r="A8022" s="2">
        <f>IF(B8022="","",SUBTOTAL(3,$B$2:B8022))</f>
        <v>8021</v>
      </c>
      <c r="B8022" s="9" t="s">
        <v>55</v>
      </c>
      <c r="C8022" s="10" t="s">
        <v>49</v>
      </c>
      <c r="D8022" s="11">
        <v>4.3314322959100533</v>
      </c>
      <c r="E8022" s="12">
        <f t="shared" si="125"/>
        <v>49460</v>
      </c>
    </row>
    <row r="8023" spans="1:5" x14ac:dyDescent="0.25">
      <c r="A8023" s="2">
        <f>IF(B8023="","",SUBTOTAL(3,$B$2:B8023))</f>
        <v>8022</v>
      </c>
      <c r="B8023" s="9" t="s">
        <v>55</v>
      </c>
      <c r="C8023" s="10" t="s">
        <v>49</v>
      </c>
      <c r="D8023" s="11">
        <v>52.276030633860195</v>
      </c>
      <c r="E8023" s="12">
        <f t="shared" si="125"/>
        <v>49461</v>
      </c>
    </row>
    <row r="8024" spans="1:5" x14ac:dyDescent="0.25">
      <c r="A8024" s="2">
        <f>IF(B8024="","",SUBTOTAL(3,$B$2:B8024))</f>
        <v>8023</v>
      </c>
      <c r="B8024" s="9" t="s">
        <v>51</v>
      </c>
      <c r="C8024" s="10" t="s">
        <v>54</v>
      </c>
      <c r="D8024" s="11">
        <v>105.89854918987609</v>
      </c>
      <c r="E8024" s="12">
        <f t="shared" si="125"/>
        <v>49462</v>
      </c>
    </row>
    <row r="8025" spans="1:5" x14ac:dyDescent="0.25">
      <c r="A8025" s="2">
        <f>IF(B8025="","",SUBTOTAL(3,$B$2:B8025))</f>
        <v>8024</v>
      </c>
      <c r="B8025" s="9" t="s">
        <v>53</v>
      </c>
      <c r="C8025" s="10" t="s">
        <v>49</v>
      </c>
      <c r="D8025" s="11">
        <v>228.96498667423779</v>
      </c>
      <c r="E8025" s="12">
        <f t="shared" si="125"/>
        <v>49463</v>
      </c>
    </row>
    <row r="8026" spans="1:5" x14ac:dyDescent="0.25">
      <c r="A8026" s="2">
        <f>IF(B8026="","",SUBTOTAL(3,$B$2:B8026))</f>
        <v>8025</v>
      </c>
      <c r="B8026" s="9" t="s">
        <v>51</v>
      </c>
      <c r="C8026" s="10" t="s">
        <v>49</v>
      </c>
      <c r="D8026" s="11">
        <v>105.89854918987609</v>
      </c>
      <c r="E8026" s="12">
        <f t="shared" si="125"/>
        <v>49464</v>
      </c>
    </row>
    <row r="8027" spans="1:5" x14ac:dyDescent="0.25">
      <c r="A8027" s="2">
        <f>IF(B8027="","",SUBTOTAL(3,$B$2:B8027))</f>
        <v>8026</v>
      </c>
      <c r="B8027" s="9" t="s">
        <v>48</v>
      </c>
      <c r="C8027" s="10" t="s">
        <v>49</v>
      </c>
      <c r="D8027" s="11">
        <v>12.197396990993539</v>
      </c>
      <c r="E8027" s="12">
        <f t="shared" si="125"/>
        <v>49465</v>
      </c>
    </row>
    <row r="8028" spans="1:5" x14ac:dyDescent="0.25">
      <c r="A8028" s="2">
        <f>IF(B8028="","",SUBTOTAL(3,$B$2:B8028))</f>
        <v>8027</v>
      </c>
      <c r="B8028" s="9" t="s">
        <v>53</v>
      </c>
      <c r="C8028" s="10" t="s">
        <v>49</v>
      </c>
      <c r="D8028" s="11">
        <v>183.17198933939025</v>
      </c>
      <c r="E8028" s="12">
        <f t="shared" si="125"/>
        <v>49466</v>
      </c>
    </row>
    <row r="8029" spans="1:5" x14ac:dyDescent="0.25">
      <c r="A8029" s="2">
        <f>IF(B8029="","",SUBTOTAL(3,$B$2:B8029))</f>
        <v>8028</v>
      </c>
      <c r="B8029" s="9" t="s">
        <v>53</v>
      </c>
      <c r="C8029" s="10" t="s">
        <v>49</v>
      </c>
      <c r="D8029" s="11">
        <v>91.585994669695125</v>
      </c>
      <c r="E8029" s="12">
        <f t="shared" si="125"/>
        <v>49467</v>
      </c>
    </row>
    <row r="8030" spans="1:5" x14ac:dyDescent="0.25">
      <c r="A8030" s="2">
        <f>IF(B8030="","",SUBTOTAL(3,$B$2:B8030))</f>
        <v>8029</v>
      </c>
      <c r="B8030" s="9" t="s">
        <v>55</v>
      </c>
      <c r="C8030" s="10" t="s">
        <v>52</v>
      </c>
      <c r="D8030" s="11">
        <v>22</v>
      </c>
      <c r="E8030" s="12">
        <f t="shared" si="125"/>
        <v>49468</v>
      </c>
    </row>
    <row r="8031" spans="1:5" x14ac:dyDescent="0.25">
      <c r="A8031" s="2">
        <f>IF(B8031="","",SUBTOTAL(3,$B$2:B8031))</f>
        <v>8030</v>
      </c>
      <c r="B8031" s="9" t="s">
        <v>50</v>
      </c>
      <c r="C8031" s="10" t="s">
        <v>49</v>
      </c>
      <c r="D8031" s="11">
        <v>141.09347442680775</v>
      </c>
      <c r="E8031" s="12">
        <f t="shared" si="125"/>
        <v>49469</v>
      </c>
    </row>
    <row r="8032" spans="1:5" x14ac:dyDescent="0.25">
      <c r="A8032" s="2">
        <f>IF(B8032="","",SUBTOTAL(3,$B$2:B8032))</f>
        <v>8031</v>
      </c>
      <c r="B8032" s="9" t="s">
        <v>50</v>
      </c>
      <c r="C8032" s="10" t="s">
        <v>49</v>
      </c>
      <c r="D8032" s="11">
        <v>79.365079365079367</v>
      </c>
      <c r="E8032" s="12">
        <f t="shared" si="125"/>
        <v>49470</v>
      </c>
    </row>
    <row r="8033" spans="1:5" x14ac:dyDescent="0.25">
      <c r="A8033" s="2">
        <f>IF(B8033="","",SUBTOTAL(3,$B$2:B8033))</f>
        <v>8032</v>
      </c>
      <c r="B8033" s="9" t="s">
        <v>50</v>
      </c>
      <c r="C8033" s="10" t="s">
        <v>49</v>
      </c>
      <c r="D8033" s="11">
        <v>72.162081128747801</v>
      </c>
      <c r="E8033" s="12">
        <f t="shared" si="125"/>
        <v>49471</v>
      </c>
    </row>
    <row r="8034" spans="1:5" x14ac:dyDescent="0.25">
      <c r="A8034" s="2">
        <f>IF(B8034="","",SUBTOTAL(3,$B$2:B8034))</f>
        <v>8033</v>
      </c>
      <c r="B8034" s="9" t="s">
        <v>50</v>
      </c>
      <c r="C8034" s="10" t="s">
        <v>52</v>
      </c>
      <c r="D8034" s="11">
        <v>44.091710758377424</v>
      </c>
      <c r="E8034" s="12">
        <f t="shared" si="125"/>
        <v>49472</v>
      </c>
    </row>
    <row r="8035" spans="1:5" x14ac:dyDescent="0.25">
      <c r="A8035" s="2">
        <f>IF(B8035="","",SUBTOTAL(3,$B$2:B8035))</f>
        <v>8034</v>
      </c>
      <c r="B8035" s="9" t="s">
        <v>51</v>
      </c>
      <c r="C8035" s="10" t="s">
        <v>54</v>
      </c>
      <c r="D8035" s="11">
        <v>52.949274594938046</v>
      </c>
      <c r="E8035" s="12">
        <f t="shared" si="125"/>
        <v>49473</v>
      </c>
    </row>
    <row r="8036" spans="1:5" x14ac:dyDescent="0.25">
      <c r="A8036" s="2">
        <f>IF(B8036="","",SUBTOTAL(3,$B$2:B8036))</f>
        <v>8035</v>
      </c>
      <c r="B8036" s="9" t="s">
        <v>55</v>
      </c>
      <c r="C8036" s="10" t="s">
        <v>54</v>
      </c>
      <c r="D8036" s="11">
        <v>382.54242976631542</v>
      </c>
      <c r="E8036" s="12">
        <f t="shared" si="125"/>
        <v>49474</v>
      </c>
    </row>
    <row r="8037" spans="1:5" x14ac:dyDescent="0.25">
      <c r="A8037" s="2">
        <f>IF(B8037="","",SUBTOTAL(3,$B$2:B8037))</f>
        <v>8036</v>
      </c>
      <c r="B8037" s="9" t="s">
        <v>55</v>
      </c>
      <c r="C8037" s="10" t="s">
        <v>54</v>
      </c>
      <c r="D8037" s="11">
        <v>398.06655830267772</v>
      </c>
      <c r="E8037" s="12">
        <f t="shared" si="125"/>
        <v>49475</v>
      </c>
    </row>
    <row r="8038" spans="1:5" x14ac:dyDescent="0.25">
      <c r="A8038" s="2">
        <f>IF(B8038="","",SUBTOTAL(3,$B$2:B8038))</f>
        <v>8037</v>
      </c>
      <c r="B8038" s="9" t="s">
        <v>55</v>
      </c>
      <c r="C8038" s="10" t="s">
        <v>54</v>
      </c>
      <c r="D8038" s="11">
        <v>8.0425289229265111</v>
      </c>
      <c r="E8038" s="12">
        <f t="shared" si="125"/>
        <v>49476</v>
      </c>
    </row>
    <row r="8039" spans="1:5" x14ac:dyDescent="0.25">
      <c r="A8039" s="2">
        <f>IF(B8039="","",SUBTOTAL(3,$B$2:B8039))</f>
        <v>8038</v>
      </c>
      <c r="B8039" s="9" t="s">
        <v>55</v>
      </c>
      <c r="C8039" s="10" t="s">
        <v>49</v>
      </c>
      <c r="D8039" s="11">
        <v>261.95626527619362</v>
      </c>
      <c r="E8039" s="12">
        <f t="shared" si="125"/>
        <v>49477</v>
      </c>
    </row>
    <row r="8040" spans="1:5" x14ac:dyDescent="0.25">
      <c r="A8040" s="2">
        <f>IF(B8040="","",SUBTOTAL(3,$B$2:B8040))</f>
        <v>8039</v>
      </c>
      <c r="B8040" s="9" t="s">
        <v>51</v>
      </c>
      <c r="C8040" s="10" t="s">
        <v>52</v>
      </c>
      <c r="D8040" s="11">
        <v>8.1030710639332302</v>
      </c>
      <c r="E8040" s="12">
        <f t="shared" si="125"/>
        <v>49478</v>
      </c>
    </row>
    <row r="8041" spans="1:5" x14ac:dyDescent="0.25">
      <c r="A8041" s="2">
        <f>IF(B8041="","",SUBTOTAL(3,$B$2:B8041))</f>
        <v>8040</v>
      </c>
      <c r="B8041" s="9" t="s">
        <v>48</v>
      </c>
      <c r="C8041" s="10" t="s">
        <v>49</v>
      </c>
      <c r="D8041" s="11">
        <v>68.941744226128904</v>
      </c>
      <c r="E8041" s="12">
        <f t="shared" si="125"/>
        <v>49479</v>
      </c>
    </row>
    <row r="8042" spans="1:5" x14ac:dyDescent="0.25">
      <c r="A8042" s="2">
        <f>IF(B8042="","",SUBTOTAL(3,$B$2:B8042))</f>
        <v>8041</v>
      </c>
      <c r="B8042" s="9" t="s">
        <v>55</v>
      </c>
      <c r="C8042" s="10" t="s">
        <v>49</v>
      </c>
      <c r="D8042" s="11">
        <v>95</v>
      </c>
      <c r="E8042" s="12">
        <f t="shared" si="125"/>
        <v>49480</v>
      </c>
    </row>
    <row r="8043" spans="1:5" x14ac:dyDescent="0.25">
      <c r="A8043" s="2">
        <f>IF(B8043="","",SUBTOTAL(3,$B$2:B8043))</f>
        <v>8042</v>
      </c>
      <c r="B8043" s="9" t="s">
        <v>55</v>
      </c>
      <c r="C8043" s="10" t="s">
        <v>49</v>
      </c>
      <c r="D8043" s="11">
        <v>100</v>
      </c>
      <c r="E8043" s="12">
        <f t="shared" si="125"/>
        <v>49481</v>
      </c>
    </row>
    <row r="8044" spans="1:5" x14ac:dyDescent="0.25">
      <c r="A8044" s="2">
        <f>IF(B8044="","",SUBTOTAL(3,$B$2:B8044))</f>
        <v>8043</v>
      </c>
      <c r="B8044" s="9" t="s">
        <v>50</v>
      </c>
      <c r="C8044" s="10" t="s">
        <v>49</v>
      </c>
      <c r="D8044" s="11">
        <v>110.22927689594357</v>
      </c>
      <c r="E8044" s="12">
        <f t="shared" si="125"/>
        <v>49482</v>
      </c>
    </row>
    <row r="8045" spans="1:5" x14ac:dyDescent="0.25">
      <c r="A8045" s="2">
        <f>IF(B8045="","",SUBTOTAL(3,$B$2:B8045))</f>
        <v>8044</v>
      </c>
      <c r="B8045" s="9" t="s">
        <v>48</v>
      </c>
      <c r="C8045" s="10" t="s">
        <v>52</v>
      </c>
      <c r="D8045" s="11">
        <v>50</v>
      </c>
      <c r="E8045" s="12">
        <f t="shared" si="125"/>
        <v>49483</v>
      </c>
    </row>
    <row r="8046" spans="1:5" x14ac:dyDescent="0.25">
      <c r="A8046" s="2">
        <f>IF(B8046="","",SUBTOTAL(3,$B$2:B8046))</f>
        <v>8045</v>
      </c>
      <c r="B8046" s="9" t="s">
        <v>48</v>
      </c>
      <c r="C8046" s="10" t="s">
        <v>54</v>
      </c>
      <c r="D8046" s="11">
        <v>198.63164426059978</v>
      </c>
      <c r="E8046" s="12">
        <f t="shared" si="125"/>
        <v>49484</v>
      </c>
    </row>
    <row r="8047" spans="1:5" x14ac:dyDescent="0.25">
      <c r="A8047" s="2">
        <f>IF(B8047="","",SUBTOTAL(3,$B$2:B8047))</f>
        <v>8046</v>
      </c>
      <c r="B8047" s="9" t="s">
        <v>50</v>
      </c>
      <c r="C8047" s="10" t="s">
        <v>49</v>
      </c>
      <c r="D8047" s="11">
        <v>787.47795414462075</v>
      </c>
      <c r="E8047" s="12">
        <f t="shared" si="125"/>
        <v>49485</v>
      </c>
    </row>
    <row r="8048" spans="1:5" x14ac:dyDescent="0.25">
      <c r="A8048" s="2">
        <f>IF(B8048="","",SUBTOTAL(3,$B$2:B8048))</f>
        <v>8047</v>
      </c>
      <c r="B8048" s="9" t="s">
        <v>48</v>
      </c>
      <c r="C8048" s="10" t="s">
        <v>56</v>
      </c>
      <c r="D8048" s="11">
        <v>1350.4860392967942</v>
      </c>
      <c r="E8048" s="12">
        <f t="shared" si="125"/>
        <v>49486</v>
      </c>
    </row>
    <row r="8049" spans="1:5" x14ac:dyDescent="0.25">
      <c r="A8049" s="2">
        <f>IF(B8049="","",SUBTOTAL(3,$B$2:B8049))</f>
        <v>8048</v>
      </c>
      <c r="B8049" s="9" t="s">
        <v>48</v>
      </c>
      <c r="C8049" s="10" t="s">
        <v>49</v>
      </c>
      <c r="D8049" s="11">
        <v>1.6181661496035848</v>
      </c>
      <c r="E8049" s="12">
        <f t="shared" si="125"/>
        <v>49487</v>
      </c>
    </row>
    <row r="8050" spans="1:5" x14ac:dyDescent="0.25">
      <c r="A8050" s="2">
        <f>IF(B8050="","",SUBTOTAL(3,$B$2:B8050))</f>
        <v>8049</v>
      </c>
      <c r="B8050" s="9" t="s">
        <v>48</v>
      </c>
      <c r="C8050" s="10" t="s">
        <v>49</v>
      </c>
      <c r="D8050" s="11">
        <v>11.799379524301965</v>
      </c>
      <c r="E8050" s="12">
        <f t="shared" si="125"/>
        <v>49488</v>
      </c>
    </row>
    <row r="8051" spans="1:5" x14ac:dyDescent="0.25">
      <c r="A8051" s="2">
        <f>IF(B8051="","",SUBTOTAL(3,$B$2:B8051))</f>
        <v>8050</v>
      </c>
      <c r="B8051" s="9" t="s">
        <v>50</v>
      </c>
      <c r="C8051" s="10" t="s">
        <v>49</v>
      </c>
      <c r="D8051" s="11">
        <v>30</v>
      </c>
      <c r="E8051" s="12">
        <f t="shared" si="125"/>
        <v>49489</v>
      </c>
    </row>
    <row r="8052" spans="1:5" x14ac:dyDescent="0.25">
      <c r="A8052" s="2">
        <f>IF(B8052="","",SUBTOTAL(3,$B$2:B8052))</f>
        <v>8051</v>
      </c>
      <c r="B8052" s="9" t="s">
        <v>48</v>
      </c>
      <c r="C8052" s="10" t="s">
        <v>49</v>
      </c>
      <c r="D8052" s="11">
        <v>46.210720887245841</v>
      </c>
      <c r="E8052" s="12">
        <f t="shared" si="125"/>
        <v>49490</v>
      </c>
    </row>
    <row r="8053" spans="1:5" x14ac:dyDescent="0.25">
      <c r="A8053" s="2">
        <f>IF(B8053="","",SUBTOTAL(3,$B$2:B8053))</f>
        <v>8052</v>
      </c>
      <c r="B8053" s="9" t="s">
        <v>48</v>
      </c>
      <c r="C8053" s="10" t="s">
        <v>56</v>
      </c>
      <c r="D8053" s="11">
        <v>123.22858903265558</v>
      </c>
      <c r="E8053" s="12">
        <f t="shared" si="125"/>
        <v>49491</v>
      </c>
    </row>
    <row r="8054" spans="1:5" x14ac:dyDescent="0.25">
      <c r="A8054" s="2">
        <f>IF(B8054="","",SUBTOTAL(3,$B$2:B8054))</f>
        <v>8053</v>
      </c>
      <c r="B8054" s="9" t="s">
        <v>48</v>
      </c>
      <c r="C8054" s="10" t="s">
        <v>56</v>
      </c>
      <c r="D8054" s="11">
        <v>462.10720887245844</v>
      </c>
      <c r="E8054" s="12">
        <f t="shared" si="125"/>
        <v>49492</v>
      </c>
    </row>
    <row r="8055" spans="1:5" x14ac:dyDescent="0.25">
      <c r="A8055" s="2">
        <f>IF(B8055="","",SUBTOTAL(3,$B$2:B8055))</f>
        <v>8054</v>
      </c>
      <c r="B8055" s="9" t="s">
        <v>48</v>
      </c>
      <c r="C8055" s="10" t="s">
        <v>56</v>
      </c>
      <c r="D8055" s="11">
        <v>38.508934072704868</v>
      </c>
      <c r="E8055" s="12">
        <f t="shared" si="125"/>
        <v>49493</v>
      </c>
    </row>
    <row r="8056" spans="1:5" x14ac:dyDescent="0.25">
      <c r="A8056" s="2">
        <f>IF(B8056="","",SUBTOTAL(3,$B$2:B8056))</f>
        <v>8055</v>
      </c>
      <c r="B8056" s="9" t="s">
        <v>48</v>
      </c>
      <c r="C8056" s="10" t="s">
        <v>54</v>
      </c>
      <c r="D8056" s="11">
        <v>15.403573629081947</v>
      </c>
      <c r="E8056" s="12">
        <f t="shared" si="125"/>
        <v>49494</v>
      </c>
    </row>
    <row r="8057" spans="1:5" x14ac:dyDescent="0.25">
      <c r="A8057" s="2">
        <f>IF(B8057="","",SUBTOTAL(3,$B$2:B8057))</f>
        <v>8056</v>
      </c>
      <c r="B8057" s="9" t="s">
        <v>48</v>
      </c>
      <c r="C8057" s="10" t="s">
        <v>49</v>
      </c>
      <c r="D8057" s="11">
        <v>46.210720887245841</v>
      </c>
      <c r="E8057" s="12">
        <f t="shared" si="125"/>
        <v>49495</v>
      </c>
    </row>
    <row r="8058" spans="1:5" x14ac:dyDescent="0.25">
      <c r="A8058" s="2">
        <f>IF(B8058="","",SUBTOTAL(3,$B$2:B8058))</f>
        <v>8057</v>
      </c>
      <c r="B8058" s="9" t="s">
        <v>48</v>
      </c>
      <c r="C8058" s="10" t="s">
        <v>56</v>
      </c>
      <c r="D8058" s="11">
        <v>123.22858903265558</v>
      </c>
      <c r="E8058" s="12">
        <f t="shared" si="125"/>
        <v>49496</v>
      </c>
    </row>
    <row r="8059" spans="1:5" x14ac:dyDescent="0.25">
      <c r="A8059" s="2">
        <f>IF(B8059="","",SUBTOTAL(3,$B$2:B8059))</f>
        <v>8058</v>
      </c>
      <c r="B8059" s="9" t="s">
        <v>48</v>
      </c>
      <c r="C8059" s="10" t="s">
        <v>56</v>
      </c>
      <c r="D8059" s="11">
        <v>46.210720887245841</v>
      </c>
      <c r="E8059" s="12">
        <f t="shared" si="125"/>
        <v>49497</v>
      </c>
    </row>
    <row r="8060" spans="1:5" x14ac:dyDescent="0.25">
      <c r="A8060" s="2">
        <f>IF(B8060="","",SUBTOTAL(3,$B$2:B8060))</f>
        <v>8059</v>
      </c>
      <c r="B8060" s="9" t="s">
        <v>48</v>
      </c>
      <c r="C8060" s="10" t="s">
        <v>56</v>
      </c>
      <c r="D8060" s="11">
        <v>308.07147258163894</v>
      </c>
      <c r="E8060" s="12">
        <f t="shared" si="125"/>
        <v>49498</v>
      </c>
    </row>
    <row r="8061" spans="1:5" x14ac:dyDescent="0.25">
      <c r="A8061" s="2">
        <f>IF(B8061="","",SUBTOTAL(3,$B$2:B8061))</f>
        <v>8060</v>
      </c>
      <c r="B8061" s="9" t="s">
        <v>50</v>
      </c>
      <c r="C8061" s="10" t="s">
        <v>49</v>
      </c>
      <c r="D8061" s="11">
        <v>264.55026455026456</v>
      </c>
      <c r="E8061" s="12">
        <f t="shared" si="125"/>
        <v>49499</v>
      </c>
    </row>
    <row r="8062" spans="1:5" x14ac:dyDescent="0.25">
      <c r="A8062" s="2">
        <f>IF(B8062="","",SUBTOTAL(3,$B$2:B8062))</f>
        <v>8061</v>
      </c>
      <c r="B8062" s="9" t="s">
        <v>48</v>
      </c>
      <c r="C8062" s="10" t="s">
        <v>49</v>
      </c>
      <c r="D8062" s="11">
        <v>77.017868145409736</v>
      </c>
      <c r="E8062" s="12">
        <f t="shared" si="125"/>
        <v>49500</v>
      </c>
    </row>
    <row r="8063" spans="1:5" x14ac:dyDescent="0.25">
      <c r="A8063" s="2">
        <f>IF(B8063="","",SUBTOTAL(3,$B$2:B8063))</f>
        <v>8062</v>
      </c>
      <c r="B8063" s="9" t="s">
        <v>48</v>
      </c>
      <c r="C8063" s="10" t="s">
        <v>49</v>
      </c>
      <c r="D8063" s="11">
        <v>123.22858903265558</v>
      </c>
      <c r="E8063" s="12">
        <f t="shared" si="125"/>
        <v>49501</v>
      </c>
    </row>
    <row r="8064" spans="1:5" x14ac:dyDescent="0.25">
      <c r="A8064" s="2">
        <f>IF(B8064="","",SUBTOTAL(3,$B$2:B8064))</f>
        <v>8063</v>
      </c>
      <c r="B8064" s="9" t="s">
        <v>48</v>
      </c>
      <c r="C8064" s="10" t="s">
        <v>49</v>
      </c>
      <c r="D8064" s="11">
        <v>2.1565003080714726</v>
      </c>
      <c r="E8064" s="12">
        <f t="shared" si="125"/>
        <v>49502</v>
      </c>
    </row>
    <row r="8065" spans="1:5" x14ac:dyDescent="0.25">
      <c r="A8065" s="2">
        <f>IF(B8065="","",SUBTOTAL(3,$B$2:B8065))</f>
        <v>8064</v>
      </c>
      <c r="B8065" s="9" t="s">
        <v>48</v>
      </c>
      <c r="C8065" s="10" t="s">
        <v>52</v>
      </c>
      <c r="D8065" s="11">
        <v>77.017868145409736</v>
      </c>
      <c r="E8065" s="12">
        <f t="shared" si="125"/>
        <v>49503</v>
      </c>
    </row>
    <row r="8066" spans="1:5" x14ac:dyDescent="0.25">
      <c r="A8066" s="2">
        <f>IF(B8066="","",SUBTOTAL(3,$B$2:B8066))</f>
        <v>8065</v>
      </c>
      <c r="B8066" s="9" t="s">
        <v>55</v>
      </c>
      <c r="C8066" s="10" t="s">
        <v>52</v>
      </c>
      <c r="D8066" s="11">
        <v>183.75</v>
      </c>
      <c r="E8066" s="12">
        <f t="shared" si="125"/>
        <v>49504</v>
      </c>
    </row>
    <row r="8067" spans="1:5" x14ac:dyDescent="0.25">
      <c r="A8067" s="2">
        <f>IF(B8067="","",SUBTOTAL(3,$B$2:B8067))</f>
        <v>8066</v>
      </c>
      <c r="B8067" s="9" t="s">
        <v>50</v>
      </c>
      <c r="C8067" s="10" t="s">
        <v>49</v>
      </c>
      <c r="D8067" s="11">
        <v>174.8077601410935</v>
      </c>
      <c r="E8067" s="12">
        <f t="shared" si="125"/>
        <v>49505</v>
      </c>
    </row>
    <row r="8068" spans="1:5" x14ac:dyDescent="0.25">
      <c r="A8068" s="2">
        <f>IF(B8068="","",SUBTOTAL(3,$B$2:B8068))</f>
        <v>8067</v>
      </c>
      <c r="B8068" s="9" t="s">
        <v>50</v>
      </c>
      <c r="C8068" s="10" t="s">
        <v>54</v>
      </c>
      <c r="D8068" s="11">
        <v>308.64197530864197</v>
      </c>
      <c r="E8068" s="12">
        <f t="shared" ref="E8068:E8131" si="126">E8067+1</f>
        <v>49506</v>
      </c>
    </row>
    <row r="8069" spans="1:5" x14ac:dyDescent="0.25">
      <c r="A8069" s="2">
        <f>IF(B8069="","",SUBTOTAL(3,$B$2:B8069))</f>
        <v>8068</v>
      </c>
      <c r="B8069" s="9" t="s">
        <v>51</v>
      </c>
      <c r="C8069" s="10" t="s">
        <v>54</v>
      </c>
      <c r="D8069" s="11">
        <v>52.949274594938046</v>
      </c>
      <c r="E8069" s="12">
        <f t="shared" si="126"/>
        <v>49507</v>
      </c>
    </row>
    <row r="8070" spans="1:5" x14ac:dyDescent="0.25">
      <c r="A8070" s="2">
        <f>IF(B8070="","",SUBTOTAL(3,$B$2:B8070))</f>
        <v>8069</v>
      </c>
      <c r="B8070" s="9" t="s">
        <v>55</v>
      </c>
      <c r="C8070" s="10" t="s">
        <v>49</v>
      </c>
      <c r="D8070" s="11">
        <v>2.6139807723643473</v>
      </c>
      <c r="E8070" s="12">
        <f t="shared" si="126"/>
        <v>49508</v>
      </c>
    </row>
    <row r="8071" spans="1:5" x14ac:dyDescent="0.25">
      <c r="A8071" s="2">
        <f>IF(B8071="","",SUBTOTAL(3,$B$2:B8071))</f>
        <v>8070</v>
      </c>
      <c r="B8071" s="9" t="s">
        <v>48</v>
      </c>
      <c r="C8071" s="10" t="s">
        <v>49</v>
      </c>
      <c r="D8071" s="11">
        <v>30.742487119859188</v>
      </c>
      <c r="E8071" s="12">
        <f t="shared" si="126"/>
        <v>49509</v>
      </c>
    </row>
    <row r="8072" spans="1:5" x14ac:dyDescent="0.25">
      <c r="A8072" s="2">
        <f>IF(B8072="","",SUBTOTAL(3,$B$2:B8072))</f>
        <v>8071</v>
      </c>
      <c r="B8072" s="9" t="s">
        <v>51</v>
      </c>
      <c r="C8072" s="10" t="s">
        <v>52</v>
      </c>
      <c r="D8072" s="11">
        <v>81.030710639332298</v>
      </c>
      <c r="E8072" s="12">
        <f t="shared" si="126"/>
        <v>49510</v>
      </c>
    </row>
    <row r="8073" spans="1:5" x14ac:dyDescent="0.25">
      <c r="A8073" s="2">
        <f>IF(B8073="","",SUBTOTAL(3,$B$2:B8073))</f>
        <v>8072</v>
      </c>
      <c r="B8073" s="9" t="s">
        <v>50</v>
      </c>
      <c r="C8073" s="10" t="s">
        <v>52</v>
      </c>
      <c r="D8073" s="11">
        <v>39.682539682539684</v>
      </c>
      <c r="E8073" s="12">
        <f t="shared" si="126"/>
        <v>49511</v>
      </c>
    </row>
    <row r="8074" spans="1:5" x14ac:dyDescent="0.25">
      <c r="A8074" s="2">
        <f>IF(B8074="","",SUBTOTAL(3,$B$2:B8074))</f>
        <v>8073</v>
      </c>
      <c r="B8074" s="9" t="s">
        <v>48</v>
      </c>
      <c r="C8074" s="10" t="s">
        <v>49</v>
      </c>
      <c r="D8074" s="11">
        <v>107.82501540357363</v>
      </c>
      <c r="E8074" s="12">
        <f t="shared" si="126"/>
        <v>49512</v>
      </c>
    </row>
    <row r="8075" spans="1:5" x14ac:dyDescent="0.25">
      <c r="A8075" s="2">
        <f>IF(B8075="","",SUBTOTAL(3,$B$2:B8075))</f>
        <v>8074</v>
      </c>
      <c r="B8075" s="9" t="s">
        <v>55</v>
      </c>
      <c r="C8075" s="10" t="s">
        <v>56</v>
      </c>
      <c r="D8075" s="11">
        <v>344.55827628979654</v>
      </c>
      <c r="E8075" s="12">
        <f t="shared" si="126"/>
        <v>49513</v>
      </c>
    </row>
    <row r="8076" spans="1:5" x14ac:dyDescent="0.25">
      <c r="A8076" s="2">
        <f>IF(B8076="","",SUBTOTAL(3,$B$2:B8076))</f>
        <v>8075</v>
      </c>
      <c r="B8076" s="9" t="s">
        <v>50</v>
      </c>
      <c r="C8076" s="10" t="s">
        <v>52</v>
      </c>
      <c r="D8076" s="11">
        <v>44.091710758377424</v>
      </c>
      <c r="E8076" s="12">
        <f t="shared" si="126"/>
        <v>49514</v>
      </c>
    </row>
    <row r="8077" spans="1:5" x14ac:dyDescent="0.25">
      <c r="A8077" s="2">
        <f>IF(B8077="","",SUBTOTAL(3,$B$2:B8077))</f>
        <v>8076</v>
      </c>
      <c r="B8077" s="9" t="s">
        <v>51</v>
      </c>
      <c r="C8077" s="10" t="s">
        <v>54</v>
      </c>
      <c r="D8077" s="11">
        <v>52.949274594938046</v>
      </c>
      <c r="E8077" s="12">
        <f t="shared" si="126"/>
        <v>49515</v>
      </c>
    </row>
    <row r="8078" spans="1:5" x14ac:dyDescent="0.25">
      <c r="A8078" s="2">
        <f>IF(B8078="","",SUBTOTAL(3,$B$2:B8078))</f>
        <v>8077</v>
      </c>
      <c r="B8078" s="9" t="s">
        <v>51</v>
      </c>
      <c r="C8078" s="10" t="s">
        <v>52</v>
      </c>
      <c r="D8078" s="11">
        <v>81.030710639332298</v>
      </c>
      <c r="E8078" s="12">
        <f t="shared" si="126"/>
        <v>49516</v>
      </c>
    </row>
    <row r="8079" spans="1:5" x14ac:dyDescent="0.25">
      <c r="A8079" s="2">
        <f>IF(B8079="","",SUBTOTAL(3,$B$2:B8079))</f>
        <v>8078</v>
      </c>
      <c r="B8079" s="9" t="s">
        <v>55</v>
      </c>
      <c r="C8079" s="10" t="s">
        <v>49</v>
      </c>
      <c r="D8079" s="11">
        <v>30.959752321981426</v>
      </c>
      <c r="E8079" s="12">
        <f t="shared" si="126"/>
        <v>49517</v>
      </c>
    </row>
    <row r="8080" spans="1:5" x14ac:dyDescent="0.25">
      <c r="A8080" s="2">
        <f>IF(B8080="","",SUBTOTAL(3,$B$2:B8080))</f>
        <v>8079</v>
      </c>
      <c r="B8080" s="9" t="s">
        <v>51</v>
      </c>
      <c r="C8080" s="10" t="s">
        <v>52</v>
      </c>
      <c r="D8080" s="11">
        <v>10589.85491898761</v>
      </c>
      <c r="E8080" s="12">
        <f t="shared" si="126"/>
        <v>49518</v>
      </c>
    </row>
    <row r="8081" spans="1:5" x14ac:dyDescent="0.25">
      <c r="A8081" s="2">
        <f>IF(B8081="","",SUBTOTAL(3,$B$2:B8081))</f>
        <v>8080</v>
      </c>
      <c r="B8081" s="9" t="s">
        <v>51</v>
      </c>
      <c r="C8081" s="10" t="s">
        <v>52</v>
      </c>
      <c r="D8081" s="11">
        <v>10589.85491898761</v>
      </c>
      <c r="E8081" s="12">
        <f t="shared" si="126"/>
        <v>49519</v>
      </c>
    </row>
    <row r="8082" spans="1:5" x14ac:dyDescent="0.25">
      <c r="A8082" s="2">
        <f>IF(B8082="","",SUBTOTAL(3,$B$2:B8082))</f>
        <v>8081</v>
      </c>
      <c r="B8082" s="9" t="s">
        <v>50</v>
      </c>
      <c r="C8082" s="10" t="s">
        <v>52</v>
      </c>
      <c r="D8082" s="11">
        <v>110.22927689594357</v>
      </c>
      <c r="E8082" s="12">
        <f t="shared" si="126"/>
        <v>49520</v>
      </c>
    </row>
    <row r="8083" spans="1:5" x14ac:dyDescent="0.25">
      <c r="A8083" s="2">
        <f>IF(B8083="","",SUBTOTAL(3,$B$2:B8083))</f>
        <v>8082</v>
      </c>
      <c r="B8083" s="9" t="s">
        <v>50</v>
      </c>
      <c r="C8083" s="10" t="s">
        <v>52</v>
      </c>
      <c r="D8083" s="11">
        <v>110.22927689594357</v>
      </c>
      <c r="E8083" s="12">
        <f t="shared" si="126"/>
        <v>49521</v>
      </c>
    </row>
    <row r="8084" spans="1:5" x14ac:dyDescent="0.25">
      <c r="A8084" s="2">
        <f>IF(B8084="","",SUBTOTAL(3,$B$2:B8084))</f>
        <v>8083</v>
      </c>
      <c r="B8084" s="9" t="s">
        <v>50</v>
      </c>
      <c r="C8084" s="10" t="s">
        <v>52</v>
      </c>
      <c r="D8084" s="11">
        <v>110.22927689594357</v>
      </c>
      <c r="E8084" s="12">
        <f t="shared" si="126"/>
        <v>49522</v>
      </c>
    </row>
    <row r="8085" spans="1:5" x14ac:dyDescent="0.25">
      <c r="A8085" s="2">
        <f>IF(B8085="","",SUBTOTAL(3,$B$2:B8085))</f>
        <v>8084</v>
      </c>
      <c r="B8085" s="9" t="s">
        <v>50</v>
      </c>
      <c r="C8085" s="10" t="s">
        <v>52</v>
      </c>
      <c r="D8085" s="11">
        <v>110.22927689594357</v>
      </c>
      <c r="E8085" s="12">
        <f t="shared" si="126"/>
        <v>49523</v>
      </c>
    </row>
    <row r="8086" spans="1:5" x14ac:dyDescent="0.25">
      <c r="A8086" s="2">
        <f>IF(B8086="","",SUBTOTAL(3,$B$2:B8086))</f>
        <v>8085</v>
      </c>
      <c r="B8086" s="9" t="s">
        <v>50</v>
      </c>
      <c r="C8086" s="10" t="s">
        <v>52</v>
      </c>
      <c r="D8086" s="11">
        <v>110.22927689594357</v>
      </c>
      <c r="E8086" s="12">
        <f t="shared" si="126"/>
        <v>49524</v>
      </c>
    </row>
    <row r="8087" spans="1:5" x14ac:dyDescent="0.25">
      <c r="A8087" s="2">
        <f>IF(B8087="","",SUBTOTAL(3,$B$2:B8087))</f>
        <v>8086</v>
      </c>
      <c r="B8087" s="9" t="s">
        <v>50</v>
      </c>
      <c r="C8087" s="10" t="s">
        <v>52</v>
      </c>
      <c r="D8087" s="11">
        <v>88.183421516754848</v>
      </c>
      <c r="E8087" s="12">
        <f t="shared" si="126"/>
        <v>49525</v>
      </c>
    </row>
    <row r="8088" spans="1:5" x14ac:dyDescent="0.25">
      <c r="A8088" s="2">
        <f>IF(B8088="","",SUBTOTAL(3,$B$2:B8088))</f>
        <v>8087</v>
      </c>
      <c r="B8088" s="9" t="s">
        <v>50</v>
      </c>
      <c r="C8088" s="10" t="s">
        <v>52</v>
      </c>
      <c r="D8088" s="11">
        <v>88.183421516754848</v>
      </c>
      <c r="E8088" s="12">
        <f t="shared" si="126"/>
        <v>49526</v>
      </c>
    </row>
    <row r="8089" spans="1:5" x14ac:dyDescent="0.25">
      <c r="A8089" s="2">
        <f>IF(B8089="","",SUBTOTAL(3,$B$2:B8089))</f>
        <v>8088</v>
      </c>
      <c r="B8089" s="9" t="s">
        <v>50</v>
      </c>
      <c r="C8089" s="10" t="s">
        <v>52</v>
      </c>
      <c r="D8089" s="11">
        <v>110.22927689594357</v>
      </c>
      <c r="E8089" s="12">
        <f t="shared" si="126"/>
        <v>49527</v>
      </c>
    </row>
    <row r="8090" spans="1:5" x14ac:dyDescent="0.25">
      <c r="A8090" s="2">
        <f>IF(B8090="","",SUBTOTAL(3,$B$2:B8090))</f>
        <v>8089</v>
      </c>
      <c r="B8090" s="9" t="s">
        <v>50</v>
      </c>
      <c r="C8090" s="10" t="s">
        <v>52</v>
      </c>
      <c r="D8090" s="11">
        <v>110.22927689594357</v>
      </c>
      <c r="E8090" s="12">
        <f t="shared" si="126"/>
        <v>49528</v>
      </c>
    </row>
    <row r="8091" spans="1:5" x14ac:dyDescent="0.25">
      <c r="A8091" s="2">
        <f>IF(B8091="","",SUBTOTAL(3,$B$2:B8091))</f>
        <v>8090</v>
      </c>
      <c r="B8091" s="9" t="s">
        <v>50</v>
      </c>
      <c r="C8091" s="10" t="s">
        <v>57</v>
      </c>
      <c r="D8091" s="11">
        <v>55.114638447971785</v>
      </c>
      <c r="E8091" s="12">
        <f t="shared" si="126"/>
        <v>49529</v>
      </c>
    </row>
    <row r="8092" spans="1:5" x14ac:dyDescent="0.25">
      <c r="A8092" s="2">
        <f>IF(B8092="","",SUBTOTAL(3,$B$2:B8092))</f>
        <v>8091</v>
      </c>
      <c r="B8092" s="9" t="s">
        <v>50</v>
      </c>
      <c r="C8092" s="10" t="s">
        <v>52</v>
      </c>
      <c r="D8092" s="11">
        <v>110.22927689594357</v>
      </c>
      <c r="E8092" s="12">
        <f t="shared" si="126"/>
        <v>49530</v>
      </c>
    </row>
    <row r="8093" spans="1:5" x14ac:dyDescent="0.25">
      <c r="A8093" s="2">
        <f>IF(B8093="","",SUBTOTAL(3,$B$2:B8093))</f>
        <v>8092</v>
      </c>
      <c r="B8093" s="9" t="s">
        <v>50</v>
      </c>
      <c r="C8093" s="10" t="s">
        <v>49</v>
      </c>
      <c r="D8093" s="11">
        <v>176.3668430335097</v>
      </c>
      <c r="E8093" s="12">
        <f t="shared" si="126"/>
        <v>49531</v>
      </c>
    </row>
    <row r="8094" spans="1:5" x14ac:dyDescent="0.25">
      <c r="A8094" s="2">
        <f>IF(B8094="","",SUBTOTAL(3,$B$2:B8094))</f>
        <v>8093</v>
      </c>
      <c r="B8094" s="9" t="s">
        <v>50</v>
      </c>
      <c r="C8094" s="10" t="s">
        <v>49</v>
      </c>
      <c r="D8094" s="11">
        <v>42.989417989417987</v>
      </c>
      <c r="E8094" s="12">
        <f t="shared" si="126"/>
        <v>49532</v>
      </c>
    </row>
    <row r="8095" spans="1:5" x14ac:dyDescent="0.25">
      <c r="A8095" s="2">
        <f>IF(B8095="","",SUBTOTAL(3,$B$2:B8095))</f>
        <v>8094</v>
      </c>
      <c r="B8095" s="9" t="s">
        <v>51</v>
      </c>
      <c r="C8095" s="10" t="s">
        <v>49</v>
      </c>
      <c r="D8095" s="11">
        <v>21.179709837975221</v>
      </c>
      <c r="E8095" s="12">
        <f t="shared" si="126"/>
        <v>49533</v>
      </c>
    </row>
    <row r="8096" spans="1:5" x14ac:dyDescent="0.25">
      <c r="A8096" s="2">
        <f>IF(B8096="","",SUBTOTAL(3,$B$2:B8096))</f>
        <v>8095</v>
      </c>
      <c r="B8096" s="9" t="s">
        <v>48</v>
      </c>
      <c r="C8096" s="10" t="s">
        <v>49</v>
      </c>
      <c r="D8096" s="11">
        <v>41.58964879852126</v>
      </c>
      <c r="E8096" s="12">
        <f t="shared" si="126"/>
        <v>49534</v>
      </c>
    </row>
    <row r="8097" spans="1:5" x14ac:dyDescent="0.25">
      <c r="A8097" s="2">
        <f>IF(B8097="","",SUBTOTAL(3,$B$2:B8097))</f>
        <v>8096</v>
      </c>
      <c r="B8097" s="9" t="s">
        <v>48</v>
      </c>
      <c r="C8097" s="10" t="s">
        <v>49</v>
      </c>
      <c r="D8097" s="11">
        <v>30.807147258163894</v>
      </c>
      <c r="E8097" s="12">
        <f t="shared" si="126"/>
        <v>49535</v>
      </c>
    </row>
    <row r="8098" spans="1:5" x14ac:dyDescent="0.25">
      <c r="A8098" s="2">
        <f>IF(B8098="","",SUBTOTAL(3,$B$2:B8098))</f>
        <v>8097</v>
      </c>
      <c r="B8098" s="9" t="s">
        <v>48</v>
      </c>
      <c r="C8098" s="10" t="s">
        <v>56</v>
      </c>
      <c r="D8098" s="11">
        <v>43.130006161429456</v>
      </c>
      <c r="E8098" s="12">
        <f t="shared" si="126"/>
        <v>49536</v>
      </c>
    </row>
    <row r="8099" spans="1:5" x14ac:dyDescent="0.25">
      <c r="A8099" s="2">
        <f>IF(B8099="","",SUBTOTAL(3,$B$2:B8099))</f>
        <v>8098</v>
      </c>
      <c r="B8099" s="9" t="s">
        <v>50</v>
      </c>
      <c r="C8099" s="10" t="s">
        <v>49</v>
      </c>
      <c r="D8099" s="11">
        <v>132.27513227513228</v>
      </c>
      <c r="E8099" s="12">
        <f t="shared" si="126"/>
        <v>49537</v>
      </c>
    </row>
    <row r="8100" spans="1:5" x14ac:dyDescent="0.25">
      <c r="A8100" s="2">
        <f>IF(B8100="","",SUBTOTAL(3,$B$2:B8100))</f>
        <v>8099</v>
      </c>
      <c r="B8100" s="9" t="s">
        <v>50</v>
      </c>
      <c r="C8100" s="10" t="s">
        <v>52</v>
      </c>
      <c r="D8100" s="11">
        <v>110.22927689594357</v>
      </c>
      <c r="E8100" s="12">
        <f t="shared" si="126"/>
        <v>49538</v>
      </c>
    </row>
    <row r="8101" spans="1:5" x14ac:dyDescent="0.25">
      <c r="A8101" s="2">
        <f>IF(B8101="","",SUBTOTAL(3,$B$2:B8101))</f>
        <v>8100</v>
      </c>
      <c r="B8101" s="9" t="s">
        <v>50</v>
      </c>
      <c r="C8101" s="10" t="s">
        <v>49</v>
      </c>
      <c r="D8101" s="11">
        <v>440.91710758377428</v>
      </c>
      <c r="E8101" s="12">
        <f t="shared" si="126"/>
        <v>49539</v>
      </c>
    </row>
    <row r="8102" spans="1:5" x14ac:dyDescent="0.25">
      <c r="A8102" s="2">
        <f>IF(B8102="","",SUBTOTAL(3,$B$2:B8102))</f>
        <v>8101</v>
      </c>
      <c r="B8102" s="9" t="s">
        <v>48</v>
      </c>
      <c r="C8102" s="10" t="s">
        <v>49</v>
      </c>
      <c r="D8102" s="11">
        <v>327.47328507411237</v>
      </c>
      <c r="E8102" s="12">
        <f t="shared" si="126"/>
        <v>49540</v>
      </c>
    </row>
    <row r="8103" spans="1:5" x14ac:dyDescent="0.25">
      <c r="A8103" s="2">
        <f>IF(B8103="","",SUBTOTAL(3,$B$2:B8103))</f>
        <v>8102</v>
      </c>
      <c r="B8103" s="9" t="s">
        <v>48</v>
      </c>
      <c r="C8103" s="10" t="s">
        <v>56</v>
      </c>
      <c r="D8103" s="11">
        <v>34.470872113064452</v>
      </c>
      <c r="E8103" s="12">
        <f t="shared" si="126"/>
        <v>49541</v>
      </c>
    </row>
    <row r="8104" spans="1:5" x14ac:dyDescent="0.25">
      <c r="A8104" s="2">
        <f>IF(B8104="","",SUBTOTAL(3,$B$2:B8104))</f>
        <v>8103</v>
      </c>
      <c r="B8104" s="9" t="s">
        <v>55</v>
      </c>
      <c r="C8104" s="10" t="s">
        <v>49</v>
      </c>
      <c r="D8104" s="11">
        <v>100</v>
      </c>
      <c r="E8104" s="12">
        <f t="shared" si="126"/>
        <v>49542</v>
      </c>
    </row>
    <row r="8105" spans="1:5" x14ac:dyDescent="0.25">
      <c r="A8105" s="2">
        <f>IF(B8105="","",SUBTOTAL(3,$B$2:B8105))</f>
        <v>8104</v>
      </c>
      <c r="B8105" s="9" t="s">
        <v>51</v>
      </c>
      <c r="C8105" s="10" t="s">
        <v>52</v>
      </c>
      <c r="D8105" s="11">
        <v>105.89854918987609</v>
      </c>
      <c r="E8105" s="12">
        <f t="shared" si="126"/>
        <v>49543</v>
      </c>
    </row>
    <row r="8106" spans="1:5" x14ac:dyDescent="0.25">
      <c r="A8106" s="2">
        <f>IF(B8106="","",SUBTOTAL(3,$B$2:B8106))</f>
        <v>8105</v>
      </c>
      <c r="B8106" s="9" t="s">
        <v>51</v>
      </c>
      <c r="C8106" s="10" t="s">
        <v>52</v>
      </c>
      <c r="D8106" s="11">
        <v>40.515355319666149</v>
      </c>
      <c r="E8106" s="12">
        <f t="shared" si="126"/>
        <v>49544</v>
      </c>
    </row>
    <row r="8107" spans="1:5" x14ac:dyDescent="0.25">
      <c r="A8107" s="2">
        <f>IF(B8107="","",SUBTOTAL(3,$B$2:B8107))</f>
        <v>8106</v>
      </c>
      <c r="B8107" s="9" t="s">
        <v>55</v>
      </c>
      <c r="C8107" s="10" t="s">
        <v>52</v>
      </c>
      <c r="D8107" s="11">
        <v>137.82331051591859</v>
      </c>
      <c r="E8107" s="12">
        <f t="shared" si="126"/>
        <v>49545</v>
      </c>
    </row>
    <row r="8108" spans="1:5" x14ac:dyDescent="0.25">
      <c r="A8108" s="2">
        <f>IF(B8108="","",SUBTOTAL(3,$B$2:B8108))</f>
        <v>8107</v>
      </c>
      <c r="B8108" s="9" t="s">
        <v>50</v>
      </c>
      <c r="C8108" s="10" t="s">
        <v>49</v>
      </c>
      <c r="D8108" s="11">
        <v>4409.1710758377421</v>
      </c>
      <c r="E8108" s="12">
        <f t="shared" si="126"/>
        <v>49546</v>
      </c>
    </row>
    <row r="8109" spans="1:5" x14ac:dyDescent="0.25">
      <c r="A8109" s="2">
        <f>IF(B8109="","",SUBTOTAL(3,$B$2:B8109))</f>
        <v>8108</v>
      </c>
      <c r="B8109" s="9" t="s">
        <v>48</v>
      </c>
      <c r="C8109" s="10" t="s">
        <v>54</v>
      </c>
      <c r="D8109" s="11">
        <v>17.235436056532226</v>
      </c>
      <c r="E8109" s="12">
        <f t="shared" si="126"/>
        <v>49547</v>
      </c>
    </row>
    <row r="8110" spans="1:5" x14ac:dyDescent="0.25">
      <c r="A8110" s="2">
        <f>IF(B8110="","",SUBTOTAL(3,$B$2:B8110))</f>
        <v>8109</v>
      </c>
      <c r="B8110" s="9" t="s">
        <v>51</v>
      </c>
      <c r="C8110" s="10" t="s">
        <v>52</v>
      </c>
      <c r="D8110" s="11">
        <v>423.59419675950437</v>
      </c>
      <c r="E8110" s="12">
        <f t="shared" si="126"/>
        <v>49548</v>
      </c>
    </row>
    <row r="8111" spans="1:5" x14ac:dyDescent="0.25">
      <c r="A8111" s="2">
        <f>IF(B8111="","",SUBTOTAL(3,$B$2:B8111))</f>
        <v>8110</v>
      </c>
      <c r="B8111" s="9" t="s">
        <v>48</v>
      </c>
      <c r="C8111" s="10" t="s">
        <v>52</v>
      </c>
      <c r="D8111" s="11">
        <v>154.03573629081947</v>
      </c>
      <c r="E8111" s="12">
        <f t="shared" si="126"/>
        <v>49549</v>
      </c>
    </row>
    <row r="8112" spans="1:5" x14ac:dyDescent="0.25">
      <c r="A8112" s="2">
        <f>IF(B8112="","",SUBTOTAL(3,$B$2:B8112))</f>
        <v>8111</v>
      </c>
      <c r="B8112" s="9" t="s">
        <v>48</v>
      </c>
      <c r="C8112" s="10" t="s">
        <v>49</v>
      </c>
      <c r="D8112" s="11">
        <v>64.24010381200776</v>
      </c>
      <c r="E8112" s="12">
        <f t="shared" si="126"/>
        <v>49550</v>
      </c>
    </row>
    <row r="8113" spans="1:5" x14ac:dyDescent="0.25">
      <c r="A8113" s="2">
        <f>IF(B8113="","",SUBTOTAL(3,$B$2:B8113))</f>
        <v>8112</v>
      </c>
      <c r="B8113" s="9" t="s">
        <v>55</v>
      </c>
      <c r="C8113" s="10" t="s">
        <v>56</v>
      </c>
      <c r="D8113" s="11">
        <v>13.035685188202706</v>
      </c>
      <c r="E8113" s="12">
        <f t="shared" si="126"/>
        <v>49551</v>
      </c>
    </row>
    <row r="8114" spans="1:5" x14ac:dyDescent="0.25">
      <c r="A8114" s="2">
        <f>IF(B8114="","",SUBTOTAL(3,$B$2:B8114))</f>
        <v>8113</v>
      </c>
      <c r="B8114" s="9" t="s">
        <v>51</v>
      </c>
      <c r="C8114" s="10" t="s">
        <v>52</v>
      </c>
      <c r="D8114" s="11">
        <v>158.84782378481412</v>
      </c>
      <c r="E8114" s="12">
        <f t="shared" si="126"/>
        <v>49552</v>
      </c>
    </row>
    <row r="8115" spans="1:5" x14ac:dyDescent="0.25">
      <c r="A8115" s="2">
        <f>IF(B8115="","",SUBTOTAL(3,$B$2:B8115))</f>
        <v>8114</v>
      </c>
      <c r="B8115" s="9" t="s">
        <v>55</v>
      </c>
      <c r="C8115" s="10" t="s">
        <v>49</v>
      </c>
      <c r="D8115" s="11">
        <v>16.294606485253382</v>
      </c>
      <c r="E8115" s="12">
        <f t="shared" si="126"/>
        <v>49553</v>
      </c>
    </row>
    <row r="8116" spans="1:5" x14ac:dyDescent="0.25">
      <c r="A8116" s="2">
        <f>IF(B8116="","",SUBTOTAL(3,$B$2:B8116))</f>
        <v>8115</v>
      </c>
      <c r="B8116" s="9" t="s">
        <v>55</v>
      </c>
      <c r="C8116" s="10" t="s">
        <v>49</v>
      </c>
      <c r="D8116" s="11">
        <v>11.375</v>
      </c>
      <c r="E8116" s="12">
        <f t="shared" si="126"/>
        <v>49554</v>
      </c>
    </row>
    <row r="8117" spans="1:5" x14ac:dyDescent="0.25">
      <c r="A8117" s="2">
        <f>IF(B8117="","",SUBTOTAL(3,$B$2:B8117))</f>
        <v>8116</v>
      </c>
      <c r="B8117" s="9" t="s">
        <v>55</v>
      </c>
      <c r="C8117" s="10" t="s">
        <v>49</v>
      </c>
      <c r="D8117" s="11">
        <v>100</v>
      </c>
      <c r="E8117" s="12">
        <f t="shared" si="126"/>
        <v>49555</v>
      </c>
    </row>
    <row r="8118" spans="1:5" x14ac:dyDescent="0.25">
      <c r="A8118" s="2">
        <f>IF(B8118="","",SUBTOTAL(3,$B$2:B8118))</f>
        <v>8117</v>
      </c>
      <c r="B8118" s="9" t="s">
        <v>48</v>
      </c>
      <c r="C8118" s="10" t="s">
        <v>56</v>
      </c>
      <c r="D8118" s="11">
        <v>64.24010381200776</v>
      </c>
      <c r="E8118" s="12">
        <f t="shared" si="126"/>
        <v>49556</v>
      </c>
    </row>
    <row r="8119" spans="1:5" x14ac:dyDescent="0.25">
      <c r="A8119" s="2">
        <f>IF(B8119="","",SUBTOTAL(3,$B$2:B8119))</f>
        <v>8118</v>
      </c>
      <c r="B8119" s="9" t="s">
        <v>51</v>
      </c>
      <c r="C8119" s="10" t="s">
        <v>54</v>
      </c>
      <c r="D8119" s="11">
        <v>105.89854918987609</v>
      </c>
      <c r="E8119" s="12">
        <f t="shared" si="126"/>
        <v>49557</v>
      </c>
    </row>
    <row r="8120" spans="1:5" x14ac:dyDescent="0.25">
      <c r="A8120" s="2">
        <f>IF(B8120="","",SUBTOTAL(3,$B$2:B8120))</f>
        <v>8119</v>
      </c>
      <c r="B8120" s="9" t="s">
        <v>50</v>
      </c>
      <c r="C8120" s="10" t="s">
        <v>52</v>
      </c>
      <c r="D8120" s="11">
        <v>220.45855379188714</v>
      </c>
      <c r="E8120" s="12">
        <f t="shared" si="126"/>
        <v>49558</v>
      </c>
    </row>
    <row r="8121" spans="1:5" x14ac:dyDescent="0.25">
      <c r="A8121" s="2">
        <f>IF(B8121="","",SUBTOTAL(3,$B$2:B8121))</f>
        <v>8120</v>
      </c>
      <c r="B8121" s="9" t="s">
        <v>51</v>
      </c>
      <c r="C8121" s="10" t="s">
        <v>52</v>
      </c>
      <c r="D8121" s="11">
        <v>275</v>
      </c>
      <c r="E8121" s="12">
        <f t="shared" si="126"/>
        <v>49559</v>
      </c>
    </row>
    <row r="8122" spans="1:5" x14ac:dyDescent="0.25">
      <c r="A8122" s="2">
        <f>IF(B8122="","",SUBTOTAL(3,$B$2:B8122))</f>
        <v>8121</v>
      </c>
      <c r="B8122" s="9" t="s">
        <v>51</v>
      </c>
      <c r="C8122" s="10" t="s">
        <v>54</v>
      </c>
      <c r="D8122" s="11">
        <v>52.949274594938046</v>
      </c>
      <c r="E8122" s="12">
        <f t="shared" si="126"/>
        <v>49560</v>
      </c>
    </row>
    <row r="8123" spans="1:5" x14ac:dyDescent="0.25">
      <c r="A8123" s="2">
        <f>IF(B8123="","",SUBTOTAL(3,$B$2:B8123))</f>
        <v>8122</v>
      </c>
      <c r="B8123" s="9" t="s">
        <v>55</v>
      </c>
      <c r="C8123" s="10" t="s">
        <v>49</v>
      </c>
      <c r="D8123" s="11">
        <v>30.875</v>
      </c>
      <c r="E8123" s="12">
        <f t="shared" si="126"/>
        <v>49561</v>
      </c>
    </row>
    <row r="8124" spans="1:5" x14ac:dyDescent="0.25">
      <c r="A8124" s="2">
        <f>IF(B8124="","",SUBTOTAL(3,$B$2:B8124))</f>
        <v>8123</v>
      </c>
      <c r="B8124" s="9" t="s">
        <v>51</v>
      </c>
      <c r="C8124" s="10" t="s">
        <v>52</v>
      </c>
      <c r="D8124" s="11">
        <v>105.89854918987609</v>
      </c>
      <c r="E8124" s="12">
        <f t="shared" si="126"/>
        <v>49562</v>
      </c>
    </row>
    <row r="8125" spans="1:5" x14ac:dyDescent="0.25">
      <c r="A8125" s="2">
        <f>IF(B8125="","",SUBTOTAL(3,$B$2:B8125))</f>
        <v>8124</v>
      </c>
      <c r="B8125" s="9" t="s">
        <v>48</v>
      </c>
      <c r="C8125" s="10" t="s">
        <v>49</v>
      </c>
      <c r="D8125" s="11">
        <v>86.177180282661155</v>
      </c>
      <c r="E8125" s="12">
        <f t="shared" si="126"/>
        <v>49563</v>
      </c>
    </row>
    <row r="8126" spans="1:5" x14ac:dyDescent="0.25">
      <c r="A8126" s="2">
        <f>IF(B8126="","",SUBTOTAL(3,$B$2:B8126))</f>
        <v>8125</v>
      </c>
      <c r="B8126" s="9" t="s">
        <v>48</v>
      </c>
      <c r="C8126" s="10" t="s">
        <v>57</v>
      </c>
      <c r="D8126" s="11">
        <v>154.03573629081947</v>
      </c>
      <c r="E8126" s="12">
        <f t="shared" si="126"/>
        <v>49564</v>
      </c>
    </row>
    <row r="8127" spans="1:5" x14ac:dyDescent="0.25">
      <c r="A8127" s="2">
        <f>IF(B8127="","",SUBTOTAL(3,$B$2:B8127))</f>
        <v>8126</v>
      </c>
      <c r="B8127" s="9" t="s">
        <v>48</v>
      </c>
      <c r="C8127" s="10" t="s">
        <v>56</v>
      </c>
      <c r="D8127" s="11">
        <v>46.210720887245841</v>
      </c>
      <c r="E8127" s="12">
        <f t="shared" si="126"/>
        <v>49565</v>
      </c>
    </row>
    <row r="8128" spans="1:5" x14ac:dyDescent="0.25">
      <c r="A8128" s="2">
        <f>IF(B8128="","",SUBTOTAL(3,$B$2:B8128))</f>
        <v>8127</v>
      </c>
      <c r="B8128" s="9" t="s">
        <v>51</v>
      </c>
      <c r="C8128" s="10" t="s">
        <v>52</v>
      </c>
      <c r="D8128" s="11">
        <v>810.30710639332301</v>
      </c>
      <c r="E8128" s="12">
        <f t="shared" si="126"/>
        <v>49566</v>
      </c>
    </row>
    <row r="8129" spans="1:5" x14ac:dyDescent="0.25">
      <c r="A8129" s="2">
        <f>IF(B8129="","",SUBTOTAL(3,$B$2:B8129))</f>
        <v>8128</v>
      </c>
      <c r="B8129" s="9" t="s">
        <v>55</v>
      </c>
      <c r="C8129" s="10" t="s">
        <v>49</v>
      </c>
      <c r="D8129" s="11">
        <v>97.767638911520294</v>
      </c>
      <c r="E8129" s="12">
        <f t="shared" si="126"/>
        <v>49567</v>
      </c>
    </row>
    <row r="8130" spans="1:5" x14ac:dyDescent="0.25">
      <c r="A8130" s="2">
        <f>IF(B8130="","",SUBTOTAL(3,$B$2:B8130))</f>
        <v>8129</v>
      </c>
      <c r="B8130" s="9" t="s">
        <v>55</v>
      </c>
      <c r="C8130" s="10" t="s">
        <v>49</v>
      </c>
      <c r="D8130" s="11">
        <v>11.375</v>
      </c>
      <c r="E8130" s="12">
        <f t="shared" si="126"/>
        <v>49568</v>
      </c>
    </row>
    <row r="8131" spans="1:5" x14ac:dyDescent="0.25">
      <c r="A8131" s="2">
        <f>IF(B8131="","",SUBTOTAL(3,$B$2:B8131))</f>
        <v>8130</v>
      </c>
      <c r="B8131" s="9" t="s">
        <v>48</v>
      </c>
      <c r="C8131" s="10" t="s">
        <v>56</v>
      </c>
      <c r="D8131" s="11">
        <v>12.848020762401553</v>
      </c>
      <c r="E8131" s="12">
        <f t="shared" si="126"/>
        <v>49569</v>
      </c>
    </row>
    <row r="8132" spans="1:5" x14ac:dyDescent="0.25">
      <c r="A8132" s="2">
        <f>IF(B8132="","",SUBTOTAL(3,$B$2:B8132))</f>
        <v>8131</v>
      </c>
      <c r="B8132" s="9" t="s">
        <v>51</v>
      </c>
      <c r="C8132" s="10" t="s">
        <v>54</v>
      </c>
      <c r="D8132" s="11">
        <v>52.949274594938046</v>
      </c>
      <c r="E8132" s="12">
        <f t="shared" ref="E8132:E8195" si="127">E8131+1</f>
        <v>49570</v>
      </c>
    </row>
    <row r="8133" spans="1:5" x14ac:dyDescent="0.25">
      <c r="A8133" s="2">
        <f>IF(B8133="","",SUBTOTAL(3,$B$2:B8133))</f>
        <v>8132</v>
      </c>
      <c r="B8133" s="9" t="s">
        <v>48</v>
      </c>
      <c r="C8133" s="10" t="s">
        <v>49</v>
      </c>
      <c r="D8133" s="11">
        <v>31.467183729748363</v>
      </c>
      <c r="E8133" s="12">
        <f t="shared" si="127"/>
        <v>49571</v>
      </c>
    </row>
    <row r="8134" spans="1:5" x14ac:dyDescent="0.25">
      <c r="A8134" s="2">
        <f>IF(B8134="","",SUBTOTAL(3,$B$2:B8134))</f>
        <v>8133</v>
      </c>
      <c r="B8134" s="9" t="s">
        <v>48</v>
      </c>
      <c r="C8134" s="10" t="s">
        <v>49</v>
      </c>
      <c r="D8134" s="11">
        <v>27.635835699510491</v>
      </c>
      <c r="E8134" s="12">
        <f t="shared" si="127"/>
        <v>49572</v>
      </c>
    </row>
    <row r="8135" spans="1:5" x14ac:dyDescent="0.25">
      <c r="A8135" s="2">
        <f>IF(B8135="","",SUBTOTAL(3,$B$2:B8135))</f>
        <v>8134</v>
      </c>
      <c r="B8135" s="9" t="s">
        <v>48</v>
      </c>
      <c r="C8135" s="10" t="s">
        <v>56</v>
      </c>
      <c r="D8135" s="11">
        <v>38.54406228720466</v>
      </c>
      <c r="E8135" s="12">
        <f t="shared" si="127"/>
        <v>49573</v>
      </c>
    </row>
    <row r="8136" spans="1:5" x14ac:dyDescent="0.25">
      <c r="A8136" s="2">
        <f>IF(B8136="","",SUBTOTAL(3,$B$2:B8136))</f>
        <v>8135</v>
      </c>
      <c r="B8136" s="9" t="s">
        <v>51</v>
      </c>
      <c r="C8136" s="10" t="s">
        <v>54</v>
      </c>
      <c r="D8136" s="11">
        <v>52.949274594938046</v>
      </c>
      <c r="E8136" s="12">
        <f t="shared" si="127"/>
        <v>49574</v>
      </c>
    </row>
    <row r="8137" spans="1:5" x14ac:dyDescent="0.25">
      <c r="A8137" s="2">
        <f>IF(B8137="","",SUBTOTAL(3,$B$2:B8137))</f>
        <v>8136</v>
      </c>
      <c r="B8137" s="9" t="s">
        <v>51</v>
      </c>
      <c r="C8137" s="10" t="s">
        <v>49</v>
      </c>
      <c r="D8137" s="11">
        <v>63.539129513925651</v>
      </c>
      <c r="E8137" s="12">
        <f t="shared" si="127"/>
        <v>49575</v>
      </c>
    </row>
    <row r="8138" spans="1:5" x14ac:dyDescent="0.25">
      <c r="A8138" s="2">
        <f>IF(B8138="","",SUBTOTAL(3,$B$2:B8138))</f>
        <v>8137</v>
      </c>
      <c r="B8138" s="9" t="s">
        <v>48</v>
      </c>
      <c r="C8138" s="10" t="s">
        <v>49</v>
      </c>
      <c r="D8138" s="11">
        <v>25.696041524803107</v>
      </c>
      <c r="E8138" s="12">
        <f t="shared" si="127"/>
        <v>49576</v>
      </c>
    </row>
    <row r="8139" spans="1:5" x14ac:dyDescent="0.25">
      <c r="A8139" s="2">
        <f>IF(B8139="","",SUBTOTAL(3,$B$2:B8139))</f>
        <v>8138</v>
      </c>
      <c r="B8139" s="9" t="s">
        <v>55</v>
      </c>
      <c r="C8139" s="10" t="s">
        <v>56</v>
      </c>
      <c r="D8139" s="11">
        <v>98.712135669959252</v>
      </c>
      <c r="E8139" s="12">
        <f t="shared" si="127"/>
        <v>49577</v>
      </c>
    </row>
    <row r="8140" spans="1:5" x14ac:dyDescent="0.25">
      <c r="A8140" s="2">
        <f>IF(B8140="","",SUBTOTAL(3,$B$2:B8140))</f>
        <v>8139</v>
      </c>
      <c r="B8140" s="9" t="s">
        <v>55</v>
      </c>
      <c r="C8140" s="10" t="s">
        <v>56</v>
      </c>
      <c r="D8140" s="11">
        <v>98.712135669959252</v>
      </c>
      <c r="E8140" s="12">
        <f t="shared" si="127"/>
        <v>49578</v>
      </c>
    </row>
    <row r="8141" spans="1:5" x14ac:dyDescent="0.25">
      <c r="A8141" s="2">
        <f>IF(B8141="","",SUBTOTAL(3,$B$2:B8141))</f>
        <v>8140</v>
      </c>
      <c r="B8141" s="9" t="s">
        <v>55</v>
      </c>
      <c r="C8141" s="10" t="s">
        <v>49</v>
      </c>
      <c r="D8141" s="11">
        <v>150</v>
      </c>
      <c r="E8141" s="12">
        <f t="shared" si="127"/>
        <v>49579</v>
      </c>
    </row>
    <row r="8142" spans="1:5" x14ac:dyDescent="0.25">
      <c r="A8142" s="2">
        <f>IF(B8142="","",SUBTOTAL(3,$B$2:B8142))</f>
        <v>8141</v>
      </c>
      <c r="B8142" s="9" t="s">
        <v>48</v>
      </c>
      <c r="C8142" s="10" t="s">
        <v>56</v>
      </c>
      <c r="D8142" s="11">
        <v>66.235366605052377</v>
      </c>
      <c r="E8142" s="12">
        <f t="shared" si="127"/>
        <v>49580</v>
      </c>
    </row>
    <row r="8143" spans="1:5" x14ac:dyDescent="0.25">
      <c r="A8143" s="2">
        <f>IF(B8143="","",SUBTOTAL(3,$B$2:B8143))</f>
        <v>8142</v>
      </c>
      <c r="B8143" s="9" t="s">
        <v>48</v>
      </c>
      <c r="C8143" s="10" t="s">
        <v>56</v>
      </c>
      <c r="D8143" s="11">
        <v>7.7017868145409736</v>
      </c>
      <c r="E8143" s="12">
        <f t="shared" si="127"/>
        <v>49581</v>
      </c>
    </row>
    <row r="8144" spans="1:5" x14ac:dyDescent="0.25">
      <c r="A8144" s="2">
        <f>IF(B8144="","",SUBTOTAL(3,$B$2:B8144))</f>
        <v>8143</v>
      </c>
      <c r="B8144" s="9" t="s">
        <v>48</v>
      </c>
      <c r="C8144" s="10" t="s">
        <v>49</v>
      </c>
      <c r="D8144" s="11">
        <v>44.968072668405433</v>
      </c>
      <c r="E8144" s="12">
        <f t="shared" si="127"/>
        <v>49582</v>
      </c>
    </row>
    <row r="8145" spans="1:5" x14ac:dyDescent="0.25">
      <c r="A8145" s="2">
        <f>IF(B8145="","",SUBTOTAL(3,$B$2:B8145))</f>
        <v>8144</v>
      </c>
      <c r="B8145" s="9" t="s">
        <v>48</v>
      </c>
      <c r="C8145" s="10" t="s">
        <v>56</v>
      </c>
      <c r="D8145" s="11">
        <v>38.54406228720466</v>
      </c>
      <c r="E8145" s="12">
        <f t="shared" si="127"/>
        <v>49583</v>
      </c>
    </row>
    <row r="8146" spans="1:5" x14ac:dyDescent="0.25">
      <c r="A8146" s="2">
        <f>IF(B8146="","",SUBTOTAL(3,$B$2:B8146))</f>
        <v>8145</v>
      </c>
      <c r="B8146" s="9" t="s">
        <v>55</v>
      </c>
      <c r="C8146" s="10" t="s">
        <v>52</v>
      </c>
      <c r="D8146" s="11">
        <v>41.130056529149691</v>
      </c>
      <c r="E8146" s="12">
        <f t="shared" si="127"/>
        <v>49584</v>
      </c>
    </row>
    <row r="8147" spans="1:5" x14ac:dyDescent="0.25">
      <c r="A8147" s="2">
        <f>IF(B8147="","",SUBTOTAL(3,$B$2:B8147))</f>
        <v>8146</v>
      </c>
      <c r="B8147" s="9" t="s">
        <v>55</v>
      </c>
      <c r="C8147" s="10" t="s">
        <v>52</v>
      </c>
      <c r="D8147" s="11">
        <v>74.034101752469454</v>
      </c>
      <c r="E8147" s="12">
        <f t="shared" si="127"/>
        <v>49585</v>
      </c>
    </row>
    <row r="8148" spans="1:5" x14ac:dyDescent="0.25">
      <c r="A8148" s="2">
        <f>IF(B8148="","",SUBTOTAL(3,$B$2:B8148))</f>
        <v>8147</v>
      </c>
      <c r="B8148" s="9" t="s">
        <v>48</v>
      </c>
      <c r="C8148" s="10" t="s">
        <v>49</v>
      </c>
      <c r="D8148" s="11">
        <v>27.635835699510491</v>
      </c>
      <c r="E8148" s="12">
        <f t="shared" si="127"/>
        <v>49586</v>
      </c>
    </row>
    <row r="8149" spans="1:5" x14ac:dyDescent="0.25">
      <c r="A8149" s="2">
        <f>IF(B8149="","",SUBTOTAL(3,$B$2:B8149))</f>
        <v>8148</v>
      </c>
      <c r="B8149" s="9" t="s">
        <v>48</v>
      </c>
      <c r="C8149" s="10" t="s">
        <v>56</v>
      </c>
      <c r="D8149" s="11">
        <v>3080.7147258163895</v>
      </c>
      <c r="E8149" s="12">
        <f t="shared" si="127"/>
        <v>49587</v>
      </c>
    </row>
    <row r="8150" spans="1:5" x14ac:dyDescent="0.25">
      <c r="A8150" s="2">
        <f>IF(B8150="","",SUBTOTAL(3,$B$2:B8150))</f>
        <v>8149</v>
      </c>
      <c r="B8150" s="9" t="s">
        <v>48</v>
      </c>
      <c r="C8150" s="10" t="s">
        <v>49</v>
      </c>
      <c r="D8150" s="11">
        <v>61.614294516327789</v>
      </c>
      <c r="E8150" s="12">
        <f t="shared" si="127"/>
        <v>49588</v>
      </c>
    </row>
    <row r="8151" spans="1:5" x14ac:dyDescent="0.25">
      <c r="A8151" s="2">
        <f>IF(B8151="","",SUBTOTAL(3,$B$2:B8151))</f>
        <v>8150</v>
      </c>
      <c r="B8151" s="9" t="s">
        <v>51</v>
      </c>
      <c r="C8151" s="10" t="s">
        <v>52</v>
      </c>
      <c r="D8151" s="11">
        <v>81.030710639332298</v>
      </c>
      <c r="E8151" s="12">
        <f t="shared" si="127"/>
        <v>49589</v>
      </c>
    </row>
    <row r="8152" spans="1:5" x14ac:dyDescent="0.25">
      <c r="A8152" s="2">
        <f>IF(B8152="","",SUBTOTAL(3,$B$2:B8152))</f>
        <v>8151</v>
      </c>
      <c r="B8152" s="9" t="s">
        <v>48</v>
      </c>
      <c r="C8152" s="10" t="s">
        <v>49</v>
      </c>
      <c r="D8152" s="11">
        <v>9.4408135125818688</v>
      </c>
      <c r="E8152" s="12">
        <f t="shared" si="127"/>
        <v>49590</v>
      </c>
    </row>
    <row r="8153" spans="1:5" x14ac:dyDescent="0.25">
      <c r="A8153" s="2">
        <f>IF(B8153="","",SUBTOTAL(3,$B$2:B8153))</f>
        <v>8152</v>
      </c>
      <c r="B8153" s="9" t="s">
        <v>51</v>
      </c>
      <c r="C8153" s="10" t="s">
        <v>56</v>
      </c>
      <c r="D8153" s="11">
        <v>52.949274594938046</v>
      </c>
      <c r="E8153" s="12">
        <f t="shared" si="127"/>
        <v>49591</v>
      </c>
    </row>
    <row r="8154" spans="1:5" x14ac:dyDescent="0.25">
      <c r="A8154" s="2">
        <f>IF(B8154="","",SUBTOTAL(3,$B$2:B8154))</f>
        <v>8153</v>
      </c>
      <c r="B8154" s="9" t="s">
        <v>50</v>
      </c>
      <c r="C8154" s="10" t="s">
        <v>49</v>
      </c>
      <c r="D8154" s="11">
        <v>97.934215167548501</v>
      </c>
      <c r="E8154" s="12">
        <f t="shared" si="127"/>
        <v>49592</v>
      </c>
    </row>
    <row r="8155" spans="1:5" x14ac:dyDescent="0.25">
      <c r="A8155" s="2">
        <f>IF(B8155="","",SUBTOTAL(3,$B$2:B8155))</f>
        <v>8154</v>
      </c>
      <c r="B8155" s="9" t="s">
        <v>50</v>
      </c>
      <c r="C8155" s="10" t="s">
        <v>52</v>
      </c>
      <c r="D8155" s="11">
        <v>55.114638447971785</v>
      </c>
      <c r="E8155" s="12">
        <f t="shared" si="127"/>
        <v>49593</v>
      </c>
    </row>
    <row r="8156" spans="1:5" x14ac:dyDescent="0.25">
      <c r="A8156" s="2">
        <f>IF(B8156="","",SUBTOTAL(3,$B$2:B8156))</f>
        <v>8155</v>
      </c>
      <c r="B8156" s="9" t="s">
        <v>50</v>
      </c>
      <c r="C8156" s="10" t="s">
        <v>52</v>
      </c>
      <c r="D8156" s="11">
        <v>8.8183421516754841</v>
      </c>
      <c r="E8156" s="12">
        <f t="shared" si="127"/>
        <v>49594</v>
      </c>
    </row>
    <row r="8157" spans="1:5" x14ac:dyDescent="0.25">
      <c r="A8157" s="2">
        <f>IF(B8157="","",SUBTOTAL(3,$B$2:B8157))</f>
        <v>8156</v>
      </c>
      <c r="B8157" s="9" t="s">
        <v>51</v>
      </c>
      <c r="C8157" s="10" t="s">
        <v>52</v>
      </c>
      <c r="D8157" s="11">
        <v>622.68346923647141</v>
      </c>
      <c r="E8157" s="12">
        <f t="shared" si="127"/>
        <v>49595</v>
      </c>
    </row>
    <row r="8158" spans="1:5" x14ac:dyDescent="0.25">
      <c r="A8158" s="2">
        <f>IF(B8158="","",SUBTOTAL(3,$B$2:B8158))</f>
        <v>8157</v>
      </c>
      <c r="B8158" s="9" t="s">
        <v>51</v>
      </c>
      <c r="C8158" s="10" t="s">
        <v>54</v>
      </c>
      <c r="D8158" s="11">
        <v>52.949274594938046</v>
      </c>
      <c r="E8158" s="12">
        <f t="shared" si="127"/>
        <v>49596</v>
      </c>
    </row>
    <row r="8159" spans="1:5" x14ac:dyDescent="0.25">
      <c r="A8159" s="2">
        <f>IF(B8159="","",SUBTOTAL(3,$B$2:B8159))</f>
        <v>8158</v>
      </c>
      <c r="B8159" s="9" t="s">
        <v>51</v>
      </c>
      <c r="C8159" s="10" t="s">
        <v>49</v>
      </c>
      <c r="D8159" s="11">
        <v>31.769564756962826</v>
      </c>
      <c r="E8159" s="12">
        <f t="shared" si="127"/>
        <v>49597</v>
      </c>
    </row>
    <row r="8160" spans="1:5" x14ac:dyDescent="0.25">
      <c r="A8160" s="2">
        <f>IF(B8160="","",SUBTOTAL(3,$B$2:B8160))</f>
        <v>8159</v>
      </c>
      <c r="B8160" s="9" t="s">
        <v>48</v>
      </c>
      <c r="C8160" s="10" t="s">
        <v>52</v>
      </c>
      <c r="D8160" s="11">
        <v>128.48020762401552</v>
      </c>
      <c r="E8160" s="12">
        <f t="shared" si="127"/>
        <v>49598</v>
      </c>
    </row>
    <row r="8161" spans="1:5" x14ac:dyDescent="0.25">
      <c r="A8161" s="2">
        <f>IF(B8161="","",SUBTOTAL(3,$B$2:B8161))</f>
        <v>8160</v>
      </c>
      <c r="B8161" s="9" t="s">
        <v>48</v>
      </c>
      <c r="C8161" s="10" t="s">
        <v>52</v>
      </c>
      <c r="D8161" s="11">
        <v>128.48020762401552</v>
      </c>
      <c r="E8161" s="12">
        <f t="shared" si="127"/>
        <v>49599</v>
      </c>
    </row>
    <row r="8162" spans="1:5" x14ac:dyDescent="0.25">
      <c r="A8162" s="2">
        <f>IF(B8162="","",SUBTOTAL(3,$B$2:B8162))</f>
        <v>8161</v>
      </c>
      <c r="B8162" s="9" t="s">
        <v>48</v>
      </c>
      <c r="C8162" s="10" t="s">
        <v>52</v>
      </c>
      <c r="D8162" s="11">
        <v>128.48020762401552</v>
      </c>
      <c r="E8162" s="12">
        <f t="shared" si="127"/>
        <v>49600</v>
      </c>
    </row>
    <row r="8163" spans="1:5" x14ac:dyDescent="0.25">
      <c r="A8163" s="2">
        <f>IF(B8163="","",SUBTOTAL(3,$B$2:B8163))</f>
        <v>8162</v>
      </c>
      <c r="B8163" s="9" t="s">
        <v>55</v>
      </c>
      <c r="C8163" s="10" t="s">
        <v>56</v>
      </c>
      <c r="D8163" s="11">
        <v>32.904045223319756</v>
      </c>
      <c r="E8163" s="12">
        <f t="shared" si="127"/>
        <v>49601</v>
      </c>
    </row>
    <row r="8164" spans="1:5" x14ac:dyDescent="0.25">
      <c r="A8164" s="2">
        <f>IF(B8164="","",SUBTOTAL(3,$B$2:B8164))</f>
        <v>8163</v>
      </c>
      <c r="B8164" s="9" t="s">
        <v>48</v>
      </c>
      <c r="C8164" s="10" t="s">
        <v>56</v>
      </c>
      <c r="D8164" s="11">
        <v>124.09513960703205</v>
      </c>
      <c r="E8164" s="12">
        <f t="shared" si="127"/>
        <v>49602</v>
      </c>
    </row>
    <row r="8165" spans="1:5" x14ac:dyDescent="0.25">
      <c r="A8165" s="2">
        <f>IF(B8165="","",SUBTOTAL(3,$B$2:B8165))</f>
        <v>8164</v>
      </c>
      <c r="B8165" s="9" t="s">
        <v>51</v>
      </c>
      <c r="C8165" s="10" t="s">
        <v>49</v>
      </c>
      <c r="D8165" s="11">
        <v>158.84782378481412</v>
      </c>
      <c r="E8165" s="12">
        <f t="shared" si="127"/>
        <v>49603</v>
      </c>
    </row>
    <row r="8166" spans="1:5" x14ac:dyDescent="0.25">
      <c r="A8166" s="2">
        <f>IF(B8166="","",SUBTOTAL(3,$B$2:B8166))</f>
        <v>8165</v>
      </c>
      <c r="B8166" s="9" t="s">
        <v>55</v>
      </c>
      <c r="C8166" s="10" t="s">
        <v>49</v>
      </c>
      <c r="D8166" s="11">
        <v>27.681929281407854</v>
      </c>
      <c r="E8166" s="12">
        <f t="shared" si="127"/>
        <v>49604</v>
      </c>
    </row>
    <row r="8167" spans="1:5" x14ac:dyDescent="0.25">
      <c r="A8167" s="2">
        <f>IF(B8167="","",SUBTOTAL(3,$B$2:B8167))</f>
        <v>8166</v>
      </c>
      <c r="B8167" s="9" t="s">
        <v>55</v>
      </c>
      <c r="C8167" s="10" t="s">
        <v>56</v>
      </c>
      <c r="D8167" s="11">
        <v>120.3659123736158</v>
      </c>
      <c r="E8167" s="12">
        <f t="shared" si="127"/>
        <v>49605</v>
      </c>
    </row>
    <row r="8168" spans="1:5" x14ac:dyDescent="0.25">
      <c r="A8168" s="2">
        <f>IF(B8168="","",SUBTOTAL(3,$B$2:B8168))</f>
        <v>8167</v>
      </c>
      <c r="B8168" s="9" t="s">
        <v>55</v>
      </c>
      <c r="C8168" s="10" t="s">
        <v>56</v>
      </c>
      <c r="D8168" s="11">
        <v>240.7318247472316</v>
      </c>
      <c r="E8168" s="12">
        <f t="shared" si="127"/>
        <v>49606</v>
      </c>
    </row>
    <row r="8169" spans="1:5" x14ac:dyDescent="0.25">
      <c r="A8169" s="2">
        <f>IF(B8169="","",SUBTOTAL(3,$B$2:B8169))</f>
        <v>8168</v>
      </c>
      <c r="B8169" s="9" t="s">
        <v>50</v>
      </c>
      <c r="C8169" s="10" t="s">
        <v>52</v>
      </c>
      <c r="D8169" s="11">
        <v>99.206349206349202</v>
      </c>
      <c r="E8169" s="12">
        <f t="shared" si="127"/>
        <v>49607</v>
      </c>
    </row>
    <row r="8170" spans="1:5" x14ac:dyDescent="0.25">
      <c r="A8170" s="2">
        <f>IF(B8170="","",SUBTOTAL(3,$B$2:B8170))</f>
        <v>8169</v>
      </c>
      <c r="B8170" s="9" t="s">
        <v>55</v>
      </c>
      <c r="C8170" s="10" t="s">
        <v>49</v>
      </c>
      <c r="D8170" s="11">
        <v>26.323236178655804</v>
      </c>
      <c r="E8170" s="12">
        <f t="shared" si="127"/>
        <v>49608</v>
      </c>
    </row>
    <row r="8171" spans="1:5" x14ac:dyDescent="0.25">
      <c r="A8171" s="2">
        <f>IF(B8171="","",SUBTOTAL(3,$B$2:B8171))</f>
        <v>8170</v>
      </c>
      <c r="B8171" s="9" t="s">
        <v>55</v>
      </c>
      <c r="C8171" s="10" t="s">
        <v>56</v>
      </c>
      <c r="D8171" s="11">
        <v>23.032831656323829</v>
      </c>
      <c r="E8171" s="12">
        <f t="shared" si="127"/>
        <v>49609</v>
      </c>
    </row>
    <row r="8172" spans="1:5" x14ac:dyDescent="0.25">
      <c r="A8172" s="2">
        <f>IF(B8172="","",SUBTOTAL(3,$B$2:B8172))</f>
        <v>8171</v>
      </c>
      <c r="B8172" s="9" t="s">
        <v>55</v>
      </c>
      <c r="C8172" s="10" t="s">
        <v>56</v>
      </c>
      <c r="D8172" s="11">
        <v>92.131326625295316</v>
      </c>
      <c r="E8172" s="12">
        <f t="shared" si="127"/>
        <v>49610</v>
      </c>
    </row>
    <row r="8173" spans="1:5" x14ac:dyDescent="0.25">
      <c r="A8173" s="2">
        <f>IF(B8173="","",SUBTOTAL(3,$B$2:B8173))</f>
        <v>8172</v>
      </c>
      <c r="B8173" s="9" t="s">
        <v>55</v>
      </c>
      <c r="C8173" s="10" t="s">
        <v>56</v>
      </c>
      <c r="D8173" s="11">
        <v>28.085379553843687</v>
      </c>
      <c r="E8173" s="12">
        <f t="shared" si="127"/>
        <v>49611</v>
      </c>
    </row>
    <row r="8174" spans="1:5" x14ac:dyDescent="0.25">
      <c r="A8174" s="2">
        <f>IF(B8174="","",SUBTOTAL(3,$B$2:B8174))</f>
        <v>8173</v>
      </c>
      <c r="B8174" s="9" t="s">
        <v>51</v>
      </c>
      <c r="C8174" s="10" t="s">
        <v>56</v>
      </c>
      <c r="D8174" s="11">
        <v>105.89854918987609</v>
      </c>
      <c r="E8174" s="12">
        <f t="shared" si="127"/>
        <v>49612</v>
      </c>
    </row>
    <row r="8175" spans="1:5" x14ac:dyDescent="0.25">
      <c r="A8175" s="2">
        <f>IF(B8175="","",SUBTOTAL(3,$B$2:B8175))</f>
        <v>8174</v>
      </c>
      <c r="B8175" s="9" t="s">
        <v>48</v>
      </c>
      <c r="C8175" s="10" t="s">
        <v>49</v>
      </c>
      <c r="D8175" s="11">
        <v>23.567467652495381</v>
      </c>
      <c r="E8175" s="12">
        <f t="shared" si="127"/>
        <v>49613</v>
      </c>
    </row>
    <row r="8176" spans="1:5" x14ac:dyDescent="0.25">
      <c r="A8176" s="2">
        <f>IF(B8176="","",SUBTOTAL(3,$B$2:B8176))</f>
        <v>8175</v>
      </c>
      <c r="B8176" s="9" t="s">
        <v>48</v>
      </c>
      <c r="C8176" s="10" t="s">
        <v>56</v>
      </c>
      <c r="D8176" s="11">
        <v>77.088124574409321</v>
      </c>
      <c r="E8176" s="12">
        <f t="shared" si="127"/>
        <v>49614</v>
      </c>
    </row>
    <row r="8177" spans="1:5" x14ac:dyDescent="0.25">
      <c r="A8177" s="2">
        <f>IF(B8177="","",SUBTOTAL(3,$B$2:B8177))</f>
        <v>8176</v>
      </c>
      <c r="B8177" s="9" t="s">
        <v>50</v>
      </c>
      <c r="C8177" s="10" t="s">
        <v>49</v>
      </c>
      <c r="D8177" s="11">
        <v>55.114638447971785</v>
      </c>
      <c r="E8177" s="12">
        <f t="shared" si="127"/>
        <v>49615</v>
      </c>
    </row>
    <row r="8178" spans="1:5" x14ac:dyDescent="0.25">
      <c r="A8178" s="2">
        <f>IF(B8178="","",SUBTOTAL(3,$B$2:B8178))</f>
        <v>8177</v>
      </c>
      <c r="B8178" s="9" t="s">
        <v>48</v>
      </c>
      <c r="C8178" s="10" t="s">
        <v>49</v>
      </c>
      <c r="D8178" s="11">
        <v>155.11892450879009</v>
      </c>
      <c r="E8178" s="12">
        <f t="shared" si="127"/>
        <v>49616</v>
      </c>
    </row>
    <row r="8179" spans="1:5" x14ac:dyDescent="0.25">
      <c r="A8179" s="2">
        <f>IF(B8179="","",SUBTOTAL(3,$B$2:B8179))</f>
        <v>8178</v>
      </c>
      <c r="B8179" s="9" t="s">
        <v>55</v>
      </c>
      <c r="C8179" s="10" t="s">
        <v>49</v>
      </c>
      <c r="D8179" s="11">
        <v>283.78595404920969</v>
      </c>
      <c r="E8179" s="12">
        <f t="shared" si="127"/>
        <v>49617</v>
      </c>
    </row>
    <row r="8180" spans="1:5" x14ac:dyDescent="0.25">
      <c r="A8180" s="2">
        <f>IF(B8180="","",SUBTOTAL(3,$B$2:B8180))</f>
        <v>8179</v>
      </c>
      <c r="B8180" s="9" t="s">
        <v>55</v>
      </c>
      <c r="C8180" s="10" t="s">
        <v>49</v>
      </c>
      <c r="D8180" s="11">
        <v>467.23744217114051</v>
      </c>
      <c r="E8180" s="12">
        <f t="shared" si="127"/>
        <v>49618</v>
      </c>
    </row>
    <row r="8181" spans="1:5" x14ac:dyDescent="0.25">
      <c r="A8181" s="2">
        <f>IF(B8181="","",SUBTOTAL(3,$B$2:B8181))</f>
        <v>8180</v>
      </c>
      <c r="B8181" s="9" t="s">
        <v>51</v>
      </c>
      <c r="C8181" s="10" t="s">
        <v>52</v>
      </c>
      <c r="D8181" s="11">
        <v>203.48406226834692</v>
      </c>
      <c r="E8181" s="12">
        <f t="shared" si="127"/>
        <v>49619</v>
      </c>
    </row>
    <row r="8182" spans="1:5" x14ac:dyDescent="0.25">
      <c r="A8182" s="2">
        <f>IF(B8182="","",SUBTOTAL(3,$B$2:B8182))</f>
        <v>8181</v>
      </c>
      <c r="B8182" s="9" t="s">
        <v>55</v>
      </c>
      <c r="C8182" s="10" t="s">
        <v>54</v>
      </c>
      <c r="D8182" s="11">
        <v>160.48788316482106</v>
      </c>
      <c r="E8182" s="12">
        <f t="shared" si="127"/>
        <v>49620</v>
      </c>
    </row>
    <row r="8183" spans="1:5" x14ac:dyDescent="0.25">
      <c r="A8183" s="2">
        <f>IF(B8183="","",SUBTOTAL(3,$B$2:B8183))</f>
        <v>8182</v>
      </c>
      <c r="B8183" s="9" t="s">
        <v>51</v>
      </c>
      <c r="C8183" s="10" t="s">
        <v>52</v>
      </c>
      <c r="D8183" s="11">
        <v>317.69564756962825</v>
      </c>
      <c r="E8183" s="12">
        <f t="shared" si="127"/>
        <v>49621</v>
      </c>
    </row>
    <row r="8184" spans="1:5" x14ac:dyDescent="0.25">
      <c r="A8184" s="2">
        <f>IF(B8184="","",SUBTOTAL(3,$B$2:B8184))</f>
        <v>8183</v>
      </c>
      <c r="B8184" s="9" t="s">
        <v>51</v>
      </c>
      <c r="C8184" s="10" t="s">
        <v>52</v>
      </c>
      <c r="D8184" s="11">
        <v>132.37318648734512</v>
      </c>
      <c r="E8184" s="12">
        <f t="shared" si="127"/>
        <v>49622</v>
      </c>
    </row>
    <row r="8185" spans="1:5" x14ac:dyDescent="0.25">
      <c r="A8185" s="2">
        <f>IF(B8185="","",SUBTOTAL(3,$B$2:B8185))</f>
        <v>8184</v>
      </c>
      <c r="B8185" s="9" t="s">
        <v>48</v>
      </c>
      <c r="C8185" s="10" t="s">
        <v>56</v>
      </c>
      <c r="D8185" s="11">
        <v>17.235436056532226</v>
      </c>
      <c r="E8185" s="12">
        <f t="shared" si="127"/>
        <v>49623</v>
      </c>
    </row>
    <row r="8186" spans="1:5" x14ac:dyDescent="0.25">
      <c r="A8186" s="2">
        <f>IF(B8186="","",SUBTOTAL(3,$B$2:B8186))</f>
        <v>8185</v>
      </c>
      <c r="B8186" s="9" t="s">
        <v>48</v>
      </c>
      <c r="C8186" s="10" t="s">
        <v>56</v>
      </c>
      <c r="D8186" s="11">
        <v>32.12005190600388</v>
      </c>
      <c r="E8186" s="12">
        <f t="shared" si="127"/>
        <v>49624</v>
      </c>
    </row>
    <row r="8187" spans="1:5" x14ac:dyDescent="0.25">
      <c r="A8187" s="2">
        <f>IF(B8187="","",SUBTOTAL(3,$B$2:B8187))</f>
        <v>8186</v>
      </c>
      <c r="B8187" s="9" t="s">
        <v>48</v>
      </c>
      <c r="C8187" s="10" t="s">
        <v>56</v>
      </c>
      <c r="D8187" s="11">
        <v>30.807147258163894</v>
      </c>
      <c r="E8187" s="12">
        <f t="shared" si="127"/>
        <v>49625</v>
      </c>
    </row>
    <row r="8188" spans="1:5" x14ac:dyDescent="0.25">
      <c r="A8188" s="2">
        <f>IF(B8188="","",SUBTOTAL(3,$B$2:B8188))</f>
        <v>8187</v>
      </c>
      <c r="B8188" s="9" t="s">
        <v>51</v>
      </c>
      <c r="C8188" s="10" t="s">
        <v>52</v>
      </c>
      <c r="D8188" s="11">
        <v>87.419252356242723</v>
      </c>
      <c r="E8188" s="12">
        <f t="shared" si="127"/>
        <v>49626</v>
      </c>
    </row>
    <row r="8189" spans="1:5" x14ac:dyDescent="0.25">
      <c r="A8189" s="2">
        <f>IF(B8189="","",SUBTOTAL(3,$B$2:B8189))</f>
        <v>8188</v>
      </c>
      <c r="B8189" s="9" t="s">
        <v>51</v>
      </c>
      <c r="C8189" s="10" t="s">
        <v>52</v>
      </c>
      <c r="D8189" s="11">
        <v>63.581488933601605</v>
      </c>
      <c r="E8189" s="12">
        <f t="shared" si="127"/>
        <v>49627</v>
      </c>
    </row>
    <row r="8190" spans="1:5" x14ac:dyDescent="0.25">
      <c r="A8190" s="2">
        <f>IF(B8190="","",SUBTOTAL(3,$B$2:B8190))</f>
        <v>8189</v>
      </c>
      <c r="B8190" s="9" t="s">
        <v>48</v>
      </c>
      <c r="C8190" s="10" t="s">
        <v>56</v>
      </c>
      <c r="D8190" s="11">
        <v>84.719654959950716</v>
      </c>
      <c r="E8190" s="12">
        <f t="shared" si="127"/>
        <v>49628</v>
      </c>
    </row>
    <row r="8191" spans="1:5" x14ac:dyDescent="0.25">
      <c r="A8191" s="2">
        <f>IF(B8191="","",SUBTOTAL(3,$B$2:B8191))</f>
        <v>8190</v>
      </c>
      <c r="B8191" s="9" t="s">
        <v>53</v>
      </c>
      <c r="C8191" s="10" t="s">
        <v>49</v>
      </c>
      <c r="D8191" s="11">
        <v>91.585994669695125</v>
      </c>
      <c r="E8191" s="12">
        <f t="shared" si="127"/>
        <v>49629</v>
      </c>
    </row>
    <row r="8192" spans="1:5" x14ac:dyDescent="0.25">
      <c r="A8192" s="2">
        <f>IF(B8192="","",SUBTOTAL(3,$B$2:B8192))</f>
        <v>8191</v>
      </c>
      <c r="B8192" s="9" t="s">
        <v>48</v>
      </c>
      <c r="C8192" s="10" t="s">
        <v>49</v>
      </c>
      <c r="D8192" s="11">
        <v>17.235436056532226</v>
      </c>
      <c r="E8192" s="12">
        <f t="shared" si="127"/>
        <v>49630</v>
      </c>
    </row>
    <row r="8193" spans="1:5" x14ac:dyDescent="0.25">
      <c r="A8193" s="2">
        <f>IF(B8193="","",SUBTOTAL(3,$B$2:B8193))</f>
        <v>8192</v>
      </c>
      <c r="B8193" s="9" t="s">
        <v>48</v>
      </c>
      <c r="C8193" s="10" t="s">
        <v>49</v>
      </c>
      <c r="D8193" s="11">
        <v>327.47328507411237</v>
      </c>
      <c r="E8193" s="12">
        <f t="shared" si="127"/>
        <v>49631</v>
      </c>
    </row>
    <row r="8194" spans="1:5" x14ac:dyDescent="0.25">
      <c r="A8194" s="2">
        <f>IF(B8194="","",SUBTOTAL(3,$B$2:B8194))</f>
        <v>8193</v>
      </c>
      <c r="B8194" s="9" t="s">
        <v>48</v>
      </c>
      <c r="C8194" s="10" t="s">
        <v>52</v>
      </c>
      <c r="D8194" s="11">
        <v>92.421441774491683</v>
      </c>
      <c r="E8194" s="12">
        <f t="shared" si="127"/>
        <v>49632</v>
      </c>
    </row>
    <row r="8195" spans="1:5" x14ac:dyDescent="0.25">
      <c r="A8195" s="2">
        <f>IF(B8195="","",SUBTOTAL(3,$B$2:B8195))</f>
        <v>8194</v>
      </c>
      <c r="B8195" s="9" t="s">
        <v>48</v>
      </c>
      <c r="C8195" s="10" t="s">
        <v>56</v>
      </c>
      <c r="D8195" s="11">
        <v>30.807147258163894</v>
      </c>
      <c r="E8195" s="12">
        <f t="shared" si="127"/>
        <v>49633</v>
      </c>
    </row>
    <row r="8196" spans="1:5" x14ac:dyDescent="0.25">
      <c r="A8196" s="2">
        <f>IF(B8196="","",SUBTOTAL(3,$B$2:B8196))</f>
        <v>8195</v>
      </c>
      <c r="B8196" s="9" t="s">
        <v>48</v>
      </c>
      <c r="C8196" s="10" t="s">
        <v>56</v>
      </c>
      <c r="D8196" s="11">
        <v>77.017868145409736</v>
      </c>
      <c r="E8196" s="12">
        <f t="shared" ref="E8196:E8259" si="128">E8195+1</f>
        <v>49634</v>
      </c>
    </row>
    <row r="8197" spans="1:5" x14ac:dyDescent="0.25">
      <c r="A8197" s="2">
        <f>IF(B8197="","",SUBTOTAL(3,$B$2:B8197))</f>
        <v>8196</v>
      </c>
      <c r="B8197" s="9" t="s">
        <v>48</v>
      </c>
      <c r="C8197" s="10" t="s">
        <v>56</v>
      </c>
      <c r="D8197" s="11">
        <v>41.365046535677351</v>
      </c>
      <c r="E8197" s="12">
        <f t="shared" si="128"/>
        <v>49635</v>
      </c>
    </row>
    <row r="8198" spans="1:5" x14ac:dyDescent="0.25">
      <c r="A8198" s="2">
        <f>IF(B8198="","",SUBTOTAL(3,$B$2:B8198))</f>
        <v>8197</v>
      </c>
      <c r="B8198" s="9" t="s">
        <v>48</v>
      </c>
      <c r="C8198" s="10" t="s">
        <v>52</v>
      </c>
      <c r="D8198" s="11">
        <v>53.912507701786815</v>
      </c>
      <c r="E8198" s="12">
        <f t="shared" si="128"/>
        <v>49636</v>
      </c>
    </row>
    <row r="8199" spans="1:5" x14ac:dyDescent="0.25">
      <c r="A8199" s="2">
        <f>IF(B8199="","",SUBTOTAL(3,$B$2:B8199))</f>
        <v>8198</v>
      </c>
      <c r="B8199" s="9" t="s">
        <v>48</v>
      </c>
      <c r="C8199" s="10" t="s">
        <v>49</v>
      </c>
      <c r="D8199" s="11">
        <v>30.807147258163894</v>
      </c>
      <c r="E8199" s="12">
        <f t="shared" si="128"/>
        <v>49637</v>
      </c>
    </row>
    <row r="8200" spans="1:5" x14ac:dyDescent="0.25">
      <c r="A8200" s="2">
        <f>IF(B8200="","",SUBTOTAL(3,$B$2:B8200))</f>
        <v>8199</v>
      </c>
      <c r="B8200" s="9" t="s">
        <v>48</v>
      </c>
      <c r="C8200" s="10" t="s">
        <v>52</v>
      </c>
      <c r="D8200" s="11">
        <v>123.22858903265558</v>
      </c>
      <c r="E8200" s="12">
        <f t="shared" si="128"/>
        <v>49638</v>
      </c>
    </row>
    <row r="8201" spans="1:5" x14ac:dyDescent="0.25">
      <c r="A8201" s="2">
        <f>IF(B8201="","",SUBTOTAL(3,$B$2:B8201))</f>
        <v>8200</v>
      </c>
      <c r="B8201" s="9" t="s">
        <v>48</v>
      </c>
      <c r="C8201" s="10" t="s">
        <v>56</v>
      </c>
      <c r="D8201" s="11">
        <v>39.741219963031419</v>
      </c>
      <c r="E8201" s="12">
        <f t="shared" si="128"/>
        <v>49639</v>
      </c>
    </row>
    <row r="8202" spans="1:5" x14ac:dyDescent="0.25">
      <c r="A8202" s="2">
        <f>IF(B8202="","",SUBTOTAL(3,$B$2:B8202))</f>
        <v>8201</v>
      </c>
      <c r="B8202" s="9" t="s">
        <v>48</v>
      </c>
      <c r="C8202" s="10" t="s">
        <v>49</v>
      </c>
      <c r="D8202" s="11">
        <v>77.017868145409736</v>
      </c>
      <c r="E8202" s="12">
        <f t="shared" si="128"/>
        <v>49640</v>
      </c>
    </row>
    <row r="8203" spans="1:5" x14ac:dyDescent="0.25">
      <c r="A8203" s="2">
        <f>IF(B8203="","",SUBTOTAL(3,$B$2:B8203))</f>
        <v>8202</v>
      </c>
      <c r="B8203" s="9" t="s">
        <v>48</v>
      </c>
      <c r="C8203" s="10" t="s">
        <v>56</v>
      </c>
      <c r="D8203" s="11">
        <v>154.03573629081947</v>
      </c>
      <c r="E8203" s="12">
        <f t="shared" si="128"/>
        <v>49641</v>
      </c>
    </row>
    <row r="8204" spans="1:5" x14ac:dyDescent="0.25">
      <c r="A8204" s="2">
        <f>IF(B8204="","",SUBTOTAL(3,$B$2:B8204))</f>
        <v>8203</v>
      </c>
      <c r="B8204" s="9" t="s">
        <v>48</v>
      </c>
      <c r="C8204" s="10" t="s">
        <v>56</v>
      </c>
      <c r="D8204" s="11">
        <v>107.82501540357363</v>
      </c>
      <c r="E8204" s="12">
        <f t="shared" si="128"/>
        <v>49642</v>
      </c>
    </row>
    <row r="8205" spans="1:5" x14ac:dyDescent="0.25">
      <c r="A8205" s="2">
        <f>IF(B8205="","",SUBTOTAL(3,$B$2:B8205))</f>
        <v>8204</v>
      </c>
      <c r="B8205" s="9" t="s">
        <v>48</v>
      </c>
      <c r="C8205" s="10" t="s">
        <v>56</v>
      </c>
      <c r="D8205" s="11">
        <v>61.614294516327789</v>
      </c>
      <c r="E8205" s="12">
        <f t="shared" si="128"/>
        <v>49643</v>
      </c>
    </row>
    <row r="8206" spans="1:5" x14ac:dyDescent="0.25">
      <c r="A8206" s="2">
        <f>IF(B8206="","",SUBTOTAL(3,$B$2:B8206))</f>
        <v>8205</v>
      </c>
      <c r="B8206" s="9" t="s">
        <v>48</v>
      </c>
      <c r="C8206" s="10" t="s">
        <v>56</v>
      </c>
      <c r="D8206" s="11">
        <v>107.82501540357363</v>
      </c>
      <c r="E8206" s="12">
        <f t="shared" si="128"/>
        <v>49644</v>
      </c>
    </row>
    <row r="8207" spans="1:5" x14ac:dyDescent="0.25">
      <c r="A8207" s="2">
        <f>IF(B8207="","",SUBTOTAL(3,$B$2:B8207))</f>
        <v>8206</v>
      </c>
      <c r="B8207" s="9" t="s">
        <v>48</v>
      </c>
      <c r="C8207" s="10" t="s">
        <v>56</v>
      </c>
      <c r="D8207" s="11">
        <v>30.807147258163894</v>
      </c>
      <c r="E8207" s="12">
        <f t="shared" si="128"/>
        <v>49645</v>
      </c>
    </row>
    <row r="8208" spans="1:5" x14ac:dyDescent="0.25">
      <c r="A8208" s="2">
        <f>IF(B8208="","",SUBTOTAL(3,$B$2:B8208))</f>
        <v>8207</v>
      </c>
      <c r="B8208" s="9" t="s">
        <v>48</v>
      </c>
      <c r="C8208" s="10" t="s">
        <v>56</v>
      </c>
      <c r="D8208" s="11">
        <v>30.807147258163894</v>
      </c>
      <c r="E8208" s="12">
        <f t="shared" si="128"/>
        <v>49646</v>
      </c>
    </row>
    <row r="8209" spans="1:5" x14ac:dyDescent="0.25">
      <c r="A8209" s="2">
        <f>IF(B8209="","",SUBTOTAL(3,$B$2:B8209))</f>
        <v>8208</v>
      </c>
      <c r="B8209" s="9" t="s">
        <v>48</v>
      </c>
      <c r="C8209" s="10" t="s">
        <v>54</v>
      </c>
      <c r="D8209" s="11">
        <v>53.912507701786815</v>
      </c>
      <c r="E8209" s="12">
        <f t="shared" si="128"/>
        <v>49647</v>
      </c>
    </row>
    <row r="8210" spans="1:5" x14ac:dyDescent="0.25">
      <c r="A8210" s="2">
        <f>IF(B8210="","",SUBTOTAL(3,$B$2:B8210))</f>
        <v>8209</v>
      </c>
      <c r="B8210" s="9" t="s">
        <v>55</v>
      </c>
      <c r="C8210" s="10" t="s">
        <v>49</v>
      </c>
      <c r="D8210" s="11">
        <v>61.75</v>
      </c>
      <c r="E8210" s="12">
        <f t="shared" si="128"/>
        <v>49648</v>
      </c>
    </row>
    <row r="8211" spans="1:5" x14ac:dyDescent="0.25">
      <c r="A8211" s="2">
        <f>IF(B8211="","",SUBTOTAL(3,$B$2:B8211))</f>
        <v>8210</v>
      </c>
      <c r="B8211" s="9" t="s">
        <v>53</v>
      </c>
      <c r="C8211" s="10" t="s">
        <v>49</v>
      </c>
      <c r="D8211" s="11">
        <v>183.17198933939025</v>
      </c>
      <c r="E8211" s="12">
        <f t="shared" si="128"/>
        <v>49649</v>
      </c>
    </row>
    <row r="8212" spans="1:5" x14ac:dyDescent="0.25">
      <c r="A8212" s="2">
        <f>IF(B8212="","",SUBTOTAL(3,$B$2:B8212))</f>
        <v>8211</v>
      </c>
      <c r="B8212" s="9" t="s">
        <v>53</v>
      </c>
      <c r="C8212" s="10" t="s">
        <v>49</v>
      </c>
      <c r="D8212" s="11">
        <v>91.585994669695125</v>
      </c>
      <c r="E8212" s="12">
        <f t="shared" si="128"/>
        <v>49650</v>
      </c>
    </row>
    <row r="8213" spans="1:5" x14ac:dyDescent="0.25">
      <c r="A8213" s="2">
        <f>IF(B8213="","",SUBTOTAL(3,$B$2:B8213))</f>
        <v>8212</v>
      </c>
      <c r="B8213" s="9" t="s">
        <v>51</v>
      </c>
      <c r="C8213" s="10" t="s">
        <v>52</v>
      </c>
      <c r="D8213" s="11">
        <v>76.297786720321938</v>
      </c>
      <c r="E8213" s="12">
        <f t="shared" si="128"/>
        <v>49651</v>
      </c>
    </row>
    <row r="8214" spans="1:5" x14ac:dyDescent="0.25">
      <c r="A8214" s="2">
        <f>IF(B8214="","",SUBTOTAL(3,$B$2:B8214))</f>
        <v>8213</v>
      </c>
      <c r="B8214" s="9" t="s">
        <v>53</v>
      </c>
      <c r="C8214" s="10" t="s">
        <v>49</v>
      </c>
      <c r="D8214" s="11">
        <v>45.792997334847563</v>
      </c>
      <c r="E8214" s="12">
        <f t="shared" si="128"/>
        <v>49652</v>
      </c>
    </row>
    <row r="8215" spans="1:5" x14ac:dyDescent="0.25">
      <c r="A8215" s="2">
        <f>IF(B8215="","",SUBTOTAL(3,$B$2:B8215))</f>
        <v>8214</v>
      </c>
      <c r="B8215" s="9" t="s">
        <v>53</v>
      </c>
      <c r="C8215" s="10" t="s">
        <v>54</v>
      </c>
      <c r="D8215" s="11">
        <v>73.2687957357561</v>
      </c>
      <c r="E8215" s="12">
        <f t="shared" si="128"/>
        <v>49653</v>
      </c>
    </row>
    <row r="8216" spans="1:5" x14ac:dyDescent="0.25">
      <c r="A8216" s="2">
        <f>IF(B8216="","",SUBTOTAL(3,$B$2:B8216))</f>
        <v>8215</v>
      </c>
      <c r="B8216" s="9" t="s">
        <v>53</v>
      </c>
      <c r="C8216" s="10" t="s">
        <v>54</v>
      </c>
      <c r="D8216" s="11">
        <v>73.2687957357561</v>
      </c>
      <c r="E8216" s="12">
        <f t="shared" si="128"/>
        <v>49654</v>
      </c>
    </row>
    <row r="8217" spans="1:5" x14ac:dyDescent="0.25">
      <c r="A8217" s="2">
        <f>IF(B8217="","",SUBTOTAL(3,$B$2:B8217))</f>
        <v>8216</v>
      </c>
      <c r="B8217" s="9" t="s">
        <v>53</v>
      </c>
      <c r="C8217" s="10" t="s">
        <v>49</v>
      </c>
      <c r="D8217" s="11">
        <v>109.90319360363415</v>
      </c>
      <c r="E8217" s="12">
        <f t="shared" si="128"/>
        <v>49655</v>
      </c>
    </row>
    <row r="8218" spans="1:5" x14ac:dyDescent="0.25">
      <c r="A8218" s="2">
        <f>IF(B8218="","",SUBTOTAL(3,$B$2:B8218))</f>
        <v>8217</v>
      </c>
      <c r="B8218" s="9" t="s">
        <v>53</v>
      </c>
      <c r="C8218" s="10" t="s">
        <v>49</v>
      </c>
      <c r="D8218" s="11">
        <v>85.358147032155841</v>
      </c>
      <c r="E8218" s="12">
        <f t="shared" si="128"/>
        <v>49656</v>
      </c>
    </row>
    <row r="8219" spans="1:5" x14ac:dyDescent="0.25">
      <c r="A8219" s="2">
        <f>IF(B8219="","",SUBTOTAL(3,$B$2:B8219))</f>
        <v>8218</v>
      </c>
      <c r="B8219" s="9" t="s">
        <v>50</v>
      </c>
      <c r="C8219" s="10" t="s">
        <v>49</v>
      </c>
      <c r="D8219" s="11">
        <v>284.52460317460321</v>
      </c>
      <c r="E8219" s="12">
        <f t="shared" si="128"/>
        <v>49657</v>
      </c>
    </row>
    <row r="8220" spans="1:5" x14ac:dyDescent="0.25">
      <c r="A8220" s="2">
        <f>IF(B8220="","",SUBTOTAL(3,$B$2:B8220))</f>
        <v>8219</v>
      </c>
      <c r="B8220" s="9" t="s">
        <v>50</v>
      </c>
      <c r="C8220" s="10" t="s">
        <v>52</v>
      </c>
      <c r="D8220" s="11">
        <v>154.32098765432099</v>
      </c>
      <c r="E8220" s="12">
        <f t="shared" si="128"/>
        <v>49658</v>
      </c>
    </row>
    <row r="8221" spans="1:5" x14ac:dyDescent="0.25">
      <c r="A8221" s="2">
        <f>IF(B8221="","",SUBTOTAL(3,$B$2:B8221))</f>
        <v>8220</v>
      </c>
      <c r="B8221" s="9" t="s">
        <v>55</v>
      </c>
      <c r="C8221" s="10" t="s">
        <v>56</v>
      </c>
      <c r="D8221" s="11">
        <v>13.035685188202706</v>
      </c>
      <c r="E8221" s="12">
        <f t="shared" si="128"/>
        <v>49659</v>
      </c>
    </row>
    <row r="8222" spans="1:5" x14ac:dyDescent="0.25">
      <c r="A8222" s="2">
        <f>IF(B8222="","",SUBTOTAL(3,$B$2:B8222))</f>
        <v>8221</v>
      </c>
      <c r="B8222" s="9" t="s">
        <v>55</v>
      </c>
      <c r="C8222" s="10" t="s">
        <v>49</v>
      </c>
      <c r="D8222" s="11">
        <v>200</v>
      </c>
      <c r="E8222" s="12">
        <f t="shared" si="128"/>
        <v>49660</v>
      </c>
    </row>
    <row r="8223" spans="1:5" x14ac:dyDescent="0.25">
      <c r="A8223" s="2">
        <f>IF(B8223="","",SUBTOTAL(3,$B$2:B8223))</f>
        <v>8222</v>
      </c>
      <c r="B8223" s="9" t="s">
        <v>55</v>
      </c>
      <c r="C8223" s="10" t="s">
        <v>54</v>
      </c>
      <c r="D8223" s="11">
        <v>40.121970791205264</v>
      </c>
      <c r="E8223" s="12">
        <f t="shared" si="128"/>
        <v>49661</v>
      </c>
    </row>
    <row r="8224" spans="1:5" x14ac:dyDescent="0.25">
      <c r="A8224" s="2">
        <f>IF(B8224="","",SUBTOTAL(3,$B$2:B8224))</f>
        <v>8223</v>
      </c>
      <c r="B8224" s="9" t="s">
        <v>48</v>
      </c>
      <c r="C8224" s="10" t="s">
        <v>52</v>
      </c>
      <c r="D8224" s="11">
        <v>77.088124574409321</v>
      </c>
      <c r="E8224" s="12">
        <f t="shared" si="128"/>
        <v>49662</v>
      </c>
    </row>
    <row r="8225" spans="1:5" x14ac:dyDescent="0.25">
      <c r="A8225" s="2">
        <f>IF(B8225="","",SUBTOTAL(3,$B$2:B8225))</f>
        <v>8224</v>
      </c>
      <c r="B8225" s="9" t="s">
        <v>48</v>
      </c>
      <c r="C8225" s="10" t="s">
        <v>49</v>
      </c>
      <c r="D8225" s="11">
        <v>30.807147258163894</v>
      </c>
      <c r="E8225" s="12">
        <f t="shared" si="128"/>
        <v>49663</v>
      </c>
    </row>
    <row r="8226" spans="1:5" x14ac:dyDescent="0.25">
      <c r="A8226" s="2">
        <f>IF(B8226="","",SUBTOTAL(3,$B$2:B8226))</f>
        <v>8225</v>
      </c>
      <c r="B8226" s="9" t="s">
        <v>50</v>
      </c>
      <c r="C8226" s="10" t="s">
        <v>49</v>
      </c>
      <c r="D8226" s="11">
        <v>99.206349206349202</v>
      </c>
      <c r="E8226" s="12">
        <f t="shared" si="128"/>
        <v>49664</v>
      </c>
    </row>
    <row r="8227" spans="1:5" x14ac:dyDescent="0.25">
      <c r="A8227" s="2">
        <f>IF(B8227="","",SUBTOTAL(3,$B$2:B8227))</f>
        <v>8226</v>
      </c>
      <c r="B8227" s="9" t="s">
        <v>48</v>
      </c>
      <c r="C8227" s="10" t="s">
        <v>49</v>
      </c>
      <c r="D8227" s="11">
        <v>51.706308169596689</v>
      </c>
      <c r="E8227" s="12">
        <f t="shared" si="128"/>
        <v>49665</v>
      </c>
    </row>
    <row r="8228" spans="1:5" x14ac:dyDescent="0.25">
      <c r="A8228" s="2">
        <f>IF(B8228="","",SUBTOTAL(3,$B$2:B8228))</f>
        <v>8227</v>
      </c>
      <c r="B8228" s="9" t="s">
        <v>55</v>
      </c>
      <c r="C8228" s="10" t="s">
        <v>49</v>
      </c>
      <c r="D8228" s="11">
        <v>131.61618089327902</v>
      </c>
      <c r="E8228" s="12">
        <f t="shared" si="128"/>
        <v>49666</v>
      </c>
    </row>
    <row r="8229" spans="1:5" x14ac:dyDescent="0.25">
      <c r="A8229" s="2">
        <f>IF(B8229="","",SUBTOTAL(3,$B$2:B8229))</f>
        <v>8228</v>
      </c>
      <c r="B8229" s="9" t="s">
        <v>51</v>
      </c>
      <c r="C8229" s="10" t="s">
        <v>52</v>
      </c>
      <c r="D8229" s="11">
        <v>52.949274594938046</v>
      </c>
      <c r="E8229" s="12">
        <f t="shared" si="128"/>
        <v>49667</v>
      </c>
    </row>
    <row r="8230" spans="1:5" x14ac:dyDescent="0.25">
      <c r="A8230" s="2">
        <f>IF(B8230="","",SUBTOTAL(3,$B$2:B8230))</f>
        <v>8229</v>
      </c>
      <c r="B8230" s="9" t="s">
        <v>51</v>
      </c>
      <c r="C8230" s="10" t="s">
        <v>52</v>
      </c>
      <c r="D8230" s="11">
        <v>52.949274594938046</v>
      </c>
      <c r="E8230" s="12">
        <f t="shared" si="128"/>
        <v>49668</v>
      </c>
    </row>
    <row r="8231" spans="1:5" x14ac:dyDescent="0.25">
      <c r="A8231" s="2">
        <f>IF(B8231="","",SUBTOTAL(3,$B$2:B8231))</f>
        <v>8230</v>
      </c>
      <c r="B8231" s="9" t="s">
        <v>51</v>
      </c>
      <c r="C8231" s="10" t="s">
        <v>52</v>
      </c>
      <c r="D8231" s="11">
        <v>31.769564756962826</v>
      </c>
      <c r="E8231" s="12">
        <f t="shared" si="128"/>
        <v>49669</v>
      </c>
    </row>
    <row r="8232" spans="1:5" x14ac:dyDescent="0.25">
      <c r="A8232" s="2">
        <f>IF(B8232="","",SUBTOTAL(3,$B$2:B8232))</f>
        <v>8231</v>
      </c>
      <c r="B8232" s="9" t="s">
        <v>48</v>
      </c>
      <c r="C8232" s="10" t="s">
        <v>49</v>
      </c>
      <c r="D8232" s="11">
        <v>84.719654959950716</v>
      </c>
      <c r="E8232" s="12">
        <f t="shared" si="128"/>
        <v>49670</v>
      </c>
    </row>
    <row r="8233" spans="1:5" x14ac:dyDescent="0.25">
      <c r="A8233" s="2">
        <f>IF(B8233="","",SUBTOTAL(3,$B$2:B8233))</f>
        <v>8232</v>
      </c>
      <c r="B8233" s="9" t="s">
        <v>51</v>
      </c>
      <c r="C8233" s="10" t="s">
        <v>52</v>
      </c>
      <c r="D8233" s="11">
        <v>42.359419675950441</v>
      </c>
      <c r="E8233" s="12">
        <f t="shared" si="128"/>
        <v>49671</v>
      </c>
    </row>
    <row r="8234" spans="1:5" x14ac:dyDescent="0.25">
      <c r="A8234" s="2">
        <f>IF(B8234="","",SUBTOTAL(3,$B$2:B8234))</f>
        <v>8233</v>
      </c>
      <c r="B8234" s="9" t="s">
        <v>51</v>
      </c>
      <c r="C8234" s="10" t="s">
        <v>52</v>
      </c>
      <c r="D8234" s="11">
        <v>52.949274594938046</v>
      </c>
      <c r="E8234" s="12">
        <f t="shared" si="128"/>
        <v>49672</v>
      </c>
    </row>
    <row r="8235" spans="1:5" x14ac:dyDescent="0.25">
      <c r="A8235" s="2">
        <f>IF(B8235="","",SUBTOTAL(3,$B$2:B8235))</f>
        <v>8234</v>
      </c>
      <c r="B8235" s="9" t="s">
        <v>51</v>
      </c>
      <c r="C8235" s="10" t="s">
        <v>49</v>
      </c>
      <c r="D8235" s="11">
        <v>52.949274594938046</v>
      </c>
      <c r="E8235" s="12">
        <f t="shared" si="128"/>
        <v>49673</v>
      </c>
    </row>
    <row r="8236" spans="1:5" x14ac:dyDescent="0.25">
      <c r="A8236" s="2">
        <f>IF(B8236="","",SUBTOTAL(3,$B$2:B8236))</f>
        <v>8235</v>
      </c>
      <c r="B8236" s="9" t="s">
        <v>51</v>
      </c>
      <c r="C8236" s="10" t="s">
        <v>49</v>
      </c>
      <c r="D8236" s="11">
        <v>58.244202054431852</v>
      </c>
      <c r="E8236" s="12">
        <f t="shared" si="128"/>
        <v>49674</v>
      </c>
    </row>
    <row r="8237" spans="1:5" x14ac:dyDescent="0.25">
      <c r="A8237" s="2">
        <f>IF(B8237="","",SUBTOTAL(3,$B$2:B8237))</f>
        <v>8236</v>
      </c>
      <c r="B8237" s="9" t="s">
        <v>51</v>
      </c>
      <c r="C8237" s="10" t="s">
        <v>49</v>
      </c>
      <c r="D8237" s="11">
        <v>63.539129513925651</v>
      </c>
      <c r="E8237" s="12">
        <f t="shared" si="128"/>
        <v>49675</v>
      </c>
    </row>
    <row r="8238" spans="1:5" x14ac:dyDescent="0.25">
      <c r="A8238" s="2">
        <f>IF(B8238="","",SUBTOTAL(3,$B$2:B8238))</f>
        <v>8237</v>
      </c>
      <c r="B8238" s="9" t="s">
        <v>51</v>
      </c>
      <c r="C8238" s="10" t="s">
        <v>49</v>
      </c>
      <c r="D8238" s="11">
        <v>42.359419675950441</v>
      </c>
      <c r="E8238" s="12">
        <f t="shared" si="128"/>
        <v>49676</v>
      </c>
    </row>
    <row r="8239" spans="1:5" x14ac:dyDescent="0.25">
      <c r="A8239" s="2">
        <f>IF(B8239="","",SUBTOTAL(3,$B$2:B8239))</f>
        <v>8238</v>
      </c>
      <c r="B8239" s="9" t="s">
        <v>51</v>
      </c>
      <c r="C8239" s="10" t="s">
        <v>52</v>
      </c>
      <c r="D8239" s="11">
        <v>52.949274594938046</v>
      </c>
      <c r="E8239" s="12">
        <f t="shared" si="128"/>
        <v>49677</v>
      </c>
    </row>
    <row r="8240" spans="1:5" x14ac:dyDescent="0.25">
      <c r="A8240" s="2">
        <f>IF(B8240="","",SUBTOTAL(3,$B$2:B8240))</f>
        <v>8239</v>
      </c>
      <c r="B8240" s="9" t="s">
        <v>48</v>
      </c>
      <c r="C8240" s="10" t="s">
        <v>49</v>
      </c>
      <c r="D8240" s="11">
        <v>258.49431230610134</v>
      </c>
      <c r="E8240" s="12">
        <f t="shared" si="128"/>
        <v>49678</v>
      </c>
    </row>
    <row r="8241" spans="1:5" x14ac:dyDescent="0.25">
      <c r="A8241" s="2">
        <f>IF(B8241="","",SUBTOTAL(3,$B$2:B8241))</f>
        <v>8240</v>
      </c>
      <c r="B8241" s="9" t="s">
        <v>48</v>
      </c>
      <c r="C8241" s="10" t="s">
        <v>56</v>
      </c>
      <c r="D8241" s="11">
        <v>20.556833219842485</v>
      </c>
      <c r="E8241" s="12">
        <f t="shared" si="128"/>
        <v>49679</v>
      </c>
    </row>
    <row r="8242" spans="1:5" x14ac:dyDescent="0.25">
      <c r="A8242" s="2">
        <f>IF(B8242="","",SUBTOTAL(3,$B$2:B8242))</f>
        <v>8241</v>
      </c>
      <c r="B8242" s="9" t="s">
        <v>48</v>
      </c>
      <c r="C8242" s="10" t="s">
        <v>49</v>
      </c>
      <c r="D8242" s="11">
        <v>12.848020762401553</v>
      </c>
      <c r="E8242" s="12">
        <f t="shared" si="128"/>
        <v>49680</v>
      </c>
    </row>
    <row r="8243" spans="1:5" x14ac:dyDescent="0.25">
      <c r="A8243" s="2">
        <f>IF(B8243="","",SUBTOTAL(3,$B$2:B8243))</f>
        <v>8242</v>
      </c>
      <c r="B8243" s="9" t="s">
        <v>50</v>
      </c>
      <c r="C8243" s="10" t="s">
        <v>52</v>
      </c>
      <c r="D8243" s="11">
        <v>44.091710758377424</v>
      </c>
      <c r="E8243" s="12">
        <f t="shared" si="128"/>
        <v>49681</v>
      </c>
    </row>
    <row r="8244" spans="1:5" x14ac:dyDescent="0.25">
      <c r="A8244" s="2">
        <f>IF(B8244="","",SUBTOTAL(3,$B$2:B8244))</f>
        <v>8243</v>
      </c>
      <c r="B8244" s="9" t="s">
        <v>55</v>
      </c>
      <c r="C8244" s="10" t="s">
        <v>49</v>
      </c>
      <c r="D8244" s="11">
        <v>400</v>
      </c>
      <c r="E8244" s="12">
        <f t="shared" si="128"/>
        <v>49682</v>
      </c>
    </row>
    <row r="8245" spans="1:5" x14ac:dyDescent="0.25">
      <c r="A8245" s="2">
        <f>IF(B8245="","",SUBTOTAL(3,$B$2:B8245))</f>
        <v>8244</v>
      </c>
      <c r="B8245" s="9" t="s">
        <v>51</v>
      </c>
      <c r="C8245" s="10" t="s">
        <v>52</v>
      </c>
      <c r="D8245" s="11">
        <v>105.89854918987609</v>
      </c>
      <c r="E8245" s="12">
        <f t="shared" si="128"/>
        <v>49683</v>
      </c>
    </row>
    <row r="8246" spans="1:5" x14ac:dyDescent="0.25">
      <c r="A8246" s="2">
        <f>IF(B8246="","",SUBTOTAL(3,$B$2:B8246))</f>
        <v>8245</v>
      </c>
      <c r="B8246" s="9" t="s">
        <v>51</v>
      </c>
      <c r="C8246" s="10" t="s">
        <v>52</v>
      </c>
      <c r="D8246" s="11">
        <v>211.79709837975219</v>
      </c>
      <c r="E8246" s="12">
        <f t="shared" si="128"/>
        <v>49684</v>
      </c>
    </row>
    <row r="8247" spans="1:5" x14ac:dyDescent="0.25">
      <c r="A8247" s="2">
        <f>IF(B8247="","",SUBTOTAL(3,$B$2:B8247))</f>
        <v>8246</v>
      </c>
      <c r="B8247" s="9" t="s">
        <v>51</v>
      </c>
      <c r="C8247" s="10" t="s">
        <v>56</v>
      </c>
      <c r="D8247" s="11">
        <v>90.013766811394689</v>
      </c>
      <c r="E8247" s="12">
        <f t="shared" si="128"/>
        <v>49685</v>
      </c>
    </row>
    <row r="8248" spans="1:5" x14ac:dyDescent="0.25">
      <c r="A8248" s="2">
        <f>IF(B8248="","",SUBTOTAL(3,$B$2:B8248))</f>
        <v>8247</v>
      </c>
      <c r="B8248" s="9" t="s">
        <v>51</v>
      </c>
      <c r="C8248" s="10" t="s">
        <v>56</v>
      </c>
      <c r="D8248" s="11">
        <v>349.46521232659114</v>
      </c>
      <c r="E8248" s="12">
        <f t="shared" si="128"/>
        <v>49686</v>
      </c>
    </row>
    <row r="8249" spans="1:5" x14ac:dyDescent="0.25">
      <c r="A8249" s="2">
        <f>IF(B8249="","",SUBTOTAL(3,$B$2:B8249))</f>
        <v>8248</v>
      </c>
      <c r="B8249" s="9" t="s">
        <v>51</v>
      </c>
      <c r="C8249" s="10" t="s">
        <v>54</v>
      </c>
      <c r="D8249" s="11">
        <v>105.89854918987609</v>
      </c>
      <c r="E8249" s="12">
        <f t="shared" si="128"/>
        <v>49687</v>
      </c>
    </row>
    <row r="8250" spans="1:5" x14ac:dyDescent="0.25">
      <c r="A8250" s="2">
        <f>IF(B8250="","",SUBTOTAL(3,$B$2:B8250))</f>
        <v>8249</v>
      </c>
      <c r="B8250" s="9" t="s">
        <v>48</v>
      </c>
      <c r="C8250" s="10" t="s">
        <v>49</v>
      </c>
      <c r="D8250" s="11">
        <v>184.45492271915512</v>
      </c>
      <c r="E8250" s="12">
        <f t="shared" si="128"/>
        <v>49688</v>
      </c>
    </row>
    <row r="8251" spans="1:5" x14ac:dyDescent="0.25">
      <c r="A8251" s="2">
        <f>IF(B8251="","",SUBTOTAL(3,$B$2:B8251))</f>
        <v>8250</v>
      </c>
      <c r="B8251" s="9" t="s">
        <v>48</v>
      </c>
      <c r="C8251" s="10" t="s">
        <v>56</v>
      </c>
      <c r="D8251" s="11">
        <v>128.48020762401552</v>
      </c>
      <c r="E8251" s="12">
        <f t="shared" si="128"/>
        <v>49689</v>
      </c>
    </row>
    <row r="8252" spans="1:5" x14ac:dyDescent="0.25">
      <c r="A8252" s="2">
        <f>IF(B8252="","",SUBTOTAL(3,$B$2:B8252))</f>
        <v>8251</v>
      </c>
      <c r="B8252" s="9" t="s">
        <v>55</v>
      </c>
      <c r="C8252" s="10" t="s">
        <v>49</v>
      </c>
      <c r="D8252" s="11">
        <v>200</v>
      </c>
      <c r="E8252" s="12">
        <f t="shared" si="128"/>
        <v>49690</v>
      </c>
    </row>
    <row r="8253" spans="1:5" x14ac:dyDescent="0.25">
      <c r="A8253" s="2">
        <f>IF(B8253="","",SUBTOTAL(3,$B$2:B8253))</f>
        <v>8252</v>
      </c>
      <c r="B8253" s="9" t="s">
        <v>51</v>
      </c>
      <c r="C8253" s="10" t="s">
        <v>56</v>
      </c>
      <c r="D8253" s="11">
        <v>211.79709837975219</v>
      </c>
      <c r="E8253" s="12">
        <f t="shared" si="128"/>
        <v>49691</v>
      </c>
    </row>
    <row r="8254" spans="1:5" x14ac:dyDescent="0.25">
      <c r="A8254" s="2">
        <f>IF(B8254="","",SUBTOTAL(3,$B$2:B8254))</f>
        <v>8253</v>
      </c>
      <c r="B8254" s="9" t="s">
        <v>50</v>
      </c>
      <c r="C8254" s="10" t="s">
        <v>56</v>
      </c>
      <c r="D8254" s="11">
        <v>158.84782378481412</v>
      </c>
      <c r="E8254" s="12">
        <f t="shared" si="128"/>
        <v>49692</v>
      </c>
    </row>
    <row r="8255" spans="1:5" x14ac:dyDescent="0.25">
      <c r="A8255" s="2">
        <f>IF(B8255="","",SUBTOTAL(3,$B$2:B8255))</f>
        <v>8254</v>
      </c>
      <c r="B8255" s="9" t="s">
        <v>55</v>
      </c>
      <c r="C8255" s="10" t="s">
        <v>56</v>
      </c>
      <c r="D8255" s="11">
        <v>230.32831656323827</v>
      </c>
      <c r="E8255" s="12">
        <f t="shared" si="128"/>
        <v>49693</v>
      </c>
    </row>
    <row r="8256" spans="1:5" x14ac:dyDescent="0.25">
      <c r="A8256" s="2">
        <f>IF(B8256="","",SUBTOTAL(3,$B$2:B8256))</f>
        <v>8255</v>
      </c>
      <c r="B8256" s="9" t="s">
        <v>48</v>
      </c>
      <c r="C8256" s="10" t="s">
        <v>56</v>
      </c>
      <c r="D8256" s="11">
        <v>25.696041524803107</v>
      </c>
      <c r="E8256" s="12">
        <f t="shared" si="128"/>
        <v>49694</v>
      </c>
    </row>
    <row r="8257" spans="1:5" x14ac:dyDescent="0.25">
      <c r="A8257" s="2">
        <f>IF(B8257="","",SUBTOTAL(3,$B$2:B8257))</f>
        <v>8256</v>
      </c>
      <c r="B8257" s="9" t="s">
        <v>55</v>
      </c>
      <c r="C8257" s="10" t="s">
        <v>49</v>
      </c>
      <c r="D8257" s="11">
        <v>22.75</v>
      </c>
      <c r="E8257" s="12">
        <f t="shared" si="128"/>
        <v>49695</v>
      </c>
    </row>
    <row r="8258" spans="1:5" x14ac:dyDescent="0.25">
      <c r="A8258" s="2">
        <f>IF(B8258="","",SUBTOTAL(3,$B$2:B8258))</f>
        <v>8257</v>
      </c>
      <c r="B8258" s="9" t="s">
        <v>50</v>
      </c>
      <c r="C8258" s="10" t="s">
        <v>49</v>
      </c>
      <c r="D8258" s="11">
        <v>477.91931216931215</v>
      </c>
      <c r="E8258" s="12">
        <f t="shared" si="128"/>
        <v>49696</v>
      </c>
    </row>
    <row r="8259" spans="1:5" x14ac:dyDescent="0.25">
      <c r="A8259" s="2">
        <f>IF(B8259="","",SUBTOTAL(3,$B$2:B8259))</f>
        <v>8258</v>
      </c>
      <c r="B8259" s="9" t="s">
        <v>55</v>
      </c>
      <c r="C8259" s="10" t="s">
        <v>52</v>
      </c>
      <c r="D8259" s="11">
        <v>100</v>
      </c>
      <c r="E8259" s="12">
        <f t="shared" si="128"/>
        <v>49697</v>
      </c>
    </row>
    <row r="8260" spans="1:5" x14ac:dyDescent="0.25">
      <c r="A8260" s="2">
        <f>IF(B8260="","",SUBTOTAL(3,$B$2:B8260))</f>
        <v>8259</v>
      </c>
      <c r="B8260" s="9" t="s">
        <v>51</v>
      </c>
      <c r="C8260" s="10" t="s">
        <v>54</v>
      </c>
      <c r="D8260" s="11">
        <v>52.949274594938046</v>
      </c>
      <c r="E8260" s="12">
        <f t="shared" ref="E8260:E8323" si="129">E8259+1</f>
        <v>49698</v>
      </c>
    </row>
    <row r="8261" spans="1:5" x14ac:dyDescent="0.25">
      <c r="A8261" s="2">
        <f>IF(B8261="","",SUBTOTAL(3,$B$2:B8261))</f>
        <v>8260</v>
      </c>
      <c r="B8261" s="9" t="s">
        <v>51</v>
      </c>
      <c r="C8261" s="10" t="s">
        <v>52</v>
      </c>
      <c r="D8261" s="11">
        <v>211.79709837975219</v>
      </c>
      <c r="E8261" s="12">
        <f t="shared" si="129"/>
        <v>49699</v>
      </c>
    </row>
    <row r="8262" spans="1:5" x14ac:dyDescent="0.25">
      <c r="A8262" s="2">
        <f>IF(B8262="","",SUBTOTAL(3,$B$2:B8262))</f>
        <v>8261</v>
      </c>
      <c r="B8262" s="9" t="s">
        <v>51</v>
      </c>
      <c r="C8262" s="10" t="s">
        <v>52</v>
      </c>
      <c r="D8262" s="11">
        <v>63.539129513925651</v>
      </c>
      <c r="E8262" s="12">
        <f t="shared" si="129"/>
        <v>49700</v>
      </c>
    </row>
    <row r="8263" spans="1:5" x14ac:dyDescent="0.25">
      <c r="A8263" s="2">
        <f>IF(B8263="","",SUBTOTAL(3,$B$2:B8263))</f>
        <v>8262</v>
      </c>
      <c r="B8263" s="9" t="s">
        <v>51</v>
      </c>
      <c r="C8263" s="10" t="s">
        <v>49</v>
      </c>
      <c r="D8263" s="11">
        <v>529.49274594938049</v>
      </c>
      <c r="E8263" s="12">
        <f t="shared" si="129"/>
        <v>49701</v>
      </c>
    </row>
    <row r="8264" spans="1:5" x14ac:dyDescent="0.25">
      <c r="A8264" s="2">
        <f>IF(B8264="","",SUBTOTAL(3,$B$2:B8264))</f>
        <v>8263</v>
      </c>
      <c r="B8264" s="9" t="s">
        <v>55</v>
      </c>
      <c r="C8264" s="10" t="s">
        <v>49</v>
      </c>
      <c r="D8264" s="11">
        <v>76</v>
      </c>
      <c r="E8264" s="12">
        <f t="shared" si="129"/>
        <v>49702</v>
      </c>
    </row>
    <row r="8265" spans="1:5" x14ac:dyDescent="0.25">
      <c r="A8265" s="2">
        <f>IF(B8265="","",SUBTOTAL(3,$B$2:B8265))</f>
        <v>8264</v>
      </c>
      <c r="B8265" s="9" t="s">
        <v>48</v>
      </c>
      <c r="C8265" s="10" t="s">
        <v>49</v>
      </c>
      <c r="D8265" s="11">
        <v>53.912507701786815</v>
      </c>
      <c r="E8265" s="12">
        <f t="shared" si="129"/>
        <v>49703</v>
      </c>
    </row>
    <row r="8266" spans="1:5" x14ac:dyDescent="0.25">
      <c r="A8266" s="2">
        <f>IF(B8266="","",SUBTOTAL(3,$B$2:B8266))</f>
        <v>8265</v>
      </c>
      <c r="B8266" s="9" t="s">
        <v>48</v>
      </c>
      <c r="C8266" s="10" t="s">
        <v>54</v>
      </c>
      <c r="D8266" s="11">
        <v>5</v>
      </c>
      <c r="E8266" s="12">
        <f t="shared" si="129"/>
        <v>49704</v>
      </c>
    </row>
    <row r="8267" spans="1:5" x14ac:dyDescent="0.25">
      <c r="A8267" s="2">
        <f>IF(B8267="","",SUBTOTAL(3,$B$2:B8267))</f>
        <v>8266</v>
      </c>
      <c r="B8267" s="9" t="s">
        <v>55</v>
      </c>
      <c r="C8267" s="10" t="s">
        <v>52</v>
      </c>
      <c r="D8267" s="11">
        <v>40.141763076421711</v>
      </c>
      <c r="E8267" s="12">
        <f t="shared" si="129"/>
        <v>49705</v>
      </c>
    </row>
    <row r="8268" spans="1:5" x14ac:dyDescent="0.25">
      <c r="A8268" s="2">
        <f>IF(B8268="","",SUBTOTAL(3,$B$2:B8268))</f>
        <v>8267</v>
      </c>
      <c r="B8268" s="9" t="s">
        <v>51</v>
      </c>
      <c r="C8268" s="10" t="s">
        <v>54</v>
      </c>
      <c r="D8268" s="11">
        <v>211.79709837975219</v>
      </c>
      <c r="E8268" s="12">
        <f t="shared" si="129"/>
        <v>49706</v>
      </c>
    </row>
    <row r="8269" spans="1:5" x14ac:dyDescent="0.25">
      <c r="A8269" s="2">
        <f>IF(B8269="","",SUBTOTAL(3,$B$2:B8269))</f>
        <v>8268</v>
      </c>
      <c r="B8269" s="9" t="s">
        <v>48</v>
      </c>
      <c r="C8269" s="10" t="s">
        <v>52</v>
      </c>
      <c r="D8269" s="11">
        <v>128.48020762401552</v>
      </c>
      <c r="E8269" s="12">
        <f t="shared" si="129"/>
        <v>49707</v>
      </c>
    </row>
    <row r="8270" spans="1:5" x14ac:dyDescent="0.25">
      <c r="A8270" s="2">
        <f>IF(B8270="","",SUBTOTAL(3,$B$2:B8270))</f>
        <v>8269</v>
      </c>
      <c r="B8270" s="9" t="s">
        <v>55</v>
      </c>
      <c r="C8270" s="10" t="s">
        <v>49</v>
      </c>
      <c r="D8270" s="11">
        <v>36.194449745651724</v>
      </c>
      <c r="E8270" s="12">
        <f t="shared" si="129"/>
        <v>49708</v>
      </c>
    </row>
    <row r="8271" spans="1:5" x14ac:dyDescent="0.25">
      <c r="A8271" s="2">
        <f>IF(B8271="","",SUBTOTAL(3,$B$2:B8271))</f>
        <v>8270</v>
      </c>
      <c r="B8271" s="9" t="s">
        <v>51</v>
      </c>
      <c r="C8271" s="10" t="s">
        <v>54</v>
      </c>
      <c r="D8271" s="11">
        <v>317.69564756962825</v>
      </c>
      <c r="E8271" s="12">
        <f t="shared" si="129"/>
        <v>49709</v>
      </c>
    </row>
    <row r="8272" spans="1:5" x14ac:dyDescent="0.25">
      <c r="A8272" s="2">
        <f>IF(B8272="","",SUBTOTAL(3,$B$2:B8272))</f>
        <v>8271</v>
      </c>
      <c r="B8272" s="9" t="s">
        <v>48</v>
      </c>
      <c r="C8272" s="10" t="s">
        <v>54</v>
      </c>
      <c r="D8272" s="11">
        <v>5</v>
      </c>
      <c r="E8272" s="12">
        <f t="shared" si="129"/>
        <v>49710</v>
      </c>
    </row>
    <row r="8273" spans="1:5" x14ac:dyDescent="0.25">
      <c r="A8273" s="2">
        <f>IF(B8273="","",SUBTOTAL(3,$B$2:B8273))</f>
        <v>8272</v>
      </c>
      <c r="B8273" s="9" t="s">
        <v>50</v>
      </c>
      <c r="C8273" s="10" t="s">
        <v>49</v>
      </c>
      <c r="D8273" s="11">
        <v>14.550264550264551</v>
      </c>
      <c r="E8273" s="12">
        <f t="shared" si="129"/>
        <v>49711</v>
      </c>
    </row>
    <row r="8274" spans="1:5" x14ac:dyDescent="0.25">
      <c r="A8274" s="2">
        <f>IF(B8274="","",SUBTOTAL(3,$B$2:B8274))</f>
        <v>8273</v>
      </c>
      <c r="B8274" s="9" t="s">
        <v>51</v>
      </c>
      <c r="C8274" s="10" t="s">
        <v>52</v>
      </c>
      <c r="D8274" s="11">
        <v>211.79709837975219</v>
      </c>
      <c r="E8274" s="12">
        <f t="shared" si="129"/>
        <v>49712</v>
      </c>
    </row>
    <row r="8275" spans="1:5" x14ac:dyDescent="0.25">
      <c r="A8275" s="2">
        <f>IF(B8275="","",SUBTOTAL(3,$B$2:B8275))</f>
        <v>8274</v>
      </c>
      <c r="B8275" s="9" t="s">
        <v>48</v>
      </c>
      <c r="C8275" s="10" t="s">
        <v>49</v>
      </c>
      <c r="D8275" s="11">
        <v>246.45717806531115</v>
      </c>
      <c r="E8275" s="12">
        <f t="shared" si="129"/>
        <v>49713</v>
      </c>
    </row>
    <row r="8276" spans="1:5" x14ac:dyDescent="0.25">
      <c r="A8276" s="2">
        <f>IF(B8276="","",SUBTOTAL(3,$B$2:B8276))</f>
        <v>8275</v>
      </c>
      <c r="B8276" s="9" t="s">
        <v>48</v>
      </c>
      <c r="C8276" s="10" t="s">
        <v>49</v>
      </c>
      <c r="D8276" s="11">
        <v>36.628748707342297</v>
      </c>
      <c r="E8276" s="12">
        <f t="shared" si="129"/>
        <v>49714</v>
      </c>
    </row>
    <row r="8277" spans="1:5" x14ac:dyDescent="0.25">
      <c r="A8277" s="2">
        <f>IF(B8277="","",SUBTOTAL(3,$B$2:B8277))</f>
        <v>8276</v>
      </c>
      <c r="B8277" s="9" t="s">
        <v>48</v>
      </c>
      <c r="C8277" s="10" t="s">
        <v>49</v>
      </c>
      <c r="D8277" s="11">
        <v>551.53395380903123</v>
      </c>
      <c r="E8277" s="12">
        <f t="shared" si="129"/>
        <v>49715</v>
      </c>
    </row>
    <row r="8278" spans="1:5" x14ac:dyDescent="0.25">
      <c r="A8278" s="2">
        <f>IF(B8278="","",SUBTOTAL(3,$B$2:B8278))</f>
        <v>8277</v>
      </c>
      <c r="B8278" s="9" t="s">
        <v>50</v>
      </c>
      <c r="C8278" s="10" t="s">
        <v>49</v>
      </c>
      <c r="D8278" s="11">
        <v>15.4320987654321</v>
      </c>
      <c r="E8278" s="12">
        <f t="shared" si="129"/>
        <v>49716</v>
      </c>
    </row>
    <row r="8279" spans="1:5" x14ac:dyDescent="0.25">
      <c r="A8279" s="2">
        <f>IF(B8279="","",SUBTOTAL(3,$B$2:B8279))</f>
        <v>8278</v>
      </c>
      <c r="B8279" s="9" t="s">
        <v>51</v>
      </c>
      <c r="C8279" s="10" t="s">
        <v>52</v>
      </c>
      <c r="D8279" s="11">
        <v>81.030710639332298</v>
      </c>
      <c r="E8279" s="12">
        <f t="shared" si="129"/>
        <v>49717</v>
      </c>
    </row>
    <row r="8280" spans="1:5" x14ac:dyDescent="0.25">
      <c r="A8280" s="2">
        <f>IF(B8280="","",SUBTOTAL(3,$B$2:B8280))</f>
        <v>8279</v>
      </c>
      <c r="B8280" s="9" t="s">
        <v>55</v>
      </c>
      <c r="C8280" s="10" t="s">
        <v>49</v>
      </c>
      <c r="D8280" s="11">
        <v>26.137852370865247</v>
      </c>
      <c r="E8280" s="12">
        <f t="shared" si="129"/>
        <v>49718</v>
      </c>
    </row>
    <row r="8281" spans="1:5" x14ac:dyDescent="0.25">
      <c r="A8281" s="2">
        <f>IF(B8281="","",SUBTOTAL(3,$B$2:B8281))</f>
        <v>8280</v>
      </c>
      <c r="B8281" s="9" t="s">
        <v>55</v>
      </c>
      <c r="C8281" s="10" t="s">
        <v>49</v>
      </c>
      <c r="D8281" s="11">
        <v>4.0352778230405741</v>
      </c>
      <c r="E8281" s="12">
        <f t="shared" si="129"/>
        <v>49719</v>
      </c>
    </row>
    <row r="8282" spans="1:5" x14ac:dyDescent="0.25">
      <c r="A8282" s="2">
        <f>IF(B8282="","",SUBTOTAL(3,$B$2:B8282))</f>
        <v>8281</v>
      </c>
      <c r="B8282" s="9" t="s">
        <v>48</v>
      </c>
      <c r="C8282" s="10" t="s">
        <v>49</v>
      </c>
      <c r="D8282" s="11">
        <v>12.848020762401553</v>
      </c>
      <c r="E8282" s="12">
        <f t="shared" si="129"/>
        <v>49720</v>
      </c>
    </row>
    <row r="8283" spans="1:5" x14ac:dyDescent="0.25">
      <c r="A8283" s="2">
        <f>IF(B8283="","",SUBTOTAL(3,$B$2:B8283))</f>
        <v>8282</v>
      </c>
      <c r="B8283" s="9" t="s">
        <v>55</v>
      </c>
      <c r="C8283" s="10" t="s">
        <v>54</v>
      </c>
      <c r="D8283" s="11">
        <v>164.52022611659876</v>
      </c>
      <c r="E8283" s="12">
        <f t="shared" si="129"/>
        <v>49721</v>
      </c>
    </row>
    <row r="8284" spans="1:5" x14ac:dyDescent="0.25">
      <c r="A8284" s="2">
        <f>IF(B8284="","",SUBTOTAL(3,$B$2:B8284))</f>
        <v>8283</v>
      </c>
      <c r="B8284" s="9" t="s">
        <v>55</v>
      </c>
      <c r="C8284" s="10" t="s">
        <v>52</v>
      </c>
      <c r="D8284" s="11">
        <v>75</v>
      </c>
      <c r="E8284" s="12">
        <f t="shared" si="129"/>
        <v>49722</v>
      </c>
    </row>
    <row r="8285" spans="1:5" x14ac:dyDescent="0.25">
      <c r="A8285" s="2">
        <f>IF(B8285="","",SUBTOTAL(3,$B$2:B8285))</f>
        <v>8284</v>
      </c>
      <c r="B8285" s="9" t="s">
        <v>51</v>
      </c>
      <c r="C8285" s="10" t="s">
        <v>52</v>
      </c>
      <c r="D8285" s="11">
        <v>211.79709837975219</v>
      </c>
      <c r="E8285" s="12">
        <f t="shared" si="129"/>
        <v>49723</v>
      </c>
    </row>
    <row r="8286" spans="1:5" x14ac:dyDescent="0.25">
      <c r="A8286" s="2">
        <f>IF(B8286="","",SUBTOTAL(3,$B$2:B8286))</f>
        <v>8285</v>
      </c>
      <c r="B8286" s="9" t="s">
        <v>48</v>
      </c>
      <c r="C8286" s="10" t="s">
        <v>56</v>
      </c>
      <c r="D8286" s="11">
        <v>64.24010381200776</v>
      </c>
      <c r="E8286" s="12">
        <f t="shared" si="129"/>
        <v>49724</v>
      </c>
    </row>
    <row r="8287" spans="1:5" x14ac:dyDescent="0.25">
      <c r="A8287" s="2">
        <f>IF(B8287="","",SUBTOTAL(3,$B$2:B8287))</f>
        <v>8286</v>
      </c>
      <c r="B8287" s="9" t="s">
        <v>55</v>
      </c>
      <c r="C8287" s="10" t="s">
        <v>52</v>
      </c>
      <c r="D8287" s="11">
        <v>100</v>
      </c>
      <c r="E8287" s="12">
        <f t="shared" si="129"/>
        <v>49725</v>
      </c>
    </row>
    <row r="8288" spans="1:5" x14ac:dyDescent="0.25">
      <c r="A8288" s="2">
        <f>IF(B8288="","",SUBTOTAL(3,$B$2:B8288))</f>
        <v>8287</v>
      </c>
      <c r="B8288" s="9" t="s">
        <v>55</v>
      </c>
      <c r="C8288" s="10" t="s">
        <v>54</v>
      </c>
      <c r="D8288" s="11">
        <v>100</v>
      </c>
      <c r="E8288" s="12">
        <f t="shared" si="129"/>
        <v>49726</v>
      </c>
    </row>
    <row r="8289" spans="1:5" x14ac:dyDescent="0.25">
      <c r="A8289" s="2">
        <f>IF(B8289="","",SUBTOTAL(3,$B$2:B8289))</f>
        <v>8288</v>
      </c>
      <c r="B8289" s="9" t="s">
        <v>55</v>
      </c>
      <c r="C8289" s="10" t="s">
        <v>54</v>
      </c>
      <c r="D8289" s="11">
        <v>70</v>
      </c>
      <c r="E8289" s="12">
        <f t="shared" si="129"/>
        <v>49727</v>
      </c>
    </row>
    <row r="8290" spans="1:5" x14ac:dyDescent="0.25">
      <c r="A8290" s="2">
        <f>IF(B8290="","",SUBTOTAL(3,$B$2:B8290))</f>
        <v>8289</v>
      </c>
      <c r="B8290" s="9" t="s">
        <v>55</v>
      </c>
      <c r="C8290" s="10" t="s">
        <v>49</v>
      </c>
      <c r="D8290" s="11">
        <v>40.950000000000003</v>
      </c>
      <c r="E8290" s="12">
        <f t="shared" si="129"/>
        <v>49728</v>
      </c>
    </row>
    <row r="8291" spans="1:5" x14ac:dyDescent="0.25">
      <c r="A8291" s="2">
        <f>IF(B8291="","",SUBTOTAL(3,$B$2:B8291))</f>
        <v>8290</v>
      </c>
      <c r="B8291" s="9" t="s">
        <v>55</v>
      </c>
      <c r="C8291" s="10" t="s">
        <v>49</v>
      </c>
      <c r="D8291" s="11">
        <v>1102.2927689594355</v>
      </c>
      <c r="E8291" s="12">
        <f t="shared" si="129"/>
        <v>49729</v>
      </c>
    </row>
    <row r="8292" spans="1:5" x14ac:dyDescent="0.25">
      <c r="A8292" s="2">
        <f>IF(B8292="","",SUBTOTAL(3,$B$2:B8292))</f>
        <v>8291</v>
      </c>
      <c r="B8292" s="9" t="s">
        <v>48</v>
      </c>
      <c r="C8292" s="10" t="s">
        <v>54</v>
      </c>
      <c r="D8292" s="11">
        <v>44.968072668405433</v>
      </c>
      <c r="E8292" s="12">
        <f t="shared" si="129"/>
        <v>49730</v>
      </c>
    </row>
    <row r="8293" spans="1:5" x14ac:dyDescent="0.25">
      <c r="A8293" s="2">
        <f>IF(B8293="","",SUBTOTAL(3,$B$2:B8293))</f>
        <v>8292</v>
      </c>
      <c r="B8293" s="9" t="s">
        <v>48</v>
      </c>
      <c r="C8293" s="10" t="s">
        <v>56</v>
      </c>
      <c r="D8293" s="11">
        <v>68.941744226128904</v>
      </c>
      <c r="E8293" s="12">
        <f t="shared" si="129"/>
        <v>49731</v>
      </c>
    </row>
    <row r="8294" spans="1:5" x14ac:dyDescent="0.25">
      <c r="A8294" s="2">
        <f>IF(B8294="","",SUBTOTAL(3,$B$2:B8294))</f>
        <v>8293</v>
      </c>
      <c r="B8294" s="9" t="s">
        <v>48</v>
      </c>
      <c r="C8294" s="10" t="s">
        <v>54</v>
      </c>
      <c r="D8294" s="11">
        <v>70.664114193208547</v>
      </c>
      <c r="E8294" s="12">
        <f t="shared" si="129"/>
        <v>49732</v>
      </c>
    </row>
    <row r="8295" spans="1:5" x14ac:dyDescent="0.25">
      <c r="A8295" s="2">
        <f>IF(B8295="","",SUBTOTAL(3,$B$2:B8295))</f>
        <v>8294</v>
      </c>
      <c r="B8295" s="9" t="s">
        <v>48</v>
      </c>
      <c r="C8295" s="10" t="s">
        <v>56</v>
      </c>
      <c r="D8295" s="11">
        <v>77.017868145409736</v>
      </c>
      <c r="E8295" s="12">
        <f t="shared" si="129"/>
        <v>49733</v>
      </c>
    </row>
    <row r="8296" spans="1:5" x14ac:dyDescent="0.25">
      <c r="A8296" s="2">
        <f>IF(B8296="","",SUBTOTAL(3,$B$2:B8296))</f>
        <v>8295</v>
      </c>
      <c r="B8296" s="9" t="s">
        <v>48</v>
      </c>
      <c r="C8296" s="10" t="s">
        <v>56</v>
      </c>
      <c r="D8296" s="11">
        <v>46.210720887245841</v>
      </c>
      <c r="E8296" s="12">
        <f t="shared" si="129"/>
        <v>49734</v>
      </c>
    </row>
    <row r="8297" spans="1:5" x14ac:dyDescent="0.25">
      <c r="A8297" s="2">
        <f>IF(B8297="","",SUBTOTAL(3,$B$2:B8297))</f>
        <v>8296</v>
      </c>
      <c r="B8297" s="9" t="s">
        <v>48</v>
      </c>
      <c r="C8297" s="10" t="s">
        <v>56</v>
      </c>
      <c r="D8297" s="11">
        <v>23.105360443622921</v>
      </c>
      <c r="E8297" s="12">
        <f t="shared" si="129"/>
        <v>49735</v>
      </c>
    </row>
    <row r="8298" spans="1:5" x14ac:dyDescent="0.25">
      <c r="A8298" s="2">
        <f>IF(B8298="","",SUBTOTAL(3,$B$2:B8298))</f>
        <v>8297</v>
      </c>
      <c r="B8298" s="9" t="s">
        <v>50</v>
      </c>
      <c r="C8298" s="10" t="s">
        <v>49</v>
      </c>
      <c r="D8298" s="11">
        <v>66.137566137566139</v>
      </c>
      <c r="E8298" s="12">
        <f t="shared" si="129"/>
        <v>49736</v>
      </c>
    </row>
    <row r="8299" spans="1:5" x14ac:dyDescent="0.25">
      <c r="A8299" s="2">
        <f>IF(B8299="","",SUBTOTAL(3,$B$2:B8299))</f>
        <v>8298</v>
      </c>
      <c r="B8299" s="9" t="s">
        <v>48</v>
      </c>
      <c r="C8299" s="10" t="s">
        <v>49</v>
      </c>
      <c r="D8299" s="11">
        <v>46.210720887245841</v>
      </c>
      <c r="E8299" s="12">
        <f t="shared" si="129"/>
        <v>49737</v>
      </c>
    </row>
    <row r="8300" spans="1:5" x14ac:dyDescent="0.25">
      <c r="A8300" s="2">
        <f>IF(B8300="","",SUBTOTAL(3,$B$2:B8300))</f>
        <v>8299</v>
      </c>
      <c r="B8300" s="9" t="s">
        <v>48</v>
      </c>
      <c r="C8300" s="10" t="s">
        <v>49</v>
      </c>
      <c r="D8300" s="11">
        <v>77.017868145409736</v>
      </c>
      <c r="E8300" s="12">
        <f t="shared" si="129"/>
        <v>49738</v>
      </c>
    </row>
    <row r="8301" spans="1:5" x14ac:dyDescent="0.25">
      <c r="A8301" s="2">
        <f>IF(B8301="","",SUBTOTAL(3,$B$2:B8301))</f>
        <v>8300</v>
      </c>
      <c r="B8301" s="9" t="s">
        <v>48</v>
      </c>
      <c r="C8301" s="10" t="s">
        <v>56</v>
      </c>
      <c r="D8301" s="11">
        <v>123.22858903265558</v>
      </c>
      <c r="E8301" s="12">
        <f t="shared" si="129"/>
        <v>49739</v>
      </c>
    </row>
    <row r="8302" spans="1:5" x14ac:dyDescent="0.25">
      <c r="A8302" s="2">
        <f>IF(B8302="","",SUBTOTAL(3,$B$2:B8302))</f>
        <v>8301</v>
      </c>
      <c r="B8302" s="9" t="s">
        <v>48</v>
      </c>
      <c r="C8302" s="10" t="s">
        <v>54</v>
      </c>
      <c r="D8302" s="11">
        <v>46.210720887245841</v>
      </c>
      <c r="E8302" s="12">
        <f t="shared" si="129"/>
        <v>49740</v>
      </c>
    </row>
    <row r="8303" spans="1:5" x14ac:dyDescent="0.25">
      <c r="A8303" s="2">
        <f>IF(B8303="","",SUBTOTAL(3,$B$2:B8303))</f>
        <v>8302</v>
      </c>
      <c r="B8303" s="9" t="s">
        <v>48</v>
      </c>
      <c r="C8303" s="10" t="s">
        <v>49</v>
      </c>
      <c r="D8303" s="11">
        <v>53.912507701786815</v>
      </c>
      <c r="E8303" s="12">
        <f t="shared" si="129"/>
        <v>49741</v>
      </c>
    </row>
    <row r="8304" spans="1:5" x14ac:dyDescent="0.25">
      <c r="A8304" s="2">
        <f>IF(B8304="","",SUBTOTAL(3,$B$2:B8304))</f>
        <v>8303</v>
      </c>
      <c r="B8304" s="9" t="s">
        <v>48</v>
      </c>
      <c r="C8304" s="10" t="s">
        <v>56</v>
      </c>
      <c r="D8304" s="11">
        <v>46.210720887245841</v>
      </c>
      <c r="E8304" s="12">
        <f t="shared" si="129"/>
        <v>49742</v>
      </c>
    </row>
    <row r="8305" spans="1:5" x14ac:dyDescent="0.25">
      <c r="A8305" s="2">
        <f>IF(B8305="","",SUBTOTAL(3,$B$2:B8305))</f>
        <v>8304</v>
      </c>
      <c r="B8305" s="9" t="s">
        <v>48</v>
      </c>
      <c r="C8305" s="10" t="s">
        <v>56</v>
      </c>
      <c r="D8305" s="11">
        <v>23.105360443622921</v>
      </c>
      <c r="E8305" s="12">
        <f t="shared" si="129"/>
        <v>49743</v>
      </c>
    </row>
    <row r="8306" spans="1:5" x14ac:dyDescent="0.25">
      <c r="A8306" s="2">
        <f>IF(B8306="","",SUBTOTAL(3,$B$2:B8306))</f>
        <v>8305</v>
      </c>
      <c r="B8306" s="9" t="s">
        <v>48</v>
      </c>
      <c r="C8306" s="10" t="s">
        <v>49</v>
      </c>
      <c r="D8306" s="11">
        <v>43.130006161429456</v>
      </c>
      <c r="E8306" s="12">
        <f t="shared" si="129"/>
        <v>49744</v>
      </c>
    </row>
    <row r="8307" spans="1:5" x14ac:dyDescent="0.25">
      <c r="A8307" s="2">
        <f>IF(B8307="","",SUBTOTAL(3,$B$2:B8307))</f>
        <v>8306</v>
      </c>
      <c r="B8307" s="9" t="s">
        <v>48</v>
      </c>
      <c r="C8307" s="10" t="s">
        <v>56</v>
      </c>
      <c r="D8307" s="11">
        <v>17.235436056532226</v>
      </c>
      <c r="E8307" s="12">
        <f t="shared" si="129"/>
        <v>49745</v>
      </c>
    </row>
    <row r="8308" spans="1:5" x14ac:dyDescent="0.25">
      <c r="A8308" s="2">
        <f>IF(B8308="","",SUBTOTAL(3,$B$2:B8308))</f>
        <v>8307</v>
      </c>
      <c r="B8308" s="9" t="s">
        <v>48</v>
      </c>
      <c r="C8308" s="10" t="s">
        <v>56</v>
      </c>
      <c r="D8308" s="11">
        <v>30.807147258163894</v>
      </c>
      <c r="E8308" s="12">
        <f t="shared" si="129"/>
        <v>49746</v>
      </c>
    </row>
    <row r="8309" spans="1:5" x14ac:dyDescent="0.25">
      <c r="A8309" s="2">
        <f>IF(B8309="","",SUBTOTAL(3,$B$2:B8309))</f>
        <v>8308</v>
      </c>
      <c r="B8309" s="9" t="s">
        <v>55</v>
      </c>
      <c r="C8309" s="10" t="s">
        <v>49</v>
      </c>
      <c r="D8309" s="11">
        <v>32.589212970506765</v>
      </c>
      <c r="E8309" s="12">
        <f t="shared" si="129"/>
        <v>49747</v>
      </c>
    </row>
    <row r="8310" spans="1:5" x14ac:dyDescent="0.25">
      <c r="A8310" s="2">
        <f>IF(B8310="","",SUBTOTAL(3,$B$2:B8310))</f>
        <v>8309</v>
      </c>
      <c r="B8310" s="9" t="s">
        <v>55</v>
      </c>
      <c r="C8310" s="10" t="s">
        <v>49</v>
      </c>
      <c r="D8310" s="11">
        <v>987.12135669959264</v>
      </c>
      <c r="E8310" s="12">
        <f t="shared" si="129"/>
        <v>49748</v>
      </c>
    </row>
    <row r="8311" spans="1:5" x14ac:dyDescent="0.25">
      <c r="A8311" s="2">
        <f>IF(B8311="","",SUBTOTAL(3,$B$2:B8311))</f>
        <v>8310</v>
      </c>
      <c r="B8311" s="9" t="s">
        <v>50</v>
      </c>
      <c r="C8311" s="10" t="s">
        <v>49</v>
      </c>
      <c r="D8311" s="11">
        <v>26.455026455026456</v>
      </c>
      <c r="E8311" s="12">
        <f t="shared" si="129"/>
        <v>49749</v>
      </c>
    </row>
    <row r="8312" spans="1:5" x14ac:dyDescent="0.25">
      <c r="A8312" s="2">
        <f>IF(B8312="","",SUBTOTAL(3,$B$2:B8312))</f>
        <v>8311</v>
      </c>
      <c r="B8312" s="9" t="s">
        <v>50</v>
      </c>
      <c r="C8312" s="10" t="s">
        <v>49</v>
      </c>
      <c r="D8312" s="11">
        <v>176.3668430335097</v>
      </c>
      <c r="E8312" s="12">
        <f t="shared" si="129"/>
        <v>49750</v>
      </c>
    </row>
    <row r="8313" spans="1:5" x14ac:dyDescent="0.25">
      <c r="A8313" s="2">
        <f>IF(B8313="","",SUBTOTAL(3,$B$2:B8313))</f>
        <v>8312</v>
      </c>
      <c r="B8313" s="9" t="s">
        <v>48</v>
      </c>
      <c r="C8313" s="10" t="s">
        <v>54</v>
      </c>
      <c r="D8313" s="11">
        <v>192.72031143602331</v>
      </c>
      <c r="E8313" s="12">
        <f t="shared" si="129"/>
        <v>49751</v>
      </c>
    </row>
    <row r="8314" spans="1:5" x14ac:dyDescent="0.25">
      <c r="A8314" s="2">
        <f>IF(B8314="","",SUBTOTAL(3,$B$2:B8314))</f>
        <v>8313</v>
      </c>
      <c r="B8314" s="9" t="s">
        <v>50</v>
      </c>
      <c r="C8314" s="10" t="s">
        <v>49</v>
      </c>
      <c r="D8314" s="11">
        <v>771.60493827160496</v>
      </c>
      <c r="E8314" s="12">
        <f t="shared" si="129"/>
        <v>49752</v>
      </c>
    </row>
    <row r="8315" spans="1:5" x14ac:dyDescent="0.25">
      <c r="A8315" s="2">
        <f>IF(B8315="","",SUBTOTAL(3,$B$2:B8315))</f>
        <v>8314</v>
      </c>
      <c r="B8315" s="9" t="s">
        <v>53</v>
      </c>
      <c r="C8315" s="10" t="s">
        <v>54</v>
      </c>
      <c r="D8315" s="11">
        <v>62</v>
      </c>
      <c r="E8315" s="12">
        <f t="shared" si="129"/>
        <v>49753</v>
      </c>
    </row>
    <row r="8316" spans="1:5" x14ac:dyDescent="0.25">
      <c r="A8316" s="2">
        <f>IF(B8316="","",SUBTOTAL(3,$B$2:B8316))</f>
        <v>8315</v>
      </c>
      <c r="B8316" s="9" t="s">
        <v>53</v>
      </c>
      <c r="C8316" s="10" t="s">
        <v>54</v>
      </c>
      <c r="D8316" s="11">
        <v>62</v>
      </c>
      <c r="E8316" s="12">
        <f t="shared" si="129"/>
        <v>49754</v>
      </c>
    </row>
    <row r="8317" spans="1:5" x14ac:dyDescent="0.25">
      <c r="A8317" s="2">
        <f>IF(B8317="","",SUBTOTAL(3,$B$2:B8317))</f>
        <v>8316</v>
      </c>
      <c r="B8317" s="9" t="s">
        <v>50</v>
      </c>
      <c r="C8317" s="10" t="s">
        <v>54</v>
      </c>
      <c r="D8317" s="11">
        <v>34</v>
      </c>
      <c r="E8317" s="12">
        <f t="shared" si="129"/>
        <v>49755</v>
      </c>
    </row>
    <row r="8318" spans="1:5" x14ac:dyDescent="0.25">
      <c r="A8318" s="2">
        <f>IF(B8318="","",SUBTOTAL(3,$B$2:B8318))</f>
        <v>8317</v>
      </c>
      <c r="B8318" s="9" t="s">
        <v>55</v>
      </c>
      <c r="C8318" s="10" t="s">
        <v>57</v>
      </c>
      <c r="D8318" s="11">
        <v>22.970551752653101</v>
      </c>
      <c r="E8318" s="12">
        <f t="shared" si="129"/>
        <v>49756</v>
      </c>
    </row>
    <row r="8319" spans="1:5" x14ac:dyDescent="0.25">
      <c r="A8319" s="2">
        <f>IF(B8319="","",SUBTOTAL(3,$B$2:B8319))</f>
        <v>8318</v>
      </c>
      <c r="B8319" s="9" t="s">
        <v>48</v>
      </c>
      <c r="C8319" s="10" t="s">
        <v>54</v>
      </c>
      <c r="D8319" s="11">
        <v>15.511892450879007</v>
      </c>
      <c r="E8319" s="12">
        <f t="shared" si="129"/>
        <v>49757</v>
      </c>
    </row>
    <row r="8320" spans="1:5" x14ac:dyDescent="0.25">
      <c r="A8320" s="2">
        <f>IF(B8320="","",SUBTOTAL(3,$B$2:B8320))</f>
        <v>8319</v>
      </c>
      <c r="B8320" s="9" t="s">
        <v>55</v>
      </c>
      <c r="C8320" s="10" t="s">
        <v>52</v>
      </c>
      <c r="D8320" s="11">
        <v>82.260113058299382</v>
      </c>
      <c r="E8320" s="12">
        <f t="shared" si="129"/>
        <v>49758</v>
      </c>
    </row>
    <row r="8321" spans="1:5" x14ac:dyDescent="0.25">
      <c r="A8321" s="2">
        <f>IF(B8321="","",SUBTOTAL(3,$B$2:B8321))</f>
        <v>8320</v>
      </c>
      <c r="B8321" s="9" t="s">
        <v>48</v>
      </c>
      <c r="C8321" s="10" t="s">
        <v>56</v>
      </c>
      <c r="D8321" s="11">
        <v>64.24010381200776</v>
      </c>
      <c r="E8321" s="12">
        <f t="shared" si="129"/>
        <v>49759</v>
      </c>
    </row>
    <row r="8322" spans="1:5" x14ac:dyDescent="0.25">
      <c r="A8322" s="2">
        <f>IF(B8322="","",SUBTOTAL(3,$B$2:B8322))</f>
        <v>8321</v>
      </c>
      <c r="B8322" s="9" t="s">
        <v>55</v>
      </c>
      <c r="C8322" s="10" t="s">
        <v>49</v>
      </c>
      <c r="D8322" s="11">
        <v>141.89278148932706</v>
      </c>
      <c r="E8322" s="12">
        <f t="shared" si="129"/>
        <v>49760</v>
      </c>
    </row>
    <row r="8323" spans="1:5" x14ac:dyDescent="0.25">
      <c r="A8323" s="2">
        <f>IF(B8323="","",SUBTOTAL(3,$B$2:B8323))</f>
        <v>8322</v>
      </c>
      <c r="B8323" s="9" t="s">
        <v>51</v>
      </c>
      <c r="C8323" s="10" t="s">
        <v>52</v>
      </c>
      <c r="D8323" s="11">
        <v>105.89854918987609</v>
      </c>
      <c r="E8323" s="12">
        <f t="shared" si="129"/>
        <v>49761</v>
      </c>
    </row>
    <row r="8324" spans="1:5" x14ac:dyDescent="0.25">
      <c r="A8324" s="2">
        <f>IF(B8324="","",SUBTOTAL(3,$B$2:B8324))</f>
        <v>8323</v>
      </c>
      <c r="B8324" s="9" t="s">
        <v>51</v>
      </c>
      <c r="C8324" s="10" t="s">
        <v>52</v>
      </c>
      <c r="D8324" s="11">
        <v>105.89854918987609</v>
      </c>
      <c r="E8324" s="12">
        <f t="shared" ref="E8324:E8387" si="130">E8323+1</f>
        <v>49762</v>
      </c>
    </row>
    <row r="8325" spans="1:5" x14ac:dyDescent="0.25">
      <c r="A8325" s="2">
        <f>IF(B8325="","",SUBTOTAL(3,$B$2:B8325))</f>
        <v>8324</v>
      </c>
      <c r="B8325" s="9" t="s">
        <v>51</v>
      </c>
      <c r="C8325" s="10" t="s">
        <v>52</v>
      </c>
      <c r="D8325" s="11">
        <v>264.74637297469025</v>
      </c>
      <c r="E8325" s="12">
        <f t="shared" si="130"/>
        <v>49763</v>
      </c>
    </row>
    <row r="8326" spans="1:5" x14ac:dyDescent="0.25">
      <c r="A8326" s="2">
        <f>IF(B8326="","",SUBTOTAL(3,$B$2:B8326))</f>
        <v>8325</v>
      </c>
      <c r="B8326" s="9" t="s">
        <v>55</v>
      </c>
      <c r="C8326" s="10" t="s">
        <v>52</v>
      </c>
      <c r="D8326" s="11">
        <v>200</v>
      </c>
      <c r="E8326" s="12">
        <f t="shared" si="130"/>
        <v>49764</v>
      </c>
    </row>
    <row r="8327" spans="1:5" x14ac:dyDescent="0.25">
      <c r="A8327" s="2">
        <f>IF(B8327="","",SUBTOTAL(3,$B$2:B8327))</f>
        <v>8326</v>
      </c>
      <c r="B8327" s="9" t="s">
        <v>55</v>
      </c>
      <c r="C8327" s="10" t="s">
        <v>56</v>
      </c>
      <c r="D8327" s="11">
        <v>120.3659123736158</v>
      </c>
      <c r="E8327" s="12">
        <f t="shared" si="130"/>
        <v>49765</v>
      </c>
    </row>
    <row r="8328" spans="1:5" x14ac:dyDescent="0.25">
      <c r="A8328" s="2">
        <f>IF(B8328="","",SUBTOTAL(3,$B$2:B8328))</f>
        <v>8327</v>
      </c>
      <c r="B8328" s="9" t="s">
        <v>51</v>
      </c>
      <c r="C8328" s="10" t="s">
        <v>52</v>
      </c>
      <c r="D8328" s="11">
        <v>158.84782378481412</v>
      </c>
      <c r="E8328" s="12">
        <f t="shared" si="130"/>
        <v>49766</v>
      </c>
    </row>
    <row r="8329" spans="1:5" x14ac:dyDescent="0.25">
      <c r="A8329" s="2">
        <f>IF(B8329="","",SUBTOTAL(3,$B$2:B8329))</f>
        <v>8328</v>
      </c>
      <c r="B8329" s="9" t="s">
        <v>48</v>
      </c>
      <c r="C8329" s="10" t="s">
        <v>54</v>
      </c>
      <c r="D8329" s="11">
        <v>60.385697583287296</v>
      </c>
      <c r="E8329" s="12">
        <f t="shared" si="130"/>
        <v>49767</v>
      </c>
    </row>
    <row r="8330" spans="1:5" x14ac:dyDescent="0.25">
      <c r="A8330" s="2">
        <f>IF(B8330="","",SUBTOTAL(3,$B$2:B8330))</f>
        <v>8329</v>
      </c>
      <c r="B8330" s="9" t="s">
        <v>50</v>
      </c>
      <c r="C8330" s="10" t="s">
        <v>49</v>
      </c>
      <c r="D8330" s="11">
        <v>195.868430335097</v>
      </c>
      <c r="E8330" s="12">
        <f t="shared" si="130"/>
        <v>49768</v>
      </c>
    </row>
    <row r="8331" spans="1:5" x14ac:dyDescent="0.25">
      <c r="A8331" s="2">
        <f>IF(B8331="","",SUBTOTAL(3,$B$2:B8331))</f>
        <v>8330</v>
      </c>
      <c r="B8331" s="9" t="s">
        <v>53</v>
      </c>
      <c r="C8331" s="10" t="s">
        <v>49</v>
      </c>
      <c r="D8331" s="11">
        <v>5.4951596801817068E-5</v>
      </c>
      <c r="E8331" s="12">
        <f t="shared" si="130"/>
        <v>49769</v>
      </c>
    </row>
    <row r="8332" spans="1:5" x14ac:dyDescent="0.25">
      <c r="A8332" s="2">
        <f>IF(B8332="","",SUBTOTAL(3,$B$2:B8332))</f>
        <v>8331</v>
      </c>
      <c r="B8332" s="9" t="s">
        <v>50</v>
      </c>
      <c r="C8332" s="10" t="s">
        <v>49</v>
      </c>
      <c r="D8332" s="11">
        <v>238.0952380952381</v>
      </c>
      <c r="E8332" s="12">
        <f t="shared" si="130"/>
        <v>49770</v>
      </c>
    </row>
    <row r="8333" spans="1:5" x14ac:dyDescent="0.25">
      <c r="A8333" s="2">
        <f>IF(B8333="","",SUBTOTAL(3,$B$2:B8333))</f>
        <v>8332</v>
      </c>
      <c r="B8333" s="9" t="s">
        <v>50</v>
      </c>
      <c r="C8333" s="10" t="s">
        <v>49</v>
      </c>
      <c r="D8333" s="11">
        <v>12.628417107583775</v>
      </c>
      <c r="E8333" s="12">
        <f t="shared" si="130"/>
        <v>49771</v>
      </c>
    </row>
    <row r="8334" spans="1:5" x14ac:dyDescent="0.25">
      <c r="A8334" s="2">
        <f>IF(B8334="","",SUBTOTAL(3,$B$2:B8334))</f>
        <v>8333</v>
      </c>
      <c r="B8334" s="9" t="s">
        <v>48</v>
      </c>
      <c r="C8334" s="10" t="s">
        <v>49</v>
      </c>
      <c r="D8334" s="11">
        <v>62.047569803516026</v>
      </c>
      <c r="E8334" s="12">
        <f t="shared" si="130"/>
        <v>49772</v>
      </c>
    </row>
    <row r="8335" spans="1:5" x14ac:dyDescent="0.25">
      <c r="A8335" s="2">
        <f>IF(B8335="","",SUBTOTAL(3,$B$2:B8335))</f>
        <v>8334</v>
      </c>
      <c r="B8335" s="9" t="s">
        <v>55</v>
      </c>
      <c r="C8335" s="10" t="s">
        <v>49</v>
      </c>
      <c r="D8335" s="11">
        <v>1.75</v>
      </c>
      <c r="E8335" s="12">
        <f t="shared" si="130"/>
        <v>49773</v>
      </c>
    </row>
    <row r="8336" spans="1:5" x14ac:dyDescent="0.25">
      <c r="A8336" s="2">
        <f>IF(B8336="","",SUBTOTAL(3,$B$2:B8336))</f>
        <v>8335</v>
      </c>
      <c r="B8336" s="9" t="s">
        <v>55</v>
      </c>
      <c r="C8336" s="10" t="s">
        <v>49</v>
      </c>
      <c r="D8336" s="11">
        <v>1.75</v>
      </c>
      <c r="E8336" s="12">
        <f t="shared" si="130"/>
        <v>49774</v>
      </c>
    </row>
    <row r="8337" spans="1:5" x14ac:dyDescent="0.25">
      <c r="A8337" s="2">
        <f>IF(B8337="","",SUBTOTAL(3,$B$2:B8337))</f>
        <v>8336</v>
      </c>
      <c r="B8337" s="9" t="s">
        <v>50</v>
      </c>
      <c r="C8337" s="10" t="s">
        <v>52</v>
      </c>
      <c r="D8337" s="11">
        <v>661.37566137566137</v>
      </c>
      <c r="E8337" s="12">
        <f t="shared" si="130"/>
        <v>49775</v>
      </c>
    </row>
    <row r="8338" spans="1:5" x14ac:dyDescent="0.25">
      <c r="A8338" s="2">
        <f>IF(B8338="","",SUBTOTAL(3,$B$2:B8338))</f>
        <v>8337</v>
      </c>
      <c r="B8338" s="9" t="s">
        <v>48</v>
      </c>
      <c r="C8338" s="10" t="s">
        <v>56</v>
      </c>
      <c r="D8338" s="11">
        <v>61.614294516327789</v>
      </c>
      <c r="E8338" s="12">
        <f t="shared" si="130"/>
        <v>49776</v>
      </c>
    </row>
    <row r="8339" spans="1:5" x14ac:dyDescent="0.25">
      <c r="A8339" s="2">
        <f>IF(B8339="","",SUBTOTAL(3,$B$2:B8339))</f>
        <v>8338</v>
      </c>
      <c r="B8339" s="9" t="s">
        <v>55</v>
      </c>
      <c r="C8339" s="10" t="s">
        <v>49</v>
      </c>
      <c r="D8339" s="11">
        <v>3.7850875178021779</v>
      </c>
      <c r="E8339" s="12">
        <f t="shared" si="130"/>
        <v>49777</v>
      </c>
    </row>
    <row r="8340" spans="1:5" x14ac:dyDescent="0.25">
      <c r="A8340" s="2">
        <f>IF(B8340="","",SUBTOTAL(3,$B$2:B8340))</f>
        <v>8339</v>
      </c>
      <c r="B8340" s="9" t="s">
        <v>55</v>
      </c>
      <c r="C8340" s="10" t="s">
        <v>49</v>
      </c>
      <c r="D8340" s="11">
        <v>150</v>
      </c>
      <c r="E8340" s="12">
        <f t="shared" si="130"/>
        <v>49778</v>
      </c>
    </row>
    <row r="8341" spans="1:5" x14ac:dyDescent="0.25">
      <c r="A8341" s="2">
        <f>IF(B8341="","",SUBTOTAL(3,$B$2:B8341))</f>
        <v>8340</v>
      </c>
      <c r="B8341" s="9" t="s">
        <v>55</v>
      </c>
      <c r="C8341" s="10" t="s">
        <v>49</v>
      </c>
      <c r="D8341" s="11">
        <v>70</v>
      </c>
      <c r="E8341" s="12">
        <f t="shared" si="130"/>
        <v>49779</v>
      </c>
    </row>
    <row r="8342" spans="1:5" x14ac:dyDescent="0.25">
      <c r="A8342" s="2">
        <f>IF(B8342="","",SUBTOTAL(3,$B$2:B8342))</f>
        <v>8341</v>
      </c>
      <c r="B8342" s="9" t="s">
        <v>55</v>
      </c>
      <c r="C8342" s="10" t="s">
        <v>54</v>
      </c>
      <c r="D8342" s="11">
        <v>150</v>
      </c>
      <c r="E8342" s="12">
        <f t="shared" si="130"/>
        <v>49780</v>
      </c>
    </row>
    <row r="8343" spans="1:5" x14ac:dyDescent="0.25">
      <c r="A8343" s="2">
        <f>IF(B8343="","",SUBTOTAL(3,$B$2:B8343))</f>
        <v>8342</v>
      </c>
      <c r="B8343" s="9" t="s">
        <v>55</v>
      </c>
      <c r="C8343" s="10" t="s">
        <v>54</v>
      </c>
      <c r="D8343" s="11">
        <v>150</v>
      </c>
      <c r="E8343" s="12">
        <f t="shared" si="130"/>
        <v>49781</v>
      </c>
    </row>
    <row r="8344" spans="1:5" x14ac:dyDescent="0.25">
      <c r="A8344" s="2">
        <f>IF(B8344="","",SUBTOTAL(3,$B$2:B8344))</f>
        <v>8343</v>
      </c>
      <c r="B8344" s="9" t="s">
        <v>55</v>
      </c>
      <c r="C8344" s="10" t="s">
        <v>49</v>
      </c>
      <c r="D8344" s="11">
        <v>150</v>
      </c>
      <c r="E8344" s="12">
        <f t="shared" si="130"/>
        <v>49782</v>
      </c>
    </row>
    <row r="8345" spans="1:5" x14ac:dyDescent="0.25">
      <c r="A8345" s="2">
        <f>IF(B8345="","",SUBTOTAL(3,$B$2:B8345))</f>
        <v>8344</v>
      </c>
      <c r="B8345" s="9" t="s">
        <v>55</v>
      </c>
      <c r="C8345" s="10" t="s">
        <v>56</v>
      </c>
      <c r="D8345" s="11">
        <v>40.121970791205264</v>
      </c>
      <c r="E8345" s="12">
        <f t="shared" si="130"/>
        <v>49783</v>
      </c>
    </row>
    <row r="8346" spans="1:5" x14ac:dyDescent="0.25">
      <c r="A8346" s="2">
        <f>IF(B8346="","",SUBTOTAL(3,$B$2:B8346))</f>
        <v>8345</v>
      </c>
      <c r="B8346" s="9" t="s">
        <v>48</v>
      </c>
      <c r="C8346" s="10" t="s">
        <v>49</v>
      </c>
      <c r="D8346" s="11">
        <v>11.326172703095088</v>
      </c>
      <c r="E8346" s="12">
        <f t="shared" si="130"/>
        <v>49784</v>
      </c>
    </row>
    <row r="8347" spans="1:5" x14ac:dyDescent="0.25">
      <c r="A8347" s="2">
        <f>IF(B8347="","",SUBTOTAL(3,$B$2:B8347))</f>
        <v>8346</v>
      </c>
      <c r="B8347" s="9" t="s">
        <v>50</v>
      </c>
      <c r="C8347" s="10" t="s">
        <v>49</v>
      </c>
      <c r="D8347" s="11">
        <v>88.183421516754848</v>
      </c>
      <c r="E8347" s="12">
        <f t="shared" si="130"/>
        <v>49785</v>
      </c>
    </row>
    <row r="8348" spans="1:5" x14ac:dyDescent="0.25">
      <c r="A8348" s="2">
        <f>IF(B8348="","",SUBTOTAL(3,$B$2:B8348))</f>
        <v>8347</v>
      </c>
      <c r="B8348" s="9" t="s">
        <v>51</v>
      </c>
      <c r="C8348" s="10" t="s">
        <v>49</v>
      </c>
      <c r="D8348" s="11">
        <v>42.359419675950441</v>
      </c>
      <c r="E8348" s="12">
        <f t="shared" si="130"/>
        <v>49786</v>
      </c>
    </row>
    <row r="8349" spans="1:5" x14ac:dyDescent="0.25">
      <c r="A8349" s="2">
        <f>IF(B8349="","",SUBTOTAL(3,$B$2:B8349))</f>
        <v>8348</v>
      </c>
      <c r="B8349" s="9" t="s">
        <v>50</v>
      </c>
      <c r="C8349" s="10" t="s">
        <v>52</v>
      </c>
      <c r="D8349" s="11">
        <v>44.091710758377424</v>
      </c>
      <c r="E8349" s="12">
        <f t="shared" si="130"/>
        <v>49787</v>
      </c>
    </row>
    <row r="8350" spans="1:5" x14ac:dyDescent="0.25">
      <c r="A8350" s="2">
        <f>IF(B8350="","",SUBTOTAL(3,$B$2:B8350))</f>
        <v>8349</v>
      </c>
      <c r="B8350" s="9" t="s">
        <v>55</v>
      </c>
      <c r="C8350" s="10" t="s">
        <v>56</v>
      </c>
      <c r="D8350" s="11">
        <v>120.3659123736158</v>
      </c>
      <c r="E8350" s="12">
        <f t="shared" si="130"/>
        <v>49788</v>
      </c>
    </row>
    <row r="8351" spans="1:5" x14ac:dyDescent="0.25">
      <c r="A8351" s="2">
        <f>IF(B8351="","",SUBTOTAL(3,$B$2:B8351))</f>
        <v>8350</v>
      </c>
      <c r="B8351" s="9" t="s">
        <v>55</v>
      </c>
      <c r="C8351" s="10" t="s">
        <v>56</v>
      </c>
      <c r="D8351" s="11">
        <v>64.195153265928425</v>
      </c>
      <c r="E8351" s="12">
        <f t="shared" si="130"/>
        <v>49789</v>
      </c>
    </row>
    <row r="8352" spans="1:5" x14ac:dyDescent="0.25">
      <c r="A8352" s="2">
        <f>IF(B8352="","",SUBTOTAL(3,$B$2:B8352))</f>
        <v>8351</v>
      </c>
      <c r="B8352" s="9" t="s">
        <v>55</v>
      </c>
      <c r="C8352" s="10" t="s">
        <v>56</v>
      </c>
      <c r="D8352" s="11">
        <v>12.036591237361579</v>
      </c>
      <c r="E8352" s="12">
        <f t="shared" si="130"/>
        <v>49790</v>
      </c>
    </row>
    <row r="8353" spans="1:5" x14ac:dyDescent="0.25">
      <c r="A8353" s="2">
        <f>IF(B8353="","",SUBTOTAL(3,$B$2:B8353))</f>
        <v>8352</v>
      </c>
      <c r="B8353" s="9" t="s">
        <v>48</v>
      </c>
      <c r="C8353" s="10" t="s">
        <v>56</v>
      </c>
      <c r="D8353" s="11">
        <v>254.15896487985214</v>
      </c>
      <c r="E8353" s="12">
        <f t="shared" si="130"/>
        <v>49791</v>
      </c>
    </row>
    <row r="8354" spans="1:5" x14ac:dyDescent="0.25">
      <c r="A8354" s="2">
        <f>IF(B8354="","",SUBTOTAL(3,$B$2:B8354))</f>
        <v>8353</v>
      </c>
      <c r="B8354" s="9" t="s">
        <v>48</v>
      </c>
      <c r="C8354" s="10" t="s">
        <v>52</v>
      </c>
      <c r="D8354" s="11">
        <v>77.088124574409321</v>
      </c>
      <c r="E8354" s="12">
        <f t="shared" si="130"/>
        <v>49792</v>
      </c>
    </row>
    <row r="8355" spans="1:5" x14ac:dyDescent="0.25">
      <c r="A8355" s="2">
        <f>IF(B8355="","",SUBTOTAL(3,$B$2:B8355))</f>
        <v>8354</v>
      </c>
      <c r="B8355" s="9" t="s">
        <v>48</v>
      </c>
      <c r="C8355" s="10" t="s">
        <v>49</v>
      </c>
      <c r="D8355" s="11">
        <v>215.65003080714726</v>
      </c>
      <c r="E8355" s="12">
        <f t="shared" si="130"/>
        <v>49793</v>
      </c>
    </row>
    <row r="8356" spans="1:5" x14ac:dyDescent="0.25">
      <c r="A8356" s="2">
        <f>IF(B8356="","",SUBTOTAL(3,$B$2:B8356))</f>
        <v>8355</v>
      </c>
      <c r="B8356" s="9" t="s">
        <v>48</v>
      </c>
      <c r="C8356" s="10" t="s">
        <v>54</v>
      </c>
      <c r="D8356" s="11">
        <v>12.322858903265558</v>
      </c>
      <c r="E8356" s="12">
        <f t="shared" si="130"/>
        <v>49794</v>
      </c>
    </row>
    <row r="8357" spans="1:5" x14ac:dyDescent="0.25">
      <c r="A8357" s="2">
        <f>IF(B8357="","",SUBTOTAL(3,$B$2:B8357))</f>
        <v>8356</v>
      </c>
      <c r="B8357" s="9" t="s">
        <v>48</v>
      </c>
      <c r="C8357" s="10" t="s">
        <v>49</v>
      </c>
      <c r="D8357" s="11">
        <v>15.403573629081947</v>
      </c>
      <c r="E8357" s="12">
        <f t="shared" si="130"/>
        <v>49795</v>
      </c>
    </row>
    <row r="8358" spans="1:5" x14ac:dyDescent="0.25">
      <c r="A8358" s="2">
        <f>IF(B8358="","",SUBTOTAL(3,$B$2:B8358))</f>
        <v>8357</v>
      </c>
      <c r="B8358" s="9" t="s">
        <v>55</v>
      </c>
      <c r="C8358" s="10" t="s">
        <v>54</v>
      </c>
      <c r="D8358" s="11">
        <v>200</v>
      </c>
      <c r="E8358" s="12">
        <f t="shared" si="130"/>
        <v>49796</v>
      </c>
    </row>
    <row r="8359" spans="1:5" x14ac:dyDescent="0.25">
      <c r="A8359" s="2">
        <f>IF(B8359="","",SUBTOTAL(3,$B$2:B8359))</f>
        <v>8358</v>
      </c>
      <c r="B8359" s="9" t="s">
        <v>55</v>
      </c>
      <c r="C8359" s="10" t="s">
        <v>49</v>
      </c>
      <c r="D8359" s="11">
        <v>175</v>
      </c>
      <c r="E8359" s="12">
        <f t="shared" si="130"/>
        <v>49797</v>
      </c>
    </row>
    <row r="8360" spans="1:5" x14ac:dyDescent="0.25">
      <c r="A8360" s="2">
        <f>IF(B8360="","",SUBTOTAL(3,$B$2:B8360))</f>
        <v>8359</v>
      </c>
      <c r="B8360" s="9" t="s">
        <v>48</v>
      </c>
      <c r="C8360" s="10" t="s">
        <v>54</v>
      </c>
      <c r="D8360" s="11">
        <v>20.682523267838675</v>
      </c>
      <c r="E8360" s="12">
        <f t="shared" si="130"/>
        <v>49798</v>
      </c>
    </row>
    <row r="8361" spans="1:5" x14ac:dyDescent="0.25">
      <c r="A8361" s="2">
        <f>IF(B8361="","",SUBTOTAL(3,$B$2:B8361))</f>
        <v>8360</v>
      </c>
      <c r="B8361" s="9" t="s">
        <v>50</v>
      </c>
      <c r="C8361" s="10" t="s">
        <v>49</v>
      </c>
      <c r="D8361" s="11">
        <v>661.37566137566137</v>
      </c>
      <c r="E8361" s="12">
        <f t="shared" si="130"/>
        <v>49799</v>
      </c>
    </row>
    <row r="8362" spans="1:5" x14ac:dyDescent="0.25">
      <c r="A8362" s="2">
        <f>IF(B8362="","",SUBTOTAL(3,$B$2:B8362))</f>
        <v>8361</v>
      </c>
      <c r="B8362" s="9" t="s">
        <v>51</v>
      </c>
      <c r="C8362" s="10" t="s">
        <v>52</v>
      </c>
      <c r="D8362" s="11">
        <v>211.79709837975219</v>
      </c>
      <c r="E8362" s="12">
        <f t="shared" si="130"/>
        <v>49800</v>
      </c>
    </row>
    <row r="8363" spans="1:5" x14ac:dyDescent="0.25">
      <c r="A8363" s="2">
        <f>IF(B8363="","",SUBTOTAL(3,$B$2:B8363))</f>
        <v>8362</v>
      </c>
      <c r="B8363" s="9" t="s">
        <v>48</v>
      </c>
      <c r="C8363" s="10" t="s">
        <v>56</v>
      </c>
      <c r="D8363" s="11">
        <v>15.511892450879007</v>
      </c>
      <c r="E8363" s="12">
        <f t="shared" si="130"/>
        <v>49801</v>
      </c>
    </row>
    <row r="8364" spans="1:5" x14ac:dyDescent="0.25">
      <c r="A8364" s="2">
        <f>IF(B8364="","",SUBTOTAL(3,$B$2:B8364))</f>
        <v>8363</v>
      </c>
      <c r="B8364" s="9" t="s">
        <v>55</v>
      </c>
      <c r="C8364" s="10" t="s">
        <v>49</v>
      </c>
      <c r="D8364" s="11">
        <v>21.284014991037971</v>
      </c>
      <c r="E8364" s="12">
        <f t="shared" si="130"/>
        <v>49802</v>
      </c>
    </row>
    <row r="8365" spans="1:5" x14ac:dyDescent="0.25">
      <c r="A8365" s="2">
        <f>IF(B8365="","",SUBTOTAL(3,$B$2:B8365))</f>
        <v>8364</v>
      </c>
      <c r="B8365" s="9" t="s">
        <v>55</v>
      </c>
      <c r="C8365" s="10" t="s">
        <v>56</v>
      </c>
      <c r="D8365" s="11">
        <v>16.294606485253382</v>
      </c>
      <c r="E8365" s="12">
        <f t="shared" si="130"/>
        <v>49803</v>
      </c>
    </row>
    <row r="8366" spans="1:5" x14ac:dyDescent="0.25">
      <c r="A8366" s="2">
        <f>IF(B8366="","",SUBTOTAL(3,$B$2:B8366))</f>
        <v>8365</v>
      </c>
      <c r="B8366" s="9" t="s">
        <v>50</v>
      </c>
      <c r="C8366" s="10" t="s">
        <v>54</v>
      </c>
      <c r="D8366" s="11">
        <v>61.728395061728399</v>
      </c>
      <c r="E8366" s="12">
        <f t="shared" si="130"/>
        <v>49804</v>
      </c>
    </row>
    <row r="8367" spans="1:5" x14ac:dyDescent="0.25">
      <c r="A8367" s="2">
        <f>IF(B8367="","",SUBTOTAL(3,$B$2:B8367))</f>
        <v>8366</v>
      </c>
      <c r="B8367" s="9" t="s">
        <v>55</v>
      </c>
      <c r="C8367" s="10" t="s">
        <v>54</v>
      </c>
      <c r="D8367" s="11">
        <v>224.86556949649668</v>
      </c>
      <c r="E8367" s="12">
        <f t="shared" si="130"/>
        <v>49805</v>
      </c>
    </row>
    <row r="8368" spans="1:5" x14ac:dyDescent="0.25">
      <c r="A8368" s="2">
        <f>IF(B8368="","",SUBTOTAL(3,$B$2:B8368))</f>
        <v>8367</v>
      </c>
      <c r="B8368" s="9" t="s">
        <v>48</v>
      </c>
      <c r="C8368" s="10" t="s">
        <v>54</v>
      </c>
      <c r="D8368" s="11">
        <v>50</v>
      </c>
      <c r="E8368" s="12">
        <f t="shared" si="130"/>
        <v>49806</v>
      </c>
    </row>
    <row r="8369" spans="1:5" x14ac:dyDescent="0.25">
      <c r="A8369" s="2">
        <f>IF(B8369="","",SUBTOTAL(3,$B$2:B8369))</f>
        <v>8368</v>
      </c>
      <c r="B8369" s="9" t="s">
        <v>50</v>
      </c>
      <c r="C8369" s="10" t="s">
        <v>52</v>
      </c>
      <c r="D8369" s="11">
        <v>9.9206349206349209</v>
      </c>
      <c r="E8369" s="12">
        <f t="shared" si="130"/>
        <v>49807</v>
      </c>
    </row>
    <row r="8370" spans="1:5" x14ac:dyDescent="0.25">
      <c r="A8370" s="2">
        <f>IF(B8370="","",SUBTOTAL(3,$B$2:B8370))</f>
        <v>8369</v>
      </c>
      <c r="B8370" s="9" t="s">
        <v>55</v>
      </c>
      <c r="C8370" s="10" t="s">
        <v>56</v>
      </c>
      <c r="D8370" s="11">
        <v>3.9484854267983707</v>
      </c>
      <c r="E8370" s="12">
        <f t="shared" si="130"/>
        <v>49808</v>
      </c>
    </row>
    <row r="8371" spans="1:5" x14ac:dyDescent="0.25">
      <c r="A8371" s="2">
        <f>IF(B8371="","",SUBTOTAL(3,$B$2:B8371))</f>
        <v>8370</v>
      </c>
      <c r="B8371" s="9" t="s">
        <v>55</v>
      </c>
      <c r="C8371" s="10" t="s">
        <v>49</v>
      </c>
      <c r="D8371" s="11">
        <v>48.883819455760147</v>
      </c>
      <c r="E8371" s="12">
        <f t="shared" si="130"/>
        <v>49809</v>
      </c>
    </row>
    <row r="8372" spans="1:5" x14ac:dyDescent="0.25">
      <c r="A8372" s="2">
        <f>IF(B8372="","",SUBTOTAL(3,$B$2:B8372))</f>
        <v>8371</v>
      </c>
      <c r="B8372" s="9" t="s">
        <v>55</v>
      </c>
      <c r="C8372" s="10" t="s">
        <v>56</v>
      </c>
      <c r="D8372" s="11">
        <v>98.712135669959252</v>
      </c>
      <c r="E8372" s="12">
        <f t="shared" si="130"/>
        <v>49810</v>
      </c>
    </row>
    <row r="8373" spans="1:5" x14ac:dyDescent="0.25">
      <c r="A8373" s="2">
        <f>IF(B8373="","",SUBTOTAL(3,$B$2:B8373))</f>
        <v>8372</v>
      </c>
      <c r="B8373" s="9" t="s">
        <v>50</v>
      </c>
      <c r="C8373" s="10" t="s">
        <v>52</v>
      </c>
      <c r="D8373" s="11">
        <v>55.114638447971785</v>
      </c>
      <c r="E8373" s="12">
        <f t="shared" si="130"/>
        <v>49811</v>
      </c>
    </row>
    <row r="8374" spans="1:5" x14ac:dyDescent="0.25">
      <c r="A8374" s="2">
        <f>IF(B8374="","",SUBTOTAL(3,$B$2:B8374))</f>
        <v>8373</v>
      </c>
      <c r="B8374" s="9" t="s">
        <v>48</v>
      </c>
      <c r="C8374" s="10" t="s">
        <v>49</v>
      </c>
      <c r="D8374" s="11">
        <v>616.14294516327789</v>
      </c>
      <c r="E8374" s="12">
        <f t="shared" si="130"/>
        <v>49812</v>
      </c>
    </row>
    <row r="8375" spans="1:5" x14ac:dyDescent="0.25">
      <c r="A8375" s="2">
        <f>IF(B8375="","",SUBTOTAL(3,$B$2:B8375))</f>
        <v>8374</v>
      </c>
      <c r="B8375" s="9" t="s">
        <v>48</v>
      </c>
      <c r="C8375" s="10" t="s">
        <v>52</v>
      </c>
      <c r="D8375" s="11">
        <v>30.807147258163894</v>
      </c>
      <c r="E8375" s="12">
        <f t="shared" si="130"/>
        <v>49813</v>
      </c>
    </row>
    <row r="8376" spans="1:5" x14ac:dyDescent="0.25">
      <c r="A8376" s="2">
        <f>IF(B8376="","",SUBTOTAL(3,$B$2:B8376))</f>
        <v>8375</v>
      </c>
      <c r="B8376" s="9" t="s">
        <v>55</v>
      </c>
      <c r="C8376" s="10" t="s">
        <v>56</v>
      </c>
      <c r="D8376" s="11">
        <v>150</v>
      </c>
      <c r="E8376" s="12">
        <f t="shared" si="130"/>
        <v>49814</v>
      </c>
    </row>
    <row r="8377" spans="1:5" x14ac:dyDescent="0.25">
      <c r="A8377" s="2">
        <f>IF(B8377="","",SUBTOTAL(3,$B$2:B8377))</f>
        <v>8376</v>
      </c>
      <c r="B8377" s="9" t="s">
        <v>48</v>
      </c>
      <c r="C8377" s="10" t="s">
        <v>49</v>
      </c>
      <c r="D8377" s="11">
        <v>1109.0573012939003</v>
      </c>
      <c r="E8377" s="12">
        <f t="shared" si="130"/>
        <v>49815</v>
      </c>
    </row>
    <row r="8378" spans="1:5" x14ac:dyDescent="0.25">
      <c r="A8378" s="2">
        <f>IF(B8378="","",SUBTOTAL(3,$B$2:B8378))</f>
        <v>8377</v>
      </c>
      <c r="B8378" s="9" t="s">
        <v>53</v>
      </c>
      <c r="C8378" s="10" t="s">
        <v>49</v>
      </c>
      <c r="D8378" s="11">
        <v>137.37899200454268</v>
      </c>
      <c r="E8378" s="12">
        <f t="shared" si="130"/>
        <v>49816</v>
      </c>
    </row>
    <row r="8379" spans="1:5" x14ac:dyDescent="0.25">
      <c r="A8379" s="2">
        <f>IF(B8379="","",SUBTOTAL(3,$B$2:B8379))</f>
        <v>8378</v>
      </c>
      <c r="B8379" s="9" t="s">
        <v>55</v>
      </c>
      <c r="C8379" s="10" t="s">
        <v>49</v>
      </c>
      <c r="D8379" s="11">
        <v>5.1735375590679489</v>
      </c>
      <c r="E8379" s="12">
        <f t="shared" si="130"/>
        <v>49817</v>
      </c>
    </row>
    <row r="8380" spans="1:5" x14ac:dyDescent="0.25">
      <c r="A8380" s="2">
        <f>IF(B8380="","",SUBTOTAL(3,$B$2:B8380))</f>
        <v>8379</v>
      </c>
      <c r="B8380" s="9" t="s">
        <v>55</v>
      </c>
      <c r="C8380" s="10" t="s">
        <v>49</v>
      </c>
      <c r="D8380" s="11">
        <v>0.18</v>
      </c>
      <c r="E8380" s="12">
        <f t="shared" si="130"/>
        <v>49818</v>
      </c>
    </row>
    <row r="8381" spans="1:5" x14ac:dyDescent="0.25">
      <c r="A8381" s="2">
        <f>IF(B8381="","",SUBTOTAL(3,$B$2:B8381))</f>
        <v>8380</v>
      </c>
      <c r="B8381" s="9" t="s">
        <v>55</v>
      </c>
      <c r="C8381" s="10" t="s">
        <v>56</v>
      </c>
      <c r="D8381" s="11">
        <v>33.262999999999998</v>
      </c>
      <c r="E8381" s="12">
        <f t="shared" si="130"/>
        <v>49819</v>
      </c>
    </row>
    <row r="8382" spans="1:5" x14ac:dyDescent="0.25">
      <c r="A8382" s="2">
        <f>IF(B8382="","",SUBTOTAL(3,$B$2:B8382))</f>
        <v>8381</v>
      </c>
      <c r="B8382" s="9" t="s">
        <v>55</v>
      </c>
      <c r="C8382" s="10" t="s">
        <v>56</v>
      </c>
      <c r="D8382" s="11">
        <v>95</v>
      </c>
      <c r="E8382" s="12">
        <f t="shared" si="130"/>
        <v>49820</v>
      </c>
    </row>
    <row r="8383" spans="1:5" x14ac:dyDescent="0.25">
      <c r="A8383" s="2">
        <f>IF(B8383="","",SUBTOTAL(3,$B$2:B8383))</f>
        <v>8382</v>
      </c>
      <c r="B8383" s="9" t="s">
        <v>55</v>
      </c>
      <c r="C8383" s="10" t="s">
        <v>56</v>
      </c>
      <c r="D8383" s="11">
        <v>27</v>
      </c>
      <c r="E8383" s="12">
        <f t="shared" si="130"/>
        <v>49821</v>
      </c>
    </row>
    <row r="8384" spans="1:5" x14ac:dyDescent="0.25">
      <c r="A8384" s="2">
        <f>IF(B8384="","",SUBTOTAL(3,$B$2:B8384))</f>
        <v>8383</v>
      </c>
      <c r="B8384" s="9" t="s">
        <v>48</v>
      </c>
      <c r="C8384" s="10" t="s">
        <v>49</v>
      </c>
      <c r="D8384" s="11">
        <v>308.07147258163894</v>
      </c>
      <c r="E8384" s="12">
        <f t="shared" si="130"/>
        <v>49822</v>
      </c>
    </row>
    <row r="8385" spans="1:5" x14ac:dyDescent="0.25">
      <c r="A8385" s="2">
        <f>IF(B8385="","",SUBTOTAL(3,$B$2:B8385))</f>
        <v>8384</v>
      </c>
      <c r="B8385" s="9" t="s">
        <v>48</v>
      </c>
      <c r="C8385" s="10" t="s">
        <v>52</v>
      </c>
      <c r="D8385" s="11">
        <v>462.10720887245844</v>
      </c>
      <c r="E8385" s="12">
        <f t="shared" si="130"/>
        <v>49823</v>
      </c>
    </row>
    <row r="8386" spans="1:5" x14ac:dyDescent="0.25">
      <c r="A8386" s="2">
        <f>IF(B8386="","",SUBTOTAL(3,$B$2:B8386))</f>
        <v>8385</v>
      </c>
      <c r="B8386" s="9" t="s">
        <v>50</v>
      </c>
      <c r="C8386" s="10" t="s">
        <v>52</v>
      </c>
      <c r="D8386" s="11">
        <v>26.455026455026456</v>
      </c>
      <c r="E8386" s="12">
        <f t="shared" si="130"/>
        <v>49824</v>
      </c>
    </row>
    <row r="8387" spans="1:5" x14ac:dyDescent="0.25">
      <c r="A8387" s="2">
        <f>IF(B8387="","",SUBTOTAL(3,$B$2:B8387))</f>
        <v>8386</v>
      </c>
      <c r="B8387" s="9" t="s">
        <v>55</v>
      </c>
      <c r="C8387" s="10" t="s">
        <v>49</v>
      </c>
      <c r="D8387" s="11">
        <v>200</v>
      </c>
      <c r="E8387" s="12">
        <f t="shared" si="130"/>
        <v>49825</v>
      </c>
    </row>
    <row r="8388" spans="1:5" x14ac:dyDescent="0.25">
      <c r="A8388" s="2">
        <f>IF(B8388="","",SUBTOTAL(3,$B$2:B8388))</f>
        <v>8387</v>
      </c>
      <c r="B8388" s="9" t="s">
        <v>55</v>
      </c>
      <c r="C8388" s="10" t="s">
        <v>52</v>
      </c>
      <c r="D8388" s="11">
        <v>300</v>
      </c>
      <c r="E8388" s="12">
        <f t="shared" ref="E8388:E8451" si="131">E8387+1</f>
        <v>49826</v>
      </c>
    </row>
    <row r="8389" spans="1:5" x14ac:dyDescent="0.25">
      <c r="A8389" s="2">
        <f>IF(B8389="","",SUBTOTAL(3,$B$2:B8389))</f>
        <v>8388</v>
      </c>
      <c r="B8389" s="9" t="s">
        <v>50</v>
      </c>
      <c r="C8389" s="10" t="s">
        <v>52</v>
      </c>
      <c r="D8389" s="11">
        <v>110.22927689594357</v>
      </c>
      <c r="E8389" s="12">
        <f t="shared" si="131"/>
        <v>49827</v>
      </c>
    </row>
    <row r="8390" spans="1:5" x14ac:dyDescent="0.25">
      <c r="A8390" s="2">
        <f>IF(B8390="","",SUBTOTAL(3,$B$2:B8390))</f>
        <v>8389</v>
      </c>
      <c r="B8390" s="9" t="s">
        <v>55</v>
      </c>
      <c r="C8390" s="10" t="s">
        <v>52</v>
      </c>
      <c r="D8390" s="11">
        <v>87.339090760958129</v>
      </c>
      <c r="E8390" s="12">
        <f t="shared" si="131"/>
        <v>49828</v>
      </c>
    </row>
    <row r="8391" spans="1:5" x14ac:dyDescent="0.25">
      <c r="A8391" s="2">
        <f>IF(B8391="","",SUBTOTAL(3,$B$2:B8391))</f>
        <v>8390</v>
      </c>
      <c r="B8391" s="9" t="s">
        <v>51</v>
      </c>
      <c r="C8391" s="10" t="s">
        <v>56</v>
      </c>
      <c r="D8391" s="11">
        <v>264.74637297469025</v>
      </c>
      <c r="E8391" s="12">
        <f t="shared" si="131"/>
        <v>49829</v>
      </c>
    </row>
    <row r="8392" spans="1:5" x14ac:dyDescent="0.25">
      <c r="A8392" s="2">
        <f>IF(B8392="","",SUBTOTAL(3,$B$2:B8392))</f>
        <v>8391</v>
      </c>
      <c r="B8392" s="9" t="s">
        <v>50</v>
      </c>
      <c r="C8392" s="10" t="s">
        <v>52</v>
      </c>
      <c r="D8392" s="11">
        <v>17.636684303350968</v>
      </c>
      <c r="E8392" s="12">
        <f t="shared" si="131"/>
        <v>49830</v>
      </c>
    </row>
    <row r="8393" spans="1:5" x14ac:dyDescent="0.25">
      <c r="A8393" s="2">
        <f>IF(B8393="","",SUBTOTAL(3,$B$2:B8393))</f>
        <v>8392</v>
      </c>
      <c r="B8393" s="9" t="s">
        <v>50</v>
      </c>
      <c r="C8393" s="10" t="s">
        <v>52</v>
      </c>
      <c r="D8393" s="11">
        <v>48.500881834215171</v>
      </c>
      <c r="E8393" s="12">
        <f t="shared" si="131"/>
        <v>49831</v>
      </c>
    </row>
    <row r="8394" spans="1:5" x14ac:dyDescent="0.25">
      <c r="A8394" s="2">
        <f>IF(B8394="","",SUBTOTAL(3,$B$2:B8394))</f>
        <v>8393</v>
      </c>
      <c r="B8394" s="9" t="s">
        <v>48</v>
      </c>
      <c r="C8394" s="10" t="s">
        <v>56</v>
      </c>
      <c r="D8394" s="11">
        <v>84.719654959950716</v>
      </c>
      <c r="E8394" s="12">
        <f t="shared" si="131"/>
        <v>49832</v>
      </c>
    </row>
    <row r="8395" spans="1:5" x14ac:dyDescent="0.25">
      <c r="A8395" s="2">
        <f>IF(B8395="","",SUBTOTAL(3,$B$2:B8395))</f>
        <v>8394</v>
      </c>
      <c r="B8395" s="9" t="s">
        <v>48</v>
      </c>
      <c r="C8395" s="10" t="s">
        <v>56</v>
      </c>
      <c r="D8395" s="11">
        <v>123.22858903265558</v>
      </c>
      <c r="E8395" s="12">
        <f t="shared" si="131"/>
        <v>49833</v>
      </c>
    </row>
    <row r="8396" spans="1:5" x14ac:dyDescent="0.25">
      <c r="A8396" s="2">
        <f>IF(B8396="","",SUBTOTAL(3,$B$2:B8396))</f>
        <v>8395</v>
      </c>
      <c r="B8396" s="9" t="s">
        <v>48</v>
      </c>
      <c r="C8396" s="10" t="s">
        <v>49</v>
      </c>
      <c r="D8396" s="11">
        <v>61.614294516327789</v>
      </c>
      <c r="E8396" s="12">
        <f t="shared" si="131"/>
        <v>49834</v>
      </c>
    </row>
    <row r="8397" spans="1:5" x14ac:dyDescent="0.25">
      <c r="A8397" s="2">
        <f>IF(B8397="","",SUBTOTAL(3,$B$2:B8397))</f>
        <v>8396</v>
      </c>
      <c r="B8397" s="9" t="s">
        <v>48</v>
      </c>
      <c r="C8397" s="10" t="s">
        <v>54</v>
      </c>
      <c r="D8397" s="11">
        <v>38.508934072704868</v>
      </c>
      <c r="E8397" s="12">
        <f t="shared" si="131"/>
        <v>49835</v>
      </c>
    </row>
    <row r="8398" spans="1:5" x14ac:dyDescent="0.25">
      <c r="A8398" s="2">
        <f>IF(B8398="","",SUBTOTAL(3,$B$2:B8398))</f>
        <v>8397</v>
      </c>
      <c r="B8398" s="9" t="s">
        <v>48</v>
      </c>
      <c r="C8398" s="10" t="s">
        <v>56</v>
      </c>
      <c r="D8398" s="11">
        <v>61.614294516327789</v>
      </c>
      <c r="E8398" s="12">
        <f t="shared" si="131"/>
        <v>49836</v>
      </c>
    </row>
    <row r="8399" spans="1:5" x14ac:dyDescent="0.25">
      <c r="A8399" s="2">
        <f>IF(B8399="","",SUBTOTAL(3,$B$2:B8399))</f>
        <v>8398</v>
      </c>
      <c r="B8399" s="9" t="s">
        <v>48</v>
      </c>
      <c r="C8399" s="10" t="s">
        <v>52</v>
      </c>
      <c r="D8399" s="11">
        <v>154.03573629081947</v>
      </c>
      <c r="E8399" s="12">
        <f t="shared" si="131"/>
        <v>49837</v>
      </c>
    </row>
    <row r="8400" spans="1:5" x14ac:dyDescent="0.25">
      <c r="A8400" s="2">
        <f>IF(B8400="","",SUBTOTAL(3,$B$2:B8400))</f>
        <v>8399</v>
      </c>
      <c r="B8400" s="9" t="s">
        <v>48</v>
      </c>
      <c r="C8400" s="10" t="s">
        <v>49</v>
      </c>
      <c r="D8400" s="11">
        <v>77.017868145409736</v>
      </c>
      <c r="E8400" s="12">
        <f t="shared" si="131"/>
        <v>49838</v>
      </c>
    </row>
    <row r="8401" spans="1:5" x14ac:dyDescent="0.25">
      <c r="A8401" s="2">
        <f>IF(B8401="","",SUBTOTAL(3,$B$2:B8401))</f>
        <v>8400</v>
      </c>
      <c r="B8401" s="9" t="s">
        <v>48</v>
      </c>
      <c r="C8401" s="10" t="s">
        <v>52</v>
      </c>
      <c r="D8401" s="11">
        <v>30.807147258163894</v>
      </c>
      <c r="E8401" s="12">
        <f t="shared" si="131"/>
        <v>49839</v>
      </c>
    </row>
    <row r="8402" spans="1:5" x14ac:dyDescent="0.25">
      <c r="A8402" s="2">
        <f>IF(B8402="","",SUBTOTAL(3,$B$2:B8402))</f>
        <v>8401</v>
      </c>
      <c r="B8402" s="9" t="s">
        <v>48</v>
      </c>
      <c r="C8402" s="10" t="s">
        <v>54</v>
      </c>
      <c r="D8402" s="11">
        <v>61.614294516327789</v>
      </c>
      <c r="E8402" s="12">
        <f t="shared" si="131"/>
        <v>49840</v>
      </c>
    </row>
    <row r="8403" spans="1:5" x14ac:dyDescent="0.25">
      <c r="A8403" s="2">
        <f>IF(B8403="","",SUBTOTAL(3,$B$2:B8403))</f>
        <v>8402</v>
      </c>
      <c r="B8403" s="9" t="s">
        <v>48</v>
      </c>
      <c r="C8403" s="10" t="s">
        <v>49</v>
      </c>
      <c r="D8403" s="11">
        <v>100.2145619467321</v>
      </c>
      <c r="E8403" s="12">
        <f t="shared" si="131"/>
        <v>49841</v>
      </c>
    </row>
    <row r="8404" spans="1:5" x14ac:dyDescent="0.25">
      <c r="A8404" s="2">
        <f>IF(B8404="","",SUBTOTAL(3,$B$2:B8404))</f>
        <v>8403</v>
      </c>
      <c r="B8404" s="9" t="s">
        <v>50</v>
      </c>
      <c r="C8404" s="10" t="s">
        <v>54</v>
      </c>
      <c r="D8404" s="11">
        <v>88.183421516754848</v>
      </c>
      <c r="E8404" s="12">
        <f t="shared" si="131"/>
        <v>49842</v>
      </c>
    </row>
    <row r="8405" spans="1:5" x14ac:dyDescent="0.25">
      <c r="A8405" s="2">
        <f>IF(B8405="","",SUBTOTAL(3,$B$2:B8405))</f>
        <v>8404</v>
      </c>
      <c r="B8405" s="9" t="s">
        <v>51</v>
      </c>
      <c r="C8405" s="10" t="s">
        <v>54</v>
      </c>
      <c r="D8405" s="11">
        <v>149.84644710367468</v>
      </c>
      <c r="E8405" s="12">
        <f t="shared" si="131"/>
        <v>49843</v>
      </c>
    </row>
    <row r="8406" spans="1:5" x14ac:dyDescent="0.25">
      <c r="A8406" s="2">
        <f>IF(B8406="","",SUBTOTAL(3,$B$2:B8406))</f>
        <v>8405</v>
      </c>
      <c r="B8406" s="9" t="s">
        <v>48</v>
      </c>
      <c r="C8406" s="10" t="s">
        <v>52</v>
      </c>
      <c r="D8406" s="11">
        <v>107.82501540357363</v>
      </c>
      <c r="E8406" s="12">
        <f t="shared" si="131"/>
        <v>49844</v>
      </c>
    </row>
    <row r="8407" spans="1:5" x14ac:dyDescent="0.25">
      <c r="A8407" s="2">
        <f>IF(B8407="","",SUBTOTAL(3,$B$2:B8407))</f>
        <v>8406</v>
      </c>
      <c r="B8407" s="9" t="s">
        <v>50</v>
      </c>
      <c r="C8407" s="10" t="s">
        <v>49</v>
      </c>
      <c r="D8407" s="11">
        <v>391.73686067019401</v>
      </c>
      <c r="E8407" s="12">
        <f t="shared" si="131"/>
        <v>49845</v>
      </c>
    </row>
    <row r="8408" spans="1:5" x14ac:dyDescent="0.25">
      <c r="A8408" s="2">
        <f>IF(B8408="","",SUBTOTAL(3,$B$2:B8408))</f>
        <v>8407</v>
      </c>
      <c r="B8408" s="9" t="s">
        <v>50</v>
      </c>
      <c r="C8408" s="10" t="s">
        <v>52</v>
      </c>
      <c r="D8408" s="11">
        <v>55.114638447971785</v>
      </c>
      <c r="E8408" s="12">
        <f t="shared" si="131"/>
        <v>49846</v>
      </c>
    </row>
    <row r="8409" spans="1:5" x14ac:dyDescent="0.25">
      <c r="A8409" s="2">
        <f>IF(B8409="","",SUBTOTAL(3,$B$2:B8409))</f>
        <v>8408</v>
      </c>
      <c r="B8409" s="9" t="s">
        <v>50</v>
      </c>
      <c r="C8409" s="10" t="s">
        <v>49</v>
      </c>
      <c r="D8409" s="11">
        <v>216.48624338624339</v>
      </c>
      <c r="E8409" s="12">
        <f t="shared" si="131"/>
        <v>49847</v>
      </c>
    </row>
    <row r="8410" spans="1:5" x14ac:dyDescent="0.25">
      <c r="A8410" s="2">
        <f>IF(B8410="","",SUBTOTAL(3,$B$2:B8410))</f>
        <v>8409</v>
      </c>
      <c r="B8410" s="9" t="s">
        <v>48</v>
      </c>
      <c r="C8410" s="10" t="s">
        <v>56</v>
      </c>
      <c r="D8410" s="11">
        <v>338.87861983980287</v>
      </c>
      <c r="E8410" s="12">
        <f t="shared" si="131"/>
        <v>49848</v>
      </c>
    </row>
    <row r="8411" spans="1:5" x14ac:dyDescent="0.25">
      <c r="A8411" s="2">
        <f>IF(B8411="","",SUBTOTAL(3,$B$2:B8411))</f>
        <v>8410</v>
      </c>
      <c r="B8411" s="9" t="s">
        <v>48</v>
      </c>
      <c r="C8411" s="10" t="s">
        <v>49</v>
      </c>
      <c r="D8411" s="11">
        <v>4.6210720887245836E-3</v>
      </c>
      <c r="E8411" s="12">
        <f t="shared" si="131"/>
        <v>49849</v>
      </c>
    </row>
    <row r="8412" spans="1:5" x14ac:dyDescent="0.25">
      <c r="A8412" s="2">
        <f>IF(B8412="","",SUBTOTAL(3,$B$2:B8412))</f>
        <v>8411</v>
      </c>
      <c r="B8412" s="9" t="s">
        <v>48</v>
      </c>
      <c r="C8412" s="10" t="s">
        <v>49</v>
      </c>
      <c r="D8412" s="11">
        <v>29.266789895255702</v>
      </c>
      <c r="E8412" s="12">
        <f t="shared" si="131"/>
        <v>49850</v>
      </c>
    </row>
    <row r="8413" spans="1:5" x14ac:dyDescent="0.25">
      <c r="A8413" s="2">
        <f>IF(B8413="","",SUBTOTAL(3,$B$2:B8413))</f>
        <v>8412</v>
      </c>
      <c r="B8413" s="9" t="s">
        <v>48</v>
      </c>
      <c r="C8413" s="10" t="s">
        <v>49</v>
      </c>
      <c r="D8413" s="11">
        <v>68.941744226128904</v>
      </c>
      <c r="E8413" s="12">
        <f t="shared" si="131"/>
        <v>49851</v>
      </c>
    </row>
    <row r="8414" spans="1:5" x14ac:dyDescent="0.25">
      <c r="A8414" s="2">
        <f>IF(B8414="","",SUBTOTAL(3,$B$2:B8414))</f>
        <v>8413</v>
      </c>
      <c r="B8414" s="9" t="s">
        <v>55</v>
      </c>
      <c r="C8414" s="10" t="s">
        <v>56</v>
      </c>
      <c r="D8414" s="11">
        <v>40</v>
      </c>
      <c r="E8414" s="12">
        <f t="shared" si="131"/>
        <v>49852</v>
      </c>
    </row>
    <row r="8415" spans="1:5" x14ac:dyDescent="0.25">
      <c r="A8415" s="2">
        <f>IF(B8415="","",SUBTOTAL(3,$B$2:B8415))</f>
        <v>8414</v>
      </c>
      <c r="B8415" s="9" t="s">
        <v>50</v>
      </c>
      <c r="C8415" s="10" t="s">
        <v>52</v>
      </c>
      <c r="D8415" s="11">
        <v>33.06878306878307</v>
      </c>
      <c r="E8415" s="12">
        <f t="shared" si="131"/>
        <v>49853</v>
      </c>
    </row>
    <row r="8416" spans="1:5" x14ac:dyDescent="0.25">
      <c r="A8416" s="2">
        <f>IF(B8416="","",SUBTOTAL(3,$B$2:B8416))</f>
        <v>8415</v>
      </c>
      <c r="B8416" s="9" t="s">
        <v>50</v>
      </c>
      <c r="C8416" s="10" t="s">
        <v>49</v>
      </c>
      <c r="D8416" s="11">
        <v>55.114638447971785</v>
      </c>
      <c r="E8416" s="12">
        <f t="shared" si="131"/>
        <v>49854</v>
      </c>
    </row>
    <row r="8417" spans="1:5" x14ac:dyDescent="0.25">
      <c r="A8417" s="2">
        <f>IF(B8417="","",SUBTOTAL(3,$B$2:B8417))</f>
        <v>8416</v>
      </c>
      <c r="B8417" s="9" t="s">
        <v>55</v>
      </c>
      <c r="C8417" s="10" t="s">
        <v>56</v>
      </c>
      <c r="D8417" s="11">
        <v>19.742427133991853</v>
      </c>
      <c r="E8417" s="12">
        <f t="shared" si="131"/>
        <v>49855</v>
      </c>
    </row>
    <row r="8418" spans="1:5" x14ac:dyDescent="0.25">
      <c r="A8418" s="2">
        <f>IF(B8418="","",SUBTOTAL(3,$B$2:B8418))</f>
        <v>8417</v>
      </c>
      <c r="B8418" s="9" t="s">
        <v>55</v>
      </c>
      <c r="C8418" s="10" t="s">
        <v>49</v>
      </c>
      <c r="D8418" s="11">
        <v>21</v>
      </c>
      <c r="E8418" s="12">
        <f t="shared" si="131"/>
        <v>49856</v>
      </c>
    </row>
    <row r="8419" spans="1:5" x14ac:dyDescent="0.25">
      <c r="A8419" s="2">
        <f>IF(B8419="","",SUBTOTAL(3,$B$2:B8419))</f>
        <v>8418</v>
      </c>
      <c r="B8419" s="9" t="s">
        <v>55</v>
      </c>
      <c r="C8419" s="10" t="s">
        <v>52</v>
      </c>
      <c r="D8419" s="11">
        <v>60</v>
      </c>
      <c r="E8419" s="12">
        <f t="shared" si="131"/>
        <v>49857</v>
      </c>
    </row>
    <row r="8420" spans="1:5" x14ac:dyDescent="0.25">
      <c r="A8420" s="2">
        <f>IF(B8420="","",SUBTOTAL(3,$B$2:B8420))</f>
        <v>8419</v>
      </c>
      <c r="B8420" s="9" t="s">
        <v>51</v>
      </c>
      <c r="C8420" s="10" t="s">
        <v>52</v>
      </c>
      <c r="D8420" s="11">
        <v>34.946521232659116</v>
      </c>
      <c r="E8420" s="12">
        <f t="shared" si="131"/>
        <v>49858</v>
      </c>
    </row>
    <row r="8421" spans="1:5" x14ac:dyDescent="0.25">
      <c r="A8421" s="2">
        <f>IF(B8421="","",SUBTOTAL(3,$B$2:B8421))</f>
        <v>8420</v>
      </c>
      <c r="B8421" s="9" t="s">
        <v>55</v>
      </c>
      <c r="C8421" s="10" t="s">
        <v>49</v>
      </c>
      <c r="D8421" s="11">
        <v>496.62538699690401</v>
      </c>
      <c r="E8421" s="12">
        <f t="shared" si="131"/>
        <v>49859</v>
      </c>
    </row>
    <row r="8422" spans="1:5" x14ac:dyDescent="0.25">
      <c r="A8422" s="2">
        <f>IF(B8422="","",SUBTOTAL(3,$B$2:B8422))</f>
        <v>8421</v>
      </c>
      <c r="B8422" s="9" t="s">
        <v>50</v>
      </c>
      <c r="C8422" s="10" t="s">
        <v>49</v>
      </c>
      <c r="D8422" s="11">
        <v>1128.747795414462</v>
      </c>
      <c r="E8422" s="12">
        <f t="shared" si="131"/>
        <v>49860</v>
      </c>
    </row>
    <row r="8423" spans="1:5" x14ac:dyDescent="0.25">
      <c r="A8423" s="2">
        <f>IF(B8423="","",SUBTOTAL(3,$B$2:B8423))</f>
        <v>8422</v>
      </c>
      <c r="B8423" s="9" t="s">
        <v>48</v>
      </c>
      <c r="C8423" s="10" t="s">
        <v>49</v>
      </c>
      <c r="D8423" s="11">
        <v>6.2936573595311955</v>
      </c>
      <c r="E8423" s="12">
        <f t="shared" si="131"/>
        <v>49861</v>
      </c>
    </row>
    <row r="8424" spans="1:5" x14ac:dyDescent="0.25">
      <c r="A8424" s="2">
        <f>IF(B8424="","",SUBTOTAL(3,$B$2:B8424))</f>
        <v>8423</v>
      </c>
      <c r="B8424" s="9" t="s">
        <v>48</v>
      </c>
      <c r="C8424" s="10" t="s">
        <v>49</v>
      </c>
      <c r="D8424" s="11">
        <v>123.22858903265558</v>
      </c>
      <c r="E8424" s="12">
        <f t="shared" si="131"/>
        <v>49862</v>
      </c>
    </row>
    <row r="8425" spans="1:5" x14ac:dyDescent="0.25">
      <c r="A8425" s="2">
        <f>IF(B8425="","",SUBTOTAL(3,$B$2:B8425))</f>
        <v>8424</v>
      </c>
      <c r="B8425" s="9" t="s">
        <v>50</v>
      </c>
      <c r="C8425" s="10" t="s">
        <v>49</v>
      </c>
      <c r="D8425" s="11">
        <v>66.137566137566139</v>
      </c>
      <c r="E8425" s="12">
        <f t="shared" si="131"/>
        <v>49863</v>
      </c>
    </row>
    <row r="8426" spans="1:5" x14ac:dyDescent="0.25">
      <c r="A8426" s="2">
        <f>IF(B8426="","",SUBTOTAL(3,$B$2:B8426))</f>
        <v>8425</v>
      </c>
      <c r="B8426" s="9" t="s">
        <v>48</v>
      </c>
      <c r="C8426" s="10" t="s">
        <v>52</v>
      </c>
      <c r="D8426" s="11">
        <v>123.22858903265558</v>
      </c>
      <c r="E8426" s="12">
        <f t="shared" si="131"/>
        <v>49864</v>
      </c>
    </row>
    <row r="8427" spans="1:5" x14ac:dyDescent="0.25">
      <c r="A8427" s="2">
        <f>IF(B8427="","",SUBTOTAL(3,$B$2:B8427))</f>
        <v>8426</v>
      </c>
      <c r="B8427" s="9" t="s">
        <v>55</v>
      </c>
      <c r="C8427" s="10" t="s">
        <v>49</v>
      </c>
      <c r="D8427" s="11">
        <v>30</v>
      </c>
      <c r="E8427" s="12">
        <f t="shared" si="131"/>
        <v>49865</v>
      </c>
    </row>
    <row r="8428" spans="1:5" x14ac:dyDescent="0.25">
      <c r="A8428" s="2">
        <f>IF(B8428="","",SUBTOTAL(3,$B$2:B8428))</f>
        <v>8427</v>
      </c>
      <c r="B8428" s="9" t="s">
        <v>55</v>
      </c>
      <c r="C8428" s="10" t="s">
        <v>49</v>
      </c>
      <c r="D8428" s="11">
        <v>50</v>
      </c>
      <c r="E8428" s="12">
        <f t="shared" si="131"/>
        <v>49866</v>
      </c>
    </row>
    <row r="8429" spans="1:5" x14ac:dyDescent="0.25">
      <c r="A8429" s="2">
        <f>IF(B8429="","",SUBTOTAL(3,$B$2:B8429))</f>
        <v>8428</v>
      </c>
      <c r="B8429" s="9" t="s">
        <v>55</v>
      </c>
      <c r="C8429" s="10" t="s">
        <v>56</v>
      </c>
      <c r="D8429" s="11">
        <v>102.78416609921243</v>
      </c>
      <c r="E8429" s="12">
        <f t="shared" si="131"/>
        <v>49867</v>
      </c>
    </row>
    <row r="8430" spans="1:5" x14ac:dyDescent="0.25">
      <c r="A8430" s="2">
        <f>IF(B8430="","",SUBTOTAL(3,$B$2:B8430))</f>
        <v>8429</v>
      </c>
      <c r="B8430" s="9" t="s">
        <v>53</v>
      </c>
      <c r="C8430" s="10" t="s">
        <v>54</v>
      </c>
      <c r="D8430" s="11">
        <v>6.2278476375392682</v>
      </c>
      <c r="E8430" s="12">
        <f t="shared" si="131"/>
        <v>49868</v>
      </c>
    </row>
    <row r="8431" spans="1:5" x14ac:dyDescent="0.25">
      <c r="A8431" s="2">
        <f>IF(B8431="","",SUBTOTAL(3,$B$2:B8431))</f>
        <v>8430</v>
      </c>
      <c r="B8431" s="9" t="s">
        <v>53</v>
      </c>
      <c r="C8431" s="10" t="s">
        <v>49</v>
      </c>
      <c r="D8431" s="11">
        <v>228.96498667423779</v>
      </c>
      <c r="E8431" s="12">
        <f t="shared" si="131"/>
        <v>49869</v>
      </c>
    </row>
    <row r="8432" spans="1:5" x14ac:dyDescent="0.25">
      <c r="A8432" s="2">
        <f>IF(B8432="","",SUBTOTAL(3,$B$2:B8432))</f>
        <v>8431</v>
      </c>
      <c r="B8432" s="9" t="s">
        <v>55</v>
      </c>
      <c r="C8432" s="10" t="s">
        <v>49</v>
      </c>
      <c r="D8432" s="11">
        <v>494</v>
      </c>
      <c r="E8432" s="12">
        <f t="shared" si="131"/>
        <v>49870</v>
      </c>
    </row>
    <row r="8433" spans="1:5" x14ac:dyDescent="0.25">
      <c r="A8433" s="2">
        <f>IF(B8433="","",SUBTOTAL(3,$B$2:B8433))</f>
        <v>8432</v>
      </c>
      <c r="B8433" s="9" t="s">
        <v>48</v>
      </c>
      <c r="C8433" s="10" t="s">
        <v>54</v>
      </c>
      <c r="D8433" s="11">
        <v>27.576697690451567</v>
      </c>
      <c r="E8433" s="12">
        <f t="shared" si="131"/>
        <v>49871</v>
      </c>
    </row>
    <row r="8434" spans="1:5" x14ac:dyDescent="0.25">
      <c r="A8434" s="2">
        <f>IF(B8434="","",SUBTOTAL(3,$B$2:B8434))</f>
        <v>8433</v>
      </c>
      <c r="B8434" s="9" t="s">
        <v>48</v>
      </c>
      <c r="C8434" s="10" t="s">
        <v>52</v>
      </c>
      <c r="D8434" s="11">
        <v>15.403573629081947</v>
      </c>
      <c r="E8434" s="12">
        <f t="shared" si="131"/>
        <v>49872</v>
      </c>
    </row>
    <row r="8435" spans="1:5" x14ac:dyDescent="0.25">
      <c r="A8435" s="2">
        <f>IF(B8435="","",SUBTOTAL(3,$B$2:B8435))</f>
        <v>8434</v>
      </c>
      <c r="B8435" s="9" t="s">
        <v>48</v>
      </c>
      <c r="C8435" s="10" t="s">
        <v>56</v>
      </c>
      <c r="D8435" s="11">
        <v>34.470872113064452</v>
      </c>
      <c r="E8435" s="12">
        <f t="shared" si="131"/>
        <v>49873</v>
      </c>
    </row>
    <row r="8436" spans="1:5" x14ac:dyDescent="0.25">
      <c r="A8436" s="2">
        <f>IF(B8436="","",SUBTOTAL(3,$B$2:B8436))</f>
        <v>8435</v>
      </c>
      <c r="B8436" s="9" t="s">
        <v>55</v>
      </c>
      <c r="C8436" s="10" t="s">
        <v>57</v>
      </c>
      <c r="D8436" s="11">
        <v>150</v>
      </c>
      <c r="E8436" s="12">
        <f t="shared" si="131"/>
        <v>49874</v>
      </c>
    </row>
    <row r="8437" spans="1:5" x14ac:dyDescent="0.25">
      <c r="A8437" s="2">
        <f>IF(B8437="","",SUBTOTAL(3,$B$2:B8437))</f>
        <v>8436</v>
      </c>
      <c r="B8437" s="9" t="s">
        <v>50</v>
      </c>
      <c r="C8437" s="10" t="s">
        <v>49</v>
      </c>
      <c r="D8437" s="11">
        <v>18.04052028218695</v>
      </c>
      <c r="E8437" s="12">
        <f t="shared" si="131"/>
        <v>49875</v>
      </c>
    </row>
    <row r="8438" spans="1:5" x14ac:dyDescent="0.25">
      <c r="A8438" s="2">
        <f>IF(B8438="","",SUBTOTAL(3,$B$2:B8438))</f>
        <v>8437</v>
      </c>
      <c r="B8438" s="9" t="s">
        <v>55</v>
      </c>
      <c r="C8438" s="10" t="s">
        <v>49</v>
      </c>
      <c r="D8438" s="11">
        <v>285</v>
      </c>
      <c r="E8438" s="12">
        <f t="shared" si="131"/>
        <v>49876</v>
      </c>
    </row>
    <row r="8439" spans="1:5" x14ac:dyDescent="0.25">
      <c r="A8439" s="2">
        <f>IF(B8439="","",SUBTOTAL(3,$B$2:B8439))</f>
        <v>8438</v>
      </c>
      <c r="B8439" s="9" t="s">
        <v>51</v>
      </c>
      <c r="C8439" s="10" t="s">
        <v>52</v>
      </c>
      <c r="D8439" s="11">
        <v>64.529280948850996</v>
      </c>
      <c r="E8439" s="12">
        <f t="shared" si="131"/>
        <v>49877</v>
      </c>
    </row>
    <row r="8440" spans="1:5" x14ac:dyDescent="0.25">
      <c r="A8440" s="2">
        <f>IF(B8440="","",SUBTOTAL(3,$B$2:B8440))</f>
        <v>8439</v>
      </c>
      <c r="B8440" s="9" t="s">
        <v>48</v>
      </c>
      <c r="C8440" s="10" t="s">
        <v>49</v>
      </c>
      <c r="D8440" s="11">
        <v>154.03573629081947</v>
      </c>
      <c r="E8440" s="12">
        <f t="shared" si="131"/>
        <v>49878</v>
      </c>
    </row>
    <row r="8441" spans="1:5" x14ac:dyDescent="0.25">
      <c r="A8441" s="2">
        <f>IF(B8441="","",SUBTOTAL(3,$B$2:B8441))</f>
        <v>8440</v>
      </c>
      <c r="B8441" s="9" t="s">
        <v>51</v>
      </c>
      <c r="C8441" s="10" t="s">
        <v>56</v>
      </c>
      <c r="D8441" s="11">
        <v>42.359419675950441</v>
      </c>
      <c r="E8441" s="12">
        <f t="shared" si="131"/>
        <v>49879</v>
      </c>
    </row>
    <row r="8442" spans="1:5" x14ac:dyDescent="0.25">
      <c r="A8442" s="2">
        <f>IF(B8442="","",SUBTOTAL(3,$B$2:B8442))</f>
        <v>8441</v>
      </c>
      <c r="B8442" s="9" t="s">
        <v>51</v>
      </c>
      <c r="C8442" s="10" t="s">
        <v>52</v>
      </c>
      <c r="D8442" s="11">
        <v>105.89854918987609</v>
      </c>
      <c r="E8442" s="12">
        <f t="shared" si="131"/>
        <v>49880</v>
      </c>
    </row>
    <row r="8443" spans="1:5" x14ac:dyDescent="0.25">
      <c r="A8443" s="2">
        <f>IF(B8443="","",SUBTOTAL(3,$B$2:B8443))</f>
        <v>8442</v>
      </c>
      <c r="B8443" s="9" t="s">
        <v>51</v>
      </c>
      <c r="C8443" s="10" t="s">
        <v>52</v>
      </c>
      <c r="D8443" s="11">
        <v>158.84782378481412</v>
      </c>
      <c r="E8443" s="12">
        <f t="shared" si="131"/>
        <v>49881</v>
      </c>
    </row>
    <row r="8444" spans="1:5" x14ac:dyDescent="0.25">
      <c r="A8444" s="2">
        <f>IF(B8444="","",SUBTOTAL(3,$B$2:B8444))</f>
        <v>8443</v>
      </c>
      <c r="B8444" s="9" t="s">
        <v>51</v>
      </c>
      <c r="C8444" s="10" t="s">
        <v>54</v>
      </c>
      <c r="D8444" s="11">
        <v>105.89854918987609</v>
      </c>
      <c r="E8444" s="12">
        <f t="shared" si="131"/>
        <v>49882</v>
      </c>
    </row>
    <row r="8445" spans="1:5" x14ac:dyDescent="0.25">
      <c r="A8445" s="2">
        <f>IF(B8445="","",SUBTOTAL(3,$B$2:B8445))</f>
        <v>8444</v>
      </c>
      <c r="B8445" s="9" t="s">
        <v>50</v>
      </c>
      <c r="C8445" s="10" t="s">
        <v>49</v>
      </c>
      <c r="D8445" s="11">
        <v>216.04938271604939</v>
      </c>
      <c r="E8445" s="12">
        <f t="shared" si="131"/>
        <v>49883</v>
      </c>
    </row>
    <row r="8446" spans="1:5" x14ac:dyDescent="0.25">
      <c r="A8446" s="2">
        <f>IF(B8446="","",SUBTOTAL(3,$B$2:B8446))</f>
        <v>8445</v>
      </c>
      <c r="B8446" s="9" t="s">
        <v>48</v>
      </c>
      <c r="C8446" s="10" t="s">
        <v>49</v>
      </c>
      <c r="D8446" s="11">
        <v>85.385000000000005</v>
      </c>
      <c r="E8446" s="12">
        <f t="shared" si="131"/>
        <v>49884</v>
      </c>
    </row>
    <row r="8447" spans="1:5" x14ac:dyDescent="0.25">
      <c r="A8447" s="2">
        <f>IF(B8447="","",SUBTOTAL(3,$B$2:B8447))</f>
        <v>8446</v>
      </c>
      <c r="B8447" s="9" t="s">
        <v>55</v>
      </c>
      <c r="C8447" s="10" t="s">
        <v>49</v>
      </c>
      <c r="D8447" s="11">
        <v>150</v>
      </c>
      <c r="E8447" s="12">
        <f t="shared" si="131"/>
        <v>49885</v>
      </c>
    </row>
    <row r="8448" spans="1:5" x14ac:dyDescent="0.25">
      <c r="A8448" s="2">
        <f>IF(B8448="","",SUBTOTAL(3,$B$2:B8448))</f>
        <v>8447</v>
      </c>
      <c r="B8448" s="9" t="s">
        <v>50</v>
      </c>
      <c r="C8448" s="10" t="s">
        <v>49</v>
      </c>
      <c r="D8448" s="11">
        <v>70.546737213403873</v>
      </c>
      <c r="E8448" s="12">
        <f t="shared" si="131"/>
        <v>49886</v>
      </c>
    </row>
    <row r="8449" spans="1:5" x14ac:dyDescent="0.25">
      <c r="A8449" s="2">
        <f>IF(B8449="","",SUBTOTAL(3,$B$2:B8449))</f>
        <v>8448</v>
      </c>
      <c r="B8449" s="9" t="s">
        <v>51</v>
      </c>
      <c r="C8449" s="10" t="s">
        <v>52</v>
      </c>
      <c r="D8449" s="11">
        <v>264.74637297469025</v>
      </c>
      <c r="E8449" s="12">
        <f t="shared" si="131"/>
        <v>49887</v>
      </c>
    </row>
    <row r="8450" spans="1:5" x14ac:dyDescent="0.25">
      <c r="A8450" s="2">
        <f>IF(B8450="","",SUBTOTAL(3,$B$2:B8450))</f>
        <v>8449</v>
      </c>
      <c r="B8450" s="9" t="s">
        <v>51</v>
      </c>
      <c r="C8450" s="10" t="s">
        <v>54</v>
      </c>
      <c r="D8450" s="11">
        <v>158.84782378481412</v>
      </c>
      <c r="E8450" s="12">
        <f t="shared" si="131"/>
        <v>49888</v>
      </c>
    </row>
    <row r="8451" spans="1:5" x14ac:dyDescent="0.25">
      <c r="A8451" s="2">
        <f>IF(B8451="","",SUBTOTAL(3,$B$2:B8451))</f>
        <v>8450</v>
      </c>
      <c r="B8451" s="9" t="s">
        <v>51</v>
      </c>
      <c r="C8451" s="10" t="s">
        <v>52</v>
      </c>
      <c r="D8451" s="11">
        <v>264.74637297469025</v>
      </c>
      <c r="E8451" s="12">
        <f t="shared" si="131"/>
        <v>49889</v>
      </c>
    </row>
    <row r="8452" spans="1:5" x14ac:dyDescent="0.25">
      <c r="A8452" s="2">
        <f>IF(B8452="","",SUBTOTAL(3,$B$2:B8452))</f>
        <v>8451</v>
      </c>
      <c r="B8452" s="9" t="s">
        <v>50</v>
      </c>
      <c r="C8452" s="10" t="s">
        <v>49</v>
      </c>
      <c r="D8452" s="11">
        <v>17.636684303350968</v>
      </c>
      <c r="E8452" s="12">
        <f t="shared" ref="E8452:E8515" si="132">E8451+1</f>
        <v>49890</v>
      </c>
    </row>
    <row r="8453" spans="1:5" x14ac:dyDescent="0.25">
      <c r="A8453" s="2">
        <f>IF(B8453="","",SUBTOTAL(3,$B$2:B8453))</f>
        <v>8452</v>
      </c>
      <c r="B8453" s="9" t="s">
        <v>48</v>
      </c>
      <c r="C8453" s="10" t="s">
        <v>56</v>
      </c>
      <c r="D8453" s="11">
        <v>46.210720887245841</v>
      </c>
      <c r="E8453" s="12">
        <f t="shared" si="132"/>
        <v>49891</v>
      </c>
    </row>
    <row r="8454" spans="1:5" x14ac:dyDescent="0.25">
      <c r="A8454" s="2">
        <f>IF(B8454="","",SUBTOTAL(3,$B$2:B8454))</f>
        <v>8453</v>
      </c>
      <c r="B8454" s="9" t="s">
        <v>55</v>
      </c>
      <c r="C8454" s="10" t="s">
        <v>54</v>
      </c>
      <c r="D8454" s="11">
        <v>30</v>
      </c>
      <c r="E8454" s="12">
        <f t="shared" si="132"/>
        <v>49892</v>
      </c>
    </row>
    <row r="8455" spans="1:5" x14ac:dyDescent="0.25">
      <c r="A8455" s="2">
        <f>IF(B8455="","",SUBTOTAL(3,$B$2:B8455))</f>
        <v>8454</v>
      </c>
      <c r="B8455" s="9" t="s">
        <v>48</v>
      </c>
      <c r="C8455" s="10" t="s">
        <v>49</v>
      </c>
      <c r="D8455" s="11">
        <v>77.017868145409736</v>
      </c>
      <c r="E8455" s="12">
        <f t="shared" si="132"/>
        <v>49893</v>
      </c>
    </row>
    <row r="8456" spans="1:5" x14ac:dyDescent="0.25">
      <c r="A8456" s="2">
        <f>IF(B8456="","",SUBTOTAL(3,$B$2:B8456))</f>
        <v>8455</v>
      </c>
      <c r="B8456" s="9" t="s">
        <v>48</v>
      </c>
      <c r="C8456" s="10" t="s">
        <v>54</v>
      </c>
      <c r="D8456" s="11">
        <v>77.017868145409736</v>
      </c>
      <c r="E8456" s="12">
        <f t="shared" si="132"/>
        <v>49894</v>
      </c>
    </row>
    <row r="8457" spans="1:5" x14ac:dyDescent="0.25">
      <c r="A8457" s="2">
        <f>IF(B8457="","",SUBTOTAL(3,$B$2:B8457))</f>
        <v>8456</v>
      </c>
      <c r="B8457" s="9" t="s">
        <v>48</v>
      </c>
      <c r="C8457" s="10" t="s">
        <v>49</v>
      </c>
      <c r="D8457" s="11">
        <v>77.017868145409736</v>
      </c>
      <c r="E8457" s="12">
        <f t="shared" si="132"/>
        <v>49895</v>
      </c>
    </row>
    <row r="8458" spans="1:5" x14ac:dyDescent="0.25">
      <c r="A8458" s="2">
        <f>IF(B8458="","",SUBTOTAL(3,$B$2:B8458))</f>
        <v>8457</v>
      </c>
      <c r="B8458" s="9" t="s">
        <v>48</v>
      </c>
      <c r="C8458" s="10" t="s">
        <v>49</v>
      </c>
      <c r="D8458" s="11">
        <v>46.210720887245841</v>
      </c>
      <c r="E8458" s="12">
        <f t="shared" si="132"/>
        <v>49896</v>
      </c>
    </row>
    <row r="8459" spans="1:5" x14ac:dyDescent="0.25">
      <c r="A8459" s="2">
        <f>IF(B8459="","",SUBTOTAL(3,$B$2:B8459))</f>
        <v>8458</v>
      </c>
      <c r="B8459" s="9" t="s">
        <v>48</v>
      </c>
      <c r="C8459" s="10" t="s">
        <v>49</v>
      </c>
      <c r="D8459" s="11">
        <v>184.84288354898337</v>
      </c>
      <c r="E8459" s="12">
        <f t="shared" si="132"/>
        <v>49897</v>
      </c>
    </row>
    <row r="8460" spans="1:5" x14ac:dyDescent="0.25">
      <c r="A8460" s="2">
        <f>IF(B8460="","",SUBTOTAL(3,$B$2:B8460))</f>
        <v>8459</v>
      </c>
      <c r="B8460" s="9" t="s">
        <v>48</v>
      </c>
      <c r="C8460" s="10" t="s">
        <v>49</v>
      </c>
      <c r="D8460" s="11">
        <v>92.421441774491683</v>
      </c>
      <c r="E8460" s="12">
        <f t="shared" si="132"/>
        <v>49898</v>
      </c>
    </row>
    <row r="8461" spans="1:5" x14ac:dyDescent="0.25">
      <c r="A8461" s="2">
        <f>IF(B8461="","",SUBTOTAL(3,$B$2:B8461))</f>
        <v>8460</v>
      </c>
      <c r="B8461" s="9" t="s">
        <v>50</v>
      </c>
      <c r="C8461" s="10" t="s">
        <v>52</v>
      </c>
      <c r="D8461" s="11">
        <v>77.160493827160494</v>
      </c>
      <c r="E8461" s="12">
        <f t="shared" si="132"/>
        <v>49899</v>
      </c>
    </row>
    <row r="8462" spans="1:5" x14ac:dyDescent="0.25">
      <c r="A8462" s="2">
        <f>IF(B8462="","",SUBTOTAL(3,$B$2:B8462))</f>
        <v>8461</v>
      </c>
      <c r="B8462" s="9" t="s">
        <v>48</v>
      </c>
      <c r="C8462" s="10" t="s">
        <v>54</v>
      </c>
      <c r="D8462" s="11">
        <v>138.63216266173754</v>
      </c>
      <c r="E8462" s="12">
        <f t="shared" si="132"/>
        <v>49900</v>
      </c>
    </row>
    <row r="8463" spans="1:5" x14ac:dyDescent="0.25">
      <c r="A8463" s="2">
        <f>IF(B8463="","",SUBTOTAL(3,$B$2:B8463))</f>
        <v>8462</v>
      </c>
      <c r="B8463" s="9" t="s">
        <v>51</v>
      </c>
      <c r="C8463" s="10" t="s">
        <v>56</v>
      </c>
      <c r="D8463" s="11">
        <v>1270.782590278513</v>
      </c>
      <c r="E8463" s="12">
        <f t="shared" si="132"/>
        <v>49901</v>
      </c>
    </row>
    <row r="8464" spans="1:5" x14ac:dyDescent="0.25">
      <c r="A8464" s="2">
        <f>IF(B8464="","",SUBTOTAL(3,$B$2:B8464))</f>
        <v>8463</v>
      </c>
      <c r="B8464" s="9" t="s">
        <v>55</v>
      </c>
      <c r="C8464" s="10" t="s">
        <v>49</v>
      </c>
      <c r="D8464" s="11">
        <v>205.47617953783251</v>
      </c>
      <c r="E8464" s="12">
        <f t="shared" si="132"/>
        <v>49902</v>
      </c>
    </row>
    <row r="8465" spans="1:5" x14ac:dyDescent="0.25">
      <c r="A8465" s="2">
        <f>IF(B8465="","",SUBTOTAL(3,$B$2:B8465))</f>
        <v>8464</v>
      </c>
      <c r="B8465" s="9" t="s">
        <v>48</v>
      </c>
      <c r="C8465" s="10" t="s">
        <v>56</v>
      </c>
      <c r="D8465" s="11">
        <v>77.017868145409736</v>
      </c>
      <c r="E8465" s="12">
        <f t="shared" si="132"/>
        <v>49903</v>
      </c>
    </row>
    <row r="8466" spans="1:5" x14ac:dyDescent="0.25">
      <c r="A8466" s="2">
        <f>IF(B8466="","",SUBTOTAL(3,$B$2:B8466))</f>
        <v>8465</v>
      </c>
      <c r="B8466" s="9" t="s">
        <v>48</v>
      </c>
      <c r="C8466" s="10" t="s">
        <v>56</v>
      </c>
      <c r="D8466" s="11">
        <v>504.46703635243381</v>
      </c>
      <c r="E8466" s="12">
        <f t="shared" si="132"/>
        <v>49904</v>
      </c>
    </row>
    <row r="8467" spans="1:5" x14ac:dyDescent="0.25">
      <c r="A8467" s="2">
        <f>IF(B8467="","",SUBTOTAL(3,$B$2:B8467))</f>
        <v>8466</v>
      </c>
      <c r="B8467" s="9" t="s">
        <v>51</v>
      </c>
      <c r="C8467" s="10" t="s">
        <v>52</v>
      </c>
      <c r="D8467" s="11">
        <v>529.49274594938049</v>
      </c>
      <c r="E8467" s="12">
        <f t="shared" si="132"/>
        <v>49905</v>
      </c>
    </row>
    <row r="8468" spans="1:5" x14ac:dyDescent="0.25">
      <c r="A8468" s="2">
        <f>IF(B8468="","",SUBTOTAL(3,$B$2:B8468))</f>
        <v>8467</v>
      </c>
      <c r="B8468" s="9" t="s">
        <v>55</v>
      </c>
      <c r="C8468" s="10" t="s">
        <v>56</v>
      </c>
      <c r="D8468" s="11">
        <v>34</v>
      </c>
      <c r="E8468" s="12">
        <f t="shared" si="132"/>
        <v>49906</v>
      </c>
    </row>
    <row r="8469" spans="1:5" x14ac:dyDescent="0.25">
      <c r="A8469" s="2">
        <f>IF(B8469="","",SUBTOTAL(3,$B$2:B8469))</f>
        <v>8468</v>
      </c>
      <c r="B8469" s="9" t="s">
        <v>48</v>
      </c>
      <c r="C8469" s="10" t="s">
        <v>49</v>
      </c>
      <c r="D8469" s="11">
        <v>413.65046535677351</v>
      </c>
      <c r="E8469" s="12">
        <f t="shared" si="132"/>
        <v>49907</v>
      </c>
    </row>
    <row r="8470" spans="1:5" x14ac:dyDescent="0.25">
      <c r="A8470" s="2">
        <f>IF(B8470="","",SUBTOTAL(3,$B$2:B8470))</f>
        <v>8469</v>
      </c>
      <c r="B8470" s="9" t="s">
        <v>50</v>
      </c>
      <c r="C8470" s="10" t="s">
        <v>49</v>
      </c>
      <c r="D8470" s="11">
        <v>66.137566137566139</v>
      </c>
      <c r="E8470" s="12">
        <f t="shared" si="132"/>
        <v>49908</v>
      </c>
    </row>
    <row r="8471" spans="1:5" x14ac:dyDescent="0.25">
      <c r="A8471" s="2">
        <f>IF(B8471="","",SUBTOTAL(3,$B$2:B8471))</f>
        <v>8470</v>
      </c>
      <c r="B8471" s="9" t="s">
        <v>50</v>
      </c>
      <c r="C8471" s="10" t="s">
        <v>49</v>
      </c>
      <c r="D8471" s="11">
        <v>110.22927689594357</v>
      </c>
      <c r="E8471" s="12">
        <f t="shared" si="132"/>
        <v>49909</v>
      </c>
    </row>
    <row r="8472" spans="1:5" x14ac:dyDescent="0.25">
      <c r="A8472" s="2">
        <f>IF(B8472="","",SUBTOTAL(3,$B$2:B8472))</f>
        <v>8471</v>
      </c>
      <c r="B8472" s="9" t="s">
        <v>51</v>
      </c>
      <c r="C8472" s="10" t="s">
        <v>54</v>
      </c>
      <c r="D8472" s="11">
        <v>737.54527162977865</v>
      </c>
      <c r="E8472" s="12">
        <f t="shared" si="132"/>
        <v>49910</v>
      </c>
    </row>
    <row r="8473" spans="1:5" x14ac:dyDescent="0.25">
      <c r="A8473" s="2">
        <f>IF(B8473="","",SUBTOTAL(3,$B$2:B8473))</f>
        <v>8472</v>
      </c>
      <c r="B8473" s="9" t="s">
        <v>51</v>
      </c>
      <c r="C8473" s="10" t="s">
        <v>56</v>
      </c>
      <c r="D8473" s="11">
        <v>48.618426383599385</v>
      </c>
      <c r="E8473" s="12">
        <f t="shared" si="132"/>
        <v>49911</v>
      </c>
    </row>
    <row r="8474" spans="1:5" x14ac:dyDescent="0.25">
      <c r="A8474" s="2">
        <f>IF(B8474="","",SUBTOTAL(3,$B$2:B8474))</f>
        <v>8473</v>
      </c>
      <c r="B8474" s="9" t="s">
        <v>51</v>
      </c>
      <c r="C8474" s="10" t="s">
        <v>52</v>
      </c>
      <c r="D8474" s="11">
        <v>93.190723287090961</v>
      </c>
      <c r="E8474" s="12">
        <f t="shared" si="132"/>
        <v>49912</v>
      </c>
    </row>
    <row r="8475" spans="1:5" x14ac:dyDescent="0.25">
      <c r="A8475" s="2">
        <f>IF(B8475="","",SUBTOTAL(3,$B$2:B8475))</f>
        <v>8474</v>
      </c>
      <c r="B8475" s="9" t="s">
        <v>51</v>
      </c>
      <c r="C8475" s="10" t="s">
        <v>56</v>
      </c>
      <c r="D8475" s="11">
        <v>158.84782378481412</v>
      </c>
      <c r="E8475" s="12">
        <f t="shared" si="132"/>
        <v>49913</v>
      </c>
    </row>
    <row r="8476" spans="1:5" x14ac:dyDescent="0.25">
      <c r="A8476" s="2">
        <f>IF(B8476="","",SUBTOTAL(3,$B$2:B8476))</f>
        <v>8475</v>
      </c>
      <c r="B8476" s="9" t="s">
        <v>55</v>
      </c>
      <c r="C8476" s="10" t="s">
        <v>52</v>
      </c>
      <c r="D8476" s="11">
        <v>150</v>
      </c>
      <c r="E8476" s="12">
        <f t="shared" si="132"/>
        <v>49914</v>
      </c>
    </row>
    <row r="8477" spans="1:5" x14ac:dyDescent="0.25">
      <c r="A8477" s="2">
        <f>IF(B8477="","",SUBTOTAL(3,$B$2:B8477))</f>
        <v>8476</v>
      </c>
      <c r="B8477" s="9" t="s">
        <v>48</v>
      </c>
      <c r="C8477" s="10" t="s">
        <v>56</v>
      </c>
      <c r="D8477" s="11">
        <v>28.743610597658655</v>
      </c>
      <c r="E8477" s="12">
        <f t="shared" si="132"/>
        <v>49915</v>
      </c>
    </row>
    <row r="8478" spans="1:5" x14ac:dyDescent="0.25">
      <c r="A8478" s="2">
        <f>IF(B8478="","",SUBTOTAL(3,$B$2:B8478))</f>
        <v>8477</v>
      </c>
      <c r="B8478" s="9" t="s">
        <v>48</v>
      </c>
      <c r="C8478" s="10" t="s">
        <v>56</v>
      </c>
      <c r="D8478" s="11">
        <v>141.71287738755393</v>
      </c>
      <c r="E8478" s="12">
        <f t="shared" si="132"/>
        <v>49916</v>
      </c>
    </row>
    <row r="8479" spans="1:5" x14ac:dyDescent="0.25">
      <c r="A8479" s="2">
        <f>IF(B8479="","",SUBTOTAL(3,$B$2:B8479))</f>
        <v>8478</v>
      </c>
      <c r="B8479" s="9" t="s">
        <v>48</v>
      </c>
      <c r="C8479" s="10" t="s">
        <v>56</v>
      </c>
      <c r="D8479" s="11">
        <v>141.71287738755393</v>
      </c>
      <c r="E8479" s="12">
        <f t="shared" si="132"/>
        <v>49917</v>
      </c>
    </row>
    <row r="8480" spans="1:5" x14ac:dyDescent="0.25">
      <c r="A8480" s="2">
        <f>IF(B8480="","",SUBTOTAL(3,$B$2:B8480))</f>
        <v>8479</v>
      </c>
      <c r="B8480" s="9" t="s">
        <v>48</v>
      </c>
      <c r="C8480" s="10" t="s">
        <v>56</v>
      </c>
      <c r="D8480" s="11">
        <v>38.508934072704868</v>
      </c>
      <c r="E8480" s="12">
        <f t="shared" si="132"/>
        <v>49918</v>
      </c>
    </row>
    <row r="8481" spans="1:5" x14ac:dyDescent="0.25">
      <c r="A8481" s="2">
        <f>IF(B8481="","",SUBTOTAL(3,$B$2:B8481))</f>
        <v>8480</v>
      </c>
      <c r="B8481" s="9" t="s">
        <v>48</v>
      </c>
      <c r="C8481" s="10" t="s">
        <v>56</v>
      </c>
      <c r="D8481" s="11">
        <v>130.93037584719656</v>
      </c>
      <c r="E8481" s="12">
        <f t="shared" si="132"/>
        <v>49919</v>
      </c>
    </row>
    <row r="8482" spans="1:5" x14ac:dyDescent="0.25">
      <c r="A8482" s="2">
        <f>IF(B8482="","",SUBTOTAL(3,$B$2:B8482))</f>
        <v>8481</v>
      </c>
      <c r="B8482" s="9" t="s">
        <v>48</v>
      </c>
      <c r="C8482" s="10" t="s">
        <v>49</v>
      </c>
      <c r="D8482" s="11">
        <v>27.726432532347506</v>
      </c>
      <c r="E8482" s="12">
        <f t="shared" si="132"/>
        <v>49920</v>
      </c>
    </row>
    <row r="8483" spans="1:5" x14ac:dyDescent="0.25">
      <c r="A8483" s="2">
        <f>IF(B8483="","",SUBTOTAL(3,$B$2:B8483))</f>
        <v>8482</v>
      </c>
      <c r="B8483" s="9" t="s">
        <v>53</v>
      </c>
      <c r="C8483" s="10" t="s">
        <v>49</v>
      </c>
      <c r="D8483" s="11">
        <v>228.96498667423779</v>
      </c>
      <c r="E8483" s="12">
        <f t="shared" si="132"/>
        <v>49921</v>
      </c>
    </row>
    <row r="8484" spans="1:5" x14ac:dyDescent="0.25">
      <c r="A8484" s="2">
        <f>IF(B8484="","",SUBTOTAL(3,$B$2:B8484))</f>
        <v>8483</v>
      </c>
      <c r="B8484" s="9" t="s">
        <v>53</v>
      </c>
      <c r="C8484" s="10" t="s">
        <v>49</v>
      </c>
      <c r="D8484" s="11">
        <v>274.75798400908536</v>
      </c>
      <c r="E8484" s="12">
        <f t="shared" si="132"/>
        <v>49922</v>
      </c>
    </row>
    <row r="8485" spans="1:5" x14ac:dyDescent="0.25">
      <c r="A8485" s="2">
        <f>IF(B8485="","",SUBTOTAL(3,$B$2:B8485))</f>
        <v>8484</v>
      </c>
      <c r="B8485" s="9" t="s">
        <v>53</v>
      </c>
      <c r="C8485" s="10" t="s">
        <v>49</v>
      </c>
      <c r="D8485" s="11">
        <v>91.585994669695125</v>
      </c>
      <c r="E8485" s="12">
        <f t="shared" si="132"/>
        <v>49923</v>
      </c>
    </row>
    <row r="8486" spans="1:5" x14ac:dyDescent="0.25">
      <c r="A8486" s="2">
        <f>IF(B8486="","",SUBTOTAL(3,$B$2:B8486))</f>
        <v>8485</v>
      </c>
      <c r="B8486" s="9" t="s">
        <v>48</v>
      </c>
      <c r="C8486" s="10" t="s">
        <v>49</v>
      </c>
      <c r="D8486" s="11">
        <v>46.210720887245841</v>
      </c>
      <c r="E8486" s="12">
        <f t="shared" si="132"/>
        <v>49924</v>
      </c>
    </row>
    <row r="8487" spans="1:5" x14ac:dyDescent="0.25">
      <c r="A8487" s="2">
        <f>IF(B8487="","",SUBTOTAL(3,$B$2:B8487))</f>
        <v>8486</v>
      </c>
      <c r="B8487" s="9" t="s">
        <v>48</v>
      </c>
      <c r="C8487" s="10" t="s">
        <v>49</v>
      </c>
      <c r="D8487" s="11">
        <v>462.10720887245844</v>
      </c>
      <c r="E8487" s="12">
        <f t="shared" si="132"/>
        <v>49925</v>
      </c>
    </row>
    <row r="8488" spans="1:5" x14ac:dyDescent="0.25">
      <c r="A8488" s="2">
        <f>IF(B8488="","",SUBTOTAL(3,$B$2:B8488))</f>
        <v>8487</v>
      </c>
      <c r="B8488" s="9" t="s">
        <v>48</v>
      </c>
      <c r="C8488" s="10" t="s">
        <v>56</v>
      </c>
      <c r="D8488" s="11">
        <v>138.63216266173754</v>
      </c>
      <c r="E8488" s="12">
        <f t="shared" si="132"/>
        <v>49926</v>
      </c>
    </row>
    <row r="8489" spans="1:5" x14ac:dyDescent="0.25">
      <c r="A8489" s="2">
        <f>IF(B8489="","",SUBTOTAL(3,$B$2:B8489))</f>
        <v>8488</v>
      </c>
      <c r="B8489" s="9" t="s">
        <v>48</v>
      </c>
      <c r="C8489" s="10" t="s">
        <v>56</v>
      </c>
      <c r="D8489" s="11">
        <v>154.03573629081947</v>
      </c>
      <c r="E8489" s="12">
        <f t="shared" si="132"/>
        <v>49927</v>
      </c>
    </row>
    <row r="8490" spans="1:5" x14ac:dyDescent="0.25">
      <c r="A8490" s="2">
        <f>IF(B8490="","",SUBTOTAL(3,$B$2:B8490))</f>
        <v>8489</v>
      </c>
      <c r="B8490" s="9" t="s">
        <v>48</v>
      </c>
      <c r="C8490" s="10" t="s">
        <v>56</v>
      </c>
      <c r="D8490" s="11">
        <v>77.017868145409736</v>
      </c>
      <c r="E8490" s="12">
        <f t="shared" si="132"/>
        <v>49928</v>
      </c>
    </row>
    <row r="8491" spans="1:5" x14ac:dyDescent="0.25">
      <c r="A8491" s="2">
        <f>IF(B8491="","",SUBTOTAL(3,$B$2:B8491))</f>
        <v>8490</v>
      </c>
      <c r="B8491" s="9" t="s">
        <v>48</v>
      </c>
      <c r="C8491" s="10" t="s">
        <v>56</v>
      </c>
      <c r="D8491" s="11">
        <v>123.22858903265558</v>
      </c>
      <c r="E8491" s="12">
        <f t="shared" si="132"/>
        <v>49929</v>
      </c>
    </row>
    <row r="8492" spans="1:5" x14ac:dyDescent="0.25">
      <c r="A8492" s="2">
        <f>IF(B8492="","",SUBTOTAL(3,$B$2:B8492))</f>
        <v>8491</v>
      </c>
      <c r="B8492" s="9" t="s">
        <v>48</v>
      </c>
      <c r="C8492" s="10" t="s">
        <v>56</v>
      </c>
      <c r="D8492" s="11">
        <v>61.614294516327789</v>
      </c>
      <c r="E8492" s="12">
        <f t="shared" si="132"/>
        <v>49930</v>
      </c>
    </row>
    <row r="8493" spans="1:5" x14ac:dyDescent="0.25">
      <c r="A8493" s="2">
        <f>IF(B8493="","",SUBTOTAL(3,$B$2:B8493))</f>
        <v>8492</v>
      </c>
      <c r="B8493" s="9" t="s">
        <v>50</v>
      </c>
      <c r="C8493" s="10" t="s">
        <v>52</v>
      </c>
      <c r="D8493" s="11">
        <v>44.091710758377424</v>
      </c>
      <c r="E8493" s="12">
        <f t="shared" si="132"/>
        <v>49931</v>
      </c>
    </row>
    <row r="8494" spans="1:5" x14ac:dyDescent="0.25">
      <c r="A8494" s="2">
        <f>IF(B8494="","",SUBTOTAL(3,$B$2:B8494))</f>
        <v>8493</v>
      </c>
      <c r="B8494" s="9" t="s">
        <v>48</v>
      </c>
      <c r="C8494" s="10" t="s">
        <v>49</v>
      </c>
      <c r="D8494" s="11">
        <v>155.11892450879009</v>
      </c>
      <c r="E8494" s="12">
        <f t="shared" si="132"/>
        <v>49932</v>
      </c>
    </row>
    <row r="8495" spans="1:5" x14ac:dyDescent="0.25">
      <c r="A8495" s="2">
        <f>IF(B8495="","",SUBTOTAL(3,$B$2:B8495))</f>
        <v>8494</v>
      </c>
      <c r="B8495" s="9" t="s">
        <v>51</v>
      </c>
      <c r="C8495" s="10" t="s">
        <v>54</v>
      </c>
      <c r="D8495" s="11">
        <v>105.89854918987609</v>
      </c>
      <c r="E8495" s="12">
        <f t="shared" si="132"/>
        <v>49933</v>
      </c>
    </row>
    <row r="8496" spans="1:5" x14ac:dyDescent="0.25">
      <c r="A8496" s="2">
        <f>IF(B8496="","",SUBTOTAL(3,$B$2:B8496))</f>
        <v>8495</v>
      </c>
      <c r="B8496" s="9" t="s">
        <v>51</v>
      </c>
      <c r="C8496" s="10" t="s">
        <v>56</v>
      </c>
      <c r="D8496" s="11">
        <v>169.43767870380177</v>
      </c>
      <c r="E8496" s="12">
        <f t="shared" si="132"/>
        <v>49934</v>
      </c>
    </row>
    <row r="8497" spans="1:5" x14ac:dyDescent="0.25">
      <c r="A8497" s="2">
        <f>IF(B8497="","",SUBTOTAL(3,$B$2:B8497))</f>
        <v>8496</v>
      </c>
      <c r="B8497" s="9" t="s">
        <v>51</v>
      </c>
      <c r="C8497" s="10" t="s">
        <v>56</v>
      </c>
      <c r="D8497" s="11">
        <v>84.718839351900883</v>
      </c>
      <c r="E8497" s="12">
        <f t="shared" si="132"/>
        <v>49935</v>
      </c>
    </row>
    <row r="8498" spans="1:5" x14ac:dyDescent="0.25">
      <c r="A8498" s="2">
        <f>IF(B8498="","",SUBTOTAL(3,$B$2:B8498))</f>
        <v>8497</v>
      </c>
      <c r="B8498" s="9" t="s">
        <v>51</v>
      </c>
      <c r="C8498" s="10" t="s">
        <v>56</v>
      </c>
      <c r="D8498" s="11">
        <v>26.474637297469023</v>
      </c>
      <c r="E8498" s="12">
        <f t="shared" si="132"/>
        <v>49936</v>
      </c>
    </row>
    <row r="8499" spans="1:5" x14ac:dyDescent="0.25">
      <c r="A8499" s="2">
        <f>IF(B8499="","",SUBTOTAL(3,$B$2:B8499))</f>
        <v>8498</v>
      </c>
      <c r="B8499" s="9" t="s">
        <v>48</v>
      </c>
      <c r="C8499" s="10" t="s">
        <v>52</v>
      </c>
      <c r="D8499" s="11">
        <v>216.19531561163004</v>
      </c>
      <c r="E8499" s="12">
        <f t="shared" si="132"/>
        <v>49937</v>
      </c>
    </row>
    <row r="8500" spans="1:5" x14ac:dyDescent="0.25">
      <c r="A8500" s="2">
        <f>IF(B8500="","",SUBTOTAL(3,$B$2:B8500))</f>
        <v>8499</v>
      </c>
      <c r="B8500" s="9" t="s">
        <v>48</v>
      </c>
      <c r="C8500" s="10" t="s">
        <v>56</v>
      </c>
      <c r="D8500" s="11">
        <v>92.421441774491683</v>
      </c>
      <c r="E8500" s="12">
        <f t="shared" si="132"/>
        <v>49938</v>
      </c>
    </row>
    <row r="8501" spans="1:5" x14ac:dyDescent="0.25">
      <c r="A8501" s="2">
        <f>IF(B8501="","",SUBTOTAL(3,$B$2:B8501))</f>
        <v>8500</v>
      </c>
      <c r="B8501" s="9" t="s">
        <v>48</v>
      </c>
      <c r="C8501" s="10" t="s">
        <v>56</v>
      </c>
      <c r="D8501" s="11">
        <v>123.22858903265558</v>
      </c>
      <c r="E8501" s="12">
        <f t="shared" si="132"/>
        <v>49939</v>
      </c>
    </row>
    <row r="8502" spans="1:5" x14ac:dyDescent="0.25">
      <c r="A8502" s="2">
        <f>IF(B8502="","",SUBTOTAL(3,$B$2:B8502))</f>
        <v>8501</v>
      </c>
      <c r="B8502" s="9" t="s">
        <v>48</v>
      </c>
      <c r="C8502" s="10" t="s">
        <v>56</v>
      </c>
      <c r="D8502" s="11">
        <v>154.03573629081947</v>
      </c>
      <c r="E8502" s="12">
        <f t="shared" si="132"/>
        <v>49940</v>
      </c>
    </row>
    <row r="8503" spans="1:5" x14ac:dyDescent="0.25">
      <c r="A8503" s="2">
        <f>IF(B8503="","",SUBTOTAL(3,$B$2:B8503))</f>
        <v>8502</v>
      </c>
      <c r="B8503" s="9" t="s">
        <v>48</v>
      </c>
      <c r="C8503" s="10" t="s">
        <v>56</v>
      </c>
      <c r="D8503" s="11">
        <v>77.017868145409736</v>
      </c>
      <c r="E8503" s="12">
        <f t="shared" si="132"/>
        <v>49941</v>
      </c>
    </row>
    <row r="8504" spans="1:5" x14ac:dyDescent="0.25">
      <c r="A8504" s="2">
        <f>IF(B8504="","",SUBTOTAL(3,$B$2:B8504))</f>
        <v>8503</v>
      </c>
      <c r="B8504" s="9" t="s">
        <v>48</v>
      </c>
      <c r="C8504" s="10" t="s">
        <v>56</v>
      </c>
      <c r="D8504" s="11">
        <v>77.017868145409736</v>
      </c>
      <c r="E8504" s="12">
        <f t="shared" si="132"/>
        <v>49942</v>
      </c>
    </row>
    <row r="8505" spans="1:5" x14ac:dyDescent="0.25">
      <c r="A8505" s="2">
        <f>IF(B8505="","",SUBTOTAL(3,$B$2:B8505))</f>
        <v>8504</v>
      </c>
      <c r="B8505" s="9" t="s">
        <v>48</v>
      </c>
      <c r="C8505" s="10" t="s">
        <v>56</v>
      </c>
      <c r="D8505" s="11">
        <v>60.0739371534196</v>
      </c>
      <c r="E8505" s="12">
        <f t="shared" si="132"/>
        <v>49943</v>
      </c>
    </row>
    <row r="8506" spans="1:5" x14ac:dyDescent="0.25">
      <c r="A8506" s="2">
        <f>IF(B8506="","",SUBTOTAL(3,$B$2:B8506))</f>
        <v>8505</v>
      </c>
      <c r="B8506" s="9" t="s">
        <v>48</v>
      </c>
      <c r="C8506" s="10" t="s">
        <v>52</v>
      </c>
      <c r="D8506" s="11">
        <v>462.10720887245844</v>
      </c>
      <c r="E8506" s="12">
        <f t="shared" si="132"/>
        <v>49944</v>
      </c>
    </row>
    <row r="8507" spans="1:5" x14ac:dyDescent="0.25">
      <c r="A8507" s="2">
        <f>IF(B8507="","",SUBTOTAL(3,$B$2:B8507))</f>
        <v>8506</v>
      </c>
      <c r="B8507" s="9" t="s">
        <v>48</v>
      </c>
      <c r="C8507" s="10" t="s">
        <v>52</v>
      </c>
      <c r="D8507" s="11">
        <v>60.998151571164513</v>
      </c>
      <c r="E8507" s="12">
        <f t="shared" si="132"/>
        <v>49945</v>
      </c>
    </row>
    <row r="8508" spans="1:5" x14ac:dyDescent="0.25">
      <c r="A8508" s="2">
        <f>IF(B8508="","",SUBTOTAL(3,$B$2:B8508))</f>
        <v>8507</v>
      </c>
      <c r="B8508" s="9" t="s">
        <v>53</v>
      </c>
      <c r="C8508" s="10" t="s">
        <v>52</v>
      </c>
      <c r="D8508" s="11">
        <v>500</v>
      </c>
      <c r="E8508" s="12">
        <f t="shared" si="132"/>
        <v>49946</v>
      </c>
    </row>
    <row r="8509" spans="1:5" x14ac:dyDescent="0.25">
      <c r="A8509" s="2">
        <f>IF(B8509="","",SUBTOTAL(3,$B$2:B8509))</f>
        <v>8508</v>
      </c>
      <c r="B8509" s="9" t="s">
        <v>48</v>
      </c>
      <c r="C8509" s="10" t="s">
        <v>49</v>
      </c>
      <c r="D8509" s="11">
        <v>61.614294516327789</v>
      </c>
      <c r="E8509" s="12">
        <f t="shared" si="132"/>
        <v>49947</v>
      </c>
    </row>
    <row r="8510" spans="1:5" x14ac:dyDescent="0.25">
      <c r="A8510" s="2">
        <f>IF(B8510="","",SUBTOTAL(3,$B$2:B8510))</f>
        <v>8509</v>
      </c>
      <c r="B8510" s="9" t="s">
        <v>48</v>
      </c>
      <c r="C8510" s="10" t="s">
        <v>49</v>
      </c>
      <c r="D8510" s="11">
        <v>770.17868145409739</v>
      </c>
      <c r="E8510" s="12">
        <f t="shared" si="132"/>
        <v>49948</v>
      </c>
    </row>
    <row r="8511" spans="1:5" x14ac:dyDescent="0.25">
      <c r="A8511" s="2">
        <f>IF(B8511="","",SUBTOTAL(3,$B$2:B8511))</f>
        <v>8510</v>
      </c>
      <c r="B8511" s="9" t="s">
        <v>51</v>
      </c>
      <c r="C8511" s="10" t="s">
        <v>52</v>
      </c>
      <c r="D8511" s="11">
        <v>95.308694270888495</v>
      </c>
      <c r="E8511" s="12">
        <f t="shared" si="132"/>
        <v>49949</v>
      </c>
    </row>
    <row r="8512" spans="1:5" x14ac:dyDescent="0.25">
      <c r="A8512" s="2">
        <f>IF(B8512="","",SUBTOTAL(3,$B$2:B8512))</f>
        <v>8511</v>
      </c>
      <c r="B8512" s="9" t="s">
        <v>51</v>
      </c>
      <c r="C8512" s="10" t="s">
        <v>52</v>
      </c>
      <c r="D8512" s="11">
        <v>149.31165943026579</v>
      </c>
      <c r="E8512" s="12">
        <f t="shared" si="132"/>
        <v>49950</v>
      </c>
    </row>
    <row r="8513" spans="1:5" x14ac:dyDescent="0.25">
      <c r="A8513" s="2">
        <f>IF(B8513="","",SUBTOTAL(3,$B$2:B8513))</f>
        <v>8512</v>
      </c>
      <c r="B8513" s="9" t="s">
        <v>51</v>
      </c>
      <c r="C8513" s="10" t="s">
        <v>49</v>
      </c>
      <c r="D8513" s="11">
        <v>52.949274594938046</v>
      </c>
      <c r="E8513" s="12">
        <f t="shared" si="132"/>
        <v>49951</v>
      </c>
    </row>
    <row r="8514" spans="1:5" x14ac:dyDescent="0.25">
      <c r="A8514" s="2">
        <f>IF(B8514="","",SUBTOTAL(3,$B$2:B8514))</f>
        <v>8513</v>
      </c>
      <c r="B8514" s="9" t="s">
        <v>51</v>
      </c>
      <c r="C8514" s="10" t="s">
        <v>49</v>
      </c>
      <c r="D8514" s="11">
        <v>15.884782378481413</v>
      </c>
      <c r="E8514" s="12">
        <f t="shared" si="132"/>
        <v>49952</v>
      </c>
    </row>
    <row r="8515" spans="1:5" x14ac:dyDescent="0.25">
      <c r="A8515" s="2">
        <f>IF(B8515="","",SUBTOTAL(3,$B$2:B8515))</f>
        <v>8514</v>
      </c>
      <c r="B8515" s="9" t="s">
        <v>48</v>
      </c>
      <c r="C8515" s="10" t="s">
        <v>49</v>
      </c>
      <c r="D8515" s="11">
        <v>231.05360443622922</v>
      </c>
      <c r="E8515" s="12">
        <f t="shared" si="132"/>
        <v>49953</v>
      </c>
    </row>
    <row r="8516" spans="1:5" x14ac:dyDescent="0.25">
      <c r="A8516" s="2">
        <f>IF(B8516="","",SUBTOTAL(3,$B$2:B8516))</f>
        <v>8515</v>
      </c>
      <c r="B8516" s="9" t="s">
        <v>50</v>
      </c>
      <c r="C8516" s="10" t="s">
        <v>49</v>
      </c>
      <c r="D8516" s="11">
        <v>88.183421516754848</v>
      </c>
      <c r="E8516" s="12">
        <f t="shared" ref="E8516:E8579" si="133">E8515+1</f>
        <v>49954</v>
      </c>
    </row>
    <row r="8517" spans="1:5" x14ac:dyDescent="0.25">
      <c r="A8517" s="2">
        <f>IF(B8517="","",SUBTOTAL(3,$B$2:B8517))</f>
        <v>8516</v>
      </c>
      <c r="B8517" s="9" t="s">
        <v>48</v>
      </c>
      <c r="C8517" s="10" t="s">
        <v>56</v>
      </c>
      <c r="D8517" s="11">
        <v>154.03573629081947</v>
      </c>
      <c r="E8517" s="12">
        <f t="shared" si="133"/>
        <v>49955</v>
      </c>
    </row>
    <row r="8518" spans="1:5" x14ac:dyDescent="0.25">
      <c r="A8518" s="2">
        <f>IF(B8518="","",SUBTOTAL(3,$B$2:B8518))</f>
        <v>8517</v>
      </c>
      <c r="B8518" s="9" t="s">
        <v>48</v>
      </c>
      <c r="C8518" s="10" t="s">
        <v>56</v>
      </c>
      <c r="D8518" s="11">
        <v>61.614294516327789</v>
      </c>
      <c r="E8518" s="12">
        <f t="shared" si="133"/>
        <v>49956</v>
      </c>
    </row>
    <row r="8519" spans="1:5" x14ac:dyDescent="0.25">
      <c r="A8519" s="2">
        <f>IF(B8519="","",SUBTOTAL(3,$B$2:B8519))</f>
        <v>8518</v>
      </c>
      <c r="B8519" s="9" t="s">
        <v>48</v>
      </c>
      <c r="C8519" s="10" t="s">
        <v>52</v>
      </c>
      <c r="D8519" s="11">
        <v>308.07147258163894</v>
      </c>
      <c r="E8519" s="12">
        <f t="shared" si="133"/>
        <v>49957</v>
      </c>
    </row>
    <row r="8520" spans="1:5" x14ac:dyDescent="0.25">
      <c r="A8520" s="2">
        <f>IF(B8520="","",SUBTOTAL(3,$B$2:B8520))</f>
        <v>8519</v>
      </c>
      <c r="B8520" s="9" t="s">
        <v>48</v>
      </c>
      <c r="C8520" s="10" t="s">
        <v>56</v>
      </c>
      <c r="D8520" s="11">
        <v>231.05360443622922</v>
      </c>
      <c r="E8520" s="12">
        <f t="shared" si="133"/>
        <v>49958</v>
      </c>
    </row>
    <row r="8521" spans="1:5" x14ac:dyDescent="0.25">
      <c r="A8521" s="2">
        <f>IF(B8521="","",SUBTOTAL(3,$B$2:B8521))</f>
        <v>8520</v>
      </c>
      <c r="B8521" s="9" t="s">
        <v>50</v>
      </c>
      <c r="C8521" s="10" t="s">
        <v>52</v>
      </c>
      <c r="D8521" s="11">
        <v>11.022927689594356</v>
      </c>
      <c r="E8521" s="12">
        <f t="shared" si="133"/>
        <v>49959</v>
      </c>
    </row>
    <row r="8522" spans="1:5" x14ac:dyDescent="0.25">
      <c r="A8522" s="2">
        <f>IF(B8522="","",SUBTOTAL(3,$B$2:B8522))</f>
        <v>8521</v>
      </c>
      <c r="B8522" s="9" t="s">
        <v>50</v>
      </c>
      <c r="C8522" s="10" t="s">
        <v>52</v>
      </c>
      <c r="D8522" s="11">
        <v>11.022927689594356</v>
      </c>
      <c r="E8522" s="12">
        <f t="shared" si="133"/>
        <v>49960</v>
      </c>
    </row>
    <row r="8523" spans="1:5" x14ac:dyDescent="0.25">
      <c r="A8523" s="2">
        <f>IF(B8523="","",SUBTOTAL(3,$B$2:B8523))</f>
        <v>8522</v>
      </c>
      <c r="B8523" s="9" t="s">
        <v>48</v>
      </c>
      <c r="C8523" s="10" t="s">
        <v>56</v>
      </c>
      <c r="D8523" s="11">
        <v>53.912507701786815</v>
      </c>
      <c r="E8523" s="12">
        <f t="shared" si="133"/>
        <v>49961</v>
      </c>
    </row>
    <row r="8524" spans="1:5" x14ac:dyDescent="0.25">
      <c r="A8524" s="2">
        <f>IF(B8524="","",SUBTOTAL(3,$B$2:B8524))</f>
        <v>8523</v>
      </c>
      <c r="B8524" s="9" t="s">
        <v>48</v>
      </c>
      <c r="C8524" s="10" t="s">
        <v>49</v>
      </c>
      <c r="D8524" s="11">
        <v>103.41261633919338</v>
      </c>
      <c r="E8524" s="12">
        <f t="shared" si="133"/>
        <v>49962</v>
      </c>
    </row>
    <row r="8525" spans="1:5" x14ac:dyDescent="0.25">
      <c r="A8525" s="2">
        <f>IF(B8525="","",SUBTOTAL(3,$B$2:B8525))</f>
        <v>8524</v>
      </c>
      <c r="B8525" s="9" t="s">
        <v>48</v>
      </c>
      <c r="C8525" s="10" t="s">
        <v>56</v>
      </c>
      <c r="D8525" s="11">
        <v>60.0739371534196</v>
      </c>
      <c r="E8525" s="12">
        <f t="shared" si="133"/>
        <v>49963</v>
      </c>
    </row>
    <row r="8526" spans="1:5" x14ac:dyDescent="0.25">
      <c r="A8526" s="2">
        <f>IF(B8526="","",SUBTOTAL(3,$B$2:B8526))</f>
        <v>8525</v>
      </c>
      <c r="B8526" s="9" t="s">
        <v>51</v>
      </c>
      <c r="C8526" s="10" t="s">
        <v>52</v>
      </c>
      <c r="D8526" s="11">
        <v>370.64492216456637</v>
      </c>
      <c r="E8526" s="12">
        <f t="shared" si="133"/>
        <v>49964</v>
      </c>
    </row>
    <row r="8527" spans="1:5" x14ac:dyDescent="0.25">
      <c r="A8527" s="2">
        <f>IF(B8527="","",SUBTOTAL(3,$B$2:B8527))</f>
        <v>8526</v>
      </c>
      <c r="B8527" s="9" t="s">
        <v>51</v>
      </c>
      <c r="C8527" s="10" t="s">
        <v>52</v>
      </c>
      <c r="D8527" s="11">
        <v>211.79709837975219</v>
      </c>
      <c r="E8527" s="12">
        <f t="shared" si="133"/>
        <v>49965</v>
      </c>
    </row>
    <row r="8528" spans="1:5" x14ac:dyDescent="0.25">
      <c r="A8528" s="2">
        <f>IF(B8528="","",SUBTOTAL(3,$B$2:B8528))</f>
        <v>8527</v>
      </c>
      <c r="B8528" s="9" t="s">
        <v>51</v>
      </c>
      <c r="C8528" s="10" t="s">
        <v>52</v>
      </c>
      <c r="D8528" s="11">
        <v>741.28984432913273</v>
      </c>
      <c r="E8528" s="12">
        <f t="shared" si="133"/>
        <v>49966</v>
      </c>
    </row>
    <row r="8529" spans="1:5" x14ac:dyDescent="0.25">
      <c r="A8529" s="2">
        <f>IF(B8529="","",SUBTOTAL(3,$B$2:B8529))</f>
        <v>8528</v>
      </c>
      <c r="B8529" s="9" t="s">
        <v>51</v>
      </c>
      <c r="C8529" s="10" t="s">
        <v>52</v>
      </c>
      <c r="D8529" s="11">
        <v>317.69564756962825</v>
      </c>
      <c r="E8529" s="12">
        <f t="shared" si="133"/>
        <v>49967</v>
      </c>
    </row>
    <row r="8530" spans="1:5" x14ac:dyDescent="0.25">
      <c r="A8530" s="2">
        <f>IF(B8530="","",SUBTOTAL(3,$B$2:B8530))</f>
        <v>8529</v>
      </c>
      <c r="B8530" s="9" t="s">
        <v>51</v>
      </c>
      <c r="C8530" s="10" t="s">
        <v>52</v>
      </c>
      <c r="D8530" s="11">
        <v>211.79709837975219</v>
      </c>
      <c r="E8530" s="12">
        <f t="shared" si="133"/>
        <v>49968</v>
      </c>
    </row>
    <row r="8531" spans="1:5" x14ac:dyDescent="0.25">
      <c r="A8531" s="2">
        <f>IF(B8531="","",SUBTOTAL(3,$B$2:B8531))</f>
        <v>8530</v>
      </c>
      <c r="B8531" s="9" t="s">
        <v>51</v>
      </c>
      <c r="C8531" s="10" t="s">
        <v>52</v>
      </c>
      <c r="D8531" s="11">
        <v>37.784602350947786</v>
      </c>
      <c r="E8531" s="12">
        <f t="shared" si="133"/>
        <v>49969</v>
      </c>
    </row>
    <row r="8532" spans="1:5" x14ac:dyDescent="0.25">
      <c r="A8532" s="2">
        <f>IF(B8532="","",SUBTOTAL(3,$B$2:B8532))</f>
        <v>8531</v>
      </c>
      <c r="B8532" s="9" t="s">
        <v>48</v>
      </c>
      <c r="C8532" s="10" t="s">
        <v>56</v>
      </c>
      <c r="D8532" s="11">
        <v>34.470872113064452</v>
      </c>
      <c r="E8532" s="12">
        <f t="shared" si="133"/>
        <v>49970</v>
      </c>
    </row>
    <row r="8533" spans="1:5" x14ac:dyDescent="0.25">
      <c r="A8533" s="2">
        <f>IF(B8533="","",SUBTOTAL(3,$B$2:B8533))</f>
        <v>8532</v>
      </c>
      <c r="B8533" s="9" t="s">
        <v>51</v>
      </c>
      <c r="C8533" s="10" t="s">
        <v>49</v>
      </c>
      <c r="D8533" s="11">
        <v>60.415122312824316</v>
      </c>
      <c r="E8533" s="12">
        <f t="shared" si="133"/>
        <v>49971</v>
      </c>
    </row>
    <row r="8534" spans="1:5" x14ac:dyDescent="0.25">
      <c r="A8534" s="2">
        <f>IF(B8534="","",SUBTOTAL(3,$B$2:B8534))</f>
        <v>8533</v>
      </c>
      <c r="B8534" s="9" t="s">
        <v>48</v>
      </c>
      <c r="C8534" s="10" t="s">
        <v>56</v>
      </c>
      <c r="D8534" s="11">
        <v>30.807147258163894</v>
      </c>
      <c r="E8534" s="12">
        <f t="shared" si="133"/>
        <v>49972</v>
      </c>
    </row>
    <row r="8535" spans="1:5" x14ac:dyDescent="0.25">
      <c r="A8535" s="2">
        <f>IF(B8535="","",SUBTOTAL(3,$B$2:B8535))</f>
        <v>8534</v>
      </c>
      <c r="B8535" s="9" t="s">
        <v>50</v>
      </c>
      <c r="C8535" s="10" t="s">
        <v>52</v>
      </c>
      <c r="D8535" s="11">
        <v>44.091710758377424</v>
      </c>
      <c r="E8535" s="12">
        <f t="shared" si="133"/>
        <v>49973</v>
      </c>
    </row>
    <row r="8536" spans="1:5" x14ac:dyDescent="0.25">
      <c r="A8536" s="2">
        <f>IF(B8536="","",SUBTOTAL(3,$B$2:B8536))</f>
        <v>8535</v>
      </c>
      <c r="B8536" s="9" t="s">
        <v>48</v>
      </c>
      <c r="C8536" s="10" t="s">
        <v>56</v>
      </c>
      <c r="D8536" s="11">
        <v>38.508934072704868</v>
      </c>
      <c r="E8536" s="12">
        <f t="shared" si="133"/>
        <v>49974</v>
      </c>
    </row>
    <row r="8537" spans="1:5" x14ac:dyDescent="0.25">
      <c r="A8537" s="2">
        <f>IF(B8537="","",SUBTOTAL(3,$B$2:B8537))</f>
        <v>8536</v>
      </c>
      <c r="B8537" s="9" t="s">
        <v>48</v>
      </c>
      <c r="C8537" s="10" t="s">
        <v>49</v>
      </c>
      <c r="D8537" s="11">
        <v>277.26432532347508</v>
      </c>
      <c r="E8537" s="12">
        <f t="shared" si="133"/>
        <v>49975</v>
      </c>
    </row>
    <row r="8538" spans="1:5" x14ac:dyDescent="0.25">
      <c r="A8538" s="2">
        <f>IF(B8538="","",SUBTOTAL(3,$B$2:B8538))</f>
        <v>8537</v>
      </c>
      <c r="B8538" s="9" t="s">
        <v>51</v>
      </c>
      <c r="C8538" s="10" t="s">
        <v>52</v>
      </c>
      <c r="D8538" s="11">
        <v>81.030710639332298</v>
      </c>
      <c r="E8538" s="12">
        <f t="shared" si="133"/>
        <v>49976</v>
      </c>
    </row>
    <row r="8539" spans="1:5" x14ac:dyDescent="0.25">
      <c r="A8539" s="2">
        <f>IF(B8539="","",SUBTOTAL(3,$B$2:B8539))</f>
        <v>8538</v>
      </c>
      <c r="B8539" s="9" t="s">
        <v>53</v>
      </c>
      <c r="C8539" s="10" t="s">
        <v>49</v>
      </c>
      <c r="D8539" s="11">
        <v>73.2687957357561</v>
      </c>
      <c r="E8539" s="12">
        <f t="shared" si="133"/>
        <v>49977</v>
      </c>
    </row>
    <row r="8540" spans="1:5" x14ac:dyDescent="0.25">
      <c r="A8540" s="2">
        <f>IF(B8540="","",SUBTOTAL(3,$B$2:B8540))</f>
        <v>8539</v>
      </c>
      <c r="B8540" s="9" t="s">
        <v>51</v>
      </c>
      <c r="C8540" s="10" t="s">
        <v>56</v>
      </c>
      <c r="D8540" s="11">
        <v>32.412284255732921</v>
      </c>
      <c r="E8540" s="12">
        <f t="shared" si="133"/>
        <v>49978</v>
      </c>
    </row>
    <row r="8541" spans="1:5" x14ac:dyDescent="0.25">
      <c r="A8541" s="2">
        <f>IF(B8541="","",SUBTOTAL(3,$B$2:B8541))</f>
        <v>8540</v>
      </c>
      <c r="B8541" s="9" t="s">
        <v>55</v>
      </c>
      <c r="C8541" s="10" t="s">
        <v>52</v>
      </c>
      <c r="D8541" s="11">
        <v>107.529</v>
      </c>
      <c r="E8541" s="12">
        <f t="shared" si="133"/>
        <v>49979</v>
      </c>
    </row>
    <row r="8542" spans="1:5" x14ac:dyDescent="0.25">
      <c r="A8542" s="2">
        <f>IF(B8542="","",SUBTOTAL(3,$B$2:B8542))</f>
        <v>8541</v>
      </c>
      <c r="B8542" s="9" t="s">
        <v>48</v>
      </c>
      <c r="C8542" s="10" t="s">
        <v>49</v>
      </c>
      <c r="D8542" s="11">
        <v>38.508934072704868</v>
      </c>
      <c r="E8542" s="12">
        <f t="shared" si="133"/>
        <v>49980</v>
      </c>
    </row>
    <row r="8543" spans="1:5" x14ac:dyDescent="0.25">
      <c r="A8543" s="2">
        <f>IF(B8543="","",SUBTOTAL(3,$B$2:B8543))</f>
        <v>8542</v>
      </c>
      <c r="B8543" s="9" t="s">
        <v>53</v>
      </c>
      <c r="C8543" s="10" t="s">
        <v>49</v>
      </c>
      <c r="D8543" s="11">
        <v>91.585994669695125</v>
      </c>
      <c r="E8543" s="12">
        <f t="shared" si="133"/>
        <v>49981</v>
      </c>
    </row>
    <row r="8544" spans="1:5" x14ac:dyDescent="0.25">
      <c r="A8544" s="2">
        <f>IF(B8544="","",SUBTOTAL(3,$B$2:B8544))</f>
        <v>8543</v>
      </c>
      <c r="B8544" s="9" t="s">
        <v>50</v>
      </c>
      <c r="C8544" s="10" t="s">
        <v>52</v>
      </c>
      <c r="D8544" s="11">
        <v>66.137566137566139</v>
      </c>
      <c r="E8544" s="12">
        <f t="shared" si="133"/>
        <v>49982</v>
      </c>
    </row>
    <row r="8545" spans="1:5" x14ac:dyDescent="0.25">
      <c r="A8545" s="2">
        <f>IF(B8545="","",SUBTOTAL(3,$B$2:B8545))</f>
        <v>8544</v>
      </c>
      <c r="B8545" s="9" t="s">
        <v>50</v>
      </c>
      <c r="C8545" s="10" t="s">
        <v>54</v>
      </c>
      <c r="D8545" s="11">
        <v>308.64197530864197</v>
      </c>
      <c r="E8545" s="12">
        <f t="shared" si="133"/>
        <v>49983</v>
      </c>
    </row>
    <row r="8546" spans="1:5" x14ac:dyDescent="0.25">
      <c r="A8546" s="2">
        <f>IF(B8546="","",SUBTOTAL(3,$B$2:B8546))</f>
        <v>8545</v>
      </c>
      <c r="B8546" s="9" t="s">
        <v>50</v>
      </c>
      <c r="C8546" s="10" t="s">
        <v>49</v>
      </c>
      <c r="D8546" s="11">
        <v>253.52733686067018</v>
      </c>
      <c r="E8546" s="12">
        <f t="shared" si="133"/>
        <v>49984</v>
      </c>
    </row>
    <row r="8547" spans="1:5" x14ac:dyDescent="0.25">
      <c r="A8547" s="2">
        <f>IF(B8547="","",SUBTOTAL(3,$B$2:B8547))</f>
        <v>8546</v>
      </c>
      <c r="B8547" s="9" t="s">
        <v>50</v>
      </c>
      <c r="C8547" s="10" t="s">
        <v>54</v>
      </c>
      <c r="D8547" s="11">
        <v>308.64197530864197</v>
      </c>
      <c r="E8547" s="12">
        <f t="shared" si="133"/>
        <v>49985</v>
      </c>
    </row>
    <row r="8548" spans="1:5" x14ac:dyDescent="0.25">
      <c r="A8548" s="2">
        <f>IF(B8548="","",SUBTOTAL(3,$B$2:B8548))</f>
        <v>8547</v>
      </c>
      <c r="B8548" s="9" t="s">
        <v>51</v>
      </c>
      <c r="C8548" s="10" t="s">
        <v>52</v>
      </c>
      <c r="D8548" s="11">
        <v>52.949274594938046</v>
      </c>
      <c r="E8548" s="12">
        <f t="shared" si="133"/>
        <v>49986</v>
      </c>
    </row>
    <row r="8549" spans="1:5" x14ac:dyDescent="0.25">
      <c r="A8549" s="2">
        <f>IF(B8549="","",SUBTOTAL(3,$B$2:B8549))</f>
        <v>8548</v>
      </c>
      <c r="B8549" s="9" t="s">
        <v>51</v>
      </c>
      <c r="C8549" s="10" t="s">
        <v>56</v>
      </c>
      <c r="D8549" s="11">
        <v>264.74637297469025</v>
      </c>
      <c r="E8549" s="12">
        <f t="shared" si="133"/>
        <v>49987</v>
      </c>
    </row>
    <row r="8550" spans="1:5" x14ac:dyDescent="0.25">
      <c r="A8550" s="2">
        <f>IF(B8550="","",SUBTOTAL(3,$B$2:B8550))</f>
        <v>8549</v>
      </c>
      <c r="B8550" s="9" t="s">
        <v>48</v>
      </c>
      <c r="C8550" s="10" t="s">
        <v>56</v>
      </c>
      <c r="D8550" s="11">
        <v>26.980843601043258</v>
      </c>
      <c r="E8550" s="12">
        <f t="shared" si="133"/>
        <v>49988</v>
      </c>
    </row>
    <row r="8551" spans="1:5" x14ac:dyDescent="0.25">
      <c r="A8551" s="2">
        <f>IF(B8551="","",SUBTOTAL(3,$B$2:B8551))</f>
        <v>8550</v>
      </c>
      <c r="B8551" s="9" t="s">
        <v>48</v>
      </c>
      <c r="C8551" s="10" t="s">
        <v>56</v>
      </c>
      <c r="D8551" s="11">
        <v>24.645717806531117</v>
      </c>
      <c r="E8551" s="12">
        <f t="shared" si="133"/>
        <v>49989</v>
      </c>
    </row>
    <row r="8552" spans="1:5" x14ac:dyDescent="0.25">
      <c r="A8552" s="2">
        <f>IF(B8552="","",SUBTOTAL(3,$B$2:B8552))</f>
        <v>8551</v>
      </c>
      <c r="B8552" s="9" t="s">
        <v>48</v>
      </c>
      <c r="C8552" s="10" t="s">
        <v>54</v>
      </c>
      <c r="D8552" s="11">
        <v>123.22858903265558</v>
      </c>
      <c r="E8552" s="12">
        <f t="shared" si="133"/>
        <v>49990</v>
      </c>
    </row>
    <row r="8553" spans="1:5" x14ac:dyDescent="0.25">
      <c r="A8553" s="2">
        <f>IF(B8553="","",SUBTOTAL(3,$B$2:B8553))</f>
        <v>8552</v>
      </c>
      <c r="B8553" s="9" t="s">
        <v>48</v>
      </c>
      <c r="C8553" s="10" t="s">
        <v>49</v>
      </c>
      <c r="D8553" s="11">
        <v>46.210720887245841</v>
      </c>
      <c r="E8553" s="12">
        <f t="shared" si="133"/>
        <v>49991</v>
      </c>
    </row>
    <row r="8554" spans="1:5" x14ac:dyDescent="0.25">
      <c r="A8554" s="2">
        <f>IF(B8554="","",SUBTOTAL(3,$B$2:B8554))</f>
        <v>8553</v>
      </c>
      <c r="B8554" s="9" t="s">
        <v>48</v>
      </c>
      <c r="C8554" s="10" t="s">
        <v>56</v>
      </c>
      <c r="D8554" s="11">
        <v>107.82501540357363</v>
      </c>
      <c r="E8554" s="12">
        <f t="shared" si="133"/>
        <v>49992</v>
      </c>
    </row>
    <row r="8555" spans="1:5" x14ac:dyDescent="0.25">
      <c r="A8555" s="2">
        <f>IF(B8555="","",SUBTOTAL(3,$B$2:B8555))</f>
        <v>8554</v>
      </c>
      <c r="B8555" s="9" t="s">
        <v>48</v>
      </c>
      <c r="C8555" s="10" t="s">
        <v>56</v>
      </c>
      <c r="D8555" s="11">
        <v>154.03573629081947</v>
      </c>
      <c r="E8555" s="12">
        <f t="shared" si="133"/>
        <v>49993</v>
      </c>
    </row>
    <row r="8556" spans="1:5" x14ac:dyDescent="0.25">
      <c r="A8556" s="2">
        <f>IF(B8556="","",SUBTOTAL(3,$B$2:B8556))</f>
        <v>8555</v>
      </c>
      <c r="B8556" s="9" t="s">
        <v>48</v>
      </c>
      <c r="C8556" s="10" t="s">
        <v>56</v>
      </c>
      <c r="D8556" s="11">
        <v>92.421441774491683</v>
      </c>
      <c r="E8556" s="12">
        <f t="shared" si="133"/>
        <v>49994</v>
      </c>
    </row>
    <row r="8557" spans="1:5" x14ac:dyDescent="0.25">
      <c r="A8557" s="2">
        <f>IF(B8557="","",SUBTOTAL(3,$B$2:B8557))</f>
        <v>8556</v>
      </c>
      <c r="B8557" s="9" t="s">
        <v>51</v>
      </c>
      <c r="C8557" s="10" t="s">
        <v>56</v>
      </c>
      <c r="D8557" s="11">
        <v>121.54606595899845</v>
      </c>
      <c r="E8557" s="12">
        <f t="shared" si="133"/>
        <v>49995</v>
      </c>
    </row>
    <row r="8558" spans="1:5" x14ac:dyDescent="0.25">
      <c r="A8558" s="2">
        <f>IF(B8558="","",SUBTOTAL(3,$B$2:B8558))</f>
        <v>8557</v>
      </c>
      <c r="B8558" s="9" t="s">
        <v>48</v>
      </c>
      <c r="C8558" s="10" t="s">
        <v>56</v>
      </c>
      <c r="D8558" s="11">
        <v>77.017868145409736</v>
      </c>
      <c r="E8558" s="12">
        <f t="shared" si="133"/>
        <v>49996</v>
      </c>
    </row>
    <row r="8559" spans="1:5" x14ac:dyDescent="0.25">
      <c r="A8559" s="2">
        <f>IF(B8559="","",SUBTOTAL(3,$B$2:B8559))</f>
        <v>8558</v>
      </c>
      <c r="B8559" s="9" t="s">
        <v>48</v>
      </c>
      <c r="C8559" s="10" t="s">
        <v>56</v>
      </c>
      <c r="D8559" s="11">
        <v>27.726432532347506</v>
      </c>
      <c r="E8559" s="12">
        <f t="shared" si="133"/>
        <v>49997</v>
      </c>
    </row>
    <row r="8560" spans="1:5" x14ac:dyDescent="0.25">
      <c r="A8560" s="2">
        <f>IF(B8560="","",SUBTOTAL(3,$B$2:B8560))</f>
        <v>8559</v>
      </c>
      <c r="B8560" s="9" t="s">
        <v>48</v>
      </c>
      <c r="C8560" s="10" t="s">
        <v>56</v>
      </c>
      <c r="D8560" s="11">
        <v>23.105360443622921</v>
      </c>
      <c r="E8560" s="12">
        <f t="shared" si="133"/>
        <v>49998</v>
      </c>
    </row>
    <row r="8561" spans="1:5" x14ac:dyDescent="0.25">
      <c r="A8561" s="2">
        <f>IF(B8561="","",SUBTOTAL(3,$B$2:B8561))</f>
        <v>8560</v>
      </c>
      <c r="B8561" s="9" t="s">
        <v>48</v>
      </c>
      <c r="C8561" s="10" t="s">
        <v>49</v>
      </c>
      <c r="D8561" s="11">
        <v>4.621072088724584</v>
      </c>
      <c r="E8561" s="12">
        <f t="shared" si="133"/>
        <v>49999</v>
      </c>
    </row>
    <row r="8562" spans="1:5" x14ac:dyDescent="0.25">
      <c r="A8562" s="2">
        <f>IF(B8562="","",SUBTOTAL(3,$B$2:B8562))</f>
        <v>8561</v>
      </c>
      <c r="B8562" s="9" t="s">
        <v>48</v>
      </c>
      <c r="C8562" s="10" t="s">
        <v>49</v>
      </c>
      <c r="D8562" s="11">
        <v>9.2421441774491679</v>
      </c>
      <c r="E8562" s="12">
        <f t="shared" si="133"/>
        <v>50000</v>
      </c>
    </row>
    <row r="8563" spans="1:5" x14ac:dyDescent="0.25">
      <c r="A8563" s="2">
        <f>IF(B8563="","",SUBTOTAL(3,$B$2:B8563))</f>
        <v>8562</v>
      </c>
      <c r="B8563" s="9" t="s">
        <v>48</v>
      </c>
      <c r="C8563" s="10" t="s">
        <v>56</v>
      </c>
      <c r="D8563" s="11">
        <v>64.695009242144181</v>
      </c>
      <c r="E8563" s="12">
        <f t="shared" si="133"/>
        <v>50001</v>
      </c>
    </row>
    <row r="8564" spans="1:5" x14ac:dyDescent="0.25">
      <c r="A8564" s="2">
        <f>IF(B8564="","",SUBTOTAL(3,$B$2:B8564))</f>
        <v>8563</v>
      </c>
      <c r="B8564" s="9" t="s">
        <v>55</v>
      </c>
      <c r="C8564" s="10" t="s">
        <v>52</v>
      </c>
      <c r="D8564" s="11">
        <v>16</v>
      </c>
      <c r="E8564" s="12">
        <f t="shared" si="133"/>
        <v>50002</v>
      </c>
    </row>
    <row r="8565" spans="1:5" x14ac:dyDescent="0.25">
      <c r="A8565" s="2">
        <f>IF(B8565="","",SUBTOTAL(3,$B$2:B8565))</f>
        <v>8564</v>
      </c>
      <c r="B8565" s="9" t="s">
        <v>48</v>
      </c>
      <c r="C8565" s="10" t="s">
        <v>49</v>
      </c>
      <c r="D8565" s="11">
        <v>7.9283005860048252</v>
      </c>
      <c r="E8565" s="12">
        <f t="shared" si="133"/>
        <v>50003</v>
      </c>
    </row>
    <row r="8566" spans="1:5" x14ac:dyDescent="0.25">
      <c r="A8566" s="2">
        <f>IF(B8566="","",SUBTOTAL(3,$B$2:B8566))</f>
        <v>8565</v>
      </c>
      <c r="B8566" s="9" t="s">
        <v>55</v>
      </c>
      <c r="C8566" s="10" t="s">
        <v>52</v>
      </c>
      <c r="D8566" s="11">
        <v>45.95</v>
      </c>
      <c r="E8566" s="12">
        <f t="shared" si="133"/>
        <v>50004</v>
      </c>
    </row>
    <row r="8567" spans="1:5" x14ac:dyDescent="0.25">
      <c r="A8567" s="2">
        <f>IF(B8567="","",SUBTOTAL(3,$B$2:B8567))</f>
        <v>8566</v>
      </c>
      <c r="B8567" s="9" t="s">
        <v>48</v>
      </c>
      <c r="C8567" s="10" t="s">
        <v>52</v>
      </c>
      <c r="D8567" s="11">
        <v>431.30006161429452</v>
      </c>
      <c r="E8567" s="12">
        <f t="shared" si="133"/>
        <v>50005</v>
      </c>
    </row>
    <row r="8568" spans="1:5" x14ac:dyDescent="0.25">
      <c r="A8568" s="2">
        <f>IF(B8568="","",SUBTOTAL(3,$B$2:B8568))</f>
        <v>8567</v>
      </c>
      <c r="B8568" s="9" t="s">
        <v>48</v>
      </c>
      <c r="C8568" s="10" t="s">
        <v>49</v>
      </c>
      <c r="D8568" s="11">
        <v>7.7017868145409736</v>
      </c>
      <c r="E8568" s="12">
        <f t="shared" si="133"/>
        <v>50006</v>
      </c>
    </row>
    <row r="8569" spans="1:5" x14ac:dyDescent="0.25">
      <c r="A8569" s="2">
        <f>IF(B8569="","",SUBTOTAL(3,$B$2:B8569))</f>
        <v>8568</v>
      </c>
      <c r="B8569" s="9" t="s">
        <v>55</v>
      </c>
      <c r="C8569" s="10" t="s">
        <v>56</v>
      </c>
      <c r="D8569" s="11">
        <v>40</v>
      </c>
      <c r="E8569" s="12">
        <f t="shared" si="133"/>
        <v>50007</v>
      </c>
    </row>
    <row r="8570" spans="1:5" x14ac:dyDescent="0.25">
      <c r="A8570" s="2">
        <f>IF(B8570="","",SUBTOTAL(3,$B$2:B8570))</f>
        <v>8569</v>
      </c>
      <c r="B8570" s="9" t="s">
        <v>53</v>
      </c>
      <c r="C8570" s="10" t="s">
        <v>49</v>
      </c>
      <c r="D8570" s="11">
        <v>59.530896535301828</v>
      </c>
      <c r="E8570" s="12">
        <f t="shared" si="133"/>
        <v>50008</v>
      </c>
    </row>
    <row r="8571" spans="1:5" x14ac:dyDescent="0.25">
      <c r="A8571" s="2">
        <f>IF(B8571="","",SUBTOTAL(3,$B$2:B8571))</f>
        <v>8570</v>
      </c>
      <c r="B8571" s="9" t="s">
        <v>55</v>
      </c>
      <c r="C8571" s="10" t="s">
        <v>57</v>
      </c>
      <c r="D8571" s="11">
        <v>45.95</v>
      </c>
      <c r="E8571" s="12">
        <f t="shared" si="133"/>
        <v>50009</v>
      </c>
    </row>
    <row r="8572" spans="1:5" x14ac:dyDescent="0.25">
      <c r="A8572" s="2">
        <f>IF(B8572="","",SUBTOTAL(3,$B$2:B8572))</f>
        <v>8571</v>
      </c>
      <c r="B8572" s="9" t="s">
        <v>48</v>
      </c>
      <c r="C8572" s="10" t="s">
        <v>56</v>
      </c>
      <c r="D8572" s="11">
        <v>107.82501540357363</v>
      </c>
      <c r="E8572" s="12">
        <f t="shared" si="133"/>
        <v>50010</v>
      </c>
    </row>
    <row r="8573" spans="1:5" x14ac:dyDescent="0.25">
      <c r="A8573" s="2">
        <f>IF(B8573="","",SUBTOTAL(3,$B$2:B8573))</f>
        <v>8572</v>
      </c>
      <c r="B8573" s="9" t="s">
        <v>48</v>
      </c>
      <c r="C8573" s="10" t="s">
        <v>52</v>
      </c>
      <c r="D8573" s="11">
        <v>64.24010381200776</v>
      </c>
      <c r="E8573" s="12">
        <f t="shared" si="133"/>
        <v>50011</v>
      </c>
    </row>
    <row r="8574" spans="1:5" x14ac:dyDescent="0.25">
      <c r="A8574" s="2">
        <f>IF(B8574="","",SUBTOTAL(3,$B$2:B8574))</f>
        <v>8573</v>
      </c>
      <c r="B8574" s="9" t="s">
        <v>51</v>
      </c>
      <c r="C8574" s="10" t="s">
        <v>56</v>
      </c>
      <c r="D8574" s="11">
        <v>39.182463200254155</v>
      </c>
      <c r="E8574" s="12">
        <f t="shared" si="133"/>
        <v>50012</v>
      </c>
    </row>
    <row r="8575" spans="1:5" x14ac:dyDescent="0.25">
      <c r="A8575" s="2">
        <f>IF(B8575="","",SUBTOTAL(3,$B$2:B8575))</f>
        <v>8574</v>
      </c>
      <c r="B8575" s="9" t="s">
        <v>51</v>
      </c>
      <c r="C8575" s="10" t="s">
        <v>52</v>
      </c>
      <c r="D8575" s="11">
        <v>40.515355319666149</v>
      </c>
      <c r="E8575" s="12">
        <f t="shared" si="133"/>
        <v>50013</v>
      </c>
    </row>
    <row r="8576" spans="1:5" x14ac:dyDescent="0.25">
      <c r="A8576" s="2">
        <f>IF(B8576="","",SUBTOTAL(3,$B$2:B8576))</f>
        <v>8575</v>
      </c>
      <c r="B8576" s="9" t="s">
        <v>51</v>
      </c>
      <c r="C8576" s="10" t="s">
        <v>56</v>
      </c>
      <c r="D8576" s="11">
        <v>24.309213191799692</v>
      </c>
      <c r="E8576" s="12">
        <f t="shared" si="133"/>
        <v>50014</v>
      </c>
    </row>
    <row r="8577" spans="1:5" x14ac:dyDescent="0.25">
      <c r="A8577" s="2">
        <f>IF(B8577="","",SUBTOTAL(3,$B$2:B8577))</f>
        <v>8576</v>
      </c>
      <c r="B8577" s="9" t="s">
        <v>50</v>
      </c>
      <c r="C8577" s="10" t="s">
        <v>49</v>
      </c>
      <c r="D8577" s="11">
        <v>70.546737213403873</v>
      </c>
      <c r="E8577" s="12">
        <f t="shared" si="133"/>
        <v>50015</v>
      </c>
    </row>
    <row r="8578" spans="1:5" x14ac:dyDescent="0.25">
      <c r="A8578" s="2">
        <f>IF(B8578="","",SUBTOTAL(3,$B$2:B8578))</f>
        <v>8577</v>
      </c>
      <c r="B8578" s="9" t="s">
        <v>55</v>
      </c>
      <c r="C8578" s="10" t="s">
        <v>49</v>
      </c>
      <c r="D8578" s="11">
        <v>123.5</v>
      </c>
      <c r="E8578" s="12">
        <f t="shared" si="133"/>
        <v>50016</v>
      </c>
    </row>
    <row r="8579" spans="1:5" x14ac:dyDescent="0.25">
      <c r="A8579" s="2">
        <f>IF(B8579="","",SUBTOTAL(3,$B$2:B8579))</f>
        <v>8578</v>
      </c>
      <c r="B8579" s="9" t="s">
        <v>55</v>
      </c>
      <c r="C8579" s="10" t="s">
        <v>56</v>
      </c>
      <c r="D8579" s="11">
        <v>26.323236178655804</v>
      </c>
      <c r="E8579" s="12">
        <f t="shared" si="133"/>
        <v>50017</v>
      </c>
    </row>
    <row r="8580" spans="1:5" x14ac:dyDescent="0.25">
      <c r="A8580" s="2">
        <f>IF(B8580="","",SUBTOTAL(3,$B$2:B8580))</f>
        <v>8579</v>
      </c>
      <c r="B8580" s="9" t="s">
        <v>48</v>
      </c>
      <c r="C8580" s="10" t="s">
        <v>56</v>
      </c>
      <c r="D8580" s="11">
        <v>25.696041524803107</v>
      </c>
      <c r="E8580" s="12">
        <f t="shared" ref="E8580:E8643" si="134">E8579+1</f>
        <v>50018</v>
      </c>
    </row>
    <row r="8581" spans="1:5" x14ac:dyDescent="0.25">
      <c r="A8581" s="2">
        <f>IF(B8581="","",SUBTOTAL(3,$B$2:B8581))</f>
        <v>8580</v>
      </c>
      <c r="B8581" s="9" t="s">
        <v>51</v>
      </c>
      <c r="C8581" s="10" t="s">
        <v>52</v>
      </c>
      <c r="D8581" s="11">
        <v>0.584559991528116</v>
      </c>
      <c r="E8581" s="12">
        <f t="shared" si="134"/>
        <v>50019</v>
      </c>
    </row>
    <row r="8582" spans="1:5" x14ac:dyDescent="0.25">
      <c r="A8582" s="2">
        <f>IF(B8582="","",SUBTOTAL(3,$B$2:B8582))</f>
        <v>8581</v>
      </c>
      <c r="B8582" s="9" t="s">
        <v>51</v>
      </c>
      <c r="C8582" s="10" t="s">
        <v>56</v>
      </c>
      <c r="D8582" s="11">
        <v>42.359419675950441</v>
      </c>
      <c r="E8582" s="12">
        <f t="shared" si="134"/>
        <v>50020</v>
      </c>
    </row>
    <row r="8583" spans="1:5" x14ac:dyDescent="0.25">
      <c r="A8583" s="2">
        <f>IF(B8583="","",SUBTOTAL(3,$B$2:B8583))</f>
        <v>8582</v>
      </c>
      <c r="B8583" s="9" t="s">
        <v>51</v>
      </c>
      <c r="C8583" s="10" t="s">
        <v>52</v>
      </c>
      <c r="D8583" s="11">
        <v>52.949274594938046</v>
      </c>
      <c r="E8583" s="12">
        <f t="shared" si="134"/>
        <v>50021</v>
      </c>
    </row>
    <row r="8584" spans="1:5" x14ac:dyDescent="0.25">
      <c r="A8584" s="2">
        <f>IF(B8584="","",SUBTOTAL(3,$B$2:B8584))</f>
        <v>8583</v>
      </c>
      <c r="B8584" s="9" t="s">
        <v>51</v>
      </c>
      <c r="C8584" s="10" t="s">
        <v>54</v>
      </c>
      <c r="D8584" s="11">
        <v>52.949274594938046</v>
      </c>
      <c r="E8584" s="12">
        <f t="shared" si="134"/>
        <v>50022</v>
      </c>
    </row>
    <row r="8585" spans="1:5" x14ac:dyDescent="0.25">
      <c r="A8585" s="2">
        <f>IF(B8585="","",SUBTOTAL(3,$B$2:B8585))</f>
        <v>8584</v>
      </c>
      <c r="B8585" s="9" t="s">
        <v>51</v>
      </c>
      <c r="C8585" s="10" t="s">
        <v>49</v>
      </c>
      <c r="D8585" s="11">
        <v>529.49274594938049</v>
      </c>
      <c r="E8585" s="12">
        <f t="shared" si="134"/>
        <v>50023</v>
      </c>
    </row>
    <row r="8586" spans="1:5" x14ac:dyDescent="0.25">
      <c r="A8586" s="2">
        <f>IF(B8586="","",SUBTOTAL(3,$B$2:B8586))</f>
        <v>8585</v>
      </c>
      <c r="B8586" s="9" t="s">
        <v>48</v>
      </c>
      <c r="C8586" s="10" t="s">
        <v>49</v>
      </c>
      <c r="D8586" s="11">
        <v>85.384600000000006</v>
      </c>
      <c r="E8586" s="12">
        <f t="shared" si="134"/>
        <v>50024</v>
      </c>
    </row>
    <row r="8587" spans="1:5" x14ac:dyDescent="0.25">
      <c r="A8587" s="2">
        <f>IF(B8587="","",SUBTOTAL(3,$B$2:B8587))</f>
        <v>8586</v>
      </c>
      <c r="B8587" s="9" t="s">
        <v>51</v>
      </c>
      <c r="C8587" s="10" t="s">
        <v>52</v>
      </c>
      <c r="D8587" s="11">
        <v>52.949274594938046</v>
      </c>
      <c r="E8587" s="12">
        <f t="shared" si="134"/>
        <v>50025</v>
      </c>
    </row>
    <row r="8588" spans="1:5" x14ac:dyDescent="0.25">
      <c r="A8588" s="2">
        <f>IF(B8588="","",SUBTOTAL(3,$B$2:B8588))</f>
        <v>8587</v>
      </c>
      <c r="B8588" s="9" t="s">
        <v>50</v>
      </c>
      <c r="C8588" s="10" t="s">
        <v>54</v>
      </c>
      <c r="D8588" s="11">
        <v>44.091710758377424</v>
      </c>
      <c r="E8588" s="12">
        <f t="shared" si="134"/>
        <v>50026</v>
      </c>
    </row>
    <row r="8589" spans="1:5" x14ac:dyDescent="0.25">
      <c r="A8589" s="2">
        <f>IF(B8589="","",SUBTOTAL(3,$B$2:B8589))</f>
        <v>8588</v>
      </c>
      <c r="B8589" s="9" t="s">
        <v>53</v>
      </c>
      <c r="C8589" s="10" t="s">
        <v>49</v>
      </c>
      <c r="D8589" s="11">
        <v>64.110196268786581</v>
      </c>
      <c r="E8589" s="12">
        <f t="shared" si="134"/>
        <v>50027</v>
      </c>
    </row>
    <row r="8590" spans="1:5" x14ac:dyDescent="0.25">
      <c r="A8590" s="2">
        <f>IF(B8590="","",SUBTOTAL(3,$B$2:B8590))</f>
        <v>8589</v>
      </c>
      <c r="B8590" s="9" t="s">
        <v>50</v>
      </c>
      <c r="C8590" s="10" t="s">
        <v>52</v>
      </c>
      <c r="D8590" s="11">
        <v>55.114638447971785</v>
      </c>
      <c r="E8590" s="12">
        <f t="shared" si="134"/>
        <v>50028</v>
      </c>
    </row>
    <row r="8591" spans="1:5" x14ac:dyDescent="0.25">
      <c r="A8591" s="2">
        <f>IF(B8591="","",SUBTOTAL(3,$B$2:B8591))</f>
        <v>8590</v>
      </c>
      <c r="B8591" s="9" t="s">
        <v>55</v>
      </c>
      <c r="C8591" s="10" t="s">
        <v>49</v>
      </c>
      <c r="D8591" s="11">
        <v>30</v>
      </c>
      <c r="E8591" s="12">
        <f t="shared" si="134"/>
        <v>50029</v>
      </c>
    </row>
    <row r="8592" spans="1:5" x14ac:dyDescent="0.25">
      <c r="A8592" s="2">
        <f>IF(B8592="","",SUBTOTAL(3,$B$2:B8592))</f>
        <v>8591</v>
      </c>
      <c r="B8592" s="9" t="s">
        <v>50</v>
      </c>
      <c r="C8592" s="10" t="s">
        <v>49</v>
      </c>
      <c r="D8592" s="11">
        <v>8</v>
      </c>
      <c r="E8592" s="12">
        <f t="shared" si="134"/>
        <v>50030</v>
      </c>
    </row>
    <row r="8593" spans="1:5" x14ac:dyDescent="0.25">
      <c r="A8593" s="2">
        <f>IF(B8593="","",SUBTOTAL(3,$B$2:B8593))</f>
        <v>8592</v>
      </c>
      <c r="B8593" s="9" t="s">
        <v>48</v>
      </c>
      <c r="C8593" s="10" t="s">
        <v>56</v>
      </c>
      <c r="D8593" s="11">
        <v>23.105360443622921</v>
      </c>
      <c r="E8593" s="12">
        <f t="shared" si="134"/>
        <v>50031</v>
      </c>
    </row>
    <row r="8594" spans="1:5" x14ac:dyDescent="0.25">
      <c r="A8594" s="2">
        <f>IF(B8594="","",SUBTOTAL(3,$B$2:B8594))</f>
        <v>8593</v>
      </c>
      <c r="B8594" s="9" t="s">
        <v>48</v>
      </c>
      <c r="C8594" s="10" t="s">
        <v>56</v>
      </c>
      <c r="D8594" s="11">
        <v>26.186075169439309</v>
      </c>
      <c r="E8594" s="12">
        <f t="shared" si="134"/>
        <v>50032</v>
      </c>
    </row>
    <row r="8595" spans="1:5" x14ac:dyDescent="0.25">
      <c r="A8595" s="2">
        <f>IF(B8595="","",SUBTOTAL(3,$B$2:B8595))</f>
        <v>8594</v>
      </c>
      <c r="B8595" s="9" t="s">
        <v>55</v>
      </c>
      <c r="C8595" s="10" t="s">
        <v>57</v>
      </c>
      <c r="D8595" s="11">
        <v>115.16415828161914</v>
      </c>
      <c r="E8595" s="12">
        <f t="shared" si="134"/>
        <v>50033</v>
      </c>
    </row>
    <row r="8596" spans="1:5" x14ac:dyDescent="0.25">
      <c r="A8596" s="2">
        <f>IF(B8596="","",SUBTOTAL(3,$B$2:B8596))</f>
        <v>8595</v>
      </c>
      <c r="B8596" s="9" t="s">
        <v>48</v>
      </c>
      <c r="C8596" s="10" t="s">
        <v>57</v>
      </c>
      <c r="D8596" s="11">
        <v>103.41261633919338</v>
      </c>
      <c r="E8596" s="12">
        <f t="shared" si="134"/>
        <v>50034</v>
      </c>
    </row>
    <row r="8597" spans="1:5" x14ac:dyDescent="0.25">
      <c r="A8597" s="2">
        <f>IF(B8597="","",SUBTOTAL(3,$B$2:B8597))</f>
        <v>8596</v>
      </c>
      <c r="B8597" s="9" t="s">
        <v>50</v>
      </c>
      <c r="C8597" s="10" t="s">
        <v>57</v>
      </c>
      <c r="D8597" s="11">
        <v>110.22927689594357</v>
      </c>
      <c r="E8597" s="12">
        <f t="shared" si="134"/>
        <v>50035</v>
      </c>
    </row>
    <row r="8598" spans="1:5" x14ac:dyDescent="0.25">
      <c r="A8598" s="2">
        <f>IF(B8598="","",SUBTOTAL(3,$B$2:B8598))</f>
        <v>8597</v>
      </c>
      <c r="B8598" s="9" t="s">
        <v>51</v>
      </c>
      <c r="C8598" s="10" t="s">
        <v>57</v>
      </c>
      <c r="D8598" s="11">
        <v>370.64492216456637</v>
      </c>
      <c r="E8598" s="12">
        <f t="shared" si="134"/>
        <v>50036</v>
      </c>
    </row>
    <row r="8599" spans="1:5" x14ac:dyDescent="0.25">
      <c r="A8599" s="2">
        <f>IF(B8599="","",SUBTOTAL(3,$B$2:B8599))</f>
        <v>8598</v>
      </c>
      <c r="B8599" s="9" t="s">
        <v>48</v>
      </c>
      <c r="C8599" s="10" t="s">
        <v>57</v>
      </c>
      <c r="D8599" s="11">
        <v>77.017868145409736</v>
      </c>
      <c r="E8599" s="12">
        <f t="shared" si="134"/>
        <v>50037</v>
      </c>
    </row>
    <row r="8600" spans="1:5" x14ac:dyDescent="0.25">
      <c r="A8600" s="2">
        <f>IF(B8600="","",SUBTOTAL(3,$B$2:B8600))</f>
        <v>8599</v>
      </c>
      <c r="B8600" s="9" t="s">
        <v>48</v>
      </c>
      <c r="C8600" s="10" t="s">
        <v>56</v>
      </c>
      <c r="D8600" s="11">
        <v>385.08934072704869</v>
      </c>
      <c r="E8600" s="12">
        <f t="shared" si="134"/>
        <v>50038</v>
      </c>
    </row>
    <row r="8601" spans="1:5" x14ac:dyDescent="0.25">
      <c r="A8601" s="2">
        <f>IF(B8601="","",SUBTOTAL(3,$B$2:B8601))</f>
        <v>8600</v>
      </c>
      <c r="B8601" s="9" t="s">
        <v>48</v>
      </c>
      <c r="C8601" s="10" t="s">
        <v>56</v>
      </c>
      <c r="D8601" s="11">
        <v>385.08934072704869</v>
      </c>
      <c r="E8601" s="12">
        <f t="shared" si="134"/>
        <v>50039</v>
      </c>
    </row>
    <row r="8602" spans="1:5" x14ac:dyDescent="0.25">
      <c r="A8602" s="2">
        <f>IF(B8602="","",SUBTOTAL(3,$B$2:B8602))</f>
        <v>8601</v>
      </c>
      <c r="B8602" s="9" t="s">
        <v>55</v>
      </c>
      <c r="C8602" s="10" t="s">
        <v>56</v>
      </c>
      <c r="D8602" s="11">
        <v>1203.6591237361581</v>
      </c>
      <c r="E8602" s="12">
        <f t="shared" si="134"/>
        <v>50040</v>
      </c>
    </row>
    <row r="8603" spans="1:5" x14ac:dyDescent="0.25">
      <c r="A8603" s="2">
        <f>IF(B8603="","",SUBTOTAL(3,$B$2:B8603))</f>
        <v>8602</v>
      </c>
      <c r="B8603" s="9" t="s">
        <v>48</v>
      </c>
      <c r="C8603" s="10" t="s">
        <v>56</v>
      </c>
      <c r="D8603" s="11">
        <v>385.08934072704869</v>
      </c>
      <c r="E8603" s="12">
        <f t="shared" si="134"/>
        <v>50041</v>
      </c>
    </row>
    <row r="8604" spans="1:5" x14ac:dyDescent="0.25">
      <c r="A8604" s="2">
        <f>IF(B8604="","",SUBTOTAL(3,$B$2:B8604))</f>
        <v>8603</v>
      </c>
      <c r="B8604" s="9" t="s">
        <v>48</v>
      </c>
      <c r="C8604" s="10" t="s">
        <v>56</v>
      </c>
      <c r="D8604" s="11">
        <v>385.08934072704869</v>
      </c>
      <c r="E8604" s="12">
        <f t="shared" si="134"/>
        <v>50042</v>
      </c>
    </row>
    <row r="8605" spans="1:5" x14ac:dyDescent="0.25">
      <c r="A8605" s="2">
        <f>IF(B8605="","",SUBTOTAL(3,$B$2:B8605))</f>
        <v>8604</v>
      </c>
      <c r="B8605" s="9" t="s">
        <v>48</v>
      </c>
      <c r="C8605" s="10" t="s">
        <v>56</v>
      </c>
      <c r="D8605" s="11">
        <v>64.24010381200776</v>
      </c>
      <c r="E8605" s="12">
        <f t="shared" si="134"/>
        <v>50043</v>
      </c>
    </row>
    <row r="8606" spans="1:5" x14ac:dyDescent="0.25">
      <c r="A8606" s="2">
        <f>IF(B8606="","",SUBTOTAL(3,$B$2:B8606))</f>
        <v>8605</v>
      </c>
      <c r="B8606" s="9" t="s">
        <v>51</v>
      </c>
      <c r="C8606" s="10" t="s">
        <v>56</v>
      </c>
      <c r="D8606" s="11">
        <v>635.3912951392565</v>
      </c>
      <c r="E8606" s="12">
        <f t="shared" si="134"/>
        <v>50044</v>
      </c>
    </row>
    <row r="8607" spans="1:5" x14ac:dyDescent="0.25">
      <c r="A8607" s="2">
        <f>IF(B8607="","",SUBTOTAL(3,$B$2:B8607))</f>
        <v>8606</v>
      </c>
      <c r="B8607" s="9" t="s">
        <v>55</v>
      </c>
      <c r="C8607" s="10" t="s">
        <v>56</v>
      </c>
      <c r="D8607" s="11">
        <v>1203.6591237361581</v>
      </c>
      <c r="E8607" s="12">
        <f t="shared" si="134"/>
        <v>50045</v>
      </c>
    </row>
    <row r="8608" spans="1:5" x14ac:dyDescent="0.25">
      <c r="A8608" s="2">
        <f>IF(B8608="","",SUBTOTAL(3,$B$2:B8608))</f>
        <v>8607</v>
      </c>
      <c r="B8608" s="9" t="s">
        <v>55</v>
      </c>
      <c r="C8608" s="10" t="s">
        <v>56</v>
      </c>
      <c r="D8608" s="11">
        <v>500</v>
      </c>
      <c r="E8608" s="12">
        <f t="shared" si="134"/>
        <v>50046</v>
      </c>
    </row>
    <row r="8609" spans="1:5" x14ac:dyDescent="0.25">
      <c r="A8609" s="2">
        <f>IF(B8609="","",SUBTOTAL(3,$B$2:B8609))</f>
        <v>8608</v>
      </c>
      <c r="B8609" s="9" t="s">
        <v>55</v>
      </c>
      <c r="C8609" s="10" t="s">
        <v>56</v>
      </c>
      <c r="D8609" s="11">
        <v>400</v>
      </c>
      <c r="E8609" s="12">
        <f t="shared" si="134"/>
        <v>50047</v>
      </c>
    </row>
    <row r="8610" spans="1:5" x14ac:dyDescent="0.25">
      <c r="A8610" s="2">
        <f>IF(B8610="","",SUBTOTAL(3,$B$2:B8610))</f>
        <v>8609</v>
      </c>
      <c r="B8610" s="9" t="s">
        <v>55</v>
      </c>
      <c r="C8610" s="10" t="s">
        <v>56</v>
      </c>
      <c r="D8610" s="11">
        <v>200</v>
      </c>
      <c r="E8610" s="12">
        <f t="shared" si="134"/>
        <v>50048</v>
      </c>
    </row>
    <row r="8611" spans="1:5" x14ac:dyDescent="0.25">
      <c r="A8611" s="2">
        <f>IF(B8611="","",SUBTOTAL(3,$B$2:B8611))</f>
        <v>8610</v>
      </c>
      <c r="B8611" s="9" t="s">
        <v>53</v>
      </c>
      <c r="C8611" s="10" t="s">
        <v>56</v>
      </c>
      <c r="D8611" s="11">
        <v>2106.4778774029878</v>
      </c>
      <c r="E8611" s="12">
        <f t="shared" si="134"/>
        <v>50049</v>
      </c>
    </row>
    <row r="8612" spans="1:5" x14ac:dyDescent="0.25">
      <c r="A8612" s="2">
        <f>IF(B8612="","",SUBTOTAL(3,$B$2:B8612))</f>
        <v>8611</v>
      </c>
      <c r="B8612" s="9" t="s">
        <v>53</v>
      </c>
      <c r="C8612" s="10" t="s">
        <v>56</v>
      </c>
      <c r="D8612" s="11">
        <v>549.51596801817072</v>
      </c>
      <c r="E8612" s="12">
        <f t="shared" si="134"/>
        <v>50050</v>
      </c>
    </row>
    <row r="8613" spans="1:5" x14ac:dyDescent="0.25">
      <c r="A8613" s="2">
        <f>IF(B8613="","",SUBTOTAL(3,$B$2:B8613))</f>
        <v>8612</v>
      </c>
      <c r="B8613" s="9" t="s">
        <v>53</v>
      </c>
      <c r="C8613" s="10" t="s">
        <v>56</v>
      </c>
      <c r="D8613" s="11">
        <v>366.3439786787805</v>
      </c>
      <c r="E8613" s="12">
        <f t="shared" si="134"/>
        <v>50051</v>
      </c>
    </row>
    <row r="8614" spans="1:5" x14ac:dyDescent="0.25">
      <c r="A8614" s="2">
        <f>IF(B8614="","",SUBTOTAL(3,$B$2:B8614))</f>
        <v>8613</v>
      </c>
      <c r="B8614" s="9" t="s">
        <v>53</v>
      </c>
      <c r="C8614" s="10" t="s">
        <v>56</v>
      </c>
      <c r="D8614" s="11">
        <v>531.19876908423169</v>
      </c>
      <c r="E8614" s="12">
        <f t="shared" si="134"/>
        <v>50052</v>
      </c>
    </row>
    <row r="8615" spans="1:5" x14ac:dyDescent="0.25">
      <c r="A8615" s="2">
        <f>IF(B8615="","",SUBTOTAL(3,$B$2:B8615))</f>
        <v>8614</v>
      </c>
      <c r="B8615" s="9" t="s">
        <v>53</v>
      </c>
      <c r="C8615" s="10" t="s">
        <v>56</v>
      </c>
      <c r="D8615" s="11">
        <v>366.3439786787805</v>
      </c>
      <c r="E8615" s="12">
        <f t="shared" si="134"/>
        <v>50053</v>
      </c>
    </row>
    <row r="8616" spans="1:5" x14ac:dyDescent="0.25">
      <c r="A8616" s="2">
        <f>IF(B8616="","",SUBTOTAL(3,$B$2:B8616))</f>
        <v>8615</v>
      </c>
      <c r="B8616" s="9" t="s">
        <v>55</v>
      </c>
      <c r="C8616" s="10" t="s">
        <v>56</v>
      </c>
      <c r="D8616" s="11">
        <v>233.13245999999998</v>
      </c>
      <c r="E8616" s="12">
        <f t="shared" si="134"/>
        <v>50054</v>
      </c>
    </row>
    <row r="8617" spans="1:5" x14ac:dyDescent="0.25">
      <c r="A8617" s="2">
        <f>IF(B8617="","",SUBTOTAL(3,$B$2:B8617))</f>
        <v>8616</v>
      </c>
      <c r="B8617" s="9" t="s">
        <v>50</v>
      </c>
      <c r="C8617" s="10" t="s">
        <v>56</v>
      </c>
      <c r="D8617" s="11">
        <v>330.68783068783068</v>
      </c>
      <c r="E8617" s="12">
        <f t="shared" si="134"/>
        <v>50055</v>
      </c>
    </row>
    <row r="8618" spans="1:5" x14ac:dyDescent="0.25">
      <c r="A8618" s="2">
        <f>IF(B8618="","",SUBTOTAL(3,$B$2:B8618))</f>
        <v>8617</v>
      </c>
      <c r="B8618" s="9" t="s">
        <v>55</v>
      </c>
      <c r="C8618" s="10" t="s">
        <v>56</v>
      </c>
      <c r="D8618" s="11">
        <v>600</v>
      </c>
      <c r="E8618" s="12">
        <f t="shared" si="134"/>
        <v>50056</v>
      </c>
    </row>
    <row r="8619" spans="1:5" x14ac:dyDescent="0.25">
      <c r="A8619" s="2">
        <f>IF(B8619="","",SUBTOTAL(3,$B$2:B8619))</f>
        <v>8618</v>
      </c>
      <c r="B8619" s="9" t="s">
        <v>55</v>
      </c>
      <c r="C8619" s="10" t="s">
        <v>56</v>
      </c>
      <c r="D8619" s="11">
        <v>600</v>
      </c>
      <c r="E8619" s="12">
        <f t="shared" si="134"/>
        <v>50057</v>
      </c>
    </row>
    <row r="8620" spans="1:5" x14ac:dyDescent="0.25">
      <c r="A8620" s="2">
        <f>IF(B8620="","",SUBTOTAL(3,$B$2:B8620))</f>
        <v>8619</v>
      </c>
      <c r="B8620" s="9" t="s">
        <v>50</v>
      </c>
      <c r="C8620" s="10" t="s">
        <v>56</v>
      </c>
      <c r="D8620" s="11">
        <v>330.68783068783068</v>
      </c>
      <c r="E8620" s="12">
        <f t="shared" si="134"/>
        <v>50058</v>
      </c>
    </row>
    <row r="8621" spans="1:5" x14ac:dyDescent="0.25">
      <c r="A8621" s="2">
        <f>IF(B8621="","",SUBTOTAL(3,$B$2:B8621))</f>
        <v>8620</v>
      </c>
      <c r="B8621" s="9" t="s">
        <v>55</v>
      </c>
      <c r="C8621" s="10" t="s">
        <v>56</v>
      </c>
      <c r="D8621" s="11">
        <v>658.08090446639505</v>
      </c>
      <c r="E8621" s="12">
        <f t="shared" si="134"/>
        <v>50059</v>
      </c>
    </row>
    <row r="8622" spans="1:5" x14ac:dyDescent="0.25">
      <c r="A8622" s="2">
        <f>IF(B8622="","",SUBTOTAL(3,$B$2:B8622))</f>
        <v>8621</v>
      </c>
      <c r="B8622" s="9" t="s">
        <v>53</v>
      </c>
      <c r="C8622" s="10" t="s">
        <v>56</v>
      </c>
      <c r="D8622" s="11">
        <v>549.51596801817072</v>
      </c>
      <c r="E8622" s="12">
        <f t="shared" si="134"/>
        <v>50060</v>
      </c>
    </row>
    <row r="8623" spans="1:5" x14ac:dyDescent="0.25">
      <c r="A8623" s="2">
        <f>IF(B8623="","",SUBTOTAL(3,$B$2:B8623))</f>
        <v>8622</v>
      </c>
      <c r="B8623" s="9" t="s">
        <v>48</v>
      </c>
      <c r="C8623" s="10" t="s">
        <v>56</v>
      </c>
      <c r="D8623" s="11">
        <v>29.266789895255702</v>
      </c>
      <c r="E8623" s="12">
        <f t="shared" si="134"/>
        <v>50061</v>
      </c>
    </row>
    <row r="8624" spans="1:5" x14ac:dyDescent="0.25">
      <c r="A8624" s="2">
        <f>IF(B8624="","",SUBTOTAL(3,$B$2:B8624))</f>
        <v>8623</v>
      </c>
      <c r="B8624" s="9" t="s">
        <v>51</v>
      </c>
      <c r="C8624" s="10" t="s">
        <v>56</v>
      </c>
      <c r="D8624" s="11">
        <v>15.884782378481413</v>
      </c>
      <c r="E8624" s="12">
        <f t="shared" si="134"/>
        <v>50062</v>
      </c>
    </row>
    <row r="8625" spans="1:5" x14ac:dyDescent="0.25">
      <c r="A8625" s="2">
        <f>IF(B8625="","",SUBTOTAL(3,$B$2:B8625))</f>
        <v>8624</v>
      </c>
      <c r="B8625" s="9" t="s">
        <v>50</v>
      </c>
      <c r="C8625" s="10" t="s">
        <v>56</v>
      </c>
      <c r="D8625" s="11">
        <v>17.636684303350968</v>
      </c>
      <c r="E8625" s="12">
        <f t="shared" si="134"/>
        <v>50063</v>
      </c>
    </row>
    <row r="8626" spans="1:5" x14ac:dyDescent="0.25">
      <c r="A8626" s="2">
        <f>IF(B8626="","",SUBTOTAL(3,$B$2:B8626))</f>
        <v>8625</v>
      </c>
      <c r="B8626" s="9" t="s">
        <v>50</v>
      </c>
      <c r="C8626" s="10" t="s">
        <v>56</v>
      </c>
      <c r="D8626" s="11">
        <v>5.0705467372134034</v>
      </c>
      <c r="E8626" s="12">
        <f t="shared" si="134"/>
        <v>50064</v>
      </c>
    </row>
    <row r="8627" spans="1:5" x14ac:dyDescent="0.25">
      <c r="A8627" s="2">
        <f>IF(B8627="","",SUBTOTAL(3,$B$2:B8627))</f>
        <v>8626</v>
      </c>
      <c r="B8627" s="9" t="s">
        <v>50</v>
      </c>
      <c r="C8627" s="10" t="s">
        <v>56</v>
      </c>
      <c r="D8627" s="11">
        <v>33.06878306878307</v>
      </c>
      <c r="E8627" s="12">
        <f t="shared" si="134"/>
        <v>50065</v>
      </c>
    </row>
    <row r="8628" spans="1:5" x14ac:dyDescent="0.25">
      <c r="A8628" s="2">
        <f>IF(B8628="","",SUBTOTAL(3,$B$2:B8628))</f>
        <v>8627</v>
      </c>
      <c r="B8628" s="9" t="s">
        <v>51</v>
      </c>
      <c r="C8628" s="10" t="s">
        <v>56</v>
      </c>
      <c r="D8628" s="11">
        <v>8.4718839351900872</v>
      </c>
      <c r="E8628" s="12">
        <f t="shared" si="134"/>
        <v>50066</v>
      </c>
    </row>
    <row r="8629" spans="1:5" x14ac:dyDescent="0.25">
      <c r="A8629" s="2">
        <f>IF(B8629="","",SUBTOTAL(3,$B$2:B8629))</f>
        <v>8628</v>
      </c>
      <c r="B8629" s="9" t="s">
        <v>51</v>
      </c>
      <c r="C8629" s="10" t="s">
        <v>56</v>
      </c>
      <c r="D8629" s="11">
        <v>7.9423911892407064</v>
      </c>
      <c r="E8629" s="12">
        <f t="shared" si="134"/>
        <v>50067</v>
      </c>
    </row>
    <row r="8630" spans="1:5" x14ac:dyDescent="0.25">
      <c r="A8630" s="2">
        <f>IF(B8630="","",SUBTOTAL(3,$B$2:B8630))</f>
        <v>8629</v>
      </c>
      <c r="B8630" s="9" t="s">
        <v>50</v>
      </c>
      <c r="C8630" s="10" t="s">
        <v>56</v>
      </c>
      <c r="D8630" s="11">
        <v>352.73368606701939</v>
      </c>
      <c r="E8630" s="12">
        <f t="shared" si="134"/>
        <v>50068</v>
      </c>
    </row>
    <row r="8631" spans="1:5" x14ac:dyDescent="0.25">
      <c r="A8631" s="2">
        <f>IF(B8631="","",SUBTOTAL(3,$B$2:B8631))</f>
        <v>8630</v>
      </c>
      <c r="B8631" s="9" t="s">
        <v>51</v>
      </c>
      <c r="C8631" s="10" t="s">
        <v>56</v>
      </c>
      <c r="D8631" s="11">
        <v>8.2600868368103342</v>
      </c>
      <c r="E8631" s="12">
        <f t="shared" si="134"/>
        <v>50069</v>
      </c>
    </row>
    <row r="8632" spans="1:5" x14ac:dyDescent="0.25">
      <c r="A8632" s="2">
        <f>IF(B8632="","",SUBTOTAL(3,$B$2:B8632))</f>
        <v>8631</v>
      </c>
      <c r="B8632" s="9" t="s">
        <v>50</v>
      </c>
      <c r="C8632" s="10" t="s">
        <v>56</v>
      </c>
      <c r="D8632" s="11">
        <v>22.045855379188712</v>
      </c>
      <c r="E8632" s="12">
        <f t="shared" si="134"/>
        <v>50070</v>
      </c>
    </row>
    <row r="8633" spans="1:5" x14ac:dyDescent="0.25">
      <c r="A8633" s="2">
        <f>IF(B8633="","",SUBTOTAL(3,$B$2:B8633))</f>
        <v>8632</v>
      </c>
      <c r="B8633" s="9" t="s">
        <v>55</v>
      </c>
      <c r="C8633" s="10" t="s">
        <v>56</v>
      </c>
      <c r="D8633" s="11">
        <v>750</v>
      </c>
      <c r="E8633" s="12">
        <f t="shared" si="134"/>
        <v>50071</v>
      </c>
    </row>
    <row r="8634" spans="1:5" x14ac:dyDescent="0.25">
      <c r="A8634" s="2">
        <f>IF(B8634="","",SUBTOTAL(3,$B$2:B8634))</f>
        <v>8633</v>
      </c>
      <c r="B8634" s="9" t="s">
        <v>51</v>
      </c>
      <c r="C8634" s="10" t="s">
        <v>56</v>
      </c>
      <c r="D8634" s="11">
        <v>8.1955204913692672</v>
      </c>
      <c r="E8634" s="12">
        <f t="shared" si="134"/>
        <v>50072</v>
      </c>
    </row>
    <row r="8635" spans="1:5" x14ac:dyDescent="0.25">
      <c r="A8635" s="2">
        <f>IF(B8635="","",SUBTOTAL(3,$B$2:B8635))</f>
        <v>8634</v>
      </c>
      <c r="B8635" s="9" t="s">
        <v>48</v>
      </c>
      <c r="C8635" s="10" t="s">
        <v>56</v>
      </c>
      <c r="D8635" s="11">
        <v>3.8544062287204657</v>
      </c>
      <c r="E8635" s="12">
        <f t="shared" si="134"/>
        <v>50073</v>
      </c>
    </row>
    <row r="8636" spans="1:5" x14ac:dyDescent="0.25">
      <c r="A8636" s="2">
        <f>IF(B8636="","",SUBTOTAL(3,$B$2:B8636))</f>
        <v>8635</v>
      </c>
      <c r="B8636" s="9" t="s">
        <v>55</v>
      </c>
      <c r="C8636" s="10" t="s">
        <v>56</v>
      </c>
      <c r="D8636" s="11">
        <v>14.5</v>
      </c>
      <c r="E8636" s="12">
        <f t="shared" si="134"/>
        <v>50074</v>
      </c>
    </row>
    <row r="8637" spans="1:5" x14ac:dyDescent="0.25">
      <c r="A8637" s="2">
        <f>IF(B8637="","",SUBTOTAL(3,$B$2:B8637))</f>
        <v>8636</v>
      </c>
      <c r="B8637" s="9" t="s">
        <v>51</v>
      </c>
      <c r="C8637" s="10" t="s">
        <v>56</v>
      </c>
      <c r="D8637" s="11">
        <v>105.89854918987609</v>
      </c>
      <c r="E8637" s="12">
        <f t="shared" si="134"/>
        <v>50075</v>
      </c>
    </row>
    <row r="8638" spans="1:5" x14ac:dyDescent="0.25">
      <c r="A8638" s="2">
        <f>IF(B8638="","",SUBTOTAL(3,$B$2:B8638))</f>
        <v>8637</v>
      </c>
      <c r="B8638" s="9" t="s">
        <v>48</v>
      </c>
      <c r="C8638" s="10" t="s">
        <v>56</v>
      </c>
      <c r="D8638" s="11">
        <v>61.614294516327789</v>
      </c>
      <c r="E8638" s="12">
        <f t="shared" si="134"/>
        <v>50076</v>
      </c>
    </row>
    <row r="8639" spans="1:5" x14ac:dyDescent="0.25">
      <c r="A8639" s="2">
        <f>IF(B8639="","",SUBTOTAL(3,$B$2:B8639))</f>
        <v>8638</v>
      </c>
      <c r="B8639" s="9" t="s">
        <v>48</v>
      </c>
      <c r="C8639" s="10" t="s">
        <v>56</v>
      </c>
      <c r="D8639" s="11">
        <v>61.614294516327789</v>
      </c>
      <c r="E8639" s="12">
        <f t="shared" si="134"/>
        <v>50077</v>
      </c>
    </row>
    <row r="8640" spans="1:5" x14ac:dyDescent="0.25">
      <c r="A8640" s="2">
        <f>IF(B8640="","",SUBTOTAL(3,$B$2:B8640))</f>
        <v>8639</v>
      </c>
      <c r="B8640" s="9" t="s">
        <v>48</v>
      </c>
      <c r="C8640" s="10" t="s">
        <v>56</v>
      </c>
      <c r="D8640" s="11">
        <v>23.105360443622921</v>
      </c>
      <c r="E8640" s="12">
        <f t="shared" si="134"/>
        <v>50078</v>
      </c>
    </row>
    <row r="8641" spans="1:5" x14ac:dyDescent="0.25">
      <c r="A8641" s="2">
        <f>IF(B8641="","",SUBTOTAL(3,$B$2:B8641))</f>
        <v>8640</v>
      </c>
      <c r="B8641" s="9" t="s">
        <v>48</v>
      </c>
      <c r="C8641" s="10" t="s">
        <v>56</v>
      </c>
      <c r="D8641" s="11">
        <v>1078.2501540357364</v>
      </c>
      <c r="E8641" s="12">
        <f t="shared" si="134"/>
        <v>50079</v>
      </c>
    </row>
    <row r="8642" spans="1:5" x14ac:dyDescent="0.25">
      <c r="A8642" s="2">
        <f>IF(B8642="","",SUBTOTAL(3,$B$2:B8642))</f>
        <v>8641</v>
      </c>
      <c r="B8642" s="9" t="s">
        <v>48</v>
      </c>
      <c r="C8642" s="10" t="s">
        <v>56</v>
      </c>
      <c r="D8642" s="11">
        <v>92.421441774491683</v>
      </c>
      <c r="E8642" s="12">
        <f t="shared" si="134"/>
        <v>50080</v>
      </c>
    </row>
    <row r="8643" spans="1:5" x14ac:dyDescent="0.25">
      <c r="A8643" s="2">
        <f>IF(B8643="","",SUBTOTAL(3,$B$2:B8643))</f>
        <v>8642</v>
      </c>
      <c r="B8643" s="9" t="s">
        <v>48</v>
      </c>
      <c r="C8643" s="10" t="s">
        <v>56</v>
      </c>
      <c r="D8643" s="11">
        <v>107.82501540357363</v>
      </c>
      <c r="E8643" s="12">
        <f t="shared" si="134"/>
        <v>50081</v>
      </c>
    </row>
    <row r="8644" spans="1:5" x14ac:dyDescent="0.25">
      <c r="A8644" s="2">
        <f>IF(B8644="","",SUBTOTAL(3,$B$2:B8644))</f>
        <v>8643</v>
      </c>
      <c r="B8644" s="9" t="s">
        <v>48</v>
      </c>
      <c r="C8644" s="10" t="s">
        <v>56</v>
      </c>
      <c r="D8644" s="11">
        <v>107.82501540357363</v>
      </c>
      <c r="E8644" s="12">
        <f t="shared" ref="E8644:E8707" si="135">E8643+1</f>
        <v>50082</v>
      </c>
    </row>
    <row r="8645" spans="1:5" x14ac:dyDescent="0.25">
      <c r="A8645" s="2">
        <f>IF(B8645="","",SUBTOTAL(3,$B$2:B8645))</f>
        <v>8644</v>
      </c>
      <c r="B8645" s="9" t="s">
        <v>55</v>
      </c>
      <c r="C8645" s="10" t="s">
        <v>56</v>
      </c>
      <c r="D8645" s="11">
        <v>115.16415828161914</v>
      </c>
      <c r="E8645" s="12">
        <f t="shared" si="135"/>
        <v>50083</v>
      </c>
    </row>
    <row r="8646" spans="1:5" x14ac:dyDescent="0.25">
      <c r="A8646" s="2">
        <f>IF(B8646="","",SUBTOTAL(3,$B$2:B8646))</f>
        <v>8645</v>
      </c>
      <c r="B8646" s="9" t="s">
        <v>48</v>
      </c>
      <c r="C8646" s="10" t="s">
        <v>56</v>
      </c>
      <c r="D8646" s="11">
        <v>77.017868145409736</v>
      </c>
      <c r="E8646" s="12">
        <f t="shared" si="135"/>
        <v>50084</v>
      </c>
    </row>
    <row r="8647" spans="1:5" x14ac:dyDescent="0.25">
      <c r="A8647" s="2">
        <f>IF(B8647="","",SUBTOTAL(3,$B$2:B8647))</f>
        <v>8646</v>
      </c>
      <c r="B8647" s="9" t="s">
        <v>48</v>
      </c>
      <c r="C8647" s="10" t="s">
        <v>56</v>
      </c>
      <c r="D8647" s="11">
        <v>24.645717806531117</v>
      </c>
      <c r="E8647" s="12">
        <f t="shared" si="135"/>
        <v>50085</v>
      </c>
    </row>
    <row r="8648" spans="1:5" x14ac:dyDescent="0.25">
      <c r="A8648" s="2">
        <f>IF(B8648="","",SUBTOTAL(3,$B$2:B8648))</f>
        <v>8647</v>
      </c>
      <c r="B8648" s="9" t="s">
        <v>51</v>
      </c>
      <c r="C8648" s="10" t="s">
        <v>56</v>
      </c>
      <c r="D8648" s="11">
        <v>21.179709837975221</v>
      </c>
      <c r="E8648" s="12">
        <f t="shared" si="135"/>
        <v>50086</v>
      </c>
    </row>
    <row r="8649" spans="1:5" x14ac:dyDescent="0.25">
      <c r="A8649" s="2">
        <f>IF(B8649="","",SUBTOTAL(3,$B$2:B8649))</f>
        <v>8648</v>
      </c>
      <c r="B8649" s="9" t="s">
        <v>50</v>
      </c>
      <c r="C8649" s="10" t="s">
        <v>56</v>
      </c>
      <c r="D8649" s="11">
        <v>39.682539682539684</v>
      </c>
      <c r="E8649" s="12">
        <f t="shared" si="135"/>
        <v>50087</v>
      </c>
    </row>
    <row r="8650" spans="1:5" x14ac:dyDescent="0.25">
      <c r="A8650" s="2">
        <f>IF(B8650="","",SUBTOTAL(3,$B$2:B8650))</f>
        <v>8649</v>
      </c>
      <c r="B8650" s="9" t="s">
        <v>48</v>
      </c>
      <c r="C8650" s="10" t="s">
        <v>56</v>
      </c>
      <c r="D8650" s="11">
        <v>77.017868145409736</v>
      </c>
      <c r="E8650" s="12">
        <f t="shared" si="135"/>
        <v>50088</v>
      </c>
    </row>
    <row r="8651" spans="1:5" x14ac:dyDescent="0.25">
      <c r="A8651" s="2">
        <f>IF(B8651="","",SUBTOTAL(3,$B$2:B8651))</f>
        <v>8650</v>
      </c>
      <c r="B8651" s="9" t="s">
        <v>53</v>
      </c>
      <c r="C8651" s="10" t="s">
        <v>56</v>
      </c>
      <c r="D8651" s="11">
        <v>64.110196268786581</v>
      </c>
      <c r="E8651" s="12">
        <f t="shared" si="135"/>
        <v>50089</v>
      </c>
    </row>
    <row r="8652" spans="1:5" x14ac:dyDescent="0.25">
      <c r="A8652" s="2">
        <f>IF(B8652="","",SUBTOTAL(3,$B$2:B8652))</f>
        <v>8651</v>
      </c>
      <c r="B8652" s="9" t="s">
        <v>51</v>
      </c>
      <c r="C8652" s="10" t="s">
        <v>56</v>
      </c>
      <c r="D8652" s="11">
        <v>21.179709837975221</v>
      </c>
      <c r="E8652" s="12">
        <f t="shared" si="135"/>
        <v>50090</v>
      </c>
    </row>
    <row r="8653" spans="1:5" x14ac:dyDescent="0.25">
      <c r="A8653" s="2">
        <f>IF(B8653="","",SUBTOTAL(3,$B$2:B8653))</f>
        <v>8652</v>
      </c>
      <c r="B8653" s="9" t="s">
        <v>55</v>
      </c>
      <c r="C8653" s="10" t="s">
        <v>56</v>
      </c>
      <c r="D8653" s="11">
        <v>65.178425941013529</v>
      </c>
      <c r="E8653" s="12">
        <f t="shared" si="135"/>
        <v>50091</v>
      </c>
    </row>
    <row r="8654" spans="1:5" x14ac:dyDescent="0.25">
      <c r="A8654" s="2">
        <f>IF(B8654="","",SUBTOTAL(3,$B$2:B8654))</f>
        <v>8653</v>
      </c>
      <c r="B8654" s="9" t="s">
        <v>55</v>
      </c>
      <c r="C8654" s="10" t="s">
        <v>56</v>
      </c>
      <c r="D8654" s="11">
        <v>293.30291673456088</v>
      </c>
      <c r="E8654" s="12">
        <f t="shared" si="135"/>
        <v>50092</v>
      </c>
    </row>
    <row r="8655" spans="1:5" x14ac:dyDescent="0.25">
      <c r="A8655" s="2">
        <f>IF(B8655="","",SUBTOTAL(3,$B$2:B8655))</f>
        <v>8654</v>
      </c>
      <c r="B8655" s="9" t="s">
        <v>48</v>
      </c>
      <c r="C8655" s="10" t="s">
        <v>56</v>
      </c>
      <c r="D8655" s="11">
        <v>30.807147258163894</v>
      </c>
      <c r="E8655" s="12">
        <f t="shared" si="135"/>
        <v>50093</v>
      </c>
    </row>
    <row r="8656" spans="1:5" x14ac:dyDescent="0.25">
      <c r="A8656" s="2">
        <f>IF(B8656="","",SUBTOTAL(3,$B$2:B8656))</f>
        <v>8655</v>
      </c>
      <c r="B8656" s="9" t="s">
        <v>48</v>
      </c>
      <c r="C8656" s="10" t="s">
        <v>56</v>
      </c>
      <c r="D8656" s="11">
        <v>23.105360443622921</v>
      </c>
      <c r="E8656" s="12">
        <f t="shared" si="135"/>
        <v>50094</v>
      </c>
    </row>
    <row r="8657" spans="1:5" x14ac:dyDescent="0.25">
      <c r="A8657" s="2">
        <f>IF(B8657="","",SUBTOTAL(3,$B$2:B8657))</f>
        <v>8656</v>
      </c>
      <c r="B8657" s="9" t="s">
        <v>48</v>
      </c>
      <c r="C8657" s="10" t="s">
        <v>56</v>
      </c>
      <c r="D8657" s="11">
        <v>30.807147258163894</v>
      </c>
      <c r="E8657" s="12">
        <f t="shared" si="135"/>
        <v>50095</v>
      </c>
    </row>
    <row r="8658" spans="1:5" x14ac:dyDescent="0.25">
      <c r="A8658" s="2">
        <f>IF(B8658="","",SUBTOTAL(3,$B$2:B8658))</f>
        <v>8657</v>
      </c>
      <c r="B8658" s="9" t="s">
        <v>51</v>
      </c>
      <c r="C8658" s="10" t="s">
        <v>56</v>
      </c>
      <c r="D8658" s="11">
        <v>20.257677659833075</v>
      </c>
      <c r="E8658" s="12">
        <f t="shared" si="135"/>
        <v>50096</v>
      </c>
    </row>
    <row r="8659" spans="1:5" x14ac:dyDescent="0.25">
      <c r="A8659" s="2">
        <f>IF(B8659="","",SUBTOTAL(3,$B$2:B8659))</f>
        <v>8658</v>
      </c>
      <c r="B8659" s="9" t="s">
        <v>48</v>
      </c>
      <c r="C8659" s="10" t="s">
        <v>56</v>
      </c>
      <c r="D8659" s="11">
        <v>70.664114193208547</v>
      </c>
      <c r="E8659" s="12">
        <f t="shared" si="135"/>
        <v>50097</v>
      </c>
    </row>
    <row r="8660" spans="1:5" x14ac:dyDescent="0.25">
      <c r="A8660" s="2">
        <f>IF(B8660="","",SUBTOTAL(3,$B$2:B8660))</f>
        <v>8659</v>
      </c>
      <c r="B8660" s="9" t="s">
        <v>48</v>
      </c>
      <c r="C8660" s="10" t="s">
        <v>56</v>
      </c>
      <c r="D8660" s="11">
        <v>30.807147258163894</v>
      </c>
      <c r="E8660" s="12">
        <f t="shared" si="135"/>
        <v>50098</v>
      </c>
    </row>
    <row r="8661" spans="1:5" x14ac:dyDescent="0.25">
      <c r="A8661" s="2">
        <f>IF(B8661="","",SUBTOTAL(3,$B$2:B8661))</f>
        <v>8660</v>
      </c>
      <c r="B8661" s="9" t="s">
        <v>53</v>
      </c>
      <c r="C8661" s="10" t="s">
        <v>56</v>
      </c>
      <c r="D8661" s="11">
        <v>18.317198933939025</v>
      </c>
      <c r="E8661" s="12">
        <f t="shared" si="135"/>
        <v>50099</v>
      </c>
    </row>
    <row r="8662" spans="1:5" x14ac:dyDescent="0.25">
      <c r="A8662" s="2">
        <f>IF(B8662="","",SUBTOTAL(3,$B$2:B8662))</f>
        <v>8661</v>
      </c>
      <c r="B8662" s="9" t="s">
        <v>51</v>
      </c>
      <c r="C8662" s="10" t="s">
        <v>56</v>
      </c>
      <c r="D8662" s="11">
        <v>283.60748723766307</v>
      </c>
      <c r="E8662" s="12">
        <f t="shared" si="135"/>
        <v>50100</v>
      </c>
    </row>
    <row r="8663" spans="1:5" x14ac:dyDescent="0.25">
      <c r="A8663" s="2">
        <f>IF(B8663="","",SUBTOTAL(3,$B$2:B8663))</f>
        <v>8662</v>
      </c>
      <c r="B8663" s="9" t="s">
        <v>55</v>
      </c>
      <c r="C8663" s="10" t="s">
        <v>56</v>
      </c>
      <c r="D8663" s="11">
        <v>419.94726000000003</v>
      </c>
      <c r="E8663" s="12">
        <f t="shared" si="135"/>
        <v>50101</v>
      </c>
    </row>
    <row r="8664" spans="1:5" x14ac:dyDescent="0.25">
      <c r="A8664" s="2">
        <f>IF(B8664="","",SUBTOTAL(3,$B$2:B8664))</f>
        <v>8663</v>
      </c>
      <c r="B8664" s="9" t="s">
        <v>53</v>
      </c>
      <c r="C8664" s="10" t="s">
        <v>56</v>
      </c>
      <c r="D8664" s="11">
        <v>183.17198933939025</v>
      </c>
      <c r="E8664" s="12">
        <f t="shared" si="135"/>
        <v>50102</v>
      </c>
    </row>
    <row r="8665" spans="1:5" x14ac:dyDescent="0.25">
      <c r="A8665" s="2">
        <f>IF(B8665="","",SUBTOTAL(3,$B$2:B8665))</f>
        <v>8664</v>
      </c>
      <c r="B8665" s="9" t="s">
        <v>48</v>
      </c>
      <c r="C8665" s="10" t="s">
        <v>56</v>
      </c>
      <c r="D8665" s="11">
        <v>77.017868145409736</v>
      </c>
      <c r="E8665" s="12">
        <f t="shared" si="135"/>
        <v>50103</v>
      </c>
    </row>
    <row r="8666" spans="1:5" x14ac:dyDescent="0.25">
      <c r="A8666" s="2">
        <f>IF(B8666="","",SUBTOTAL(3,$B$2:B8666))</f>
        <v>8665</v>
      </c>
      <c r="B8666" s="9" t="s">
        <v>55</v>
      </c>
      <c r="C8666" s="10" t="s">
        <v>56</v>
      </c>
      <c r="D8666" s="11">
        <v>16.294606485253382</v>
      </c>
      <c r="E8666" s="12">
        <f t="shared" si="135"/>
        <v>50104</v>
      </c>
    </row>
    <row r="8667" spans="1:5" x14ac:dyDescent="0.25">
      <c r="A8667" s="2">
        <f>IF(B8667="","",SUBTOTAL(3,$B$2:B8667))</f>
        <v>8666</v>
      </c>
      <c r="B8667" s="9" t="s">
        <v>48</v>
      </c>
      <c r="C8667" s="10" t="s">
        <v>56</v>
      </c>
      <c r="D8667" s="11">
        <v>123.22858903265558</v>
      </c>
      <c r="E8667" s="12">
        <f t="shared" si="135"/>
        <v>50105</v>
      </c>
    </row>
    <row r="8668" spans="1:5" x14ac:dyDescent="0.25">
      <c r="A8668" s="2">
        <f>IF(B8668="","",SUBTOTAL(3,$B$2:B8668))</f>
        <v>8667</v>
      </c>
      <c r="B8668" s="9" t="s">
        <v>51</v>
      </c>
      <c r="C8668" s="10" t="s">
        <v>56</v>
      </c>
      <c r="D8668" s="11">
        <v>105.89854918987609</v>
      </c>
      <c r="E8668" s="12">
        <f t="shared" si="135"/>
        <v>50106</v>
      </c>
    </row>
    <row r="8669" spans="1:5" x14ac:dyDescent="0.25">
      <c r="A8669" s="2">
        <f>IF(B8669="","",SUBTOTAL(3,$B$2:B8669))</f>
        <v>8668</v>
      </c>
      <c r="B8669" s="9" t="s">
        <v>55</v>
      </c>
      <c r="C8669" s="10" t="s">
        <v>56</v>
      </c>
      <c r="D8669" s="11">
        <v>152.46348900658001</v>
      </c>
      <c r="E8669" s="12">
        <f t="shared" si="135"/>
        <v>50107</v>
      </c>
    </row>
    <row r="8670" spans="1:5" x14ac:dyDescent="0.25">
      <c r="A8670" s="2">
        <f>IF(B8670="","",SUBTOTAL(3,$B$2:B8670))</f>
        <v>8669</v>
      </c>
      <c r="B8670" s="9" t="s">
        <v>55</v>
      </c>
      <c r="C8670" s="10" t="s">
        <v>56</v>
      </c>
      <c r="D8670" s="11">
        <v>215.25175167019717</v>
      </c>
      <c r="E8670" s="12">
        <f t="shared" si="135"/>
        <v>50108</v>
      </c>
    </row>
    <row r="8671" spans="1:5" x14ac:dyDescent="0.25">
      <c r="A8671" s="2">
        <f>IF(B8671="","",SUBTOTAL(3,$B$2:B8671))</f>
        <v>8670</v>
      </c>
      <c r="B8671" s="9" t="s">
        <v>53</v>
      </c>
      <c r="C8671" s="10" t="s">
        <v>56</v>
      </c>
      <c r="D8671" s="11">
        <v>45.792997334847563</v>
      </c>
      <c r="E8671" s="12">
        <f t="shared" si="135"/>
        <v>50109</v>
      </c>
    </row>
    <row r="8672" spans="1:5" x14ac:dyDescent="0.25">
      <c r="A8672" s="2">
        <f>IF(B8672="","",SUBTOTAL(3,$B$2:B8672))</f>
        <v>8671</v>
      </c>
      <c r="B8672" s="9" t="s">
        <v>48</v>
      </c>
      <c r="C8672" s="10" t="s">
        <v>56</v>
      </c>
      <c r="D8672" s="11">
        <v>10.782501540357364</v>
      </c>
      <c r="E8672" s="12">
        <f t="shared" si="135"/>
        <v>50110</v>
      </c>
    </row>
    <row r="8673" spans="1:5" x14ac:dyDescent="0.25">
      <c r="A8673" s="2">
        <f>IF(B8673="","",SUBTOTAL(3,$B$2:B8673))</f>
        <v>8672</v>
      </c>
      <c r="B8673" s="9" t="s">
        <v>55</v>
      </c>
      <c r="C8673" s="10" t="s">
        <v>56</v>
      </c>
      <c r="D8673" s="11">
        <v>26.323236178655804</v>
      </c>
      <c r="E8673" s="12">
        <f t="shared" si="135"/>
        <v>50111</v>
      </c>
    </row>
    <row r="8674" spans="1:5" x14ac:dyDescent="0.25">
      <c r="A8674" s="2">
        <f>IF(B8674="","",SUBTOTAL(3,$B$2:B8674))</f>
        <v>8673</v>
      </c>
      <c r="B8674" s="9" t="s">
        <v>55</v>
      </c>
      <c r="C8674" s="10" t="s">
        <v>56</v>
      </c>
      <c r="D8674" s="11">
        <v>13.161618089327902</v>
      </c>
      <c r="E8674" s="12">
        <f t="shared" si="135"/>
        <v>50112</v>
      </c>
    </row>
    <row r="8675" spans="1:5" x14ac:dyDescent="0.25">
      <c r="A8675" s="2">
        <f>IF(B8675="","",SUBTOTAL(3,$B$2:B8675))</f>
        <v>8674</v>
      </c>
      <c r="B8675" s="9" t="s">
        <v>55</v>
      </c>
      <c r="C8675" s="10" t="s">
        <v>56</v>
      </c>
      <c r="D8675" s="11">
        <v>56.170759107687374</v>
      </c>
      <c r="E8675" s="12">
        <f t="shared" si="135"/>
        <v>50113</v>
      </c>
    </row>
    <row r="8676" spans="1:5" x14ac:dyDescent="0.25">
      <c r="A8676" s="2">
        <f>IF(B8676="","",SUBTOTAL(3,$B$2:B8676))</f>
        <v>8675</v>
      </c>
      <c r="B8676" s="9" t="s">
        <v>48</v>
      </c>
      <c r="C8676" s="10" t="s">
        <v>56</v>
      </c>
      <c r="D8676" s="11">
        <v>40.357362908194702</v>
      </c>
      <c r="E8676" s="12">
        <f t="shared" si="135"/>
        <v>50114</v>
      </c>
    </row>
    <row r="8677" spans="1:5" x14ac:dyDescent="0.25">
      <c r="A8677" s="2">
        <f>IF(B8677="","",SUBTOTAL(3,$B$2:B8677))</f>
        <v>8676</v>
      </c>
      <c r="B8677" s="9" t="s">
        <v>50</v>
      </c>
      <c r="C8677" s="10" t="s">
        <v>56</v>
      </c>
      <c r="D8677" s="11">
        <v>17.416225749559082</v>
      </c>
      <c r="E8677" s="12">
        <f t="shared" si="135"/>
        <v>50115</v>
      </c>
    </row>
    <row r="8678" spans="1:5" x14ac:dyDescent="0.25">
      <c r="A8678" s="2">
        <f>IF(B8678="","",SUBTOTAL(3,$B$2:B8678))</f>
        <v>8677</v>
      </c>
      <c r="B8678" s="9" t="s">
        <v>53</v>
      </c>
      <c r="C8678" s="10" t="s">
        <v>56</v>
      </c>
      <c r="D8678" s="11">
        <v>27.475798400908538</v>
      </c>
      <c r="E8678" s="12">
        <f t="shared" si="135"/>
        <v>50116</v>
      </c>
    </row>
    <row r="8679" spans="1:5" x14ac:dyDescent="0.25">
      <c r="A8679" s="2">
        <f>IF(B8679="","",SUBTOTAL(3,$B$2:B8679))</f>
        <v>8678</v>
      </c>
      <c r="B8679" s="9" t="s">
        <v>48</v>
      </c>
      <c r="C8679" s="10" t="s">
        <v>56</v>
      </c>
      <c r="D8679" s="11">
        <v>19.27203114360233</v>
      </c>
      <c r="E8679" s="12">
        <f t="shared" si="135"/>
        <v>50117</v>
      </c>
    </row>
    <row r="8680" spans="1:5" x14ac:dyDescent="0.25">
      <c r="A8680" s="2">
        <f>IF(B8680="","",SUBTOTAL(3,$B$2:B8680))</f>
        <v>8679</v>
      </c>
      <c r="B8680" s="9" t="s">
        <v>48</v>
      </c>
      <c r="C8680" s="10" t="s">
        <v>56</v>
      </c>
      <c r="D8680" s="11">
        <v>92.421441774491683</v>
      </c>
      <c r="E8680" s="12">
        <f t="shared" si="135"/>
        <v>50118</v>
      </c>
    </row>
    <row r="8681" spans="1:5" x14ac:dyDescent="0.25">
      <c r="A8681" s="2">
        <f>IF(B8681="","",SUBTOTAL(3,$B$2:B8681))</f>
        <v>8680</v>
      </c>
      <c r="B8681" s="9" t="s">
        <v>48</v>
      </c>
      <c r="C8681" s="10" t="s">
        <v>56</v>
      </c>
      <c r="D8681" s="11">
        <v>69.316081330868769</v>
      </c>
      <c r="E8681" s="12">
        <f t="shared" si="135"/>
        <v>50119</v>
      </c>
    </row>
    <row r="8682" spans="1:5" x14ac:dyDescent="0.25">
      <c r="A8682" s="2">
        <f>IF(B8682="","",SUBTOTAL(3,$B$2:B8682))</f>
        <v>8681</v>
      </c>
      <c r="B8682" s="9" t="s">
        <v>55</v>
      </c>
      <c r="C8682" s="10" t="s">
        <v>56</v>
      </c>
      <c r="D8682" s="11">
        <v>40</v>
      </c>
      <c r="E8682" s="12">
        <f t="shared" si="135"/>
        <v>50120</v>
      </c>
    </row>
    <row r="8683" spans="1:5" x14ac:dyDescent="0.25">
      <c r="A8683" s="2">
        <f>IF(B8683="","",SUBTOTAL(3,$B$2:B8683))</f>
        <v>8682</v>
      </c>
      <c r="B8683" s="9" t="s">
        <v>48</v>
      </c>
      <c r="C8683" s="10" t="s">
        <v>56</v>
      </c>
      <c r="D8683" s="11">
        <v>107.82501540357363</v>
      </c>
      <c r="E8683" s="12">
        <f t="shared" si="135"/>
        <v>50121</v>
      </c>
    </row>
    <row r="8684" spans="1:5" x14ac:dyDescent="0.25">
      <c r="A8684" s="2">
        <f>IF(B8684="","",SUBTOTAL(3,$B$2:B8684))</f>
        <v>8683</v>
      </c>
      <c r="B8684" s="9" t="s">
        <v>53</v>
      </c>
      <c r="C8684" s="10" t="s">
        <v>56</v>
      </c>
      <c r="D8684" s="11">
        <v>85.174975042816456</v>
      </c>
      <c r="E8684" s="12">
        <f t="shared" si="135"/>
        <v>50122</v>
      </c>
    </row>
    <row r="8685" spans="1:5" x14ac:dyDescent="0.25">
      <c r="A8685" s="2">
        <f>IF(B8685="","",SUBTOTAL(3,$B$2:B8685))</f>
        <v>8684</v>
      </c>
      <c r="B8685" s="9" t="s">
        <v>53</v>
      </c>
      <c r="C8685" s="10" t="s">
        <v>56</v>
      </c>
      <c r="D8685" s="11">
        <v>91.585994669695125</v>
      </c>
      <c r="E8685" s="12">
        <f t="shared" si="135"/>
        <v>50123</v>
      </c>
    </row>
    <row r="8686" spans="1:5" x14ac:dyDescent="0.25">
      <c r="A8686" s="2">
        <f>IF(B8686="","",SUBTOTAL(3,$B$2:B8686))</f>
        <v>8685</v>
      </c>
      <c r="B8686" s="9" t="s">
        <v>48</v>
      </c>
      <c r="C8686" s="10" t="s">
        <v>56</v>
      </c>
      <c r="D8686" s="11">
        <v>95.556512019323435</v>
      </c>
      <c r="E8686" s="12">
        <f t="shared" si="135"/>
        <v>50124</v>
      </c>
    </row>
    <row r="8687" spans="1:5" x14ac:dyDescent="0.25">
      <c r="A8687" s="2">
        <f>IF(B8687="","",SUBTOTAL(3,$B$2:B8687))</f>
        <v>8686</v>
      </c>
      <c r="B8687" s="9" t="s">
        <v>48</v>
      </c>
      <c r="C8687" s="10" t="s">
        <v>56</v>
      </c>
      <c r="D8687" s="11">
        <v>2.3105360443622922E-2</v>
      </c>
      <c r="E8687" s="12">
        <f t="shared" si="135"/>
        <v>50125</v>
      </c>
    </row>
    <row r="8688" spans="1:5" x14ac:dyDescent="0.25">
      <c r="A8688" s="2">
        <f>IF(B8688="","",SUBTOTAL(3,$B$2:B8688))</f>
        <v>8687</v>
      </c>
      <c r="B8688" s="9" t="s">
        <v>55</v>
      </c>
      <c r="C8688" s="10" t="s">
        <v>56</v>
      </c>
      <c r="D8688" s="11">
        <v>49.356067834979626</v>
      </c>
      <c r="E8688" s="12">
        <f t="shared" si="135"/>
        <v>50126</v>
      </c>
    </row>
    <row r="8689" spans="1:5" x14ac:dyDescent="0.25">
      <c r="A8689" s="2">
        <f>IF(B8689="","",SUBTOTAL(3,$B$2:B8689))</f>
        <v>8688</v>
      </c>
      <c r="B8689" s="9" t="s">
        <v>55</v>
      </c>
      <c r="C8689" s="10" t="s">
        <v>56</v>
      </c>
      <c r="D8689" s="11">
        <v>146.65145836728044</v>
      </c>
      <c r="E8689" s="12">
        <f t="shared" si="135"/>
        <v>50127</v>
      </c>
    </row>
    <row r="8690" spans="1:5" x14ac:dyDescent="0.25">
      <c r="A8690" s="2">
        <f>IF(B8690="","",SUBTOTAL(3,$B$2:B8690))</f>
        <v>8689</v>
      </c>
      <c r="B8690" s="9" t="s">
        <v>55</v>
      </c>
      <c r="C8690" s="10" t="s">
        <v>56</v>
      </c>
      <c r="D8690" s="11">
        <v>60</v>
      </c>
      <c r="E8690" s="12">
        <f t="shared" si="135"/>
        <v>50128</v>
      </c>
    </row>
    <row r="8691" spans="1:5" x14ac:dyDescent="0.25">
      <c r="A8691" s="2">
        <f>IF(B8691="","",SUBTOTAL(3,$B$2:B8691))</f>
        <v>8690</v>
      </c>
      <c r="B8691" s="9" t="s">
        <v>48</v>
      </c>
      <c r="C8691" s="10" t="s">
        <v>56</v>
      </c>
      <c r="D8691" s="11">
        <v>261.86075169439312</v>
      </c>
      <c r="E8691" s="12">
        <f t="shared" si="135"/>
        <v>50129</v>
      </c>
    </row>
    <row r="8692" spans="1:5" x14ac:dyDescent="0.25">
      <c r="A8692" s="2">
        <f>IF(B8692="","",SUBTOTAL(3,$B$2:B8692))</f>
        <v>8691</v>
      </c>
      <c r="B8692" s="9" t="s">
        <v>48</v>
      </c>
      <c r="C8692" s="10" t="s">
        <v>56</v>
      </c>
      <c r="D8692" s="11">
        <v>69.316081330868769</v>
      </c>
      <c r="E8692" s="12">
        <f t="shared" si="135"/>
        <v>50130</v>
      </c>
    </row>
    <row r="8693" spans="1:5" x14ac:dyDescent="0.25">
      <c r="A8693" s="2">
        <f>IF(B8693="","",SUBTOTAL(3,$B$2:B8693))</f>
        <v>8692</v>
      </c>
      <c r="B8693" s="9" t="s">
        <v>48</v>
      </c>
      <c r="C8693" s="10" t="s">
        <v>56</v>
      </c>
      <c r="D8693" s="11">
        <v>23.105360443622921</v>
      </c>
      <c r="E8693" s="12">
        <f t="shared" si="135"/>
        <v>50131</v>
      </c>
    </row>
    <row r="8694" spans="1:5" x14ac:dyDescent="0.25">
      <c r="A8694" s="2">
        <f>IF(B8694="","",SUBTOTAL(3,$B$2:B8694))</f>
        <v>8693</v>
      </c>
      <c r="B8694" s="9" t="s">
        <v>55</v>
      </c>
      <c r="C8694" s="10" t="s">
        <v>56</v>
      </c>
      <c r="D8694" s="11">
        <v>14.443909484833895</v>
      </c>
      <c r="E8694" s="12">
        <f t="shared" si="135"/>
        <v>50132</v>
      </c>
    </row>
    <row r="8695" spans="1:5" x14ac:dyDescent="0.25">
      <c r="A8695" s="2">
        <f>IF(B8695="","",SUBTOTAL(3,$B$2:B8695))</f>
        <v>8694</v>
      </c>
      <c r="B8695" s="9" t="s">
        <v>48</v>
      </c>
      <c r="C8695" s="10" t="s">
        <v>56</v>
      </c>
      <c r="D8695" s="11">
        <v>38.508934072704868</v>
      </c>
      <c r="E8695" s="12">
        <f t="shared" si="135"/>
        <v>50133</v>
      </c>
    </row>
    <row r="8696" spans="1:5" x14ac:dyDescent="0.25">
      <c r="A8696" s="2">
        <f>IF(B8696="","",SUBTOTAL(3,$B$2:B8696))</f>
        <v>8695</v>
      </c>
      <c r="B8696" s="9" t="s">
        <v>51</v>
      </c>
      <c r="C8696" s="10" t="s">
        <v>56</v>
      </c>
      <c r="D8696" s="11">
        <v>127.9508630731759</v>
      </c>
      <c r="E8696" s="12">
        <f t="shared" si="135"/>
        <v>50134</v>
      </c>
    </row>
    <row r="8697" spans="1:5" x14ac:dyDescent="0.25">
      <c r="A8697" s="2">
        <f>IF(B8697="","",SUBTOTAL(3,$B$2:B8697))</f>
        <v>8696</v>
      </c>
      <c r="B8697" s="9" t="s">
        <v>51</v>
      </c>
      <c r="C8697" s="10" t="s">
        <v>56</v>
      </c>
      <c r="D8697" s="11">
        <v>118.05570263687387</v>
      </c>
      <c r="E8697" s="12">
        <f t="shared" si="135"/>
        <v>50135</v>
      </c>
    </row>
    <row r="8698" spans="1:5" x14ac:dyDescent="0.25">
      <c r="A8698" s="2">
        <f>IF(B8698="","",SUBTOTAL(3,$B$2:B8698))</f>
        <v>8697</v>
      </c>
      <c r="B8698" s="9" t="s">
        <v>51</v>
      </c>
      <c r="C8698" s="10" t="s">
        <v>56</v>
      </c>
      <c r="D8698" s="11">
        <v>317.69564756962825</v>
      </c>
      <c r="E8698" s="12">
        <f t="shared" si="135"/>
        <v>50136</v>
      </c>
    </row>
    <row r="8699" spans="1:5" x14ac:dyDescent="0.25">
      <c r="A8699" s="2">
        <f>IF(B8699="","",SUBTOTAL(3,$B$2:B8699))</f>
        <v>8698</v>
      </c>
      <c r="B8699" s="9" t="s">
        <v>55</v>
      </c>
      <c r="C8699" s="10" t="s">
        <v>56</v>
      </c>
      <c r="D8699" s="11">
        <v>12</v>
      </c>
      <c r="E8699" s="12">
        <f t="shared" si="135"/>
        <v>50137</v>
      </c>
    </row>
    <row r="8700" spans="1:5" x14ac:dyDescent="0.25">
      <c r="A8700" s="2">
        <f>IF(B8700="","",SUBTOTAL(3,$B$2:B8700))</f>
        <v>8699</v>
      </c>
      <c r="B8700" s="9" t="s">
        <v>55</v>
      </c>
      <c r="C8700" s="10" t="s">
        <v>56</v>
      </c>
      <c r="D8700" s="11">
        <v>12</v>
      </c>
      <c r="E8700" s="12">
        <f t="shared" si="135"/>
        <v>50138</v>
      </c>
    </row>
    <row r="8701" spans="1:5" x14ac:dyDescent="0.25">
      <c r="A8701" s="2">
        <f>IF(B8701="","",SUBTOTAL(3,$B$2:B8701))</f>
        <v>8700</v>
      </c>
      <c r="B8701" s="9" t="s">
        <v>48</v>
      </c>
      <c r="C8701" s="10" t="s">
        <v>56</v>
      </c>
      <c r="D8701" s="11">
        <v>46.210720887245841</v>
      </c>
      <c r="E8701" s="12">
        <f t="shared" si="135"/>
        <v>50139</v>
      </c>
    </row>
    <row r="8702" spans="1:5" x14ac:dyDescent="0.25">
      <c r="A8702" s="2">
        <f>IF(B8702="","",SUBTOTAL(3,$B$2:B8702))</f>
        <v>8701</v>
      </c>
      <c r="B8702" s="9" t="s">
        <v>51</v>
      </c>
      <c r="C8702" s="10" t="s">
        <v>56</v>
      </c>
      <c r="D8702" s="11">
        <v>211.79709837975219</v>
      </c>
      <c r="E8702" s="12">
        <f t="shared" si="135"/>
        <v>50140</v>
      </c>
    </row>
    <row r="8703" spans="1:5" x14ac:dyDescent="0.25">
      <c r="A8703" s="2">
        <f>IF(B8703="","",SUBTOTAL(3,$B$2:B8703))</f>
        <v>8702</v>
      </c>
      <c r="B8703" s="9" t="s">
        <v>53</v>
      </c>
      <c r="C8703" s="10" t="s">
        <v>56</v>
      </c>
      <c r="D8703" s="11">
        <v>18.317198933939025</v>
      </c>
      <c r="E8703" s="12">
        <f t="shared" si="135"/>
        <v>50141</v>
      </c>
    </row>
    <row r="8704" spans="1:5" x14ac:dyDescent="0.25">
      <c r="A8704" s="2">
        <f>IF(B8704="","",SUBTOTAL(3,$B$2:B8704))</f>
        <v>8703</v>
      </c>
      <c r="B8704" s="9" t="s">
        <v>48</v>
      </c>
      <c r="C8704" s="10" t="s">
        <v>56</v>
      </c>
      <c r="D8704" s="11">
        <v>16.943930991990143</v>
      </c>
      <c r="E8704" s="12">
        <f t="shared" si="135"/>
        <v>50142</v>
      </c>
    </row>
    <row r="8705" spans="1:5" x14ac:dyDescent="0.25">
      <c r="A8705" s="2">
        <f>IF(B8705="","",SUBTOTAL(3,$B$2:B8705))</f>
        <v>8704</v>
      </c>
      <c r="B8705" s="9" t="s">
        <v>53</v>
      </c>
      <c r="C8705" s="10" t="s">
        <v>56</v>
      </c>
      <c r="D8705" s="11">
        <v>22.896498667423781</v>
      </c>
      <c r="E8705" s="12">
        <f t="shared" si="135"/>
        <v>50143</v>
      </c>
    </row>
    <row r="8706" spans="1:5" x14ac:dyDescent="0.25">
      <c r="A8706" s="2">
        <f>IF(B8706="","",SUBTOTAL(3,$B$2:B8706))</f>
        <v>8705</v>
      </c>
      <c r="B8706" s="9" t="s">
        <v>51</v>
      </c>
      <c r="C8706" s="10" t="s">
        <v>56</v>
      </c>
      <c r="D8706" s="11">
        <v>10.58985491898761</v>
      </c>
      <c r="E8706" s="12">
        <f t="shared" si="135"/>
        <v>50144</v>
      </c>
    </row>
    <row r="8707" spans="1:5" x14ac:dyDescent="0.25">
      <c r="A8707" s="2">
        <f>IF(B8707="","",SUBTOTAL(3,$B$2:B8707))</f>
        <v>8706</v>
      </c>
      <c r="B8707" s="9" t="s">
        <v>51</v>
      </c>
      <c r="C8707" s="10" t="s">
        <v>56</v>
      </c>
      <c r="D8707" s="11">
        <v>127.0782590278513</v>
      </c>
      <c r="E8707" s="12">
        <f t="shared" si="135"/>
        <v>50145</v>
      </c>
    </row>
    <row r="8708" spans="1:5" x14ac:dyDescent="0.25">
      <c r="A8708" s="2">
        <f>IF(B8708="","",SUBTOTAL(3,$B$2:B8708))</f>
        <v>8707</v>
      </c>
      <c r="B8708" s="9" t="s">
        <v>55</v>
      </c>
      <c r="C8708" s="10" t="s">
        <v>56</v>
      </c>
      <c r="D8708" s="11">
        <v>24.073182474723158</v>
      </c>
      <c r="E8708" s="12">
        <f t="shared" ref="E8708:E8771" si="136">E8707+1</f>
        <v>50146</v>
      </c>
    </row>
    <row r="8709" spans="1:5" x14ac:dyDescent="0.25">
      <c r="A8709" s="2">
        <f>IF(B8709="","",SUBTOTAL(3,$B$2:B8709))</f>
        <v>8708</v>
      </c>
      <c r="B8709" s="9" t="s">
        <v>48</v>
      </c>
      <c r="C8709" s="10" t="s">
        <v>56</v>
      </c>
      <c r="D8709" s="11">
        <v>92.421441774491683</v>
      </c>
      <c r="E8709" s="12">
        <f t="shared" si="136"/>
        <v>50147</v>
      </c>
    </row>
    <row r="8710" spans="1:5" x14ac:dyDescent="0.25">
      <c r="A8710" s="2">
        <f>IF(B8710="","",SUBTOTAL(3,$B$2:B8710))</f>
        <v>8709</v>
      </c>
      <c r="B8710" s="9" t="s">
        <v>48</v>
      </c>
      <c r="C8710" s="10" t="s">
        <v>56</v>
      </c>
      <c r="D8710" s="11">
        <v>38.508934072704868</v>
      </c>
      <c r="E8710" s="12">
        <f t="shared" si="136"/>
        <v>50148</v>
      </c>
    </row>
    <row r="8711" spans="1:5" x14ac:dyDescent="0.25">
      <c r="A8711" s="2">
        <f>IF(B8711="","",SUBTOTAL(3,$B$2:B8711))</f>
        <v>8710</v>
      </c>
      <c r="B8711" s="9" t="s">
        <v>53</v>
      </c>
      <c r="C8711" s="10" t="s">
        <v>56</v>
      </c>
      <c r="D8711" s="11">
        <v>137.37899200454268</v>
      </c>
      <c r="E8711" s="12">
        <f t="shared" si="136"/>
        <v>50149</v>
      </c>
    </row>
    <row r="8712" spans="1:5" x14ac:dyDescent="0.25">
      <c r="A8712" s="2">
        <f>IF(B8712="","",SUBTOTAL(3,$B$2:B8712))</f>
        <v>8711</v>
      </c>
      <c r="B8712" s="9" t="s">
        <v>53</v>
      </c>
      <c r="C8712" s="10" t="s">
        <v>56</v>
      </c>
      <c r="D8712" s="11">
        <v>27.475798400908538</v>
      </c>
      <c r="E8712" s="12">
        <f t="shared" si="136"/>
        <v>50150</v>
      </c>
    </row>
    <row r="8713" spans="1:5" x14ac:dyDescent="0.25">
      <c r="A8713" s="2">
        <f>IF(B8713="","",SUBTOTAL(3,$B$2:B8713))</f>
        <v>8712</v>
      </c>
      <c r="B8713" s="9" t="s">
        <v>53</v>
      </c>
      <c r="C8713" s="10" t="s">
        <v>56</v>
      </c>
      <c r="D8713" s="11">
        <v>45.792997334847563</v>
      </c>
      <c r="E8713" s="12">
        <f t="shared" si="136"/>
        <v>50151</v>
      </c>
    </row>
    <row r="8714" spans="1:5" x14ac:dyDescent="0.25">
      <c r="A8714" s="2">
        <f>IF(B8714="","",SUBTOTAL(3,$B$2:B8714))</f>
        <v>8713</v>
      </c>
      <c r="B8714" s="9" t="s">
        <v>48</v>
      </c>
      <c r="C8714" s="10" t="s">
        <v>56</v>
      </c>
      <c r="D8714" s="11">
        <v>462.10720887245844</v>
      </c>
      <c r="E8714" s="12">
        <f t="shared" si="136"/>
        <v>50152</v>
      </c>
    </row>
    <row r="8715" spans="1:5" x14ac:dyDescent="0.25">
      <c r="A8715" s="2">
        <f>IF(B8715="","",SUBTOTAL(3,$B$2:B8715))</f>
        <v>8714</v>
      </c>
      <c r="B8715" s="9" t="s">
        <v>48</v>
      </c>
      <c r="C8715" s="10" t="s">
        <v>56</v>
      </c>
      <c r="D8715" s="11">
        <v>770.17868145409739</v>
      </c>
      <c r="E8715" s="12">
        <f t="shared" si="136"/>
        <v>50153</v>
      </c>
    </row>
    <row r="8716" spans="1:5" x14ac:dyDescent="0.25">
      <c r="A8716" s="2">
        <f>IF(B8716="","",SUBTOTAL(3,$B$2:B8716))</f>
        <v>8715</v>
      </c>
      <c r="B8716" s="9" t="s">
        <v>48</v>
      </c>
      <c r="C8716" s="10" t="s">
        <v>56</v>
      </c>
      <c r="D8716" s="11">
        <v>770.17868145409739</v>
      </c>
      <c r="E8716" s="12">
        <f t="shared" si="136"/>
        <v>50154</v>
      </c>
    </row>
    <row r="8717" spans="1:5" x14ac:dyDescent="0.25">
      <c r="A8717" s="2">
        <f>IF(B8717="","",SUBTOTAL(3,$B$2:B8717))</f>
        <v>8716</v>
      </c>
      <c r="B8717" s="9" t="s">
        <v>48</v>
      </c>
      <c r="C8717" s="10" t="s">
        <v>56</v>
      </c>
      <c r="D8717" s="11">
        <v>693.16081330868769</v>
      </c>
      <c r="E8717" s="12">
        <f t="shared" si="136"/>
        <v>50155</v>
      </c>
    </row>
    <row r="8718" spans="1:5" x14ac:dyDescent="0.25">
      <c r="A8718" s="2">
        <f>IF(B8718="","",SUBTOTAL(3,$B$2:B8718))</f>
        <v>8717</v>
      </c>
      <c r="B8718" s="9" t="s">
        <v>55</v>
      </c>
      <c r="C8718" s="10" t="s">
        <v>56</v>
      </c>
      <c r="D8718" s="11">
        <v>200</v>
      </c>
      <c r="E8718" s="12">
        <f t="shared" si="136"/>
        <v>50156</v>
      </c>
    </row>
    <row r="8719" spans="1:5" x14ac:dyDescent="0.25">
      <c r="A8719" s="2">
        <f>IF(B8719="","",SUBTOTAL(3,$B$2:B8719))</f>
        <v>8718</v>
      </c>
      <c r="B8719" s="9" t="s">
        <v>53</v>
      </c>
      <c r="C8719" s="10" t="s">
        <v>56</v>
      </c>
      <c r="D8719" s="11">
        <v>915.85994669695117</v>
      </c>
      <c r="E8719" s="12">
        <f t="shared" si="136"/>
        <v>50157</v>
      </c>
    </row>
    <row r="8720" spans="1:5" x14ac:dyDescent="0.25">
      <c r="A8720" s="2">
        <f>IF(B8720="","",SUBTOTAL(3,$B$2:B8720))</f>
        <v>8719</v>
      </c>
      <c r="B8720" s="9" t="s">
        <v>55</v>
      </c>
      <c r="C8720" s="10" t="s">
        <v>56</v>
      </c>
      <c r="D8720" s="11">
        <v>360</v>
      </c>
      <c r="E8720" s="12">
        <f t="shared" si="136"/>
        <v>50158</v>
      </c>
    </row>
    <row r="8721" spans="1:5" x14ac:dyDescent="0.25">
      <c r="A8721" s="2">
        <f>IF(B8721="","",SUBTOTAL(3,$B$2:B8721))</f>
        <v>8720</v>
      </c>
      <c r="B8721" s="9" t="s">
        <v>48</v>
      </c>
      <c r="C8721" s="10" t="s">
        <v>56</v>
      </c>
      <c r="D8721" s="11">
        <v>1771.4109673444241</v>
      </c>
      <c r="E8721" s="12">
        <f t="shared" si="136"/>
        <v>50159</v>
      </c>
    </row>
    <row r="8722" spans="1:5" x14ac:dyDescent="0.25">
      <c r="A8722" s="2">
        <f>IF(B8722="","",SUBTOTAL(3,$B$2:B8722))</f>
        <v>8721</v>
      </c>
      <c r="B8722" s="9" t="s">
        <v>48</v>
      </c>
      <c r="C8722" s="10" t="s">
        <v>56</v>
      </c>
      <c r="D8722" s="11">
        <v>1771.4109673444241</v>
      </c>
      <c r="E8722" s="12">
        <f t="shared" si="136"/>
        <v>50160</v>
      </c>
    </row>
    <row r="8723" spans="1:5" x14ac:dyDescent="0.25">
      <c r="A8723" s="2">
        <f>IF(B8723="","",SUBTOTAL(3,$B$2:B8723))</f>
        <v>8722</v>
      </c>
      <c r="B8723" s="9" t="s">
        <v>48</v>
      </c>
      <c r="C8723" s="10" t="s">
        <v>56</v>
      </c>
      <c r="D8723" s="11">
        <v>1771.4109673444241</v>
      </c>
      <c r="E8723" s="12">
        <f t="shared" si="136"/>
        <v>50161</v>
      </c>
    </row>
    <row r="8724" spans="1:5" x14ac:dyDescent="0.25">
      <c r="A8724" s="2">
        <f>IF(B8724="","",SUBTOTAL(3,$B$2:B8724))</f>
        <v>8723</v>
      </c>
      <c r="B8724" s="9" t="s">
        <v>48</v>
      </c>
      <c r="C8724" s="10" t="s">
        <v>56</v>
      </c>
      <c r="D8724" s="11">
        <v>38.508934072704868</v>
      </c>
      <c r="E8724" s="12">
        <f t="shared" si="136"/>
        <v>50162</v>
      </c>
    </row>
    <row r="8725" spans="1:5" x14ac:dyDescent="0.25">
      <c r="A8725" s="2">
        <f>IF(B8725="","",SUBTOTAL(3,$B$2:B8725))</f>
        <v>8724</v>
      </c>
      <c r="B8725" s="9" t="s">
        <v>48</v>
      </c>
      <c r="C8725" s="10" t="s">
        <v>56</v>
      </c>
      <c r="D8725" s="11">
        <v>38.508934072704868</v>
      </c>
      <c r="E8725" s="12">
        <f t="shared" si="136"/>
        <v>50163</v>
      </c>
    </row>
    <row r="8726" spans="1:5" x14ac:dyDescent="0.25">
      <c r="A8726" s="2">
        <f>IF(B8726="","",SUBTOTAL(3,$B$2:B8726))</f>
        <v>8725</v>
      </c>
      <c r="B8726" s="9" t="s">
        <v>48</v>
      </c>
      <c r="C8726" s="10" t="s">
        <v>56</v>
      </c>
      <c r="D8726" s="11">
        <v>77.017868145409736</v>
      </c>
      <c r="E8726" s="12">
        <f t="shared" si="136"/>
        <v>50164</v>
      </c>
    </row>
    <row r="8727" spans="1:5" x14ac:dyDescent="0.25">
      <c r="A8727" s="2">
        <f>IF(B8727="","",SUBTOTAL(3,$B$2:B8727))</f>
        <v>8726</v>
      </c>
      <c r="B8727" s="9" t="s">
        <v>48</v>
      </c>
      <c r="C8727" s="10" t="s">
        <v>56</v>
      </c>
      <c r="D8727" s="11">
        <v>15.403573629081947</v>
      </c>
      <c r="E8727" s="12">
        <f t="shared" si="136"/>
        <v>50165</v>
      </c>
    </row>
    <row r="8728" spans="1:5" x14ac:dyDescent="0.25">
      <c r="A8728" s="2">
        <f>IF(B8728="","",SUBTOTAL(3,$B$2:B8728))</f>
        <v>8727</v>
      </c>
      <c r="B8728" s="9" t="s">
        <v>53</v>
      </c>
      <c r="C8728" s="10" t="s">
        <v>56</v>
      </c>
      <c r="D8728" s="11">
        <v>274.75798400908536</v>
      </c>
      <c r="E8728" s="12">
        <f t="shared" si="136"/>
        <v>50166</v>
      </c>
    </row>
    <row r="8729" spans="1:5" x14ac:dyDescent="0.25">
      <c r="A8729" s="2">
        <f>IF(B8729="","",SUBTOTAL(3,$B$2:B8729))</f>
        <v>8728</v>
      </c>
      <c r="B8729" s="9" t="s">
        <v>48</v>
      </c>
      <c r="C8729" s="10" t="s">
        <v>56</v>
      </c>
      <c r="D8729" s="11">
        <v>38.54406228720466</v>
      </c>
      <c r="E8729" s="12">
        <f t="shared" si="136"/>
        <v>50167</v>
      </c>
    </row>
    <row r="8730" spans="1:5" x14ac:dyDescent="0.25">
      <c r="A8730" s="2">
        <f>IF(B8730="","",SUBTOTAL(3,$B$2:B8730))</f>
        <v>8729</v>
      </c>
      <c r="B8730" s="9" t="s">
        <v>48</v>
      </c>
      <c r="C8730" s="10" t="s">
        <v>56</v>
      </c>
      <c r="D8730" s="11">
        <v>14.132822838641708</v>
      </c>
      <c r="E8730" s="12">
        <f t="shared" si="136"/>
        <v>50168</v>
      </c>
    </row>
    <row r="8731" spans="1:5" x14ac:dyDescent="0.25">
      <c r="A8731" s="2">
        <f>IF(B8731="","",SUBTOTAL(3,$B$2:B8731))</f>
        <v>8730</v>
      </c>
      <c r="B8731" s="9" t="s">
        <v>48</v>
      </c>
      <c r="C8731" s="10" t="s">
        <v>56</v>
      </c>
      <c r="D8731" s="11">
        <v>38.508934072704868</v>
      </c>
      <c r="E8731" s="12">
        <f t="shared" si="136"/>
        <v>50169</v>
      </c>
    </row>
    <row r="8732" spans="1:5" x14ac:dyDescent="0.25">
      <c r="A8732" s="2">
        <f>IF(B8732="","",SUBTOTAL(3,$B$2:B8732))</f>
        <v>8731</v>
      </c>
      <c r="B8732" s="9" t="s">
        <v>48</v>
      </c>
      <c r="C8732" s="10" t="s">
        <v>56</v>
      </c>
      <c r="D8732" s="11">
        <v>25.696041524803107</v>
      </c>
      <c r="E8732" s="12">
        <f t="shared" si="136"/>
        <v>50170</v>
      </c>
    </row>
    <row r="8733" spans="1:5" x14ac:dyDescent="0.25">
      <c r="A8733" s="2">
        <f>IF(B8733="","",SUBTOTAL(3,$B$2:B8733))</f>
        <v>8732</v>
      </c>
      <c r="B8733" s="9" t="s">
        <v>51</v>
      </c>
      <c r="C8733" s="10" t="s">
        <v>56</v>
      </c>
      <c r="D8733" s="11">
        <v>95.308694270888495</v>
      </c>
      <c r="E8733" s="12">
        <f t="shared" si="136"/>
        <v>50171</v>
      </c>
    </row>
    <row r="8734" spans="1:5" x14ac:dyDescent="0.25">
      <c r="A8734" s="2">
        <f>IF(B8734="","",SUBTOTAL(3,$B$2:B8734))</f>
        <v>8733</v>
      </c>
      <c r="B8734" s="9" t="s">
        <v>48</v>
      </c>
      <c r="C8734" s="10" t="s">
        <v>56</v>
      </c>
      <c r="D8734" s="11">
        <v>12.848020762401553</v>
      </c>
      <c r="E8734" s="12">
        <f t="shared" si="136"/>
        <v>50172</v>
      </c>
    </row>
    <row r="8735" spans="1:5" x14ac:dyDescent="0.25">
      <c r="A8735" s="2">
        <f>IF(B8735="","",SUBTOTAL(3,$B$2:B8735))</f>
        <v>8734</v>
      </c>
      <c r="B8735" s="9" t="s">
        <v>51</v>
      </c>
      <c r="C8735" s="10" t="s">
        <v>56</v>
      </c>
      <c r="D8735" s="11">
        <v>317.69564756962825</v>
      </c>
      <c r="E8735" s="12">
        <f t="shared" si="136"/>
        <v>50173</v>
      </c>
    </row>
    <row r="8736" spans="1:5" x14ac:dyDescent="0.25">
      <c r="A8736" s="2">
        <f>IF(B8736="","",SUBTOTAL(3,$B$2:B8736))</f>
        <v>8735</v>
      </c>
      <c r="B8736" s="9" t="s">
        <v>51</v>
      </c>
      <c r="C8736" s="10" t="s">
        <v>56</v>
      </c>
      <c r="D8736" s="11">
        <v>102.54474213703273</v>
      </c>
      <c r="E8736" s="12">
        <f t="shared" si="136"/>
        <v>50174</v>
      </c>
    </row>
    <row r="8737" spans="1:5" x14ac:dyDescent="0.25">
      <c r="A8737" s="2">
        <f>IF(B8737="","",SUBTOTAL(3,$B$2:B8737))</f>
        <v>8736</v>
      </c>
      <c r="B8737" s="9" t="s">
        <v>53</v>
      </c>
      <c r="C8737" s="10" t="s">
        <v>56</v>
      </c>
      <c r="D8737" s="11">
        <v>13.737899200454269</v>
      </c>
      <c r="E8737" s="12">
        <f t="shared" si="136"/>
        <v>50175</v>
      </c>
    </row>
    <row r="8738" spans="1:5" x14ac:dyDescent="0.25">
      <c r="A8738" s="2">
        <f>IF(B8738="","",SUBTOTAL(3,$B$2:B8738))</f>
        <v>8737</v>
      </c>
      <c r="B8738" s="9" t="s">
        <v>55</v>
      </c>
      <c r="C8738" s="10" t="s">
        <v>56</v>
      </c>
      <c r="D8738" s="11">
        <v>13.035685188202706</v>
      </c>
      <c r="E8738" s="12">
        <f t="shared" si="136"/>
        <v>50176</v>
      </c>
    </row>
    <row r="8739" spans="1:5" x14ac:dyDescent="0.25">
      <c r="A8739" s="2">
        <f>IF(B8739="","",SUBTOTAL(3,$B$2:B8739))</f>
        <v>8738</v>
      </c>
      <c r="B8739" s="9" t="s">
        <v>53</v>
      </c>
      <c r="C8739" s="10" t="s">
        <v>56</v>
      </c>
      <c r="D8739" s="11">
        <v>18.317198933939025</v>
      </c>
      <c r="E8739" s="12">
        <f t="shared" si="136"/>
        <v>50177</v>
      </c>
    </row>
    <row r="8740" spans="1:5" x14ac:dyDescent="0.25">
      <c r="A8740" s="2">
        <f>IF(B8740="","",SUBTOTAL(3,$B$2:B8740))</f>
        <v>8739</v>
      </c>
      <c r="B8740" s="9" t="s">
        <v>48</v>
      </c>
      <c r="C8740" s="10" t="s">
        <v>56</v>
      </c>
      <c r="D8740" s="11">
        <v>23.105360443622921</v>
      </c>
      <c r="E8740" s="12">
        <f t="shared" si="136"/>
        <v>50178</v>
      </c>
    </row>
    <row r="8741" spans="1:5" x14ac:dyDescent="0.25">
      <c r="A8741" s="2">
        <f>IF(B8741="","",SUBTOTAL(3,$B$2:B8741))</f>
        <v>8740</v>
      </c>
      <c r="B8741" s="9" t="s">
        <v>53</v>
      </c>
      <c r="C8741" s="10" t="s">
        <v>56</v>
      </c>
      <c r="D8741" s="11">
        <v>82.427395202725606</v>
      </c>
      <c r="E8741" s="12">
        <f t="shared" si="136"/>
        <v>50179</v>
      </c>
    </row>
    <row r="8742" spans="1:5" x14ac:dyDescent="0.25">
      <c r="A8742" s="2">
        <f>IF(B8742="","",SUBTOTAL(3,$B$2:B8742))</f>
        <v>8741</v>
      </c>
      <c r="B8742" s="9" t="s">
        <v>53</v>
      </c>
      <c r="C8742" s="10" t="s">
        <v>56</v>
      </c>
      <c r="D8742" s="11">
        <v>27.475798400908538</v>
      </c>
      <c r="E8742" s="12">
        <f t="shared" si="136"/>
        <v>50180</v>
      </c>
    </row>
    <row r="8743" spans="1:5" x14ac:dyDescent="0.25">
      <c r="A8743" s="2">
        <f>IF(B8743="","",SUBTOTAL(3,$B$2:B8743))</f>
        <v>8742</v>
      </c>
      <c r="B8743" s="9" t="s">
        <v>48</v>
      </c>
      <c r="C8743" s="10" t="s">
        <v>56</v>
      </c>
      <c r="D8743" s="11">
        <v>77.017868145409736</v>
      </c>
      <c r="E8743" s="12">
        <f t="shared" si="136"/>
        <v>50181</v>
      </c>
    </row>
    <row r="8744" spans="1:5" x14ac:dyDescent="0.25">
      <c r="A8744" s="2">
        <f>IF(B8744="","",SUBTOTAL(3,$B$2:B8744))</f>
        <v>8743</v>
      </c>
      <c r="B8744" s="9" t="s">
        <v>48</v>
      </c>
      <c r="C8744" s="10" t="s">
        <v>56</v>
      </c>
      <c r="D8744" s="11">
        <v>123.22858903265558</v>
      </c>
      <c r="E8744" s="12">
        <f t="shared" si="136"/>
        <v>50182</v>
      </c>
    </row>
    <row r="8745" spans="1:5" x14ac:dyDescent="0.25">
      <c r="A8745" s="2">
        <f>IF(B8745="","",SUBTOTAL(3,$B$2:B8745))</f>
        <v>8744</v>
      </c>
      <c r="B8745" s="9" t="s">
        <v>51</v>
      </c>
      <c r="C8745" s="10" t="s">
        <v>56</v>
      </c>
      <c r="D8745" s="11">
        <v>51.890289103039287</v>
      </c>
      <c r="E8745" s="12">
        <f t="shared" si="136"/>
        <v>50183</v>
      </c>
    </row>
    <row r="8746" spans="1:5" x14ac:dyDescent="0.25">
      <c r="A8746" s="2">
        <f>IF(B8746="","",SUBTOTAL(3,$B$2:B8746))</f>
        <v>8745</v>
      </c>
      <c r="B8746" s="9" t="s">
        <v>48</v>
      </c>
      <c r="C8746" s="10" t="s">
        <v>56</v>
      </c>
      <c r="D8746" s="11">
        <v>53.912507701786815</v>
      </c>
      <c r="E8746" s="12">
        <f t="shared" si="136"/>
        <v>50184</v>
      </c>
    </row>
    <row r="8747" spans="1:5" x14ac:dyDescent="0.25">
      <c r="A8747" s="2">
        <f>IF(B8747="","",SUBTOTAL(3,$B$2:B8747))</f>
        <v>8746</v>
      </c>
      <c r="B8747" s="9" t="s">
        <v>48</v>
      </c>
      <c r="C8747" s="10" t="s">
        <v>56</v>
      </c>
      <c r="D8747" s="11">
        <v>27.726432532347506</v>
      </c>
      <c r="E8747" s="12">
        <f t="shared" si="136"/>
        <v>50185</v>
      </c>
    </row>
    <row r="8748" spans="1:5" x14ac:dyDescent="0.25">
      <c r="A8748" s="2">
        <f>IF(B8748="","",SUBTOTAL(3,$B$2:B8748))</f>
        <v>8747</v>
      </c>
      <c r="B8748" s="9" t="s">
        <v>55</v>
      </c>
      <c r="C8748" s="10" t="s">
        <v>56</v>
      </c>
      <c r="D8748" s="11">
        <v>80.243941582410528</v>
      </c>
      <c r="E8748" s="12">
        <f t="shared" si="136"/>
        <v>50186</v>
      </c>
    </row>
    <row r="8749" spans="1:5" x14ac:dyDescent="0.25">
      <c r="A8749" s="2">
        <f>IF(B8749="","",SUBTOTAL(3,$B$2:B8749))</f>
        <v>8748</v>
      </c>
      <c r="B8749" s="9" t="s">
        <v>48</v>
      </c>
      <c r="C8749" s="10" t="s">
        <v>56</v>
      </c>
      <c r="D8749" s="11">
        <v>30.807147258163894</v>
      </c>
      <c r="E8749" s="12">
        <f t="shared" si="136"/>
        <v>50187</v>
      </c>
    </row>
    <row r="8750" spans="1:5" x14ac:dyDescent="0.25">
      <c r="A8750" s="2">
        <f>IF(B8750="","",SUBTOTAL(3,$B$2:B8750))</f>
        <v>8749</v>
      </c>
      <c r="B8750" s="9" t="s">
        <v>48</v>
      </c>
      <c r="C8750" s="10" t="s">
        <v>56</v>
      </c>
      <c r="D8750" s="11">
        <v>92.421441774491683</v>
      </c>
      <c r="E8750" s="12">
        <f t="shared" si="136"/>
        <v>50188</v>
      </c>
    </row>
    <row r="8751" spans="1:5" x14ac:dyDescent="0.25">
      <c r="A8751" s="2">
        <f>IF(B8751="","",SUBTOTAL(3,$B$2:B8751))</f>
        <v>8750</v>
      </c>
      <c r="B8751" s="9" t="s">
        <v>48</v>
      </c>
      <c r="C8751" s="10" t="s">
        <v>56</v>
      </c>
      <c r="D8751" s="11">
        <v>154.03573629081947</v>
      </c>
      <c r="E8751" s="12">
        <f t="shared" si="136"/>
        <v>50189</v>
      </c>
    </row>
    <row r="8752" spans="1:5" x14ac:dyDescent="0.25">
      <c r="A8752" s="2">
        <f>IF(B8752="","",SUBTOTAL(3,$B$2:B8752))</f>
        <v>8751</v>
      </c>
      <c r="B8752" s="9" t="s">
        <v>48</v>
      </c>
      <c r="C8752" s="10" t="s">
        <v>56</v>
      </c>
      <c r="D8752" s="11">
        <v>92.421441774491683</v>
      </c>
      <c r="E8752" s="12">
        <f t="shared" si="136"/>
        <v>50190</v>
      </c>
    </row>
    <row r="8753" spans="1:5" x14ac:dyDescent="0.25">
      <c r="A8753" s="2">
        <f>IF(B8753="","",SUBTOTAL(3,$B$2:B8753))</f>
        <v>8752</v>
      </c>
      <c r="B8753" s="9" t="s">
        <v>48</v>
      </c>
      <c r="C8753" s="10" t="s">
        <v>56</v>
      </c>
      <c r="D8753" s="11">
        <v>68.941744226128904</v>
      </c>
      <c r="E8753" s="12">
        <f t="shared" si="136"/>
        <v>50191</v>
      </c>
    </row>
    <row r="8754" spans="1:5" x14ac:dyDescent="0.25">
      <c r="A8754" s="2">
        <f>IF(B8754="","",SUBTOTAL(3,$B$2:B8754))</f>
        <v>8753</v>
      </c>
      <c r="B8754" s="9" t="s">
        <v>51</v>
      </c>
      <c r="C8754" s="10" t="s">
        <v>56</v>
      </c>
      <c r="D8754" s="11">
        <v>105.89854918987609</v>
      </c>
      <c r="E8754" s="12">
        <f t="shared" si="136"/>
        <v>50192</v>
      </c>
    </row>
    <row r="8755" spans="1:5" x14ac:dyDescent="0.25">
      <c r="A8755" s="2">
        <f>IF(B8755="","",SUBTOTAL(3,$B$2:B8755))</f>
        <v>8754</v>
      </c>
      <c r="B8755" s="9" t="s">
        <v>53</v>
      </c>
      <c r="C8755" s="10" t="s">
        <v>56</v>
      </c>
      <c r="D8755" s="11">
        <v>54.951596801817075</v>
      </c>
      <c r="E8755" s="12">
        <f t="shared" si="136"/>
        <v>50193</v>
      </c>
    </row>
    <row r="8756" spans="1:5" x14ac:dyDescent="0.25">
      <c r="A8756" s="2">
        <f>IF(B8756="","",SUBTOTAL(3,$B$2:B8756))</f>
        <v>8755</v>
      </c>
      <c r="B8756" s="9" t="s">
        <v>55</v>
      </c>
      <c r="C8756" s="10" t="s">
        <v>56</v>
      </c>
      <c r="D8756" s="11">
        <v>96.292729898892631</v>
      </c>
      <c r="E8756" s="12">
        <f t="shared" si="136"/>
        <v>50194</v>
      </c>
    </row>
    <row r="8757" spans="1:5" x14ac:dyDescent="0.25">
      <c r="A8757" s="2">
        <f>IF(B8757="","",SUBTOTAL(3,$B$2:B8757))</f>
        <v>8756</v>
      </c>
      <c r="B8757" s="9" t="s">
        <v>51</v>
      </c>
      <c r="C8757" s="10" t="s">
        <v>56</v>
      </c>
      <c r="D8757" s="11">
        <v>52.669961915566006</v>
      </c>
      <c r="E8757" s="12">
        <f t="shared" si="136"/>
        <v>50195</v>
      </c>
    </row>
    <row r="8758" spans="1:5" x14ac:dyDescent="0.25">
      <c r="A8758" s="2">
        <f>IF(B8758="","",SUBTOTAL(3,$B$2:B8758))</f>
        <v>8757</v>
      </c>
      <c r="B8758" s="9" t="s">
        <v>53</v>
      </c>
      <c r="C8758" s="10" t="s">
        <v>56</v>
      </c>
      <c r="D8758" s="11">
        <v>85.174975042816456</v>
      </c>
      <c r="E8758" s="12">
        <f t="shared" si="136"/>
        <v>50196</v>
      </c>
    </row>
    <row r="8759" spans="1:5" x14ac:dyDescent="0.25">
      <c r="A8759" s="2">
        <f>IF(B8759="","",SUBTOTAL(3,$B$2:B8759))</f>
        <v>8758</v>
      </c>
      <c r="B8759" s="9" t="s">
        <v>51</v>
      </c>
      <c r="C8759" s="10" t="s">
        <v>56</v>
      </c>
      <c r="D8759" s="11">
        <v>190.61738854177699</v>
      </c>
      <c r="E8759" s="12">
        <f t="shared" si="136"/>
        <v>50197</v>
      </c>
    </row>
    <row r="8760" spans="1:5" x14ac:dyDescent="0.25">
      <c r="A8760" s="2">
        <f>IF(B8760="","",SUBTOTAL(3,$B$2:B8760))</f>
        <v>8759</v>
      </c>
      <c r="B8760" s="9" t="s">
        <v>48</v>
      </c>
      <c r="C8760" s="10" t="s">
        <v>56</v>
      </c>
      <c r="D8760" s="11">
        <v>184.84288354898337</v>
      </c>
      <c r="E8760" s="12">
        <f t="shared" si="136"/>
        <v>50198</v>
      </c>
    </row>
    <row r="8761" spans="1:5" x14ac:dyDescent="0.25">
      <c r="A8761" s="2">
        <f>IF(B8761="","",SUBTOTAL(3,$B$2:B8761))</f>
        <v>8760</v>
      </c>
      <c r="B8761" s="9" t="s">
        <v>51</v>
      </c>
      <c r="C8761" s="10" t="s">
        <v>56</v>
      </c>
      <c r="D8761" s="11">
        <v>105.89854918987609</v>
      </c>
      <c r="E8761" s="12">
        <f t="shared" si="136"/>
        <v>50199</v>
      </c>
    </row>
    <row r="8762" spans="1:5" x14ac:dyDescent="0.25">
      <c r="A8762" s="2">
        <f>IF(B8762="","",SUBTOTAL(3,$B$2:B8762))</f>
        <v>8761</v>
      </c>
      <c r="B8762" s="9" t="s">
        <v>48</v>
      </c>
      <c r="C8762" s="10" t="s">
        <v>56</v>
      </c>
      <c r="D8762" s="11">
        <v>46.210720887245841</v>
      </c>
      <c r="E8762" s="12">
        <f t="shared" si="136"/>
        <v>50200</v>
      </c>
    </row>
    <row r="8763" spans="1:5" x14ac:dyDescent="0.25">
      <c r="A8763" s="2">
        <f>IF(B8763="","",SUBTOTAL(3,$B$2:B8763))</f>
        <v>8762</v>
      </c>
      <c r="B8763" s="9" t="s">
        <v>51</v>
      </c>
      <c r="C8763" s="10" t="s">
        <v>56</v>
      </c>
      <c r="D8763" s="11">
        <v>21.179709837975221</v>
      </c>
      <c r="E8763" s="12">
        <f t="shared" si="136"/>
        <v>50201</v>
      </c>
    </row>
    <row r="8764" spans="1:5" x14ac:dyDescent="0.25">
      <c r="A8764" s="2">
        <f>IF(B8764="","",SUBTOTAL(3,$B$2:B8764))</f>
        <v>8763</v>
      </c>
      <c r="B8764" s="9" t="s">
        <v>48</v>
      </c>
      <c r="C8764" s="10" t="s">
        <v>56</v>
      </c>
      <c r="D8764" s="11">
        <v>61.614294516327789</v>
      </c>
      <c r="E8764" s="12">
        <f t="shared" si="136"/>
        <v>50202</v>
      </c>
    </row>
    <row r="8765" spans="1:5" x14ac:dyDescent="0.25">
      <c r="A8765" s="2">
        <f>IF(B8765="","",SUBTOTAL(3,$B$2:B8765))</f>
        <v>8764</v>
      </c>
      <c r="B8765" s="9" t="s">
        <v>53</v>
      </c>
      <c r="C8765" s="10" t="s">
        <v>56</v>
      </c>
      <c r="D8765" s="11">
        <v>82.427395202725606</v>
      </c>
      <c r="E8765" s="12">
        <f t="shared" si="136"/>
        <v>50203</v>
      </c>
    </row>
    <row r="8766" spans="1:5" x14ac:dyDescent="0.25">
      <c r="A8766" s="2">
        <f>IF(B8766="","",SUBTOTAL(3,$B$2:B8766))</f>
        <v>8765</v>
      </c>
      <c r="B8766" s="9" t="s">
        <v>48</v>
      </c>
      <c r="C8766" s="10" t="s">
        <v>56</v>
      </c>
      <c r="D8766" s="11">
        <v>53.912507701786815</v>
      </c>
      <c r="E8766" s="12">
        <f t="shared" si="136"/>
        <v>50204</v>
      </c>
    </row>
    <row r="8767" spans="1:5" x14ac:dyDescent="0.25">
      <c r="A8767" s="2">
        <f>IF(B8767="","",SUBTOTAL(3,$B$2:B8767))</f>
        <v>8766</v>
      </c>
      <c r="B8767" s="9" t="s">
        <v>53</v>
      </c>
      <c r="C8767" s="10" t="s">
        <v>56</v>
      </c>
      <c r="D8767" s="11">
        <v>45.792997334847563</v>
      </c>
      <c r="E8767" s="12">
        <f t="shared" si="136"/>
        <v>50205</v>
      </c>
    </row>
    <row r="8768" spans="1:5" x14ac:dyDescent="0.25">
      <c r="A8768" s="2">
        <f>IF(B8768="","",SUBTOTAL(3,$B$2:B8768))</f>
        <v>8767</v>
      </c>
      <c r="B8768" s="9" t="s">
        <v>48</v>
      </c>
      <c r="C8768" s="10" t="s">
        <v>56</v>
      </c>
      <c r="D8768" s="11">
        <v>51.706308169596689</v>
      </c>
      <c r="E8768" s="12">
        <f t="shared" si="136"/>
        <v>50206</v>
      </c>
    </row>
    <row r="8769" spans="1:5" x14ac:dyDescent="0.25">
      <c r="A8769" s="2">
        <f>IF(B8769="","",SUBTOTAL(3,$B$2:B8769))</f>
        <v>8768</v>
      </c>
      <c r="B8769" s="9" t="s">
        <v>48</v>
      </c>
      <c r="C8769" s="10" t="s">
        <v>56</v>
      </c>
      <c r="D8769" s="11">
        <v>34.470872113064452</v>
      </c>
      <c r="E8769" s="12">
        <f t="shared" si="136"/>
        <v>50207</v>
      </c>
    </row>
    <row r="8770" spans="1:5" x14ac:dyDescent="0.25">
      <c r="A8770" s="2">
        <f>IF(B8770="","",SUBTOTAL(3,$B$2:B8770))</f>
        <v>8769</v>
      </c>
      <c r="B8770" s="9" t="s">
        <v>48</v>
      </c>
      <c r="C8770" s="10" t="s">
        <v>56</v>
      </c>
      <c r="D8770" s="11">
        <v>41.58964879852126</v>
      </c>
      <c r="E8770" s="12">
        <f t="shared" si="136"/>
        <v>50208</v>
      </c>
    </row>
    <row r="8771" spans="1:5" x14ac:dyDescent="0.25">
      <c r="A8771" s="2">
        <f>IF(B8771="","",SUBTOTAL(3,$B$2:B8771))</f>
        <v>8770</v>
      </c>
      <c r="B8771" s="9" t="s">
        <v>53</v>
      </c>
      <c r="C8771" s="10" t="s">
        <v>56</v>
      </c>
      <c r="D8771" s="11">
        <v>36.63439786787805</v>
      </c>
      <c r="E8771" s="12">
        <f t="shared" si="136"/>
        <v>50209</v>
      </c>
    </row>
    <row r="8772" spans="1:5" x14ac:dyDescent="0.25">
      <c r="A8772" s="2">
        <f>IF(B8772="","",SUBTOTAL(3,$B$2:B8772))</f>
        <v>8771</v>
      </c>
      <c r="B8772" s="9" t="s">
        <v>51</v>
      </c>
      <c r="C8772" s="10" t="s">
        <v>56</v>
      </c>
      <c r="D8772" s="11">
        <v>254.15651805570261</v>
      </c>
      <c r="E8772" s="12">
        <f t="shared" ref="E8772:E8835" si="137">E8771+1</f>
        <v>50210</v>
      </c>
    </row>
    <row r="8773" spans="1:5" x14ac:dyDescent="0.25">
      <c r="A8773" s="2">
        <f>IF(B8773="","",SUBTOTAL(3,$B$2:B8773))</f>
        <v>8772</v>
      </c>
      <c r="B8773" s="9" t="s">
        <v>53</v>
      </c>
      <c r="C8773" s="10" t="s">
        <v>56</v>
      </c>
      <c r="D8773" s="11">
        <v>128.22039253757316</v>
      </c>
      <c r="E8773" s="12">
        <f t="shared" si="137"/>
        <v>50211</v>
      </c>
    </row>
    <row r="8774" spans="1:5" x14ac:dyDescent="0.25">
      <c r="A8774" s="2">
        <f>IF(B8774="","",SUBTOTAL(3,$B$2:B8774))</f>
        <v>8773</v>
      </c>
      <c r="B8774" s="9" t="s">
        <v>48</v>
      </c>
      <c r="C8774" s="10" t="s">
        <v>56</v>
      </c>
      <c r="D8774" s="11">
        <v>40.049291435613064</v>
      </c>
      <c r="E8774" s="12">
        <f t="shared" si="137"/>
        <v>50212</v>
      </c>
    </row>
    <row r="8775" spans="1:5" x14ac:dyDescent="0.25">
      <c r="A8775" s="2">
        <f>IF(B8775="","",SUBTOTAL(3,$B$2:B8775))</f>
        <v>8774</v>
      </c>
      <c r="B8775" s="9" t="s">
        <v>53</v>
      </c>
      <c r="C8775" s="10" t="s">
        <v>56</v>
      </c>
      <c r="D8775" s="11">
        <v>73.2687957357561</v>
      </c>
      <c r="E8775" s="12">
        <f t="shared" si="137"/>
        <v>50213</v>
      </c>
    </row>
    <row r="8776" spans="1:5" x14ac:dyDescent="0.25">
      <c r="A8776" s="2">
        <f>IF(B8776="","",SUBTOTAL(3,$B$2:B8776))</f>
        <v>8775</v>
      </c>
      <c r="B8776" s="9" t="s">
        <v>48</v>
      </c>
      <c r="C8776" s="10" t="s">
        <v>56</v>
      </c>
      <c r="D8776" s="11">
        <v>154.03573629081947</v>
      </c>
      <c r="E8776" s="12">
        <f t="shared" si="137"/>
        <v>50214</v>
      </c>
    </row>
    <row r="8777" spans="1:5" x14ac:dyDescent="0.25">
      <c r="A8777" s="2">
        <f>IF(B8777="","",SUBTOTAL(3,$B$2:B8777))</f>
        <v>8776</v>
      </c>
      <c r="B8777" s="9" t="s">
        <v>48</v>
      </c>
      <c r="C8777" s="10" t="s">
        <v>56</v>
      </c>
      <c r="D8777" s="11">
        <v>123.22858903265558</v>
      </c>
      <c r="E8777" s="12">
        <f t="shared" si="137"/>
        <v>50215</v>
      </c>
    </row>
    <row r="8778" spans="1:5" x14ac:dyDescent="0.25">
      <c r="A8778" s="2">
        <f>IF(B8778="","",SUBTOTAL(3,$B$2:B8778))</f>
        <v>8777</v>
      </c>
      <c r="B8778" s="9" t="s">
        <v>55</v>
      </c>
      <c r="C8778" s="10" t="s">
        <v>56</v>
      </c>
      <c r="D8778" s="11">
        <v>658.08090446639505</v>
      </c>
      <c r="E8778" s="12">
        <f t="shared" si="137"/>
        <v>50216</v>
      </c>
    </row>
    <row r="8779" spans="1:5" x14ac:dyDescent="0.25">
      <c r="A8779" s="2">
        <f>IF(B8779="","",SUBTOTAL(3,$B$2:B8779))</f>
        <v>8778</v>
      </c>
      <c r="B8779" s="9" t="s">
        <v>48</v>
      </c>
      <c r="C8779" s="10" t="s">
        <v>56</v>
      </c>
      <c r="D8779" s="11">
        <v>261.86075169439312</v>
      </c>
      <c r="E8779" s="12">
        <f t="shared" si="137"/>
        <v>50217</v>
      </c>
    </row>
    <row r="8780" spans="1:5" x14ac:dyDescent="0.25">
      <c r="A8780" s="2">
        <f>IF(B8780="","",SUBTOTAL(3,$B$2:B8780))</f>
        <v>8779</v>
      </c>
      <c r="B8780" s="9" t="s">
        <v>48</v>
      </c>
      <c r="C8780" s="10" t="s">
        <v>56</v>
      </c>
      <c r="D8780" s="11">
        <v>200.24645717806533</v>
      </c>
      <c r="E8780" s="12">
        <f t="shared" si="137"/>
        <v>50218</v>
      </c>
    </row>
    <row r="8781" spans="1:5" x14ac:dyDescent="0.25">
      <c r="A8781" s="2">
        <f>IF(B8781="","",SUBTOTAL(3,$B$2:B8781))</f>
        <v>8780</v>
      </c>
      <c r="B8781" s="9" t="s">
        <v>55</v>
      </c>
      <c r="C8781" s="10" t="s">
        <v>56</v>
      </c>
      <c r="D8781" s="11">
        <v>500</v>
      </c>
      <c r="E8781" s="12">
        <f t="shared" si="137"/>
        <v>50219</v>
      </c>
    </row>
    <row r="8782" spans="1:5" x14ac:dyDescent="0.25">
      <c r="A8782" s="2">
        <f>IF(B8782="","",SUBTOTAL(3,$B$2:B8782))</f>
        <v>8781</v>
      </c>
      <c r="B8782" s="9" t="s">
        <v>55</v>
      </c>
      <c r="C8782" s="10" t="s">
        <v>56</v>
      </c>
      <c r="D8782" s="11">
        <v>600</v>
      </c>
      <c r="E8782" s="12">
        <f t="shared" si="137"/>
        <v>50220</v>
      </c>
    </row>
    <row r="8783" spans="1:5" x14ac:dyDescent="0.25">
      <c r="A8783" s="2">
        <f>IF(B8783="","",SUBTOTAL(3,$B$2:B8783))</f>
        <v>8782</v>
      </c>
      <c r="B8783" s="9" t="s">
        <v>51</v>
      </c>
      <c r="C8783" s="10" t="s">
        <v>56</v>
      </c>
      <c r="D8783" s="11">
        <v>364.63819787699538</v>
      </c>
      <c r="E8783" s="12">
        <f t="shared" si="137"/>
        <v>50221</v>
      </c>
    </row>
    <row r="8784" spans="1:5" x14ac:dyDescent="0.25">
      <c r="A8784" s="2">
        <f>IF(B8784="","",SUBTOTAL(3,$B$2:B8784))</f>
        <v>8783</v>
      </c>
      <c r="B8784" s="9" t="s">
        <v>55</v>
      </c>
      <c r="C8784" s="10" t="s">
        <v>56</v>
      </c>
      <c r="D8784" s="11">
        <v>110</v>
      </c>
      <c r="E8784" s="12">
        <f t="shared" si="137"/>
        <v>50222</v>
      </c>
    </row>
    <row r="8785" spans="1:5" x14ac:dyDescent="0.25">
      <c r="A8785" s="2">
        <f>IF(B8785="","",SUBTOTAL(3,$B$2:B8785))</f>
        <v>8784</v>
      </c>
      <c r="B8785" s="9" t="s">
        <v>55</v>
      </c>
      <c r="C8785" s="10" t="s">
        <v>56</v>
      </c>
      <c r="D8785" s="11">
        <v>9.6292729898892634E-2</v>
      </c>
      <c r="E8785" s="12">
        <f t="shared" si="137"/>
        <v>50223</v>
      </c>
    </row>
    <row r="8786" spans="1:5" x14ac:dyDescent="0.25">
      <c r="A8786" s="2">
        <f>IF(B8786="","",SUBTOTAL(3,$B$2:B8786))</f>
        <v>8785</v>
      </c>
      <c r="B8786" s="9" t="s">
        <v>51</v>
      </c>
      <c r="C8786" s="10" t="s">
        <v>56</v>
      </c>
      <c r="D8786" s="11">
        <v>21.179709837975221</v>
      </c>
      <c r="E8786" s="12">
        <f t="shared" si="137"/>
        <v>50224</v>
      </c>
    </row>
    <row r="8787" spans="1:5" x14ac:dyDescent="0.25">
      <c r="A8787" s="2">
        <f>IF(B8787="","",SUBTOTAL(3,$B$2:B8787))</f>
        <v>8786</v>
      </c>
      <c r="B8787" s="9" t="s">
        <v>51</v>
      </c>
      <c r="C8787" s="10" t="s">
        <v>56</v>
      </c>
      <c r="D8787" s="11">
        <v>4.2359419675950436</v>
      </c>
      <c r="E8787" s="12">
        <f t="shared" si="137"/>
        <v>50225</v>
      </c>
    </row>
    <row r="8788" spans="1:5" x14ac:dyDescent="0.25">
      <c r="A8788" s="2">
        <f>IF(B8788="","",SUBTOTAL(3,$B$2:B8788))</f>
        <v>8787</v>
      </c>
      <c r="B8788" s="9" t="s">
        <v>48</v>
      </c>
      <c r="C8788" s="10" t="s">
        <v>56</v>
      </c>
      <c r="D8788" s="11">
        <v>277.26432532347508</v>
      </c>
      <c r="E8788" s="12">
        <f t="shared" si="137"/>
        <v>50226</v>
      </c>
    </row>
    <row r="8789" spans="1:5" x14ac:dyDescent="0.25">
      <c r="A8789" s="2">
        <f>IF(B8789="","",SUBTOTAL(3,$B$2:B8789))</f>
        <v>8788</v>
      </c>
      <c r="B8789" s="9" t="s">
        <v>55</v>
      </c>
      <c r="C8789" s="10" t="s">
        <v>56</v>
      </c>
      <c r="D8789" s="11">
        <v>401.21970791205263</v>
      </c>
      <c r="E8789" s="12">
        <f t="shared" si="137"/>
        <v>50227</v>
      </c>
    </row>
    <row r="8790" spans="1:5" x14ac:dyDescent="0.25">
      <c r="A8790" s="2">
        <f>IF(B8790="","",SUBTOTAL(3,$B$2:B8790))</f>
        <v>8789</v>
      </c>
      <c r="B8790" s="9" t="s">
        <v>48</v>
      </c>
      <c r="C8790" s="10" t="s">
        <v>56</v>
      </c>
      <c r="D8790" s="11">
        <v>77.017868145409736</v>
      </c>
      <c r="E8790" s="12">
        <f t="shared" si="137"/>
        <v>50228</v>
      </c>
    </row>
    <row r="8791" spans="1:5" x14ac:dyDescent="0.25">
      <c r="A8791" s="2">
        <f>IF(B8791="","",SUBTOTAL(3,$B$2:B8791))</f>
        <v>8790</v>
      </c>
      <c r="B8791" s="9" t="s">
        <v>53</v>
      </c>
      <c r="C8791" s="10" t="s">
        <v>56</v>
      </c>
      <c r="D8791" s="11">
        <v>274.75798400908536</v>
      </c>
      <c r="E8791" s="12">
        <f t="shared" si="137"/>
        <v>50229</v>
      </c>
    </row>
    <row r="8792" spans="1:5" x14ac:dyDescent="0.25">
      <c r="A8792" s="2">
        <f>IF(B8792="","",SUBTOTAL(3,$B$2:B8792))</f>
        <v>8791</v>
      </c>
      <c r="B8792" s="9" t="s">
        <v>53</v>
      </c>
      <c r="C8792" s="10" t="s">
        <v>56</v>
      </c>
      <c r="D8792" s="11">
        <v>274.75798400908536</v>
      </c>
      <c r="E8792" s="12">
        <f t="shared" si="137"/>
        <v>50230</v>
      </c>
    </row>
    <row r="8793" spans="1:5" x14ac:dyDescent="0.25">
      <c r="A8793" s="2">
        <f>IF(B8793="","",SUBTOTAL(3,$B$2:B8793))</f>
        <v>8792</v>
      </c>
      <c r="B8793" s="9" t="s">
        <v>51</v>
      </c>
      <c r="C8793" s="10" t="s">
        <v>56</v>
      </c>
      <c r="D8793" s="11">
        <v>169.43767870380177</v>
      </c>
      <c r="E8793" s="12">
        <f t="shared" si="137"/>
        <v>50231</v>
      </c>
    </row>
    <row r="8794" spans="1:5" x14ac:dyDescent="0.25">
      <c r="A8794" s="2">
        <f>IF(B8794="","",SUBTOTAL(3,$B$2:B8794))</f>
        <v>8793</v>
      </c>
      <c r="B8794" s="9" t="s">
        <v>48</v>
      </c>
      <c r="C8794" s="10" t="s">
        <v>56</v>
      </c>
      <c r="D8794" s="11">
        <v>46.210720887245841</v>
      </c>
      <c r="E8794" s="12">
        <f t="shared" si="137"/>
        <v>50232</v>
      </c>
    </row>
    <row r="8795" spans="1:5" x14ac:dyDescent="0.25">
      <c r="A8795" s="2">
        <f>IF(B8795="","",SUBTOTAL(3,$B$2:B8795))</f>
        <v>8794</v>
      </c>
      <c r="B8795" s="9" t="s">
        <v>53</v>
      </c>
      <c r="C8795" s="10" t="s">
        <v>56</v>
      </c>
      <c r="D8795" s="11">
        <v>91.585994669695125</v>
      </c>
      <c r="E8795" s="12">
        <f t="shared" si="137"/>
        <v>50233</v>
      </c>
    </row>
    <row r="8796" spans="1:5" x14ac:dyDescent="0.25">
      <c r="A8796" s="2">
        <f>IF(B8796="","",SUBTOTAL(3,$B$2:B8796))</f>
        <v>8795</v>
      </c>
      <c r="B8796" s="9" t="s">
        <v>55</v>
      </c>
      <c r="C8796" s="10" t="s">
        <v>56</v>
      </c>
      <c r="D8796" s="11">
        <v>240</v>
      </c>
      <c r="E8796" s="12">
        <f t="shared" si="137"/>
        <v>50234</v>
      </c>
    </row>
    <row r="8797" spans="1:5" x14ac:dyDescent="0.25">
      <c r="A8797" s="2">
        <f>IF(B8797="","",SUBTOTAL(3,$B$2:B8797))</f>
        <v>8796</v>
      </c>
      <c r="B8797" s="9" t="s">
        <v>51</v>
      </c>
      <c r="C8797" s="10" t="s">
        <v>56</v>
      </c>
      <c r="D8797" s="11">
        <v>158.84782378481412</v>
      </c>
      <c r="E8797" s="12">
        <f t="shared" si="137"/>
        <v>50235</v>
      </c>
    </row>
    <row r="8798" spans="1:5" x14ac:dyDescent="0.25">
      <c r="A8798" s="2">
        <f>IF(B8798="","",SUBTOTAL(3,$B$2:B8798))</f>
        <v>8797</v>
      </c>
      <c r="B8798" s="9" t="s">
        <v>55</v>
      </c>
      <c r="C8798" s="10" t="s">
        <v>56</v>
      </c>
      <c r="D8798" s="11">
        <v>40</v>
      </c>
      <c r="E8798" s="12">
        <f t="shared" si="137"/>
        <v>50236</v>
      </c>
    </row>
    <row r="8799" spans="1:5" x14ac:dyDescent="0.25">
      <c r="A8799" s="2">
        <f>IF(B8799="","",SUBTOTAL(3,$B$2:B8799))</f>
        <v>8798</v>
      </c>
      <c r="B8799" s="9" t="s">
        <v>55</v>
      </c>
      <c r="C8799" s="10" t="s">
        <v>56</v>
      </c>
      <c r="D8799" s="11">
        <v>80</v>
      </c>
      <c r="E8799" s="12">
        <f t="shared" si="137"/>
        <v>50237</v>
      </c>
    </row>
    <row r="8800" spans="1:5" x14ac:dyDescent="0.25">
      <c r="A8800" s="2">
        <f>IF(B8800="","",SUBTOTAL(3,$B$2:B8800))</f>
        <v>8799</v>
      </c>
      <c r="B8800" s="9" t="s">
        <v>55</v>
      </c>
      <c r="C8800" s="10" t="s">
        <v>56</v>
      </c>
      <c r="D8800" s="11">
        <v>120.3659123736158</v>
      </c>
      <c r="E8800" s="12">
        <f t="shared" si="137"/>
        <v>50238</v>
      </c>
    </row>
    <row r="8801" spans="1:5" x14ac:dyDescent="0.25">
      <c r="A8801" s="2">
        <f>IF(B8801="","",SUBTOTAL(3,$B$2:B8801))</f>
        <v>8800</v>
      </c>
      <c r="B8801" s="9" t="s">
        <v>51</v>
      </c>
      <c r="C8801" s="10" t="s">
        <v>56</v>
      </c>
      <c r="D8801" s="11">
        <v>667.16085989621945</v>
      </c>
      <c r="E8801" s="12">
        <f t="shared" si="137"/>
        <v>50239</v>
      </c>
    </row>
    <row r="8802" spans="1:5" x14ac:dyDescent="0.25">
      <c r="A8802" s="2">
        <f>IF(B8802="","",SUBTOTAL(3,$B$2:B8802))</f>
        <v>8801</v>
      </c>
      <c r="B8802" s="9" t="s">
        <v>48</v>
      </c>
      <c r="C8802" s="10" t="s">
        <v>56</v>
      </c>
      <c r="D8802" s="11">
        <v>308.07147258163894</v>
      </c>
      <c r="E8802" s="12">
        <f t="shared" si="137"/>
        <v>50240</v>
      </c>
    </row>
    <row r="8803" spans="1:5" x14ac:dyDescent="0.25">
      <c r="A8803" s="2">
        <f>IF(B8803="","",SUBTOTAL(3,$B$2:B8803))</f>
        <v>8802</v>
      </c>
      <c r="B8803" s="9" t="s">
        <v>48</v>
      </c>
      <c r="C8803" s="10" t="s">
        <v>56</v>
      </c>
      <c r="D8803" s="11">
        <v>123.22858903265558</v>
      </c>
      <c r="E8803" s="12">
        <f t="shared" si="137"/>
        <v>50241</v>
      </c>
    </row>
    <row r="8804" spans="1:5" x14ac:dyDescent="0.25">
      <c r="A8804" s="2">
        <f>IF(B8804="","",SUBTOTAL(3,$B$2:B8804))</f>
        <v>8803</v>
      </c>
      <c r="B8804" s="9" t="s">
        <v>55</v>
      </c>
      <c r="C8804" s="10" t="s">
        <v>56</v>
      </c>
      <c r="D8804" s="11">
        <v>60</v>
      </c>
      <c r="E8804" s="12">
        <f t="shared" si="137"/>
        <v>50242</v>
      </c>
    </row>
    <row r="8805" spans="1:5" x14ac:dyDescent="0.25">
      <c r="A8805" s="2">
        <f>IF(B8805="","",SUBTOTAL(3,$B$2:B8805))</f>
        <v>8804</v>
      </c>
      <c r="B8805" s="9" t="s">
        <v>48</v>
      </c>
      <c r="C8805" s="10" t="s">
        <v>56</v>
      </c>
      <c r="D8805" s="11">
        <v>69.316081330868769</v>
      </c>
      <c r="E8805" s="12">
        <f t="shared" si="137"/>
        <v>50243</v>
      </c>
    </row>
    <row r="8806" spans="1:5" x14ac:dyDescent="0.25">
      <c r="A8806" s="2">
        <f>IF(B8806="","",SUBTOTAL(3,$B$2:B8806))</f>
        <v>8805</v>
      </c>
      <c r="B8806" s="9" t="s">
        <v>51</v>
      </c>
      <c r="C8806" s="10" t="s">
        <v>56</v>
      </c>
      <c r="D8806" s="11">
        <v>476.54347135444243</v>
      </c>
      <c r="E8806" s="12">
        <f t="shared" si="137"/>
        <v>50244</v>
      </c>
    </row>
    <row r="8807" spans="1:5" x14ac:dyDescent="0.25">
      <c r="A8807" s="2">
        <f>IF(B8807="","",SUBTOTAL(3,$B$2:B8807))</f>
        <v>8806</v>
      </c>
      <c r="B8807" s="9" t="s">
        <v>55</v>
      </c>
      <c r="C8807" s="10" t="s">
        <v>56</v>
      </c>
      <c r="D8807" s="11">
        <v>40</v>
      </c>
      <c r="E8807" s="12">
        <f t="shared" si="137"/>
        <v>50245</v>
      </c>
    </row>
    <row r="8808" spans="1:5" x14ac:dyDescent="0.25">
      <c r="A8808" s="2">
        <f>IF(B8808="","",SUBTOTAL(3,$B$2:B8808))</f>
        <v>8807</v>
      </c>
      <c r="B8808" s="9" t="s">
        <v>53</v>
      </c>
      <c r="C8808" s="10" t="s">
        <v>56</v>
      </c>
      <c r="D8808" s="11">
        <v>63.001089873336575</v>
      </c>
      <c r="E8808" s="12">
        <f t="shared" si="137"/>
        <v>50246</v>
      </c>
    </row>
    <row r="8809" spans="1:5" x14ac:dyDescent="0.25">
      <c r="A8809" s="2">
        <f>IF(B8809="","",SUBTOTAL(3,$B$2:B8809))</f>
        <v>8808</v>
      </c>
      <c r="B8809" s="9" t="s">
        <v>48</v>
      </c>
      <c r="C8809" s="10" t="s">
        <v>56</v>
      </c>
      <c r="D8809" s="11">
        <v>123.22858903265558</v>
      </c>
      <c r="E8809" s="12">
        <f t="shared" si="137"/>
        <v>50247</v>
      </c>
    </row>
    <row r="8810" spans="1:5" x14ac:dyDescent="0.25">
      <c r="A8810" s="2">
        <f>IF(B8810="","",SUBTOTAL(3,$B$2:B8810))</f>
        <v>8809</v>
      </c>
      <c r="B8810" s="9" t="s">
        <v>48</v>
      </c>
      <c r="C8810" s="10" t="s">
        <v>56</v>
      </c>
      <c r="D8810" s="11">
        <v>123.22858903265558</v>
      </c>
      <c r="E8810" s="12">
        <f t="shared" si="137"/>
        <v>50248</v>
      </c>
    </row>
    <row r="8811" spans="1:5" x14ac:dyDescent="0.25">
      <c r="A8811" s="2">
        <f>IF(B8811="","",SUBTOTAL(3,$B$2:B8811))</f>
        <v>8810</v>
      </c>
      <c r="B8811" s="9" t="s">
        <v>51</v>
      </c>
      <c r="C8811" s="10" t="s">
        <v>56</v>
      </c>
      <c r="D8811" s="11">
        <v>127.0782590278513</v>
      </c>
      <c r="E8811" s="12">
        <f t="shared" si="137"/>
        <v>50249</v>
      </c>
    </row>
    <row r="8812" spans="1:5" x14ac:dyDescent="0.25">
      <c r="A8812" s="2">
        <f>IF(B8812="","",SUBTOTAL(3,$B$2:B8812))</f>
        <v>8811</v>
      </c>
      <c r="B8812" s="9" t="s">
        <v>51</v>
      </c>
      <c r="C8812" s="10" t="s">
        <v>56</v>
      </c>
      <c r="D8812" s="11">
        <v>476.54347135444243</v>
      </c>
      <c r="E8812" s="12">
        <f t="shared" si="137"/>
        <v>50250</v>
      </c>
    </row>
    <row r="8813" spans="1:5" x14ac:dyDescent="0.25">
      <c r="A8813" s="2">
        <f>IF(B8813="","",SUBTOTAL(3,$B$2:B8813))</f>
        <v>8812</v>
      </c>
      <c r="B8813" s="9" t="s">
        <v>48</v>
      </c>
      <c r="C8813" s="10" t="s">
        <v>56</v>
      </c>
      <c r="D8813" s="11">
        <v>123.22858903265558</v>
      </c>
      <c r="E8813" s="12">
        <f t="shared" si="137"/>
        <v>50251</v>
      </c>
    </row>
    <row r="8814" spans="1:5" x14ac:dyDescent="0.25">
      <c r="A8814" s="2">
        <f>IF(B8814="","",SUBTOTAL(3,$B$2:B8814))</f>
        <v>8813</v>
      </c>
      <c r="B8814" s="9" t="s">
        <v>53</v>
      </c>
      <c r="C8814" s="10" t="s">
        <v>56</v>
      </c>
      <c r="D8814" s="11">
        <v>91.585994669695125</v>
      </c>
      <c r="E8814" s="12">
        <f t="shared" si="137"/>
        <v>50252</v>
      </c>
    </row>
    <row r="8815" spans="1:5" x14ac:dyDescent="0.25">
      <c r="A8815" s="2">
        <f>IF(B8815="","",SUBTOTAL(3,$B$2:B8815))</f>
        <v>8814</v>
      </c>
      <c r="B8815" s="9" t="s">
        <v>51</v>
      </c>
      <c r="C8815" s="10" t="s">
        <v>56</v>
      </c>
      <c r="D8815" s="11">
        <v>370.64492216456637</v>
      </c>
      <c r="E8815" s="12">
        <f t="shared" si="137"/>
        <v>50253</v>
      </c>
    </row>
    <row r="8816" spans="1:5" x14ac:dyDescent="0.25">
      <c r="A8816" s="2">
        <f>IF(B8816="","",SUBTOTAL(3,$B$2:B8816))</f>
        <v>8815</v>
      </c>
      <c r="B8816" s="9" t="s">
        <v>55</v>
      </c>
      <c r="C8816" s="10" t="s">
        <v>56</v>
      </c>
      <c r="D8816" s="11">
        <v>500</v>
      </c>
      <c r="E8816" s="12">
        <f t="shared" si="137"/>
        <v>50254</v>
      </c>
    </row>
    <row r="8817" spans="1:5" x14ac:dyDescent="0.25">
      <c r="A8817" s="2">
        <f>IF(B8817="","",SUBTOTAL(3,$B$2:B8817))</f>
        <v>8816</v>
      </c>
      <c r="B8817" s="9" t="s">
        <v>55</v>
      </c>
      <c r="C8817" s="10" t="s">
        <v>56</v>
      </c>
      <c r="D8817" s="11">
        <v>16.452022611659878</v>
      </c>
      <c r="E8817" s="12">
        <f t="shared" si="137"/>
        <v>50255</v>
      </c>
    </row>
    <row r="8818" spans="1:5" x14ac:dyDescent="0.25">
      <c r="A8818" s="2">
        <f>IF(B8818="","",SUBTOTAL(3,$B$2:B8818))</f>
        <v>8817</v>
      </c>
      <c r="B8818" s="9" t="s">
        <v>55</v>
      </c>
      <c r="C8818" s="10" t="s">
        <v>56</v>
      </c>
      <c r="D8818" s="11">
        <v>98.712135669959252</v>
      </c>
      <c r="E8818" s="12">
        <f t="shared" si="137"/>
        <v>50256</v>
      </c>
    </row>
    <row r="8819" spans="1:5" x14ac:dyDescent="0.25">
      <c r="A8819" s="2">
        <f>IF(B8819="","",SUBTOTAL(3,$B$2:B8819))</f>
        <v>8818</v>
      </c>
      <c r="B8819" s="9" t="s">
        <v>55</v>
      </c>
      <c r="C8819" s="10" t="s">
        <v>56</v>
      </c>
      <c r="D8819" s="11">
        <v>65.808090446639511</v>
      </c>
      <c r="E8819" s="12">
        <f t="shared" si="137"/>
        <v>50257</v>
      </c>
    </row>
    <row r="8820" spans="1:5" x14ac:dyDescent="0.25">
      <c r="A8820" s="2">
        <f>IF(B8820="","",SUBTOTAL(3,$B$2:B8820))</f>
        <v>8819</v>
      </c>
      <c r="B8820" s="9" t="s">
        <v>50</v>
      </c>
      <c r="C8820" s="10" t="s">
        <v>56</v>
      </c>
      <c r="D8820" s="11">
        <v>110.22927689594357</v>
      </c>
      <c r="E8820" s="12">
        <f t="shared" si="137"/>
        <v>50258</v>
      </c>
    </row>
    <row r="8821" spans="1:5" x14ac:dyDescent="0.25">
      <c r="A8821" s="2">
        <f>IF(B8821="","",SUBTOTAL(3,$B$2:B8821))</f>
        <v>8820</v>
      </c>
      <c r="B8821" s="9" t="s">
        <v>51</v>
      </c>
      <c r="C8821" s="10" t="s">
        <v>56</v>
      </c>
      <c r="D8821" s="11">
        <v>74.128984432913256</v>
      </c>
      <c r="E8821" s="12">
        <f t="shared" si="137"/>
        <v>50259</v>
      </c>
    </row>
    <row r="8822" spans="1:5" x14ac:dyDescent="0.25">
      <c r="A8822" s="2">
        <f>IF(B8822="","",SUBTOTAL(3,$B$2:B8822))</f>
        <v>8821</v>
      </c>
      <c r="B8822" s="9" t="s">
        <v>55</v>
      </c>
      <c r="C8822" s="10" t="s">
        <v>56</v>
      </c>
      <c r="D8822" s="11">
        <v>23.724947042528925</v>
      </c>
      <c r="E8822" s="12">
        <f t="shared" si="137"/>
        <v>50260</v>
      </c>
    </row>
    <row r="8823" spans="1:5" x14ac:dyDescent="0.25">
      <c r="A8823" s="2">
        <f>IF(B8823="","",SUBTOTAL(3,$B$2:B8823))</f>
        <v>8822</v>
      </c>
      <c r="B8823" s="9" t="s">
        <v>55</v>
      </c>
      <c r="C8823" s="10" t="s">
        <v>56</v>
      </c>
      <c r="D8823" s="11">
        <v>16.452022611659878</v>
      </c>
      <c r="E8823" s="12">
        <f t="shared" si="137"/>
        <v>50261</v>
      </c>
    </row>
    <row r="8824" spans="1:5" x14ac:dyDescent="0.25">
      <c r="A8824" s="2">
        <f>IF(B8824="","",SUBTOTAL(3,$B$2:B8824))</f>
        <v>8823</v>
      </c>
      <c r="B8824" s="9" t="s">
        <v>55</v>
      </c>
      <c r="C8824" s="10" t="s">
        <v>56</v>
      </c>
      <c r="D8824" s="11">
        <v>118.45456280395112</v>
      </c>
      <c r="E8824" s="12">
        <f t="shared" si="137"/>
        <v>50262</v>
      </c>
    </row>
    <row r="8825" spans="1:5" x14ac:dyDescent="0.25">
      <c r="A8825" s="2">
        <f>IF(B8825="","",SUBTOTAL(3,$B$2:B8825))</f>
        <v>8824</v>
      </c>
      <c r="B8825" s="9" t="s">
        <v>53</v>
      </c>
      <c r="C8825" s="10" t="s">
        <v>56</v>
      </c>
      <c r="D8825" s="11">
        <v>13.737899200454269</v>
      </c>
      <c r="E8825" s="12">
        <f t="shared" si="137"/>
        <v>50263</v>
      </c>
    </row>
    <row r="8826" spans="1:5" x14ac:dyDescent="0.25">
      <c r="A8826" s="2">
        <f>IF(B8826="","",SUBTOTAL(3,$B$2:B8826))</f>
        <v>8825</v>
      </c>
      <c r="B8826" s="9" t="s">
        <v>51</v>
      </c>
      <c r="C8826" s="10" t="s">
        <v>56</v>
      </c>
      <c r="D8826" s="11">
        <v>84.718839351900883</v>
      </c>
      <c r="E8826" s="12">
        <f t="shared" si="137"/>
        <v>50264</v>
      </c>
    </row>
    <row r="8827" spans="1:5" x14ac:dyDescent="0.25">
      <c r="A8827" s="2">
        <f>IF(B8827="","",SUBTOTAL(3,$B$2:B8827))</f>
        <v>8826</v>
      </c>
      <c r="B8827" s="9" t="s">
        <v>55</v>
      </c>
      <c r="C8827" s="10" t="s">
        <v>56</v>
      </c>
      <c r="D8827" s="11">
        <v>18.906434057002969</v>
      </c>
      <c r="E8827" s="12">
        <f t="shared" si="137"/>
        <v>50265</v>
      </c>
    </row>
    <row r="8828" spans="1:5" x14ac:dyDescent="0.25">
      <c r="A8828" s="2">
        <f>IF(B8828="","",SUBTOTAL(3,$B$2:B8828))</f>
        <v>8827</v>
      </c>
      <c r="B8828" s="9" t="s">
        <v>51</v>
      </c>
      <c r="C8828" s="10" t="s">
        <v>56</v>
      </c>
      <c r="D8828" s="11">
        <v>40.515355319666149</v>
      </c>
      <c r="E8828" s="12">
        <f t="shared" si="137"/>
        <v>50266</v>
      </c>
    </row>
    <row r="8829" spans="1:5" x14ac:dyDescent="0.25">
      <c r="A8829" s="2">
        <f>IF(B8829="","",SUBTOTAL(3,$B$2:B8829))</f>
        <v>8828</v>
      </c>
      <c r="B8829" s="9" t="s">
        <v>55</v>
      </c>
      <c r="C8829" s="10" t="s">
        <v>56</v>
      </c>
      <c r="D8829" s="11">
        <v>12</v>
      </c>
      <c r="E8829" s="12">
        <f t="shared" si="137"/>
        <v>50267</v>
      </c>
    </row>
    <row r="8830" spans="1:5" x14ac:dyDescent="0.25">
      <c r="A8830" s="2">
        <f>IF(B8830="","",SUBTOTAL(3,$B$2:B8830))</f>
        <v>8829</v>
      </c>
      <c r="B8830" s="9" t="s">
        <v>53</v>
      </c>
      <c r="C8830" s="10" t="s">
        <v>56</v>
      </c>
      <c r="D8830" s="11">
        <v>27.475798400908538</v>
      </c>
      <c r="E8830" s="12">
        <f t="shared" si="137"/>
        <v>50268</v>
      </c>
    </row>
    <row r="8831" spans="1:5" x14ac:dyDescent="0.25">
      <c r="A8831" s="2">
        <f>IF(B8831="","",SUBTOTAL(3,$B$2:B8831))</f>
        <v>8830</v>
      </c>
      <c r="B8831" s="9" t="s">
        <v>55</v>
      </c>
      <c r="C8831" s="10" t="s">
        <v>56</v>
      </c>
      <c r="D8831" s="11">
        <v>12</v>
      </c>
      <c r="E8831" s="12">
        <f t="shared" si="137"/>
        <v>50269</v>
      </c>
    </row>
    <row r="8832" spans="1:5" x14ac:dyDescent="0.25">
      <c r="A8832" s="2">
        <f>IF(B8832="","",SUBTOTAL(3,$B$2:B8832))</f>
        <v>8831</v>
      </c>
      <c r="B8832" s="9" t="s">
        <v>51</v>
      </c>
      <c r="C8832" s="10" t="s">
        <v>56</v>
      </c>
      <c r="D8832" s="11">
        <v>105.89854918987609</v>
      </c>
      <c r="E8832" s="12">
        <f t="shared" si="137"/>
        <v>50270</v>
      </c>
    </row>
    <row r="8833" spans="1:5" x14ac:dyDescent="0.25">
      <c r="A8833" s="2">
        <f>IF(B8833="","",SUBTOTAL(3,$B$2:B8833))</f>
        <v>8832</v>
      </c>
      <c r="B8833" s="9" t="s">
        <v>51</v>
      </c>
      <c r="C8833" s="10" t="s">
        <v>56</v>
      </c>
      <c r="D8833" s="11">
        <v>10.58985491898761</v>
      </c>
      <c r="E8833" s="12">
        <f t="shared" si="137"/>
        <v>50271</v>
      </c>
    </row>
    <row r="8834" spans="1:5" x14ac:dyDescent="0.25">
      <c r="A8834" s="2">
        <f>IF(B8834="","",SUBTOTAL(3,$B$2:B8834))</f>
        <v>8833</v>
      </c>
      <c r="B8834" s="9" t="s">
        <v>55</v>
      </c>
      <c r="C8834" s="10" t="s">
        <v>56</v>
      </c>
      <c r="D8834" s="11">
        <v>12</v>
      </c>
      <c r="E8834" s="12">
        <f t="shared" si="137"/>
        <v>50272</v>
      </c>
    </row>
    <row r="8835" spans="1:5" x14ac:dyDescent="0.25">
      <c r="A8835" s="2">
        <f>IF(B8835="","",SUBTOTAL(3,$B$2:B8835))</f>
        <v>8834</v>
      </c>
      <c r="B8835" s="9" t="s">
        <v>51</v>
      </c>
      <c r="C8835" s="10" t="s">
        <v>56</v>
      </c>
      <c r="D8835" s="11">
        <v>21.179709837975221</v>
      </c>
      <c r="E8835" s="12">
        <f t="shared" si="137"/>
        <v>50273</v>
      </c>
    </row>
    <row r="8836" spans="1:5" x14ac:dyDescent="0.25">
      <c r="A8836" s="2">
        <f>IF(B8836="","",SUBTOTAL(3,$B$2:B8836))</f>
        <v>8835</v>
      </c>
      <c r="B8836" s="9" t="s">
        <v>51</v>
      </c>
      <c r="C8836" s="10" t="s">
        <v>56</v>
      </c>
      <c r="D8836" s="11">
        <v>8.1030710639332302</v>
      </c>
      <c r="E8836" s="12">
        <f t="shared" ref="E8836:E8899" si="138">E8835+1</f>
        <v>50274</v>
      </c>
    </row>
    <row r="8837" spans="1:5" x14ac:dyDescent="0.25">
      <c r="A8837" s="2">
        <f>IF(B8837="","",SUBTOTAL(3,$B$2:B8837))</f>
        <v>8836</v>
      </c>
      <c r="B8837" s="9" t="s">
        <v>48</v>
      </c>
      <c r="C8837" s="10" t="s">
        <v>56</v>
      </c>
      <c r="D8837" s="11">
        <v>12.322858903265558</v>
      </c>
      <c r="E8837" s="12">
        <f t="shared" si="138"/>
        <v>50275</v>
      </c>
    </row>
    <row r="8838" spans="1:5" x14ac:dyDescent="0.25">
      <c r="A8838" s="2">
        <f>IF(B8838="","",SUBTOTAL(3,$B$2:B8838))</f>
        <v>8837</v>
      </c>
      <c r="B8838" s="9" t="s">
        <v>53</v>
      </c>
      <c r="C8838" s="10" t="s">
        <v>56</v>
      </c>
      <c r="D8838" s="11">
        <v>18.317198933939025</v>
      </c>
      <c r="E8838" s="12">
        <f t="shared" si="138"/>
        <v>50276</v>
      </c>
    </row>
    <row r="8839" spans="1:5" x14ac:dyDescent="0.25">
      <c r="A8839" s="2">
        <f>IF(B8839="","",SUBTOTAL(3,$B$2:B8839))</f>
        <v>8838</v>
      </c>
      <c r="B8839" s="9" t="s">
        <v>53</v>
      </c>
      <c r="C8839" s="10" t="s">
        <v>56</v>
      </c>
      <c r="D8839" s="11">
        <v>7.3268795735756092</v>
      </c>
      <c r="E8839" s="12">
        <f t="shared" si="138"/>
        <v>50277</v>
      </c>
    </row>
    <row r="8840" spans="1:5" x14ac:dyDescent="0.25">
      <c r="A8840" s="2">
        <f>IF(B8840="","",SUBTOTAL(3,$B$2:B8840))</f>
        <v>8839</v>
      </c>
      <c r="B8840" s="9" t="s">
        <v>55</v>
      </c>
      <c r="C8840" s="10" t="s">
        <v>56</v>
      </c>
      <c r="D8840" s="11">
        <v>100</v>
      </c>
      <c r="E8840" s="12">
        <f t="shared" si="138"/>
        <v>50278</v>
      </c>
    </row>
    <row r="8841" spans="1:5" x14ac:dyDescent="0.25">
      <c r="A8841" s="2">
        <f>IF(B8841="","",SUBTOTAL(3,$B$2:B8841))</f>
        <v>8840</v>
      </c>
      <c r="B8841" s="9" t="s">
        <v>53</v>
      </c>
      <c r="C8841" s="10" t="s">
        <v>56</v>
      </c>
      <c r="D8841" s="11">
        <v>13.279969227105791</v>
      </c>
      <c r="E8841" s="12">
        <f t="shared" si="138"/>
        <v>50279</v>
      </c>
    </row>
    <row r="8842" spans="1:5" x14ac:dyDescent="0.25">
      <c r="A8842" s="2">
        <f>IF(B8842="","",SUBTOTAL(3,$B$2:B8842))</f>
        <v>8841</v>
      </c>
      <c r="B8842" s="9" t="s">
        <v>53</v>
      </c>
      <c r="C8842" s="10" t="s">
        <v>56</v>
      </c>
      <c r="D8842" s="11">
        <v>320.5509813439329</v>
      </c>
      <c r="E8842" s="12">
        <f t="shared" si="138"/>
        <v>50280</v>
      </c>
    </row>
    <row r="8843" spans="1:5" x14ac:dyDescent="0.25">
      <c r="A8843" s="2">
        <f>IF(B8843="","",SUBTOTAL(3,$B$2:B8843))</f>
        <v>8842</v>
      </c>
      <c r="B8843" s="9" t="s">
        <v>50</v>
      </c>
      <c r="C8843" s="10" t="s">
        <v>56</v>
      </c>
      <c r="D8843" s="11">
        <v>399.5590828924162</v>
      </c>
      <c r="E8843" s="12">
        <f t="shared" si="138"/>
        <v>50281</v>
      </c>
    </row>
    <row r="8844" spans="1:5" x14ac:dyDescent="0.25">
      <c r="A8844" s="2">
        <f>IF(B8844="","",SUBTOTAL(3,$B$2:B8844))</f>
        <v>8843</v>
      </c>
      <c r="B8844" s="9" t="s">
        <v>51</v>
      </c>
      <c r="C8844" s="10" t="s">
        <v>56</v>
      </c>
      <c r="D8844" s="11">
        <v>56.721497447532613</v>
      </c>
      <c r="E8844" s="12">
        <f t="shared" si="138"/>
        <v>50282</v>
      </c>
    </row>
    <row r="8845" spans="1:5" x14ac:dyDescent="0.25">
      <c r="A8845" s="2">
        <f>IF(B8845="","",SUBTOTAL(3,$B$2:B8845))</f>
        <v>8844</v>
      </c>
      <c r="B8845" s="9" t="s">
        <v>51</v>
      </c>
      <c r="C8845" s="10" t="s">
        <v>56</v>
      </c>
      <c r="D8845" s="11">
        <v>21.179709837975221</v>
      </c>
      <c r="E8845" s="12">
        <f t="shared" si="138"/>
        <v>50283</v>
      </c>
    </row>
    <row r="8846" spans="1:5" x14ac:dyDescent="0.25">
      <c r="A8846" s="2">
        <f>IF(B8846="","",SUBTOTAL(3,$B$2:B8846))</f>
        <v>8845</v>
      </c>
      <c r="B8846" s="9" t="s">
        <v>48</v>
      </c>
      <c r="C8846" s="10" t="s">
        <v>56</v>
      </c>
      <c r="D8846" s="11">
        <v>89.936145336810867</v>
      </c>
      <c r="E8846" s="12">
        <f t="shared" si="138"/>
        <v>50284</v>
      </c>
    </row>
    <row r="8847" spans="1:5" x14ac:dyDescent="0.25">
      <c r="A8847" s="2">
        <f>IF(B8847="","",SUBTOTAL(3,$B$2:B8847))</f>
        <v>8846</v>
      </c>
      <c r="B8847" s="9" t="s">
        <v>55</v>
      </c>
      <c r="C8847" s="10" t="s">
        <v>56</v>
      </c>
      <c r="D8847" s="11">
        <v>9.6292729898892624</v>
      </c>
      <c r="E8847" s="12">
        <f t="shared" si="138"/>
        <v>50285</v>
      </c>
    </row>
    <row r="8848" spans="1:5" x14ac:dyDescent="0.25">
      <c r="A8848" s="2">
        <f>IF(B8848="","",SUBTOTAL(3,$B$2:B8848))</f>
        <v>8847</v>
      </c>
      <c r="B8848" s="9" t="s">
        <v>53</v>
      </c>
      <c r="C8848" s="10" t="s">
        <v>56</v>
      </c>
      <c r="D8848" s="11">
        <v>91.585994669695125</v>
      </c>
      <c r="E8848" s="12">
        <f t="shared" si="138"/>
        <v>50286</v>
      </c>
    </row>
    <row r="8849" spans="1:5" x14ac:dyDescent="0.25">
      <c r="A8849" s="2">
        <f>IF(B8849="","",SUBTOTAL(3,$B$2:B8849))</f>
        <v>8848</v>
      </c>
      <c r="B8849" s="9" t="s">
        <v>55</v>
      </c>
      <c r="C8849" s="10" t="s">
        <v>56</v>
      </c>
      <c r="D8849" s="11">
        <v>2.63232361786558</v>
      </c>
      <c r="E8849" s="12">
        <f t="shared" si="138"/>
        <v>50287</v>
      </c>
    </row>
    <row r="8850" spans="1:5" x14ac:dyDescent="0.25">
      <c r="A8850" s="2">
        <f>IF(B8850="","",SUBTOTAL(3,$B$2:B8850))</f>
        <v>8849</v>
      </c>
      <c r="B8850" s="9" t="s">
        <v>48</v>
      </c>
      <c r="C8850" s="10" t="s">
        <v>56</v>
      </c>
      <c r="D8850" s="11">
        <v>15.384742975344651</v>
      </c>
      <c r="E8850" s="12">
        <f t="shared" si="138"/>
        <v>50288</v>
      </c>
    </row>
    <row r="8851" spans="1:5" x14ac:dyDescent="0.25">
      <c r="A8851" s="2">
        <f>IF(B8851="","",SUBTOTAL(3,$B$2:B8851))</f>
        <v>8850</v>
      </c>
      <c r="B8851" s="9" t="s">
        <v>48</v>
      </c>
      <c r="C8851" s="10" t="s">
        <v>56</v>
      </c>
      <c r="D8851" s="11">
        <v>15.403573629081947</v>
      </c>
      <c r="E8851" s="12">
        <f t="shared" si="138"/>
        <v>50289</v>
      </c>
    </row>
    <row r="8852" spans="1:5" x14ac:dyDescent="0.25">
      <c r="A8852" s="2">
        <f>IF(B8852="","",SUBTOTAL(3,$B$2:B8852))</f>
        <v>8851</v>
      </c>
      <c r="B8852" s="9" t="s">
        <v>48</v>
      </c>
      <c r="C8852" s="10" t="s">
        <v>56</v>
      </c>
      <c r="D8852" s="11">
        <v>7.7017868145409736</v>
      </c>
      <c r="E8852" s="12">
        <f t="shared" si="138"/>
        <v>50290</v>
      </c>
    </row>
    <row r="8853" spans="1:5" x14ac:dyDescent="0.25">
      <c r="A8853" s="2">
        <f>IF(B8853="","",SUBTOTAL(3,$B$2:B8853))</f>
        <v>8852</v>
      </c>
      <c r="B8853" s="9" t="s">
        <v>51</v>
      </c>
      <c r="C8853" s="10" t="s">
        <v>56</v>
      </c>
      <c r="D8853" s="11">
        <v>15.884782378481413</v>
      </c>
      <c r="E8853" s="12">
        <f t="shared" si="138"/>
        <v>50291</v>
      </c>
    </row>
    <row r="8854" spans="1:5" x14ac:dyDescent="0.25">
      <c r="A8854" s="2">
        <f>IF(B8854="","",SUBTOTAL(3,$B$2:B8854))</f>
        <v>8853</v>
      </c>
      <c r="B8854" s="9" t="s">
        <v>48</v>
      </c>
      <c r="C8854" s="10" t="s">
        <v>56</v>
      </c>
      <c r="D8854" s="11">
        <v>12.848020762401553</v>
      </c>
      <c r="E8854" s="12">
        <f t="shared" si="138"/>
        <v>50292</v>
      </c>
    </row>
    <row r="8855" spans="1:5" x14ac:dyDescent="0.25">
      <c r="A8855" s="2">
        <f>IF(B8855="","",SUBTOTAL(3,$B$2:B8855))</f>
        <v>8854</v>
      </c>
      <c r="B8855" s="9" t="s">
        <v>48</v>
      </c>
      <c r="C8855" s="10" t="s">
        <v>56</v>
      </c>
      <c r="D8855" s="11">
        <v>12.848020762401553</v>
      </c>
      <c r="E8855" s="12">
        <f t="shared" si="138"/>
        <v>50293</v>
      </c>
    </row>
    <row r="8856" spans="1:5" x14ac:dyDescent="0.25">
      <c r="A8856" s="2">
        <f>IF(B8856="","",SUBTOTAL(3,$B$2:B8856))</f>
        <v>8855</v>
      </c>
      <c r="B8856" s="9" t="s">
        <v>51</v>
      </c>
      <c r="C8856" s="10" t="s">
        <v>56</v>
      </c>
      <c r="D8856" s="11">
        <v>21.179709837975221</v>
      </c>
      <c r="E8856" s="12">
        <f t="shared" si="138"/>
        <v>50294</v>
      </c>
    </row>
    <row r="8857" spans="1:5" x14ac:dyDescent="0.25">
      <c r="A8857" s="2">
        <f>IF(B8857="","",SUBTOTAL(3,$B$2:B8857))</f>
        <v>8856</v>
      </c>
      <c r="B8857" s="9" t="s">
        <v>55</v>
      </c>
      <c r="C8857" s="10" t="s">
        <v>56</v>
      </c>
      <c r="D8857" s="11">
        <v>16.294606485253382</v>
      </c>
      <c r="E8857" s="12">
        <f t="shared" si="138"/>
        <v>50295</v>
      </c>
    </row>
    <row r="8858" spans="1:5" x14ac:dyDescent="0.25">
      <c r="A8858" s="2">
        <f>IF(B8858="","",SUBTOTAL(3,$B$2:B8858))</f>
        <v>8857</v>
      </c>
      <c r="B8858" s="9" t="s">
        <v>51</v>
      </c>
      <c r="C8858" s="10" t="s">
        <v>56</v>
      </c>
      <c r="D8858" s="11">
        <v>21.179709837975221</v>
      </c>
      <c r="E8858" s="12">
        <f t="shared" si="138"/>
        <v>50296</v>
      </c>
    </row>
    <row r="8859" spans="1:5" x14ac:dyDescent="0.25">
      <c r="A8859" s="2">
        <f>IF(B8859="","",SUBTOTAL(3,$B$2:B8859))</f>
        <v>8858</v>
      </c>
      <c r="B8859" s="9" t="s">
        <v>51</v>
      </c>
      <c r="C8859" s="10" t="s">
        <v>56</v>
      </c>
      <c r="D8859" s="11">
        <v>40.515355319666149</v>
      </c>
      <c r="E8859" s="12">
        <f t="shared" si="138"/>
        <v>50297</v>
      </c>
    </row>
    <row r="8860" spans="1:5" x14ac:dyDescent="0.25">
      <c r="A8860" s="2">
        <f>IF(B8860="","",SUBTOTAL(3,$B$2:B8860))</f>
        <v>8859</v>
      </c>
      <c r="B8860" s="9" t="s">
        <v>51</v>
      </c>
      <c r="C8860" s="10" t="s">
        <v>56</v>
      </c>
      <c r="D8860" s="11">
        <v>158.84782378481412</v>
      </c>
      <c r="E8860" s="12">
        <f t="shared" si="138"/>
        <v>50298</v>
      </c>
    </row>
    <row r="8861" spans="1:5" x14ac:dyDescent="0.25">
      <c r="A8861" s="2">
        <f>IF(B8861="","",SUBTOTAL(3,$B$2:B8861))</f>
        <v>8860</v>
      </c>
      <c r="B8861" s="9" t="s">
        <v>53</v>
      </c>
      <c r="C8861" s="10" t="s">
        <v>56</v>
      </c>
      <c r="D8861" s="11">
        <v>54.951596801817075</v>
      </c>
      <c r="E8861" s="12">
        <f t="shared" si="138"/>
        <v>50299</v>
      </c>
    </row>
    <row r="8862" spans="1:5" x14ac:dyDescent="0.25">
      <c r="A8862" s="2">
        <f>IF(B8862="","",SUBTOTAL(3,$B$2:B8862))</f>
        <v>8861</v>
      </c>
      <c r="B8862" s="9" t="s">
        <v>51</v>
      </c>
      <c r="C8862" s="10" t="s">
        <v>56</v>
      </c>
      <c r="D8862" s="11">
        <v>194.47370553439754</v>
      </c>
      <c r="E8862" s="12">
        <f t="shared" si="138"/>
        <v>50300</v>
      </c>
    </row>
    <row r="8863" spans="1:5" x14ac:dyDescent="0.25">
      <c r="A8863" s="2">
        <f>IF(B8863="","",SUBTOTAL(3,$B$2:B8863))</f>
        <v>8862</v>
      </c>
      <c r="B8863" s="9" t="s">
        <v>55</v>
      </c>
      <c r="C8863" s="10" t="s">
        <v>56</v>
      </c>
      <c r="D8863" s="11">
        <v>651.78425941013529</v>
      </c>
      <c r="E8863" s="12">
        <f t="shared" si="138"/>
        <v>50301</v>
      </c>
    </row>
    <row r="8864" spans="1:5" x14ac:dyDescent="0.25">
      <c r="A8864" s="2">
        <f>IF(B8864="","",SUBTOTAL(3,$B$2:B8864))</f>
        <v>8863</v>
      </c>
      <c r="B8864" s="9" t="s">
        <v>55</v>
      </c>
      <c r="C8864" s="10" t="s">
        <v>56</v>
      </c>
      <c r="D8864" s="11">
        <v>488.83819455760147</v>
      </c>
      <c r="E8864" s="12">
        <f t="shared" si="138"/>
        <v>50302</v>
      </c>
    </row>
    <row r="8865" spans="1:5" x14ac:dyDescent="0.25">
      <c r="A8865" s="2">
        <f>IF(B8865="","",SUBTOTAL(3,$B$2:B8865))</f>
        <v>8864</v>
      </c>
      <c r="B8865" s="9" t="s">
        <v>53</v>
      </c>
      <c r="C8865" s="10" t="s">
        <v>56</v>
      </c>
      <c r="D8865" s="11">
        <v>27.475798400908538</v>
      </c>
      <c r="E8865" s="12">
        <f t="shared" si="138"/>
        <v>50303</v>
      </c>
    </row>
    <row r="8866" spans="1:5" x14ac:dyDescent="0.25">
      <c r="A8866" s="2">
        <f>IF(B8866="","",SUBTOTAL(3,$B$2:B8866))</f>
        <v>8865</v>
      </c>
      <c r="B8866" s="9" t="s">
        <v>53</v>
      </c>
      <c r="C8866" s="10" t="s">
        <v>56</v>
      </c>
      <c r="D8866" s="11">
        <v>16.485479040545119</v>
      </c>
      <c r="E8866" s="12">
        <f t="shared" si="138"/>
        <v>50304</v>
      </c>
    </row>
    <row r="8867" spans="1:5" x14ac:dyDescent="0.25">
      <c r="A8867" s="2">
        <f>IF(B8867="","",SUBTOTAL(3,$B$2:B8867))</f>
        <v>8866</v>
      </c>
      <c r="B8867" s="9" t="s">
        <v>51</v>
      </c>
      <c r="C8867" s="10" t="s">
        <v>56</v>
      </c>
      <c r="D8867" s="11">
        <v>52.949274594938046</v>
      </c>
      <c r="E8867" s="12">
        <f t="shared" si="138"/>
        <v>50305</v>
      </c>
    </row>
    <row r="8868" spans="1:5" x14ac:dyDescent="0.25">
      <c r="A8868" s="2">
        <f>IF(B8868="","",SUBTOTAL(3,$B$2:B8868))</f>
        <v>8867</v>
      </c>
      <c r="B8868" s="9" t="s">
        <v>48</v>
      </c>
      <c r="C8868" s="10" t="s">
        <v>56</v>
      </c>
      <c r="D8868" s="11">
        <v>30.807147258163894</v>
      </c>
      <c r="E8868" s="12">
        <f t="shared" si="138"/>
        <v>50306</v>
      </c>
    </row>
    <row r="8869" spans="1:5" x14ac:dyDescent="0.25">
      <c r="A8869" s="2">
        <f>IF(B8869="","",SUBTOTAL(3,$B$2:B8869))</f>
        <v>8868</v>
      </c>
      <c r="B8869" s="9" t="s">
        <v>48</v>
      </c>
      <c r="C8869" s="10" t="s">
        <v>56</v>
      </c>
      <c r="D8869" s="11">
        <v>154.03573629081947</v>
      </c>
      <c r="E8869" s="12">
        <f t="shared" si="138"/>
        <v>50307</v>
      </c>
    </row>
    <row r="8870" spans="1:5" x14ac:dyDescent="0.25">
      <c r="A8870" s="2">
        <f>IF(B8870="","",SUBTOTAL(3,$B$2:B8870))</f>
        <v>8869</v>
      </c>
      <c r="B8870" s="9" t="s">
        <v>48</v>
      </c>
      <c r="C8870" s="10" t="s">
        <v>56</v>
      </c>
      <c r="D8870" s="11">
        <v>154.03573629081947</v>
      </c>
      <c r="E8870" s="12">
        <f t="shared" si="138"/>
        <v>50308</v>
      </c>
    </row>
    <row r="8871" spans="1:5" x14ac:dyDescent="0.25">
      <c r="A8871" s="2">
        <f>IF(B8871="","",SUBTOTAL(3,$B$2:B8871))</f>
        <v>8870</v>
      </c>
      <c r="B8871" s="9" t="s">
        <v>55</v>
      </c>
      <c r="C8871" s="10" t="s">
        <v>56</v>
      </c>
      <c r="D8871" s="11">
        <v>120.3659123736158</v>
      </c>
      <c r="E8871" s="12">
        <f t="shared" si="138"/>
        <v>50309</v>
      </c>
    </row>
    <row r="8872" spans="1:5" x14ac:dyDescent="0.25">
      <c r="A8872" s="2">
        <f>IF(B8872="","",SUBTOTAL(3,$B$2:B8872))</f>
        <v>8871</v>
      </c>
      <c r="B8872" s="9" t="s">
        <v>51</v>
      </c>
      <c r="C8872" s="10" t="s">
        <v>56</v>
      </c>
      <c r="D8872" s="11">
        <v>23.29768082177274</v>
      </c>
      <c r="E8872" s="12">
        <f t="shared" si="138"/>
        <v>50310</v>
      </c>
    </row>
    <row r="8873" spans="1:5" x14ac:dyDescent="0.25">
      <c r="A8873" s="2">
        <f>IF(B8873="","",SUBTOTAL(3,$B$2:B8873))</f>
        <v>8872</v>
      </c>
      <c r="B8873" s="9" t="s">
        <v>55</v>
      </c>
      <c r="C8873" s="10" t="s">
        <v>56</v>
      </c>
      <c r="D8873" s="11">
        <v>48.146364949446316</v>
      </c>
      <c r="E8873" s="12">
        <f t="shared" si="138"/>
        <v>50311</v>
      </c>
    </row>
    <row r="8874" spans="1:5" x14ac:dyDescent="0.25">
      <c r="A8874" s="2">
        <f>IF(B8874="","",SUBTOTAL(3,$B$2:B8874))</f>
        <v>8873</v>
      </c>
      <c r="B8874" s="9" t="s">
        <v>51</v>
      </c>
      <c r="C8874" s="10" t="s">
        <v>56</v>
      </c>
      <c r="D8874" s="11">
        <v>15.884782378481413</v>
      </c>
      <c r="E8874" s="12">
        <f t="shared" si="138"/>
        <v>50312</v>
      </c>
    </row>
    <row r="8875" spans="1:5" x14ac:dyDescent="0.25">
      <c r="A8875" s="2">
        <f>IF(B8875="","",SUBTOTAL(3,$B$2:B8875))</f>
        <v>8874</v>
      </c>
      <c r="B8875" s="9" t="s">
        <v>48</v>
      </c>
      <c r="C8875" s="10" t="s">
        <v>56</v>
      </c>
      <c r="D8875" s="11">
        <v>308.07147258163894</v>
      </c>
      <c r="E8875" s="12">
        <f t="shared" si="138"/>
        <v>50313</v>
      </c>
    </row>
    <row r="8876" spans="1:5" x14ac:dyDescent="0.25">
      <c r="A8876" s="2">
        <f>IF(B8876="","",SUBTOTAL(3,$B$2:B8876))</f>
        <v>8875</v>
      </c>
      <c r="B8876" s="9" t="s">
        <v>53</v>
      </c>
      <c r="C8876" s="10" t="s">
        <v>56</v>
      </c>
      <c r="D8876" s="11">
        <v>183.17198933939025</v>
      </c>
      <c r="E8876" s="12">
        <f t="shared" si="138"/>
        <v>50314</v>
      </c>
    </row>
    <row r="8877" spans="1:5" x14ac:dyDescent="0.25">
      <c r="A8877" s="2">
        <f>IF(B8877="","",SUBTOTAL(3,$B$2:B8877))</f>
        <v>8876</v>
      </c>
      <c r="B8877" s="9" t="s">
        <v>53</v>
      </c>
      <c r="C8877" s="10" t="s">
        <v>56</v>
      </c>
      <c r="D8877" s="11">
        <v>68.689496002271341</v>
      </c>
      <c r="E8877" s="12">
        <f t="shared" si="138"/>
        <v>50315</v>
      </c>
    </row>
    <row r="8878" spans="1:5" x14ac:dyDescent="0.25">
      <c r="A8878" s="2">
        <f>IF(B8878="","",SUBTOTAL(3,$B$2:B8878))</f>
        <v>8877</v>
      </c>
      <c r="B8878" s="9" t="s">
        <v>53</v>
      </c>
      <c r="C8878" s="10" t="s">
        <v>56</v>
      </c>
      <c r="D8878" s="11">
        <v>457.92997334847558</v>
      </c>
      <c r="E8878" s="12">
        <f t="shared" si="138"/>
        <v>50316</v>
      </c>
    </row>
    <row r="8879" spans="1:5" x14ac:dyDescent="0.25">
      <c r="A8879" s="2">
        <f>IF(B8879="","",SUBTOTAL(3,$B$2:B8879))</f>
        <v>8878</v>
      </c>
      <c r="B8879" s="9" t="s">
        <v>53</v>
      </c>
      <c r="C8879" s="10" t="s">
        <v>56</v>
      </c>
      <c r="D8879" s="11">
        <v>68.689496002271341</v>
      </c>
      <c r="E8879" s="12">
        <f t="shared" si="138"/>
        <v>50317</v>
      </c>
    </row>
    <row r="8880" spans="1:5" x14ac:dyDescent="0.25">
      <c r="A8880" s="2">
        <f>IF(B8880="","",SUBTOTAL(3,$B$2:B8880))</f>
        <v>8879</v>
      </c>
      <c r="B8880" s="9" t="s">
        <v>53</v>
      </c>
      <c r="C8880" s="10" t="s">
        <v>56</v>
      </c>
      <c r="D8880" s="11">
        <v>457.92997334847558</v>
      </c>
      <c r="E8880" s="12">
        <f t="shared" si="138"/>
        <v>50318</v>
      </c>
    </row>
    <row r="8881" spans="1:5" x14ac:dyDescent="0.25">
      <c r="A8881" s="2">
        <f>IF(B8881="","",SUBTOTAL(3,$B$2:B8881))</f>
        <v>8880</v>
      </c>
      <c r="B8881" s="9" t="s">
        <v>53</v>
      </c>
      <c r="C8881" s="10" t="s">
        <v>56</v>
      </c>
      <c r="D8881" s="11">
        <v>366.3439786787805</v>
      </c>
      <c r="E8881" s="12">
        <f t="shared" si="138"/>
        <v>50319</v>
      </c>
    </row>
    <row r="8882" spans="1:5" x14ac:dyDescent="0.25">
      <c r="A8882" s="2">
        <f>IF(B8882="","",SUBTOTAL(3,$B$2:B8882))</f>
        <v>8881</v>
      </c>
      <c r="B8882" s="9" t="s">
        <v>53</v>
      </c>
      <c r="C8882" s="10" t="s">
        <v>56</v>
      </c>
      <c r="D8882" s="11">
        <v>183.17198933939025</v>
      </c>
      <c r="E8882" s="12">
        <f t="shared" si="138"/>
        <v>50320</v>
      </c>
    </row>
    <row r="8883" spans="1:5" x14ac:dyDescent="0.25">
      <c r="A8883" s="2">
        <f>IF(B8883="","",SUBTOTAL(3,$B$2:B8883))</f>
        <v>8882</v>
      </c>
      <c r="B8883" s="9" t="s">
        <v>53</v>
      </c>
      <c r="C8883" s="10" t="s">
        <v>56</v>
      </c>
      <c r="D8883" s="11">
        <v>228.96498667423779</v>
      </c>
      <c r="E8883" s="12">
        <f t="shared" si="138"/>
        <v>50321</v>
      </c>
    </row>
    <row r="8884" spans="1:5" x14ac:dyDescent="0.25">
      <c r="A8884" s="2">
        <f>IF(B8884="","",SUBTOTAL(3,$B$2:B8884))</f>
        <v>8883</v>
      </c>
      <c r="B8884" s="9" t="s">
        <v>51</v>
      </c>
      <c r="C8884" s="10" t="s">
        <v>56</v>
      </c>
      <c r="D8884" s="11">
        <v>1058.985491898761</v>
      </c>
      <c r="E8884" s="12">
        <f t="shared" si="138"/>
        <v>50322</v>
      </c>
    </row>
    <row r="8885" spans="1:5" x14ac:dyDescent="0.25">
      <c r="A8885" s="2">
        <f>IF(B8885="","",SUBTOTAL(3,$B$2:B8885))</f>
        <v>8884</v>
      </c>
      <c r="B8885" s="9" t="s">
        <v>51</v>
      </c>
      <c r="C8885" s="10" t="s">
        <v>56</v>
      </c>
      <c r="D8885" s="11">
        <v>9.7236852767198769</v>
      </c>
      <c r="E8885" s="12">
        <f t="shared" si="138"/>
        <v>50323</v>
      </c>
    </row>
    <row r="8886" spans="1:5" x14ac:dyDescent="0.25">
      <c r="A8886" s="2">
        <f>IF(B8886="","",SUBTOTAL(3,$B$2:B8886))</f>
        <v>8885</v>
      </c>
      <c r="B8886" s="9" t="s">
        <v>53</v>
      </c>
      <c r="C8886" s="10" t="s">
        <v>56</v>
      </c>
      <c r="D8886" s="11">
        <v>11.906179307060365</v>
      </c>
      <c r="E8886" s="12">
        <f t="shared" si="138"/>
        <v>50324</v>
      </c>
    </row>
    <row r="8887" spans="1:5" x14ac:dyDescent="0.25">
      <c r="A8887" s="2">
        <f>IF(B8887="","",SUBTOTAL(3,$B$2:B8887))</f>
        <v>8886</v>
      </c>
      <c r="B8887" s="9" t="s">
        <v>53</v>
      </c>
      <c r="C8887" s="10" t="s">
        <v>56</v>
      </c>
      <c r="D8887" s="11">
        <v>27.475798400908538</v>
      </c>
      <c r="E8887" s="12">
        <f t="shared" si="138"/>
        <v>50325</v>
      </c>
    </row>
    <row r="8888" spans="1:5" x14ac:dyDescent="0.25">
      <c r="A8888" s="2">
        <f>IF(B8888="","",SUBTOTAL(3,$B$2:B8888))</f>
        <v>8887</v>
      </c>
      <c r="B8888" s="9" t="s">
        <v>53</v>
      </c>
      <c r="C8888" s="10" t="s">
        <v>56</v>
      </c>
      <c r="D8888" s="11">
        <v>73.2687957357561</v>
      </c>
      <c r="E8888" s="12">
        <f t="shared" si="138"/>
        <v>50326</v>
      </c>
    </row>
    <row r="8889" spans="1:5" x14ac:dyDescent="0.25">
      <c r="A8889" s="2">
        <f>IF(B8889="","",SUBTOTAL(3,$B$2:B8889))</f>
        <v>8888</v>
      </c>
      <c r="B8889" s="9" t="s">
        <v>48</v>
      </c>
      <c r="C8889" s="10" t="s">
        <v>56</v>
      </c>
      <c r="D8889" s="11">
        <v>23.105360443622921</v>
      </c>
      <c r="E8889" s="12">
        <f t="shared" si="138"/>
        <v>50327</v>
      </c>
    </row>
    <row r="8890" spans="1:5" x14ac:dyDescent="0.25">
      <c r="A8890" s="2">
        <f>IF(B8890="","",SUBTOTAL(3,$B$2:B8890))</f>
        <v>8889</v>
      </c>
      <c r="B8890" s="9" t="s">
        <v>53</v>
      </c>
      <c r="C8890" s="10" t="s">
        <v>56</v>
      </c>
      <c r="D8890" s="11">
        <v>45.792997334847563</v>
      </c>
      <c r="E8890" s="12">
        <f t="shared" si="138"/>
        <v>50328</v>
      </c>
    </row>
    <row r="8891" spans="1:5" x14ac:dyDescent="0.25">
      <c r="A8891" s="2">
        <f>IF(B8891="","",SUBTOTAL(3,$B$2:B8891))</f>
        <v>8890</v>
      </c>
      <c r="B8891" s="9" t="s">
        <v>48</v>
      </c>
      <c r="C8891" s="10" t="s">
        <v>56</v>
      </c>
      <c r="D8891" s="11">
        <v>77.017868145409736</v>
      </c>
      <c r="E8891" s="12">
        <f t="shared" si="138"/>
        <v>50329</v>
      </c>
    </row>
    <row r="8892" spans="1:5" x14ac:dyDescent="0.25">
      <c r="A8892" s="2">
        <f>IF(B8892="","",SUBTOTAL(3,$B$2:B8892))</f>
        <v>8891</v>
      </c>
      <c r="B8892" s="9" t="s">
        <v>48</v>
      </c>
      <c r="C8892" s="10" t="s">
        <v>56</v>
      </c>
      <c r="D8892" s="11">
        <v>117.06715958102281</v>
      </c>
      <c r="E8892" s="12">
        <f t="shared" si="138"/>
        <v>50330</v>
      </c>
    </row>
    <row r="8893" spans="1:5" x14ac:dyDescent="0.25">
      <c r="A8893" s="2">
        <f>IF(B8893="","",SUBTOTAL(3,$B$2:B8893))</f>
        <v>8892</v>
      </c>
      <c r="B8893" s="9" t="s">
        <v>55</v>
      </c>
      <c r="C8893" s="10" t="s">
        <v>56</v>
      </c>
      <c r="D8893" s="11">
        <v>200</v>
      </c>
      <c r="E8893" s="12">
        <f t="shared" si="138"/>
        <v>50331</v>
      </c>
    </row>
    <row r="8894" spans="1:5" x14ac:dyDescent="0.25">
      <c r="A8894" s="2">
        <f>IF(B8894="","",SUBTOTAL(3,$B$2:B8894))</f>
        <v>8893</v>
      </c>
      <c r="B8894" s="9" t="s">
        <v>48</v>
      </c>
      <c r="C8894" s="10" t="s">
        <v>56</v>
      </c>
      <c r="D8894" s="11">
        <v>3.2120051906003884</v>
      </c>
      <c r="E8894" s="12">
        <f t="shared" si="138"/>
        <v>50332</v>
      </c>
    </row>
    <row r="8895" spans="1:5" x14ac:dyDescent="0.25">
      <c r="A8895" s="2">
        <f>IF(B8895="","",SUBTOTAL(3,$B$2:B8895))</f>
        <v>8894</v>
      </c>
      <c r="B8895" s="9" t="s">
        <v>53</v>
      </c>
      <c r="C8895" s="10" t="s">
        <v>56</v>
      </c>
      <c r="D8895" s="11">
        <v>274.75798400908536</v>
      </c>
      <c r="E8895" s="12">
        <f t="shared" si="138"/>
        <v>50333</v>
      </c>
    </row>
    <row r="8896" spans="1:5" x14ac:dyDescent="0.25">
      <c r="A8896" s="2">
        <f>IF(B8896="","",SUBTOTAL(3,$B$2:B8896))</f>
        <v>8895</v>
      </c>
      <c r="B8896" s="9" t="s">
        <v>53</v>
      </c>
      <c r="C8896" s="10" t="s">
        <v>56</v>
      </c>
      <c r="D8896" s="11">
        <v>274.75798400908536</v>
      </c>
      <c r="E8896" s="12">
        <f t="shared" si="138"/>
        <v>50334</v>
      </c>
    </row>
    <row r="8897" spans="1:5" x14ac:dyDescent="0.25">
      <c r="A8897" s="2">
        <f>IF(B8897="","",SUBTOTAL(3,$B$2:B8897))</f>
        <v>8896</v>
      </c>
      <c r="B8897" s="9" t="s">
        <v>53</v>
      </c>
      <c r="C8897" s="10" t="s">
        <v>56</v>
      </c>
      <c r="D8897" s="11">
        <v>183.17198933939025</v>
      </c>
      <c r="E8897" s="12">
        <f t="shared" si="138"/>
        <v>50335</v>
      </c>
    </row>
    <row r="8898" spans="1:5" x14ac:dyDescent="0.25">
      <c r="A8898" s="2">
        <f>IF(B8898="","",SUBTOTAL(3,$B$2:B8898))</f>
        <v>8897</v>
      </c>
      <c r="B8898" s="9" t="s">
        <v>55</v>
      </c>
      <c r="C8898" s="10" t="s">
        <v>56</v>
      </c>
      <c r="D8898" s="11">
        <v>65.178425941013529</v>
      </c>
      <c r="E8898" s="12">
        <f t="shared" si="138"/>
        <v>50336</v>
      </c>
    </row>
    <row r="8899" spans="1:5" x14ac:dyDescent="0.25">
      <c r="A8899" s="2">
        <f>IF(B8899="","",SUBTOTAL(3,$B$2:B8899))</f>
        <v>8898</v>
      </c>
      <c r="B8899" s="9" t="s">
        <v>48</v>
      </c>
      <c r="C8899" s="10" t="s">
        <v>56</v>
      </c>
      <c r="D8899" s="11">
        <v>47.443006777572393</v>
      </c>
      <c r="E8899" s="12">
        <f t="shared" si="138"/>
        <v>50337</v>
      </c>
    </row>
    <row r="8900" spans="1:5" x14ac:dyDescent="0.25">
      <c r="A8900" s="2">
        <f>IF(B8900="","",SUBTOTAL(3,$B$2:B8900))</f>
        <v>8899</v>
      </c>
      <c r="B8900" s="9" t="s">
        <v>48</v>
      </c>
      <c r="C8900" s="10" t="s">
        <v>56</v>
      </c>
      <c r="D8900" s="11">
        <v>12.848020762401553</v>
      </c>
      <c r="E8900" s="12">
        <f t="shared" ref="E8900:E8963" si="139">E8899+1</f>
        <v>50338</v>
      </c>
    </row>
    <row r="8901" spans="1:5" x14ac:dyDescent="0.25">
      <c r="A8901" s="2">
        <f>IF(B8901="","",SUBTOTAL(3,$B$2:B8901))</f>
        <v>8900</v>
      </c>
      <c r="B8901" s="9" t="s">
        <v>53</v>
      </c>
      <c r="C8901" s="10" t="s">
        <v>56</v>
      </c>
      <c r="D8901" s="11">
        <v>54.951596801817075</v>
      </c>
      <c r="E8901" s="12">
        <f t="shared" si="139"/>
        <v>50339</v>
      </c>
    </row>
    <row r="8902" spans="1:5" x14ac:dyDescent="0.25">
      <c r="A8902" s="2">
        <f>IF(B8902="","",SUBTOTAL(3,$B$2:B8902))</f>
        <v>8901</v>
      </c>
      <c r="B8902" s="9" t="s">
        <v>53</v>
      </c>
      <c r="C8902" s="10" t="s">
        <v>56</v>
      </c>
      <c r="D8902" s="11">
        <v>109.90319360363415</v>
      </c>
      <c r="E8902" s="12">
        <f t="shared" si="139"/>
        <v>50340</v>
      </c>
    </row>
    <row r="8903" spans="1:5" x14ac:dyDescent="0.25">
      <c r="A8903" s="2">
        <f>IF(B8903="","",SUBTOTAL(3,$B$2:B8903))</f>
        <v>8902</v>
      </c>
      <c r="B8903" s="9" t="s">
        <v>51</v>
      </c>
      <c r="C8903" s="10" t="s">
        <v>56</v>
      </c>
      <c r="D8903" s="11">
        <v>21.179709837975221</v>
      </c>
      <c r="E8903" s="12">
        <f t="shared" si="139"/>
        <v>50341</v>
      </c>
    </row>
    <row r="8904" spans="1:5" x14ac:dyDescent="0.25">
      <c r="A8904" s="2">
        <f>IF(B8904="","",SUBTOTAL(3,$B$2:B8904))</f>
        <v>8903</v>
      </c>
      <c r="B8904" s="9" t="s">
        <v>48</v>
      </c>
      <c r="C8904" s="10" t="s">
        <v>56</v>
      </c>
      <c r="D8904" s="11">
        <v>6.4240103812007767</v>
      </c>
      <c r="E8904" s="12">
        <f t="shared" si="139"/>
        <v>50342</v>
      </c>
    </row>
    <row r="8905" spans="1:5" x14ac:dyDescent="0.25">
      <c r="A8905" s="2">
        <f>IF(B8905="","",SUBTOTAL(3,$B$2:B8905))</f>
        <v>8904</v>
      </c>
      <c r="B8905" s="9" t="s">
        <v>55</v>
      </c>
      <c r="C8905" s="10" t="s">
        <v>56</v>
      </c>
      <c r="D8905" s="11">
        <v>6.5808090446639511</v>
      </c>
      <c r="E8905" s="12">
        <f t="shared" si="139"/>
        <v>50343</v>
      </c>
    </row>
    <row r="8906" spans="1:5" x14ac:dyDescent="0.25">
      <c r="A8906" s="2">
        <f>IF(B8906="","",SUBTOTAL(3,$B$2:B8906))</f>
        <v>8905</v>
      </c>
      <c r="B8906" s="9" t="s">
        <v>53</v>
      </c>
      <c r="C8906" s="10" t="s">
        <v>56</v>
      </c>
      <c r="D8906" s="11">
        <v>12.822039253757318</v>
      </c>
      <c r="E8906" s="12">
        <f t="shared" si="139"/>
        <v>50344</v>
      </c>
    </row>
    <row r="8907" spans="1:5" x14ac:dyDescent="0.25">
      <c r="A8907" s="2">
        <f>IF(B8907="","",SUBTOTAL(3,$B$2:B8907))</f>
        <v>8906</v>
      </c>
      <c r="B8907" s="9" t="s">
        <v>55</v>
      </c>
      <c r="C8907" s="10" t="s">
        <v>52</v>
      </c>
      <c r="D8907" s="11">
        <v>100</v>
      </c>
      <c r="E8907" s="12">
        <f t="shared" si="139"/>
        <v>50345</v>
      </c>
    </row>
    <row r="8908" spans="1:5" x14ac:dyDescent="0.25">
      <c r="A8908" s="2">
        <f>IF(B8908="","",SUBTOTAL(3,$B$2:B8908))</f>
        <v>8907</v>
      </c>
      <c r="B8908" s="9" t="s">
        <v>48</v>
      </c>
      <c r="C8908" s="10" t="s">
        <v>52</v>
      </c>
      <c r="D8908" s="11">
        <v>770.17868145409739</v>
      </c>
      <c r="E8908" s="12">
        <f t="shared" si="139"/>
        <v>50346</v>
      </c>
    </row>
    <row r="8909" spans="1:5" x14ac:dyDescent="0.25">
      <c r="A8909" s="2">
        <f>IF(B8909="","",SUBTOTAL(3,$B$2:B8909))</f>
        <v>8908</v>
      </c>
      <c r="B8909" s="9" t="s">
        <v>48</v>
      </c>
      <c r="C8909" s="10" t="s">
        <v>52</v>
      </c>
      <c r="D8909" s="11">
        <v>231.05360443622922</v>
      </c>
      <c r="E8909" s="12">
        <f t="shared" si="139"/>
        <v>50347</v>
      </c>
    </row>
    <row r="8910" spans="1:5" x14ac:dyDescent="0.25">
      <c r="A8910" s="2">
        <f>IF(B8910="","",SUBTOTAL(3,$B$2:B8910))</f>
        <v>8909</v>
      </c>
      <c r="B8910" s="9" t="s">
        <v>50</v>
      </c>
      <c r="C8910" s="10" t="s">
        <v>52</v>
      </c>
      <c r="D8910" s="11">
        <v>66.137566137566139</v>
      </c>
      <c r="E8910" s="12">
        <f t="shared" si="139"/>
        <v>50348</v>
      </c>
    </row>
    <row r="8911" spans="1:5" x14ac:dyDescent="0.25">
      <c r="A8911" s="2">
        <f>IF(B8911="","",SUBTOTAL(3,$B$2:B8911))</f>
        <v>8910</v>
      </c>
      <c r="B8911" s="9" t="s">
        <v>51</v>
      </c>
      <c r="C8911" s="10" t="s">
        <v>52</v>
      </c>
      <c r="D8911" s="11">
        <v>529.49274594938049</v>
      </c>
      <c r="E8911" s="12">
        <f t="shared" si="139"/>
        <v>50349</v>
      </c>
    </row>
    <row r="8912" spans="1:5" x14ac:dyDescent="0.25">
      <c r="A8912" s="2">
        <f>IF(B8912="","",SUBTOTAL(3,$B$2:B8912))</f>
        <v>8911</v>
      </c>
      <c r="B8912" s="9" t="s">
        <v>51</v>
      </c>
      <c r="C8912" s="10" t="s">
        <v>52</v>
      </c>
      <c r="D8912" s="11">
        <v>211.79709837975219</v>
      </c>
      <c r="E8912" s="12">
        <f t="shared" si="139"/>
        <v>50350</v>
      </c>
    </row>
    <row r="8913" spans="1:5" x14ac:dyDescent="0.25">
      <c r="A8913" s="2">
        <f>IF(B8913="","",SUBTOTAL(3,$B$2:B8913))</f>
        <v>8912</v>
      </c>
      <c r="B8913" s="9" t="s">
        <v>50</v>
      </c>
      <c r="C8913" s="10" t="s">
        <v>52</v>
      </c>
      <c r="D8913" s="11">
        <v>11.022927689594356</v>
      </c>
      <c r="E8913" s="12">
        <f t="shared" si="139"/>
        <v>50351</v>
      </c>
    </row>
    <row r="8914" spans="1:5" x14ac:dyDescent="0.25">
      <c r="A8914" s="2">
        <f>IF(B8914="","",SUBTOTAL(3,$B$2:B8914))</f>
        <v>8913</v>
      </c>
      <c r="B8914" s="9" t="s">
        <v>50</v>
      </c>
      <c r="C8914" s="10" t="s">
        <v>52</v>
      </c>
      <c r="D8914" s="11">
        <v>33.06878306878307</v>
      </c>
      <c r="E8914" s="12">
        <f t="shared" si="139"/>
        <v>50352</v>
      </c>
    </row>
    <row r="8915" spans="1:5" x14ac:dyDescent="0.25">
      <c r="A8915" s="2">
        <f>IF(B8915="","",SUBTOTAL(3,$B$2:B8915))</f>
        <v>8914</v>
      </c>
      <c r="B8915" s="9" t="s">
        <v>50</v>
      </c>
      <c r="C8915" s="10" t="s">
        <v>52</v>
      </c>
      <c r="D8915" s="11">
        <v>11.022927689594356</v>
      </c>
      <c r="E8915" s="12">
        <f t="shared" si="139"/>
        <v>50353</v>
      </c>
    </row>
    <row r="8916" spans="1:5" x14ac:dyDescent="0.25">
      <c r="A8916" s="2">
        <f>IF(B8916="","",SUBTOTAL(3,$B$2:B8916))</f>
        <v>8915</v>
      </c>
      <c r="B8916" s="9" t="s">
        <v>50</v>
      </c>
      <c r="C8916" s="10" t="s">
        <v>52</v>
      </c>
      <c r="D8916" s="11">
        <v>11.022927689594356</v>
      </c>
      <c r="E8916" s="12">
        <f t="shared" si="139"/>
        <v>50354</v>
      </c>
    </row>
    <row r="8917" spans="1:5" x14ac:dyDescent="0.25">
      <c r="A8917" s="2">
        <f>IF(B8917="","",SUBTOTAL(3,$B$2:B8917))</f>
        <v>8916</v>
      </c>
      <c r="B8917" s="9" t="s">
        <v>50</v>
      </c>
      <c r="C8917" s="10" t="s">
        <v>52</v>
      </c>
      <c r="D8917" s="11">
        <v>11.022927689594356</v>
      </c>
      <c r="E8917" s="12">
        <f t="shared" si="139"/>
        <v>50355</v>
      </c>
    </row>
    <row r="8918" spans="1:5" x14ac:dyDescent="0.25">
      <c r="A8918" s="2">
        <f>IF(B8918="","",SUBTOTAL(3,$B$2:B8918))</f>
        <v>8917</v>
      </c>
      <c r="B8918" s="9" t="s">
        <v>50</v>
      </c>
      <c r="C8918" s="10" t="s">
        <v>52</v>
      </c>
      <c r="D8918" s="11">
        <v>11.022927689594356</v>
      </c>
      <c r="E8918" s="12">
        <f t="shared" si="139"/>
        <v>50356</v>
      </c>
    </row>
    <row r="8919" spans="1:5" x14ac:dyDescent="0.25">
      <c r="A8919" s="2">
        <f>IF(B8919="","",SUBTOTAL(3,$B$2:B8919))</f>
        <v>8918</v>
      </c>
      <c r="B8919" s="9" t="s">
        <v>50</v>
      </c>
      <c r="C8919" s="10" t="s">
        <v>52</v>
      </c>
      <c r="D8919" s="11">
        <v>11.022927689594356</v>
      </c>
      <c r="E8919" s="12">
        <f t="shared" si="139"/>
        <v>50357</v>
      </c>
    </row>
    <row r="8920" spans="1:5" x14ac:dyDescent="0.25">
      <c r="A8920" s="2">
        <f>IF(B8920="","",SUBTOTAL(3,$B$2:B8920))</f>
        <v>8919</v>
      </c>
      <c r="B8920" s="9" t="s">
        <v>50</v>
      </c>
      <c r="C8920" s="10" t="s">
        <v>52</v>
      </c>
      <c r="D8920" s="11">
        <v>11.022927689594356</v>
      </c>
      <c r="E8920" s="12">
        <f t="shared" si="139"/>
        <v>50358</v>
      </c>
    </row>
    <row r="8921" spans="1:5" x14ac:dyDescent="0.25">
      <c r="A8921" s="2">
        <f>IF(B8921="","",SUBTOTAL(3,$B$2:B8921))</f>
        <v>8920</v>
      </c>
      <c r="B8921" s="9" t="s">
        <v>50</v>
      </c>
      <c r="C8921" s="10" t="s">
        <v>52</v>
      </c>
      <c r="D8921" s="11">
        <v>11.022927689594356</v>
      </c>
      <c r="E8921" s="12">
        <f t="shared" si="139"/>
        <v>50359</v>
      </c>
    </row>
    <row r="8922" spans="1:5" x14ac:dyDescent="0.25">
      <c r="A8922" s="2">
        <f>IF(B8922="","",SUBTOTAL(3,$B$2:B8922))</f>
        <v>8921</v>
      </c>
      <c r="B8922" s="9" t="s">
        <v>50</v>
      </c>
      <c r="C8922" s="10" t="s">
        <v>52</v>
      </c>
      <c r="D8922" s="11">
        <v>11.022927689594356</v>
      </c>
      <c r="E8922" s="12">
        <f t="shared" si="139"/>
        <v>50360</v>
      </c>
    </row>
    <row r="8923" spans="1:5" x14ac:dyDescent="0.25">
      <c r="A8923" s="2">
        <f>IF(B8923="","",SUBTOTAL(3,$B$2:B8923))</f>
        <v>8922</v>
      </c>
      <c r="B8923" s="9" t="s">
        <v>50</v>
      </c>
      <c r="C8923" s="10" t="s">
        <v>52</v>
      </c>
      <c r="D8923" s="11">
        <v>11.022927689594356</v>
      </c>
      <c r="E8923" s="12">
        <f t="shared" si="139"/>
        <v>50361</v>
      </c>
    </row>
    <row r="8924" spans="1:5" x14ac:dyDescent="0.25">
      <c r="A8924" s="2">
        <f>IF(B8924="","",SUBTOTAL(3,$B$2:B8924))</f>
        <v>8923</v>
      </c>
      <c r="B8924" s="9" t="s">
        <v>50</v>
      </c>
      <c r="C8924" s="10" t="s">
        <v>52</v>
      </c>
      <c r="D8924" s="11">
        <v>55.114638447971785</v>
      </c>
      <c r="E8924" s="12">
        <f t="shared" si="139"/>
        <v>50362</v>
      </c>
    </row>
    <row r="8925" spans="1:5" x14ac:dyDescent="0.25">
      <c r="A8925" s="2">
        <f>IF(B8925="","",SUBTOTAL(3,$B$2:B8925))</f>
        <v>8924</v>
      </c>
      <c r="B8925" s="9" t="s">
        <v>50</v>
      </c>
      <c r="C8925" s="10" t="s">
        <v>52</v>
      </c>
      <c r="D8925" s="11">
        <v>11.022927689594356</v>
      </c>
      <c r="E8925" s="12">
        <f t="shared" si="139"/>
        <v>50363</v>
      </c>
    </row>
    <row r="8926" spans="1:5" x14ac:dyDescent="0.25">
      <c r="A8926" s="2">
        <f>IF(B8926="","",SUBTOTAL(3,$B$2:B8926))</f>
        <v>8925</v>
      </c>
      <c r="B8926" s="9" t="s">
        <v>50</v>
      </c>
      <c r="C8926" s="10" t="s">
        <v>52</v>
      </c>
      <c r="D8926" s="11">
        <v>11.022927689594356</v>
      </c>
      <c r="E8926" s="12">
        <f t="shared" si="139"/>
        <v>50364</v>
      </c>
    </row>
    <row r="8927" spans="1:5" x14ac:dyDescent="0.25">
      <c r="A8927" s="2">
        <f>IF(B8927="","",SUBTOTAL(3,$B$2:B8927))</f>
        <v>8926</v>
      </c>
      <c r="B8927" s="9" t="s">
        <v>50</v>
      </c>
      <c r="C8927" s="10" t="s">
        <v>52</v>
      </c>
      <c r="D8927" s="11">
        <v>11.022927689594356</v>
      </c>
      <c r="E8927" s="12">
        <f t="shared" si="139"/>
        <v>50365</v>
      </c>
    </row>
    <row r="8928" spans="1:5" x14ac:dyDescent="0.25">
      <c r="A8928" s="2">
        <f>IF(B8928="","",SUBTOTAL(3,$B$2:B8928))</f>
        <v>8927</v>
      </c>
      <c r="B8928" s="9" t="s">
        <v>48</v>
      </c>
      <c r="C8928" s="10" t="s">
        <v>52</v>
      </c>
      <c r="D8928" s="11">
        <v>77.017868145409736</v>
      </c>
      <c r="E8928" s="12">
        <f t="shared" si="139"/>
        <v>50366</v>
      </c>
    </row>
    <row r="8929" spans="1:5" x14ac:dyDescent="0.25">
      <c r="A8929" s="2">
        <f>IF(B8929="","",SUBTOTAL(3,$B$2:B8929))</f>
        <v>8928</v>
      </c>
      <c r="B8929" s="9" t="s">
        <v>51</v>
      </c>
      <c r="C8929" s="10" t="s">
        <v>52</v>
      </c>
      <c r="D8929" s="11">
        <v>52.949274594938046</v>
      </c>
      <c r="E8929" s="12">
        <f t="shared" si="139"/>
        <v>50367</v>
      </c>
    </row>
    <row r="8930" spans="1:5" x14ac:dyDescent="0.25">
      <c r="A8930" s="2">
        <f>IF(B8930="","",SUBTOTAL(3,$B$2:B8930))</f>
        <v>8929</v>
      </c>
      <c r="B8930" s="9" t="s">
        <v>50</v>
      </c>
      <c r="C8930" s="10" t="s">
        <v>52</v>
      </c>
      <c r="D8930" s="11">
        <v>110.22927689594357</v>
      </c>
      <c r="E8930" s="12">
        <f t="shared" si="139"/>
        <v>50368</v>
      </c>
    </row>
    <row r="8931" spans="1:5" x14ac:dyDescent="0.25">
      <c r="A8931" s="2">
        <f>IF(B8931="","",SUBTOTAL(3,$B$2:B8931))</f>
        <v>8930</v>
      </c>
      <c r="B8931" s="9" t="s">
        <v>50</v>
      </c>
      <c r="C8931" s="10" t="s">
        <v>52</v>
      </c>
      <c r="D8931" s="11">
        <v>44.091710758377424</v>
      </c>
      <c r="E8931" s="12">
        <f t="shared" si="139"/>
        <v>50369</v>
      </c>
    </row>
    <row r="8932" spans="1:5" x14ac:dyDescent="0.25">
      <c r="A8932" s="2">
        <f>IF(B8932="","",SUBTOTAL(3,$B$2:B8932))</f>
        <v>8931</v>
      </c>
      <c r="B8932" s="9" t="s">
        <v>51</v>
      </c>
      <c r="C8932" s="10" t="s">
        <v>52</v>
      </c>
      <c r="D8932" s="11">
        <v>405.15355319666151</v>
      </c>
      <c r="E8932" s="12">
        <f t="shared" si="139"/>
        <v>50370</v>
      </c>
    </row>
    <row r="8933" spans="1:5" x14ac:dyDescent="0.25">
      <c r="A8933" s="2">
        <f>IF(B8933="","",SUBTOTAL(3,$B$2:B8933))</f>
        <v>8932</v>
      </c>
      <c r="B8933" s="9" t="s">
        <v>50</v>
      </c>
      <c r="C8933" s="10" t="s">
        <v>52</v>
      </c>
      <c r="D8933" s="11">
        <v>22.045855379188712</v>
      </c>
      <c r="E8933" s="12">
        <f t="shared" si="139"/>
        <v>50371</v>
      </c>
    </row>
    <row r="8934" spans="1:5" x14ac:dyDescent="0.25">
      <c r="A8934" s="2">
        <f>IF(B8934="","",SUBTOTAL(3,$B$2:B8934))</f>
        <v>8933</v>
      </c>
      <c r="B8934" s="9" t="s">
        <v>51</v>
      </c>
      <c r="C8934" s="10" t="s">
        <v>52</v>
      </c>
      <c r="D8934" s="11">
        <v>52.949274594938046</v>
      </c>
      <c r="E8934" s="12">
        <f t="shared" si="139"/>
        <v>50372</v>
      </c>
    </row>
    <row r="8935" spans="1:5" x14ac:dyDescent="0.25">
      <c r="A8935" s="2">
        <f>IF(B8935="","",SUBTOTAL(3,$B$2:B8935))</f>
        <v>8934</v>
      </c>
      <c r="B8935" s="9" t="s">
        <v>51</v>
      </c>
      <c r="C8935" s="10" t="s">
        <v>52</v>
      </c>
      <c r="D8935" s="11">
        <v>211.79709837975219</v>
      </c>
      <c r="E8935" s="12">
        <f t="shared" si="139"/>
        <v>50373</v>
      </c>
    </row>
    <row r="8936" spans="1:5" x14ac:dyDescent="0.25">
      <c r="A8936" s="2">
        <f>IF(B8936="","",SUBTOTAL(3,$B$2:B8936))</f>
        <v>8935</v>
      </c>
      <c r="B8936" s="9" t="s">
        <v>50</v>
      </c>
      <c r="C8936" s="10" t="s">
        <v>52</v>
      </c>
      <c r="D8936" s="11">
        <v>110.22927689594357</v>
      </c>
      <c r="E8936" s="12">
        <f t="shared" si="139"/>
        <v>50374</v>
      </c>
    </row>
    <row r="8937" spans="1:5" x14ac:dyDescent="0.25">
      <c r="A8937" s="2">
        <f>IF(B8937="","",SUBTOTAL(3,$B$2:B8937))</f>
        <v>8936</v>
      </c>
      <c r="B8937" s="9" t="s">
        <v>51</v>
      </c>
      <c r="C8937" s="10" t="s">
        <v>52</v>
      </c>
      <c r="D8937" s="11">
        <v>1058.985491898761</v>
      </c>
      <c r="E8937" s="12">
        <f t="shared" si="139"/>
        <v>50375</v>
      </c>
    </row>
    <row r="8938" spans="1:5" x14ac:dyDescent="0.25">
      <c r="A8938" s="2">
        <f>IF(B8938="","",SUBTOTAL(3,$B$2:B8938))</f>
        <v>8937</v>
      </c>
      <c r="B8938" s="9" t="s">
        <v>50</v>
      </c>
      <c r="C8938" s="10" t="s">
        <v>52</v>
      </c>
      <c r="D8938" s="11">
        <v>110.22927689594357</v>
      </c>
      <c r="E8938" s="12">
        <f t="shared" si="139"/>
        <v>50376</v>
      </c>
    </row>
    <row r="8939" spans="1:5" x14ac:dyDescent="0.25">
      <c r="A8939" s="2">
        <f>IF(B8939="","",SUBTOTAL(3,$B$2:B8939))</f>
        <v>8938</v>
      </c>
      <c r="B8939" s="9" t="s">
        <v>48</v>
      </c>
      <c r="C8939" s="10" t="s">
        <v>52</v>
      </c>
      <c r="D8939" s="11">
        <v>385.08934072704869</v>
      </c>
      <c r="E8939" s="12">
        <f t="shared" si="139"/>
        <v>50377</v>
      </c>
    </row>
    <row r="8940" spans="1:5" x14ac:dyDescent="0.25">
      <c r="A8940" s="2">
        <f>IF(B8940="","",SUBTOTAL(3,$B$2:B8940))</f>
        <v>8939</v>
      </c>
      <c r="B8940" s="9" t="s">
        <v>50</v>
      </c>
      <c r="C8940" s="10" t="s">
        <v>52</v>
      </c>
      <c r="D8940" s="11">
        <v>33.06878306878307</v>
      </c>
      <c r="E8940" s="12">
        <f t="shared" si="139"/>
        <v>50378</v>
      </c>
    </row>
    <row r="8941" spans="1:5" x14ac:dyDescent="0.25">
      <c r="A8941" s="2">
        <f>IF(B8941="","",SUBTOTAL(3,$B$2:B8941))</f>
        <v>8940</v>
      </c>
      <c r="B8941" s="9" t="s">
        <v>55</v>
      </c>
      <c r="C8941" s="10" t="s">
        <v>52</v>
      </c>
      <c r="D8941" s="11">
        <v>100</v>
      </c>
      <c r="E8941" s="12">
        <f t="shared" si="139"/>
        <v>50379</v>
      </c>
    </row>
    <row r="8942" spans="1:5" x14ac:dyDescent="0.25">
      <c r="A8942" s="2">
        <f>IF(B8942="","",SUBTOTAL(3,$B$2:B8942))</f>
        <v>8941</v>
      </c>
      <c r="B8942" s="9" t="s">
        <v>55</v>
      </c>
      <c r="C8942" s="10" t="s">
        <v>52</v>
      </c>
      <c r="D8942" s="11">
        <v>100</v>
      </c>
      <c r="E8942" s="12">
        <f t="shared" si="139"/>
        <v>50380</v>
      </c>
    </row>
    <row r="8943" spans="1:5" x14ac:dyDescent="0.25">
      <c r="A8943" s="2">
        <f>IF(B8943="","",SUBTOTAL(3,$B$2:B8943))</f>
        <v>8942</v>
      </c>
      <c r="B8943" s="9" t="s">
        <v>50</v>
      </c>
      <c r="C8943" s="10" t="s">
        <v>52</v>
      </c>
      <c r="D8943" s="11">
        <v>55.114638447971785</v>
      </c>
      <c r="E8943" s="12">
        <f t="shared" si="139"/>
        <v>50381</v>
      </c>
    </row>
    <row r="8944" spans="1:5" x14ac:dyDescent="0.25">
      <c r="A8944" s="2">
        <f>IF(B8944="","",SUBTOTAL(3,$B$2:B8944))</f>
        <v>8943</v>
      </c>
      <c r="B8944" s="9" t="s">
        <v>50</v>
      </c>
      <c r="C8944" s="10" t="s">
        <v>52</v>
      </c>
      <c r="D8944" s="11">
        <v>55.114638447971785</v>
      </c>
      <c r="E8944" s="12">
        <f t="shared" si="139"/>
        <v>50382</v>
      </c>
    </row>
    <row r="8945" spans="1:5" x14ac:dyDescent="0.25">
      <c r="A8945" s="2">
        <f>IF(B8945="","",SUBTOTAL(3,$B$2:B8945))</f>
        <v>8944</v>
      </c>
      <c r="B8945" s="9" t="s">
        <v>50</v>
      </c>
      <c r="C8945" s="10" t="s">
        <v>52</v>
      </c>
      <c r="D8945" s="11">
        <v>55.114638447971785</v>
      </c>
      <c r="E8945" s="12">
        <f t="shared" si="139"/>
        <v>50383</v>
      </c>
    </row>
    <row r="8946" spans="1:5" x14ac:dyDescent="0.25">
      <c r="A8946" s="2">
        <f>IF(B8946="","",SUBTOTAL(3,$B$2:B8946))</f>
        <v>8945</v>
      </c>
      <c r="B8946" s="9" t="s">
        <v>50</v>
      </c>
      <c r="C8946" s="10" t="s">
        <v>52</v>
      </c>
      <c r="D8946" s="11">
        <v>55.114638447971785</v>
      </c>
      <c r="E8946" s="12">
        <f t="shared" si="139"/>
        <v>50384</v>
      </c>
    </row>
    <row r="8947" spans="1:5" x14ac:dyDescent="0.25">
      <c r="A8947" s="2">
        <f>IF(B8947="","",SUBTOTAL(3,$B$2:B8947))</f>
        <v>8946</v>
      </c>
      <c r="B8947" s="9" t="s">
        <v>50</v>
      </c>
      <c r="C8947" s="10" t="s">
        <v>52</v>
      </c>
      <c r="D8947" s="11">
        <v>55.114638447971785</v>
      </c>
      <c r="E8947" s="12">
        <f t="shared" si="139"/>
        <v>50385</v>
      </c>
    </row>
    <row r="8948" spans="1:5" x14ac:dyDescent="0.25">
      <c r="A8948" s="2">
        <f>IF(B8948="","",SUBTOTAL(3,$B$2:B8948))</f>
        <v>8947</v>
      </c>
      <c r="B8948" s="9" t="s">
        <v>50</v>
      </c>
      <c r="C8948" s="10" t="s">
        <v>52</v>
      </c>
      <c r="D8948" s="11">
        <v>55.114638447971785</v>
      </c>
      <c r="E8948" s="12">
        <f t="shared" si="139"/>
        <v>50386</v>
      </c>
    </row>
    <row r="8949" spans="1:5" x14ac:dyDescent="0.25">
      <c r="A8949" s="2">
        <f>IF(B8949="","",SUBTOTAL(3,$B$2:B8949))</f>
        <v>8948</v>
      </c>
      <c r="B8949" s="9" t="s">
        <v>50</v>
      </c>
      <c r="C8949" s="10" t="s">
        <v>52</v>
      </c>
      <c r="D8949" s="11">
        <v>110.22927689594357</v>
      </c>
      <c r="E8949" s="12">
        <f t="shared" si="139"/>
        <v>50387</v>
      </c>
    </row>
    <row r="8950" spans="1:5" x14ac:dyDescent="0.25">
      <c r="A8950" s="2">
        <f>IF(B8950="","",SUBTOTAL(3,$B$2:B8950))</f>
        <v>8949</v>
      </c>
      <c r="B8950" s="9" t="s">
        <v>50</v>
      </c>
      <c r="C8950" s="10" t="s">
        <v>52</v>
      </c>
      <c r="D8950" s="11">
        <v>55.114638447971785</v>
      </c>
      <c r="E8950" s="12">
        <f t="shared" si="139"/>
        <v>50388</v>
      </c>
    </row>
    <row r="8951" spans="1:5" x14ac:dyDescent="0.25">
      <c r="A8951" s="2">
        <f>IF(B8951="","",SUBTOTAL(3,$B$2:B8951))</f>
        <v>8950</v>
      </c>
      <c r="B8951" s="9" t="s">
        <v>50</v>
      </c>
      <c r="C8951" s="10" t="s">
        <v>52</v>
      </c>
      <c r="D8951" s="11">
        <v>40</v>
      </c>
      <c r="E8951" s="12">
        <f t="shared" si="139"/>
        <v>50389</v>
      </c>
    </row>
    <row r="8952" spans="1:5" x14ac:dyDescent="0.25">
      <c r="A8952" s="2">
        <f>IF(B8952="","",SUBTOTAL(3,$B$2:B8952))</f>
        <v>8951</v>
      </c>
      <c r="B8952" s="9" t="s">
        <v>50</v>
      </c>
      <c r="C8952" s="10" t="s">
        <v>52</v>
      </c>
      <c r="D8952" s="11">
        <v>100</v>
      </c>
      <c r="E8952" s="12">
        <f t="shared" si="139"/>
        <v>50390</v>
      </c>
    </row>
    <row r="8953" spans="1:5" x14ac:dyDescent="0.25">
      <c r="A8953" s="2">
        <f>IF(B8953="","",SUBTOTAL(3,$B$2:B8953))</f>
        <v>8952</v>
      </c>
      <c r="B8953" s="9" t="s">
        <v>50</v>
      </c>
      <c r="C8953" s="10" t="s">
        <v>52</v>
      </c>
      <c r="D8953" s="11">
        <v>110.22927689594357</v>
      </c>
      <c r="E8953" s="12">
        <f t="shared" si="139"/>
        <v>50391</v>
      </c>
    </row>
    <row r="8954" spans="1:5" x14ac:dyDescent="0.25">
      <c r="A8954" s="2">
        <f>IF(B8954="","",SUBTOTAL(3,$B$2:B8954))</f>
        <v>8953</v>
      </c>
      <c r="B8954" s="9" t="s">
        <v>50</v>
      </c>
      <c r="C8954" s="10" t="s">
        <v>52</v>
      </c>
      <c r="D8954" s="11">
        <v>110.22927689594357</v>
      </c>
      <c r="E8954" s="12">
        <f t="shared" si="139"/>
        <v>50392</v>
      </c>
    </row>
    <row r="8955" spans="1:5" x14ac:dyDescent="0.25">
      <c r="A8955" s="2">
        <f>IF(B8955="","",SUBTOTAL(3,$B$2:B8955))</f>
        <v>8954</v>
      </c>
      <c r="B8955" s="9" t="s">
        <v>50</v>
      </c>
      <c r="C8955" s="10" t="s">
        <v>52</v>
      </c>
      <c r="D8955" s="11">
        <v>110.22927689594357</v>
      </c>
      <c r="E8955" s="12">
        <f t="shared" si="139"/>
        <v>50393</v>
      </c>
    </row>
    <row r="8956" spans="1:5" x14ac:dyDescent="0.25">
      <c r="A8956" s="2">
        <f>IF(B8956="","",SUBTOTAL(3,$B$2:B8956))</f>
        <v>8955</v>
      </c>
      <c r="B8956" s="9" t="s">
        <v>50</v>
      </c>
      <c r="C8956" s="10" t="s">
        <v>52</v>
      </c>
      <c r="D8956" s="11">
        <v>55.114638447971785</v>
      </c>
      <c r="E8956" s="12">
        <f t="shared" si="139"/>
        <v>50394</v>
      </c>
    </row>
    <row r="8957" spans="1:5" x14ac:dyDescent="0.25">
      <c r="A8957" s="2">
        <f>IF(B8957="","",SUBTOTAL(3,$B$2:B8957))</f>
        <v>8956</v>
      </c>
      <c r="B8957" s="9" t="s">
        <v>50</v>
      </c>
      <c r="C8957" s="10" t="s">
        <v>52</v>
      </c>
      <c r="D8957" s="11">
        <v>66.137566137566139</v>
      </c>
      <c r="E8957" s="12">
        <f t="shared" si="139"/>
        <v>50395</v>
      </c>
    </row>
    <row r="8958" spans="1:5" x14ac:dyDescent="0.25">
      <c r="A8958" s="2">
        <f>IF(B8958="","",SUBTOTAL(3,$B$2:B8958))</f>
        <v>8957</v>
      </c>
      <c r="B8958" s="9" t="s">
        <v>50</v>
      </c>
      <c r="C8958" s="10" t="s">
        <v>52</v>
      </c>
      <c r="D8958" s="11">
        <v>55.114638447971785</v>
      </c>
      <c r="E8958" s="12">
        <f t="shared" si="139"/>
        <v>50396</v>
      </c>
    </row>
    <row r="8959" spans="1:5" x14ac:dyDescent="0.25">
      <c r="A8959" s="2">
        <f>IF(B8959="","",SUBTOTAL(3,$B$2:B8959))</f>
        <v>8958</v>
      </c>
      <c r="B8959" s="9" t="s">
        <v>50</v>
      </c>
      <c r="C8959" s="10" t="s">
        <v>52</v>
      </c>
      <c r="D8959" s="11">
        <v>55.114638447971785</v>
      </c>
      <c r="E8959" s="12">
        <f t="shared" si="139"/>
        <v>50397</v>
      </c>
    </row>
    <row r="8960" spans="1:5" x14ac:dyDescent="0.25">
      <c r="A8960" s="2">
        <f>IF(B8960="","",SUBTOTAL(3,$B$2:B8960))</f>
        <v>8959</v>
      </c>
      <c r="B8960" s="9" t="s">
        <v>50</v>
      </c>
      <c r="C8960" s="10" t="s">
        <v>52</v>
      </c>
      <c r="D8960" s="11">
        <v>66.137566137566139</v>
      </c>
      <c r="E8960" s="12">
        <f t="shared" si="139"/>
        <v>50398</v>
      </c>
    </row>
    <row r="8961" spans="1:5" x14ac:dyDescent="0.25">
      <c r="A8961" s="2">
        <f>IF(B8961="","",SUBTOTAL(3,$B$2:B8961))</f>
        <v>8960</v>
      </c>
      <c r="B8961" s="9" t="s">
        <v>50</v>
      </c>
      <c r="C8961" s="10" t="s">
        <v>52</v>
      </c>
      <c r="D8961" s="11">
        <v>110.22927689594357</v>
      </c>
      <c r="E8961" s="12">
        <f t="shared" si="139"/>
        <v>50399</v>
      </c>
    </row>
    <row r="8962" spans="1:5" x14ac:dyDescent="0.25">
      <c r="A8962" s="2">
        <f>IF(B8962="","",SUBTOTAL(3,$B$2:B8962))</f>
        <v>8961</v>
      </c>
      <c r="B8962" s="9" t="s">
        <v>50</v>
      </c>
      <c r="C8962" s="10" t="s">
        <v>52</v>
      </c>
      <c r="D8962" s="11">
        <v>55.114638447971785</v>
      </c>
      <c r="E8962" s="12">
        <f t="shared" si="139"/>
        <v>50400</v>
      </c>
    </row>
    <row r="8963" spans="1:5" x14ac:dyDescent="0.25">
      <c r="A8963" s="2">
        <f>IF(B8963="","",SUBTOTAL(3,$B$2:B8963))</f>
        <v>8962</v>
      </c>
      <c r="B8963" s="9" t="s">
        <v>50</v>
      </c>
      <c r="C8963" s="10" t="s">
        <v>52</v>
      </c>
      <c r="D8963" s="11">
        <v>66.137566137566139</v>
      </c>
      <c r="E8963" s="12">
        <f t="shared" si="139"/>
        <v>50401</v>
      </c>
    </row>
    <row r="8964" spans="1:5" x14ac:dyDescent="0.25">
      <c r="A8964" s="2">
        <f>IF(B8964="","",SUBTOTAL(3,$B$2:B8964))</f>
        <v>8963</v>
      </c>
      <c r="B8964" s="9" t="s">
        <v>50</v>
      </c>
      <c r="C8964" s="10" t="s">
        <v>52</v>
      </c>
      <c r="D8964" s="11">
        <v>55.114638447971785</v>
      </c>
      <c r="E8964" s="12">
        <f t="shared" ref="E8964:E9027" si="140">E8963+1</f>
        <v>50402</v>
      </c>
    </row>
    <row r="8965" spans="1:5" x14ac:dyDescent="0.25">
      <c r="A8965" s="2">
        <f>IF(B8965="","",SUBTOTAL(3,$B$2:B8965))</f>
        <v>8964</v>
      </c>
      <c r="B8965" s="9" t="s">
        <v>50</v>
      </c>
      <c r="C8965" s="10" t="s">
        <v>52</v>
      </c>
      <c r="D8965" s="11">
        <v>55.114638447971785</v>
      </c>
      <c r="E8965" s="12">
        <f t="shared" si="140"/>
        <v>50403</v>
      </c>
    </row>
    <row r="8966" spans="1:5" x14ac:dyDescent="0.25">
      <c r="A8966" s="2">
        <f>IF(B8966="","",SUBTOTAL(3,$B$2:B8966))</f>
        <v>8965</v>
      </c>
      <c r="B8966" s="9" t="s">
        <v>50</v>
      </c>
      <c r="C8966" s="10" t="s">
        <v>52</v>
      </c>
      <c r="D8966" s="11">
        <v>55.114638447971785</v>
      </c>
      <c r="E8966" s="12">
        <f t="shared" si="140"/>
        <v>50404</v>
      </c>
    </row>
    <row r="8967" spans="1:5" x14ac:dyDescent="0.25">
      <c r="A8967" s="2">
        <f>IF(B8967="","",SUBTOTAL(3,$B$2:B8967))</f>
        <v>8966</v>
      </c>
      <c r="B8967" s="9" t="s">
        <v>50</v>
      </c>
      <c r="C8967" s="10" t="s">
        <v>52</v>
      </c>
      <c r="D8967" s="11">
        <v>66.137566137566139</v>
      </c>
      <c r="E8967" s="12">
        <f t="shared" si="140"/>
        <v>50405</v>
      </c>
    </row>
    <row r="8968" spans="1:5" x14ac:dyDescent="0.25">
      <c r="A8968" s="2">
        <f>IF(B8968="","",SUBTOTAL(3,$B$2:B8968))</f>
        <v>8967</v>
      </c>
      <c r="B8968" s="9" t="s">
        <v>50</v>
      </c>
      <c r="C8968" s="10" t="s">
        <v>52</v>
      </c>
      <c r="D8968" s="11">
        <v>66.137566137566139</v>
      </c>
      <c r="E8968" s="12">
        <f t="shared" si="140"/>
        <v>50406</v>
      </c>
    </row>
    <row r="8969" spans="1:5" x14ac:dyDescent="0.25">
      <c r="A8969" s="2">
        <f>IF(B8969="","",SUBTOTAL(3,$B$2:B8969))</f>
        <v>8968</v>
      </c>
      <c r="B8969" s="9" t="s">
        <v>50</v>
      </c>
      <c r="C8969" s="10" t="s">
        <v>52</v>
      </c>
      <c r="D8969" s="11">
        <v>66.137566137566139</v>
      </c>
      <c r="E8969" s="12">
        <f t="shared" si="140"/>
        <v>50407</v>
      </c>
    </row>
    <row r="8970" spans="1:5" x14ac:dyDescent="0.25">
      <c r="A8970" s="2">
        <f>IF(B8970="","",SUBTOTAL(3,$B$2:B8970))</f>
        <v>8969</v>
      </c>
      <c r="B8970" s="9" t="s">
        <v>55</v>
      </c>
      <c r="C8970" s="10" t="s">
        <v>52</v>
      </c>
      <c r="D8970" s="11">
        <v>10</v>
      </c>
      <c r="E8970" s="12">
        <f t="shared" si="140"/>
        <v>50408</v>
      </c>
    </row>
    <row r="8971" spans="1:5" x14ac:dyDescent="0.25">
      <c r="A8971" s="2">
        <f>IF(B8971="","",SUBTOTAL(3,$B$2:B8971))</f>
        <v>8970</v>
      </c>
      <c r="B8971" s="9" t="s">
        <v>51</v>
      </c>
      <c r="C8971" s="10" t="s">
        <v>52</v>
      </c>
      <c r="D8971" s="11">
        <v>64.824568511465841</v>
      </c>
      <c r="E8971" s="12">
        <f t="shared" si="140"/>
        <v>50409</v>
      </c>
    </row>
    <row r="8972" spans="1:5" x14ac:dyDescent="0.25">
      <c r="A8972" s="2">
        <f>IF(B8972="","",SUBTOTAL(3,$B$2:B8972))</f>
        <v>8971</v>
      </c>
      <c r="B8972" s="9" t="s">
        <v>50</v>
      </c>
      <c r="C8972" s="10" t="s">
        <v>52</v>
      </c>
      <c r="D8972" s="11">
        <v>17.636684303350968</v>
      </c>
      <c r="E8972" s="12">
        <f t="shared" si="140"/>
        <v>50410</v>
      </c>
    </row>
    <row r="8973" spans="1:5" x14ac:dyDescent="0.25">
      <c r="A8973" s="2">
        <f>IF(B8973="","",SUBTOTAL(3,$B$2:B8973))</f>
        <v>8972</v>
      </c>
      <c r="B8973" s="9" t="s">
        <v>50</v>
      </c>
      <c r="C8973" s="10" t="s">
        <v>52</v>
      </c>
      <c r="D8973" s="11">
        <v>30</v>
      </c>
      <c r="E8973" s="12">
        <f t="shared" si="140"/>
        <v>50411</v>
      </c>
    </row>
    <row r="8974" spans="1:5" x14ac:dyDescent="0.25">
      <c r="A8974" s="2">
        <f>IF(B8974="","",SUBTOTAL(3,$B$2:B8974))</f>
        <v>8973</v>
      </c>
      <c r="B8974" s="9" t="s">
        <v>50</v>
      </c>
      <c r="C8974" s="10" t="s">
        <v>52</v>
      </c>
      <c r="D8974" s="11">
        <v>66.137566137566139</v>
      </c>
      <c r="E8974" s="12">
        <f t="shared" si="140"/>
        <v>50412</v>
      </c>
    </row>
    <row r="8975" spans="1:5" x14ac:dyDescent="0.25">
      <c r="A8975" s="2">
        <f>IF(B8975="","",SUBTOTAL(3,$B$2:B8975))</f>
        <v>8974</v>
      </c>
      <c r="B8975" s="9" t="s">
        <v>55</v>
      </c>
      <c r="C8975" s="10" t="s">
        <v>52</v>
      </c>
      <c r="D8975" s="11">
        <v>75</v>
      </c>
      <c r="E8975" s="12">
        <f t="shared" si="140"/>
        <v>50413</v>
      </c>
    </row>
    <row r="8976" spans="1:5" x14ac:dyDescent="0.25">
      <c r="A8976" s="2">
        <f>IF(B8976="","",SUBTOTAL(3,$B$2:B8976))</f>
        <v>8975</v>
      </c>
      <c r="B8976" s="9" t="s">
        <v>50</v>
      </c>
      <c r="C8976" s="10" t="s">
        <v>52</v>
      </c>
      <c r="D8976" s="11">
        <v>4.409171075837742</v>
      </c>
      <c r="E8976" s="12">
        <f t="shared" si="140"/>
        <v>50414</v>
      </c>
    </row>
    <row r="8977" spans="1:5" x14ac:dyDescent="0.25">
      <c r="A8977" s="2">
        <f>IF(B8977="","",SUBTOTAL(3,$B$2:B8977))</f>
        <v>8976</v>
      </c>
      <c r="B8977" s="9" t="s">
        <v>50</v>
      </c>
      <c r="C8977" s="10" t="s">
        <v>52</v>
      </c>
      <c r="D8977" s="11">
        <v>55.114638447971785</v>
      </c>
      <c r="E8977" s="12">
        <f t="shared" si="140"/>
        <v>50415</v>
      </c>
    </row>
    <row r="8978" spans="1:5" x14ac:dyDescent="0.25">
      <c r="A8978" s="2">
        <f>IF(B8978="","",SUBTOTAL(3,$B$2:B8978))</f>
        <v>8977</v>
      </c>
      <c r="B8978" s="9" t="s">
        <v>50</v>
      </c>
      <c r="C8978" s="10" t="s">
        <v>52</v>
      </c>
      <c r="D8978" s="11">
        <v>11.022927689594356</v>
      </c>
      <c r="E8978" s="12">
        <f t="shared" si="140"/>
        <v>50416</v>
      </c>
    </row>
    <row r="8979" spans="1:5" x14ac:dyDescent="0.25">
      <c r="A8979" s="2">
        <f>IF(B8979="","",SUBTOTAL(3,$B$2:B8979))</f>
        <v>8978</v>
      </c>
      <c r="B8979" s="9" t="s">
        <v>55</v>
      </c>
      <c r="C8979" s="10" t="s">
        <v>52</v>
      </c>
      <c r="D8979" s="11">
        <v>100</v>
      </c>
      <c r="E8979" s="12">
        <f t="shared" si="140"/>
        <v>50417</v>
      </c>
    </row>
    <row r="8980" spans="1:5" x14ac:dyDescent="0.25">
      <c r="A8980" s="2">
        <f>IF(B8980="","",SUBTOTAL(3,$B$2:B8980))</f>
        <v>8979</v>
      </c>
      <c r="B8980" s="9" t="s">
        <v>55</v>
      </c>
      <c r="C8980" s="10" t="s">
        <v>52</v>
      </c>
      <c r="D8980" s="11">
        <v>100</v>
      </c>
      <c r="E8980" s="12">
        <f t="shared" si="140"/>
        <v>50418</v>
      </c>
    </row>
    <row r="8981" spans="1:5" x14ac:dyDescent="0.25">
      <c r="A8981" s="2">
        <f>IF(B8981="","",SUBTOTAL(3,$B$2:B8981))</f>
        <v>8980</v>
      </c>
      <c r="B8981" s="9" t="s">
        <v>50</v>
      </c>
      <c r="C8981" s="10" t="s">
        <v>52</v>
      </c>
      <c r="D8981" s="11">
        <v>99.206349206349202</v>
      </c>
      <c r="E8981" s="12">
        <f t="shared" si="140"/>
        <v>50419</v>
      </c>
    </row>
    <row r="8982" spans="1:5" x14ac:dyDescent="0.25">
      <c r="A8982" s="2">
        <f>IF(B8982="","",SUBTOTAL(3,$B$2:B8982))</f>
        <v>8981</v>
      </c>
      <c r="B8982" s="9" t="s">
        <v>50</v>
      </c>
      <c r="C8982" s="10" t="s">
        <v>52</v>
      </c>
      <c r="D8982" s="11">
        <v>77.160493827160494</v>
      </c>
      <c r="E8982" s="12">
        <f t="shared" si="140"/>
        <v>50420</v>
      </c>
    </row>
    <row r="8983" spans="1:5" x14ac:dyDescent="0.25">
      <c r="A8983" s="2">
        <f>IF(B8983="","",SUBTOTAL(3,$B$2:B8983))</f>
        <v>8982</v>
      </c>
      <c r="B8983" s="9" t="s">
        <v>50</v>
      </c>
      <c r="C8983" s="10" t="s">
        <v>52</v>
      </c>
      <c r="D8983" s="11">
        <v>88.183421516754848</v>
      </c>
      <c r="E8983" s="12">
        <f t="shared" si="140"/>
        <v>50421</v>
      </c>
    </row>
    <row r="8984" spans="1:5" x14ac:dyDescent="0.25">
      <c r="A8984" s="2">
        <f>IF(B8984="","",SUBTOTAL(3,$B$2:B8984))</f>
        <v>8983</v>
      </c>
      <c r="B8984" s="9" t="s">
        <v>50</v>
      </c>
      <c r="C8984" s="10" t="s">
        <v>52</v>
      </c>
      <c r="D8984" s="11">
        <v>132.27513227513228</v>
      </c>
      <c r="E8984" s="12">
        <f t="shared" si="140"/>
        <v>50422</v>
      </c>
    </row>
    <row r="8985" spans="1:5" x14ac:dyDescent="0.25">
      <c r="A8985" s="2">
        <f>IF(B8985="","",SUBTOTAL(3,$B$2:B8985))</f>
        <v>8984</v>
      </c>
      <c r="B8985" s="9" t="s">
        <v>50</v>
      </c>
      <c r="C8985" s="10" t="s">
        <v>52</v>
      </c>
      <c r="D8985" s="11">
        <v>77.160493827160494</v>
      </c>
      <c r="E8985" s="12">
        <f t="shared" si="140"/>
        <v>50423</v>
      </c>
    </row>
    <row r="8986" spans="1:5" x14ac:dyDescent="0.25">
      <c r="A8986" s="2">
        <f>IF(B8986="","",SUBTOTAL(3,$B$2:B8986))</f>
        <v>8985</v>
      </c>
      <c r="B8986" s="9" t="s">
        <v>50</v>
      </c>
      <c r="C8986" s="10" t="s">
        <v>52</v>
      </c>
      <c r="D8986" s="11">
        <v>99.206349206349202</v>
      </c>
      <c r="E8986" s="12">
        <f t="shared" si="140"/>
        <v>50424</v>
      </c>
    </row>
    <row r="8987" spans="1:5" x14ac:dyDescent="0.25">
      <c r="A8987" s="2">
        <f>IF(B8987="","",SUBTOTAL(3,$B$2:B8987))</f>
        <v>8986</v>
      </c>
      <c r="B8987" s="9" t="s">
        <v>50</v>
      </c>
      <c r="C8987" s="10" t="s">
        <v>52</v>
      </c>
      <c r="D8987" s="11">
        <v>77.160493827160494</v>
      </c>
      <c r="E8987" s="12">
        <f t="shared" si="140"/>
        <v>50425</v>
      </c>
    </row>
    <row r="8988" spans="1:5" x14ac:dyDescent="0.25">
      <c r="A8988" s="2">
        <f>IF(B8988="","",SUBTOTAL(3,$B$2:B8988))</f>
        <v>8987</v>
      </c>
      <c r="B8988" s="9" t="s">
        <v>50</v>
      </c>
      <c r="C8988" s="10" t="s">
        <v>52</v>
      </c>
      <c r="D8988" s="11">
        <v>77.160493827160494</v>
      </c>
      <c r="E8988" s="12">
        <f t="shared" si="140"/>
        <v>50426</v>
      </c>
    </row>
    <row r="8989" spans="1:5" x14ac:dyDescent="0.25">
      <c r="A8989" s="2">
        <f>IF(B8989="","",SUBTOTAL(3,$B$2:B8989))</f>
        <v>8988</v>
      </c>
      <c r="B8989" s="9" t="s">
        <v>50</v>
      </c>
      <c r="C8989" s="10" t="s">
        <v>52</v>
      </c>
      <c r="D8989" s="11">
        <v>66.137566137566139</v>
      </c>
      <c r="E8989" s="12">
        <f t="shared" si="140"/>
        <v>50427</v>
      </c>
    </row>
    <row r="8990" spans="1:5" x14ac:dyDescent="0.25">
      <c r="A8990" s="2">
        <f>IF(B8990="","",SUBTOTAL(3,$B$2:B8990))</f>
        <v>8989</v>
      </c>
      <c r="B8990" s="9" t="s">
        <v>50</v>
      </c>
      <c r="C8990" s="10" t="s">
        <v>52</v>
      </c>
      <c r="D8990" s="11">
        <v>77.160493827160494</v>
      </c>
      <c r="E8990" s="12">
        <f t="shared" si="140"/>
        <v>50428</v>
      </c>
    </row>
    <row r="8991" spans="1:5" x14ac:dyDescent="0.25">
      <c r="A8991" s="2">
        <f>IF(B8991="","",SUBTOTAL(3,$B$2:B8991))</f>
        <v>8990</v>
      </c>
      <c r="B8991" s="9" t="s">
        <v>50</v>
      </c>
      <c r="C8991" s="10" t="s">
        <v>52</v>
      </c>
      <c r="D8991" s="11">
        <v>44.091710758377424</v>
      </c>
      <c r="E8991" s="12">
        <f t="shared" si="140"/>
        <v>50429</v>
      </c>
    </row>
    <row r="8992" spans="1:5" x14ac:dyDescent="0.25">
      <c r="A8992" s="2">
        <f>IF(B8992="","",SUBTOTAL(3,$B$2:B8992))</f>
        <v>8991</v>
      </c>
      <c r="B8992" s="9" t="s">
        <v>50</v>
      </c>
      <c r="C8992" s="10" t="s">
        <v>52</v>
      </c>
      <c r="D8992" s="11">
        <v>88.183421516754848</v>
      </c>
      <c r="E8992" s="12">
        <f t="shared" si="140"/>
        <v>50430</v>
      </c>
    </row>
    <row r="8993" spans="1:5" x14ac:dyDescent="0.25">
      <c r="A8993" s="2">
        <f>IF(B8993="","",SUBTOTAL(3,$B$2:B8993))</f>
        <v>8992</v>
      </c>
      <c r="B8993" s="9" t="s">
        <v>50</v>
      </c>
      <c r="C8993" s="10" t="s">
        <v>52</v>
      </c>
      <c r="D8993" s="11">
        <v>88.183421516754848</v>
      </c>
      <c r="E8993" s="12">
        <f t="shared" si="140"/>
        <v>50431</v>
      </c>
    </row>
    <row r="8994" spans="1:5" x14ac:dyDescent="0.25">
      <c r="A8994" s="2">
        <f>IF(B8994="","",SUBTOTAL(3,$B$2:B8994))</f>
        <v>8993</v>
      </c>
      <c r="B8994" s="9" t="s">
        <v>50</v>
      </c>
      <c r="C8994" s="10" t="s">
        <v>52</v>
      </c>
      <c r="D8994" s="11">
        <v>88.183421516754848</v>
      </c>
      <c r="E8994" s="12">
        <f t="shared" si="140"/>
        <v>50432</v>
      </c>
    </row>
    <row r="8995" spans="1:5" x14ac:dyDescent="0.25">
      <c r="A8995" s="2">
        <f>IF(B8995="","",SUBTOTAL(3,$B$2:B8995))</f>
        <v>8994</v>
      </c>
      <c r="B8995" s="9" t="s">
        <v>50</v>
      </c>
      <c r="C8995" s="10" t="s">
        <v>52</v>
      </c>
      <c r="D8995" s="11">
        <v>77.160493827160494</v>
      </c>
      <c r="E8995" s="12">
        <f t="shared" si="140"/>
        <v>50433</v>
      </c>
    </row>
    <row r="8996" spans="1:5" x14ac:dyDescent="0.25">
      <c r="A8996" s="2">
        <f>IF(B8996="","",SUBTOTAL(3,$B$2:B8996))</f>
        <v>8995</v>
      </c>
      <c r="B8996" s="9" t="s">
        <v>48</v>
      </c>
      <c r="C8996" s="10" t="s">
        <v>52</v>
      </c>
      <c r="D8996" s="11">
        <v>30.064368584019633</v>
      </c>
      <c r="E8996" s="12">
        <f t="shared" si="140"/>
        <v>50434</v>
      </c>
    </row>
    <row r="8997" spans="1:5" x14ac:dyDescent="0.25">
      <c r="A8997" s="2">
        <f>IF(B8997="","",SUBTOTAL(3,$B$2:B8997))</f>
        <v>8996</v>
      </c>
      <c r="B8997" s="9" t="s">
        <v>50</v>
      </c>
      <c r="C8997" s="10" t="s">
        <v>52</v>
      </c>
      <c r="D8997" s="11">
        <v>44.091710758377424</v>
      </c>
      <c r="E8997" s="12">
        <f t="shared" si="140"/>
        <v>50435</v>
      </c>
    </row>
    <row r="8998" spans="1:5" x14ac:dyDescent="0.25">
      <c r="A8998" s="2">
        <f>IF(B8998="","",SUBTOTAL(3,$B$2:B8998))</f>
        <v>8997</v>
      </c>
      <c r="B8998" s="9" t="s">
        <v>50</v>
      </c>
      <c r="C8998" s="10" t="s">
        <v>52</v>
      </c>
      <c r="D8998" s="11">
        <v>22.045855379188712</v>
      </c>
      <c r="E8998" s="12">
        <f t="shared" si="140"/>
        <v>50436</v>
      </c>
    </row>
    <row r="8999" spans="1:5" x14ac:dyDescent="0.25">
      <c r="A8999" s="2">
        <f>IF(B8999="","",SUBTOTAL(3,$B$2:B8999))</f>
        <v>8998</v>
      </c>
      <c r="B8999" s="9" t="s">
        <v>55</v>
      </c>
      <c r="C8999" s="10" t="s">
        <v>52</v>
      </c>
      <c r="D8999" s="11">
        <v>30.013345890568292</v>
      </c>
      <c r="E8999" s="12">
        <f t="shared" si="140"/>
        <v>50437</v>
      </c>
    </row>
    <row r="9000" spans="1:5" x14ac:dyDescent="0.25">
      <c r="A9000" s="2">
        <f>IF(B9000="","",SUBTOTAL(3,$B$2:B9000))</f>
        <v>8999</v>
      </c>
      <c r="B9000" s="9" t="s">
        <v>51</v>
      </c>
      <c r="C9000" s="10" t="s">
        <v>52</v>
      </c>
      <c r="D9000" s="11">
        <v>137.66811394683893</v>
      </c>
      <c r="E9000" s="12">
        <f t="shared" si="140"/>
        <v>50438</v>
      </c>
    </row>
    <row r="9001" spans="1:5" x14ac:dyDescent="0.25">
      <c r="A9001" s="2">
        <f>IF(B9001="","",SUBTOTAL(3,$B$2:B9001))</f>
        <v>9000</v>
      </c>
      <c r="B9001" s="9" t="s">
        <v>48</v>
      </c>
      <c r="C9001" s="10" t="s">
        <v>52</v>
      </c>
      <c r="D9001" s="11">
        <v>38.54406228720466</v>
      </c>
      <c r="E9001" s="12">
        <f t="shared" si="140"/>
        <v>50439</v>
      </c>
    </row>
    <row r="9002" spans="1:5" x14ac:dyDescent="0.25">
      <c r="A9002" s="2">
        <f>IF(B9002="","",SUBTOTAL(3,$B$2:B9002))</f>
        <v>9001</v>
      </c>
      <c r="B9002" s="9" t="s">
        <v>50</v>
      </c>
      <c r="C9002" s="10" t="s">
        <v>52</v>
      </c>
      <c r="D9002" s="11">
        <v>22.045855379188712</v>
      </c>
      <c r="E9002" s="12">
        <f t="shared" si="140"/>
        <v>50440</v>
      </c>
    </row>
    <row r="9003" spans="1:5" x14ac:dyDescent="0.25">
      <c r="A9003" s="2">
        <f>IF(B9003="","",SUBTOTAL(3,$B$2:B9003))</f>
        <v>9002</v>
      </c>
      <c r="B9003" s="9" t="s">
        <v>50</v>
      </c>
      <c r="C9003" s="10" t="s">
        <v>52</v>
      </c>
      <c r="D9003" s="11">
        <v>33.06878306878307</v>
      </c>
      <c r="E9003" s="12">
        <f t="shared" si="140"/>
        <v>50441</v>
      </c>
    </row>
    <row r="9004" spans="1:5" x14ac:dyDescent="0.25">
      <c r="A9004" s="2">
        <f>IF(B9004="","",SUBTOTAL(3,$B$2:B9004))</f>
        <v>9003</v>
      </c>
      <c r="B9004" s="9" t="s">
        <v>48</v>
      </c>
      <c r="C9004" s="10" t="s">
        <v>52</v>
      </c>
      <c r="D9004" s="11">
        <v>77.017868145409736</v>
      </c>
      <c r="E9004" s="12">
        <f t="shared" si="140"/>
        <v>50442</v>
      </c>
    </row>
    <row r="9005" spans="1:5" x14ac:dyDescent="0.25">
      <c r="A9005" s="2">
        <f>IF(B9005="","",SUBTOTAL(3,$B$2:B9005))</f>
        <v>9004</v>
      </c>
      <c r="B9005" s="9" t="s">
        <v>55</v>
      </c>
      <c r="C9005" s="10" t="s">
        <v>52</v>
      </c>
      <c r="D9005" s="11">
        <v>18.456106563954421</v>
      </c>
      <c r="E9005" s="12">
        <f t="shared" si="140"/>
        <v>50443</v>
      </c>
    </row>
    <row r="9006" spans="1:5" x14ac:dyDescent="0.25">
      <c r="A9006" s="2">
        <f>IF(B9006="","",SUBTOTAL(3,$B$2:B9006))</f>
        <v>9005</v>
      </c>
      <c r="B9006" s="9" t="s">
        <v>48</v>
      </c>
      <c r="C9006" s="10" t="s">
        <v>52</v>
      </c>
      <c r="D9006" s="11">
        <v>57.763401109057305</v>
      </c>
      <c r="E9006" s="12">
        <f t="shared" si="140"/>
        <v>50444</v>
      </c>
    </row>
    <row r="9007" spans="1:5" x14ac:dyDescent="0.25">
      <c r="A9007" s="2">
        <f>IF(B9007="","",SUBTOTAL(3,$B$2:B9007))</f>
        <v>9006</v>
      </c>
      <c r="B9007" s="9" t="s">
        <v>51</v>
      </c>
      <c r="C9007" s="10" t="s">
        <v>52</v>
      </c>
      <c r="D9007" s="11">
        <v>264.74637297469025</v>
      </c>
      <c r="E9007" s="12">
        <f t="shared" si="140"/>
        <v>50445</v>
      </c>
    </row>
    <row r="9008" spans="1:5" x14ac:dyDescent="0.25">
      <c r="A9008" s="2">
        <f>IF(B9008="","",SUBTOTAL(3,$B$2:B9008))</f>
        <v>9007</v>
      </c>
      <c r="B9008" s="9" t="s">
        <v>51</v>
      </c>
      <c r="C9008" s="10" t="s">
        <v>52</v>
      </c>
      <c r="D9008" s="11">
        <v>105.89854918987609</v>
      </c>
      <c r="E9008" s="12">
        <f t="shared" si="140"/>
        <v>50446</v>
      </c>
    </row>
    <row r="9009" spans="1:5" x14ac:dyDescent="0.25">
      <c r="A9009" s="2">
        <f>IF(B9009="","",SUBTOTAL(3,$B$2:B9009))</f>
        <v>9008</v>
      </c>
      <c r="B9009" s="9" t="s">
        <v>55</v>
      </c>
      <c r="C9009" s="10" t="s">
        <v>52</v>
      </c>
      <c r="D9009" s="11">
        <v>91.9</v>
      </c>
      <c r="E9009" s="12">
        <f t="shared" si="140"/>
        <v>50447</v>
      </c>
    </row>
    <row r="9010" spans="1:5" x14ac:dyDescent="0.25">
      <c r="A9010" s="2">
        <f>IF(B9010="","",SUBTOTAL(3,$B$2:B9010))</f>
        <v>9009</v>
      </c>
      <c r="B9010" s="9" t="s">
        <v>48</v>
      </c>
      <c r="C9010" s="10" t="s">
        <v>52</v>
      </c>
      <c r="D9010" s="11">
        <v>61.614294516327789</v>
      </c>
      <c r="E9010" s="12">
        <f t="shared" si="140"/>
        <v>50448</v>
      </c>
    </row>
    <row r="9011" spans="1:5" x14ac:dyDescent="0.25">
      <c r="A9011" s="2">
        <f>IF(B9011="","",SUBTOTAL(3,$B$2:B9011))</f>
        <v>9010</v>
      </c>
      <c r="B9011" s="9" t="s">
        <v>50</v>
      </c>
      <c r="C9011" s="10" t="s">
        <v>52</v>
      </c>
      <c r="D9011" s="11">
        <v>110.22927689594357</v>
      </c>
      <c r="E9011" s="12">
        <f t="shared" si="140"/>
        <v>50449</v>
      </c>
    </row>
    <row r="9012" spans="1:5" x14ac:dyDescent="0.25">
      <c r="A9012" s="2">
        <f>IF(B9012="","",SUBTOTAL(3,$B$2:B9012))</f>
        <v>9011</v>
      </c>
      <c r="B9012" s="9" t="s">
        <v>48</v>
      </c>
      <c r="C9012" s="10" t="s">
        <v>52</v>
      </c>
      <c r="D9012" s="11">
        <v>12.848020762401553</v>
      </c>
      <c r="E9012" s="12">
        <f t="shared" si="140"/>
        <v>50450</v>
      </c>
    </row>
    <row r="9013" spans="1:5" x14ac:dyDescent="0.25">
      <c r="A9013" s="2">
        <f>IF(B9013="","",SUBTOTAL(3,$B$2:B9013))</f>
        <v>9012</v>
      </c>
      <c r="B9013" s="9" t="s">
        <v>55</v>
      </c>
      <c r="C9013" s="10" t="s">
        <v>52</v>
      </c>
      <c r="D9013" s="11">
        <v>107.96159323746957</v>
      </c>
      <c r="E9013" s="12">
        <f t="shared" si="140"/>
        <v>50451</v>
      </c>
    </row>
    <row r="9014" spans="1:5" x14ac:dyDescent="0.25">
      <c r="A9014" s="2">
        <f>IF(B9014="","",SUBTOTAL(3,$B$2:B9014))</f>
        <v>9013</v>
      </c>
      <c r="B9014" s="9" t="s">
        <v>55</v>
      </c>
      <c r="C9014" s="10" t="s">
        <v>52</v>
      </c>
      <c r="D9014" s="11">
        <v>321.58772453714334</v>
      </c>
      <c r="E9014" s="12">
        <f t="shared" si="140"/>
        <v>50452</v>
      </c>
    </row>
    <row r="9015" spans="1:5" x14ac:dyDescent="0.25">
      <c r="A9015" s="2">
        <f>IF(B9015="","",SUBTOTAL(3,$B$2:B9015))</f>
        <v>9014</v>
      </c>
      <c r="B9015" s="9" t="s">
        <v>55</v>
      </c>
      <c r="C9015" s="10" t="s">
        <v>52</v>
      </c>
      <c r="D9015" s="11">
        <v>114.85275876326548</v>
      </c>
      <c r="E9015" s="12">
        <f t="shared" si="140"/>
        <v>50453</v>
      </c>
    </row>
    <row r="9016" spans="1:5" x14ac:dyDescent="0.25">
      <c r="A9016" s="2">
        <f>IF(B9016="","",SUBTOTAL(3,$B$2:B9016))</f>
        <v>9015</v>
      </c>
      <c r="B9016" s="9" t="s">
        <v>51</v>
      </c>
      <c r="C9016" s="10" t="s">
        <v>52</v>
      </c>
      <c r="D9016" s="11">
        <v>105.89854918987609</v>
      </c>
      <c r="E9016" s="12">
        <f t="shared" si="140"/>
        <v>50454</v>
      </c>
    </row>
    <row r="9017" spans="1:5" x14ac:dyDescent="0.25">
      <c r="A9017" s="2">
        <f>IF(B9017="","",SUBTOTAL(3,$B$2:B9017))</f>
        <v>9016</v>
      </c>
      <c r="B9017" s="9" t="s">
        <v>48</v>
      </c>
      <c r="C9017" s="10" t="s">
        <v>52</v>
      </c>
      <c r="D9017" s="11">
        <v>38.508934072704868</v>
      </c>
      <c r="E9017" s="12">
        <f t="shared" si="140"/>
        <v>50455</v>
      </c>
    </row>
    <row r="9018" spans="1:5" x14ac:dyDescent="0.25">
      <c r="A9018" s="2">
        <f>IF(B9018="","",SUBTOTAL(3,$B$2:B9018))</f>
        <v>9017</v>
      </c>
      <c r="B9018" s="9" t="s">
        <v>55</v>
      </c>
      <c r="C9018" s="10" t="s">
        <v>52</v>
      </c>
      <c r="D9018" s="11">
        <v>20</v>
      </c>
      <c r="E9018" s="12">
        <f t="shared" si="140"/>
        <v>50456</v>
      </c>
    </row>
    <row r="9019" spans="1:5" x14ac:dyDescent="0.25">
      <c r="A9019" s="2">
        <f>IF(B9019="","",SUBTOTAL(3,$B$2:B9019))</f>
        <v>9018</v>
      </c>
      <c r="B9019" s="9" t="s">
        <v>48</v>
      </c>
      <c r="C9019" s="10" t="s">
        <v>52</v>
      </c>
      <c r="D9019" s="11">
        <v>12.848020762401553</v>
      </c>
      <c r="E9019" s="12">
        <f t="shared" si="140"/>
        <v>50457</v>
      </c>
    </row>
    <row r="9020" spans="1:5" x14ac:dyDescent="0.25">
      <c r="A9020" s="2">
        <f>IF(B9020="","",SUBTOTAL(3,$B$2:B9020))</f>
        <v>9019</v>
      </c>
      <c r="B9020" s="9" t="s">
        <v>55</v>
      </c>
      <c r="C9020" s="10" t="s">
        <v>52</v>
      </c>
      <c r="D9020" s="11">
        <v>150</v>
      </c>
      <c r="E9020" s="12">
        <f t="shared" si="140"/>
        <v>50458</v>
      </c>
    </row>
    <row r="9021" spans="1:5" x14ac:dyDescent="0.25">
      <c r="A9021" s="2">
        <f>IF(B9021="","",SUBTOTAL(3,$B$2:B9021))</f>
        <v>9020</v>
      </c>
      <c r="B9021" s="9" t="s">
        <v>48</v>
      </c>
      <c r="C9021" s="10" t="s">
        <v>52</v>
      </c>
      <c r="D9021" s="11">
        <v>51.392083049606214</v>
      </c>
      <c r="E9021" s="12">
        <f t="shared" si="140"/>
        <v>50459</v>
      </c>
    </row>
    <row r="9022" spans="1:5" x14ac:dyDescent="0.25">
      <c r="A9022" s="2">
        <f>IF(B9022="","",SUBTOTAL(3,$B$2:B9022))</f>
        <v>9021</v>
      </c>
      <c r="B9022" s="9" t="s">
        <v>51</v>
      </c>
      <c r="C9022" s="10" t="s">
        <v>52</v>
      </c>
      <c r="D9022" s="11">
        <v>211.79709837975219</v>
      </c>
      <c r="E9022" s="12">
        <f t="shared" si="140"/>
        <v>50460</v>
      </c>
    </row>
    <row r="9023" spans="1:5" x14ac:dyDescent="0.25">
      <c r="A9023" s="2">
        <f>IF(B9023="","",SUBTOTAL(3,$B$2:B9023))</f>
        <v>9022</v>
      </c>
      <c r="B9023" s="9" t="s">
        <v>55</v>
      </c>
      <c r="C9023" s="10" t="s">
        <v>52</v>
      </c>
      <c r="D9023" s="11">
        <v>200</v>
      </c>
      <c r="E9023" s="12">
        <f t="shared" si="140"/>
        <v>50461</v>
      </c>
    </row>
    <row r="9024" spans="1:5" x14ac:dyDescent="0.25">
      <c r="A9024" s="2">
        <f>IF(B9024="","",SUBTOTAL(3,$B$2:B9024))</f>
        <v>9023</v>
      </c>
      <c r="B9024" s="9" t="s">
        <v>55</v>
      </c>
      <c r="C9024" s="10" t="s">
        <v>52</v>
      </c>
      <c r="D9024" s="11">
        <v>100</v>
      </c>
      <c r="E9024" s="12">
        <f t="shared" si="140"/>
        <v>50462</v>
      </c>
    </row>
    <row r="9025" spans="1:5" x14ac:dyDescent="0.25">
      <c r="A9025" s="2">
        <f>IF(B9025="","",SUBTOTAL(3,$B$2:B9025))</f>
        <v>9024</v>
      </c>
      <c r="B9025" s="9" t="s">
        <v>55</v>
      </c>
      <c r="C9025" s="10" t="s">
        <v>52</v>
      </c>
      <c r="D9025" s="11">
        <v>11</v>
      </c>
      <c r="E9025" s="12">
        <f t="shared" si="140"/>
        <v>50463</v>
      </c>
    </row>
    <row r="9026" spans="1:5" x14ac:dyDescent="0.25">
      <c r="A9026" s="2">
        <f>IF(B9026="","",SUBTOTAL(3,$B$2:B9026))</f>
        <v>9025</v>
      </c>
      <c r="B9026" s="9" t="s">
        <v>55</v>
      </c>
      <c r="C9026" s="10" t="s">
        <v>52</v>
      </c>
      <c r="D9026" s="11">
        <v>18.376441402122481</v>
      </c>
      <c r="E9026" s="12">
        <f t="shared" si="140"/>
        <v>50464</v>
      </c>
    </row>
    <row r="9027" spans="1:5" x14ac:dyDescent="0.25">
      <c r="A9027" s="2">
        <f>IF(B9027="","",SUBTOTAL(3,$B$2:B9027))</f>
        <v>9026</v>
      </c>
      <c r="B9027" s="9" t="s">
        <v>51</v>
      </c>
      <c r="C9027" s="10" t="s">
        <v>52</v>
      </c>
      <c r="D9027" s="11">
        <v>105.89854918987609</v>
      </c>
      <c r="E9027" s="12">
        <f t="shared" si="140"/>
        <v>50465</v>
      </c>
    </row>
    <row r="9028" spans="1:5" x14ac:dyDescent="0.25">
      <c r="A9028" s="2">
        <f>IF(B9028="","",SUBTOTAL(3,$B$2:B9028))</f>
        <v>9027</v>
      </c>
      <c r="B9028" s="9" t="s">
        <v>55</v>
      </c>
      <c r="C9028" s="10" t="s">
        <v>52</v>
      </c>
      <c r="D9028" s="11">
        <v>5.8660583346912167</v>
      </c>
      <c r="E9028" s="12">
        <f t="shared" ref="E9028:E9091" si="141">E9027+1</f>
        <v>50466</v>
      </c>
    </row>
    <row r="9029" spans="1:5" x14ac:dyDescent="0.25">
      <c r="A9029" s="2">
        <f>IF(B9029="","",SUBTOTAL(3,$B$2:B9029))</f>
        <v>9028</v>
      </c>
      <c r="B9029" s="9" t="s">
        <v>51</v>
      </c>
      <c r="C9029" s="10" t="s">
        <v>52</v>
      </c>
      <c r="D9029" s="11">
        <v>52.949274594938046</v>
      </c>
      <c r="E9029" s="12">
        <f t="shared" si="141"/>
        <v>50467</v>
      </c>
    </row>
    <row r="9030" spans="1:5" x14ac:dyDescent="0.25">
      <c r="A9030" s="2">
        <f>IF(B9030="","",SUBTOTAL(3,$B$2:B9030))</f>
        <v>9029</v>
      </c>
      <c r="B9030" s="9" t="s">
        <v>55</v>
      </c>
      <c r="C9030" s="10" t="s">
        <v>52</v>
      </c>
      <c r="D9030" s="11">
        <v>5.8660583346912167</v>
      </c>
      <c r="E9030" s="12">
        <f t="shared" si="141"/>
        <v>50468</v>
      </c>
    </row>
    <row r="9031" spans="1:5" x14ac:dyDescent="0.25">
      <c r="A9031" s="2">
        <f>IF(B9031="","",SUBTOTAL(3,$B$2:B9031))</f>
        <v>9030</v>
      </c>
      <c r="B9031" s="9" t="s">
        <v>50</v>
      </c>
      <c r="C9031" s="10" t="s">
        <v>52</v>
      </c>
      <c r="D9031" s="11">
        <v>44.091710758377424</v>
      </c>
      <c r="E9031" s="12">
        <f t="shared" si="141"/>
        <v>50469</v>
      </c>
    </row>
    <row r="9032" spans="1:5" x14ac:dyDescent="0.25">
      <c r="A9032" s="2">
        <f>IF(B9032="","",SUBTOTAL(3,$B$2:B9032))</f>
        <v>9031</v>
      </c>
      <c r="B9032" s="9" t="s">
        <v>51</v>
      </c>
      <c r="C9032" s="10" t="s">
        <v>52</v>
      </c>
      <c r="D9032" s="11">
        <v>121.54606595899845</v>
      </c>
      <c r="E9032" s="12">
        <f t="shared" si="141"/>
        <v>50470</v>
      </c>
    </row>
    <row r="9033" spans="1:5" x14ac:dyDescent="0.25">
      <c r="A9033" s="2">
        <f>IF(B9033="","",SUBTOTAL(3,$B$2:B9033))</f>
        <v>9032</v>
      </c>
      <c r="B9033" s="9" t="s">
        <v>51</v>
      </c>
      <c r="C9033" s="10" t="s">
        <v>52</v>
      </c>
      <c r="D9033" s="11">
        <v>20.257677659833075</v>
      </c>
      <c r="E9033" s="12">
        <f t="shared" si="141"/>
        <v>50471</v>
      </c>
    </row>
    <row r="9034" spans="1:5" x14ac:dyDescent="0.25">
      <c r="A9034" s="2">
        <f>IF(B9034="","",SUBTOTAL(3,$B$2:B9034))</f>
        <v>9033</v>
      </c>
      <c r="B9034" s="9" t="s">
        <v>51</v>
      </c>
      <c r="C9034" s="10" t="s">
        <v>52</v>
      </c>
      <c r="D9034" s="11">
        <v>162.0614212786646</v>
      </c>
      <c r="E9034" s="12">
        <f t="shared" si="141"/>
        <v>50472</v>
      </c>
    </row>
    <row r="9035" spans="1:5" x14ac:dyDescent="0.25">
      <c r="A9035" s="2">
        <f>IF(B9035="","",SUBTOTAL(3,$B$2:B9035))</f>
        <v>9034</v>
      </c>
      <c r="B9035" s="9" t="s">
        <v>55</v>
      </c>
      <c r="C9035" s="10" t="s">
        <v>52</v>
      </c>
      <c r="D9035" s="11">
        <v>65.178425941013529</v>
      </c>
      <c r="E9035" s="12">
        <f t="shared" si="141"/>
        <v>50473</v>
      </c>
    </row>
    <row r="9036" spans="1:5" x14ac:dyDescent="0.25">
      <c r="A9036" s="2">
        <f>IF(B9036="","",SUBTOTAL(3,$B$2:B9036))</f>
        <v>9035</v>
      </c>
      <c r="B9036" s="9" t="s">
        <v>48</v>
      </c>
      <c r="C9036" s="10" t="s">
        <v>52</v>
      </c>
      <c r="D9036" s="11">
        <v>154.03573629081947</v>
      </c>
      <c r="E9036" s="12">
        <f t="shared" si="141"/>
        <v>50474</v>
      </c>
    </row>
    <row r="9037" spans="1:5" x14ac:dyDescent="0.25">
      <c r="A9037" s="2">
        <f>IF(B9037="","",SUBTOTAL(3,$B$2:B9037))</f>
        <v>9036</v>
      </c>
      <c r="B9037" s="9" t="s">
        <v>50</v>
      </c>
      <c r="C9037" s="10" t="s">
        <v>52</v>
      </c>
      <c r="D9037" s="11">
        <v>77.160493827160494</v>
      </c>
      <c r="E9037" s="12">
        <f t="shared" si="141"/>
        <v>50475</v>
      </c>
    </row>
    <row r="9038" spans="1:5" x14ac:dyDescent="0.25">
      <c r="A9038" s="2">
        <f>IF(B9038="","",SUBTOTAL(3,$B$2:B9038))</f>
        <v>9037</v>
      </c>
      <c r="B9038" s="9" t="s">
        <v>51</v>
      </c>
      <c r="C9038" s="10" t="s">
        <v>52</v>
      </c>
      <c r="D9038" s="11">
        <v>121.54606595899845</v>
      </c>
      <c r="E9038" s="12">
        <f t="shared" si="141"/>
        <v>50476</v>
      </c>
    </row>
    <row r="9039" spans="1:5" x14ac:dyDescent="0.25">
      <c r="A9039" s="2">
        <f>IF(B9039="","",SUBTOTAL(3,$B$2:B9039))</f>
        <v>9038</v>
      </c>
      <c r="B9039" s="9" t="s">
        <v>51</v>
      </c>
      <c r="C9039" s="10" t="s">
        <v>52</v>
      </c>
      <c r="D9039" s="11">
        <v>121.54606595899845</v>
      </c>
      <c r="E9039" s="12">
        <f t="shared" si="141"/>
        <v>50477</v>
      </c>
    </row>
    <row r="9040" spans="1:5" x14ac:dyDescent="0.25">
      <c r="A9040" s="2">
        <f>IF(B9040="","",SUBTOTAL(3,$B$2:B9040))</f>
        <v>9039</v>
      </c>
      <c r="B9040" s="9" t="s">
        <v>50</v>
      </c>
      <c r="C9040" s="10" t="s">
        <v>52</v>
      </c>
      <c r="D9040" s="11">
        <v>275.57319223985888</v>
      </c>
      <c r="E9040" s="12">
        <f t="shared" si="141"/>
        <v>50478</v>
      </c>
    </row>
    <row r="9041" spans="1:5" x14ac:dyDescent="0.25">
      <c r="A9041" s="2">
        <f>IF(B9041="","",SUBTOTAL(3,$B$2:B9041))</f>
        <v>9040</v>
      </c>
      <c r="B9041" s="9" t="s">
        <v>55</v>
      </c>
      <c r="C9041" s="10" t="s">
        <v>52</v>
      </c>
      <c r="D9041" s="11">
        <v>5.8660583346912167</v>
      </c>
      <c r="E9041" s="12">
        <f t="shared" si="141"/>
        <v>50479</v>
      </c>
    </row>
    <row r="9042" spans="1:5" x14ac:dyDescent="0.25">
      <c r="A9042" s="2">
        <f>IF(B9042="","",SUBTOTAL(3,$B$2:B9042))</f>
        <v>9041</v>
      </c>
      <c r="B9042" s="9" t="s">
        <v>51</v>
      </c>
      <c r="C9042" s="10" t="s">
        <v>52</v>
      </c>
      <c r="D9042" s="11">
        <v>14.220889717202821</v>
      </c>
      <c r="E9042" s="12">
        <f t="shared" si="141"/>
        <v>50480</v>
      </c>
    </row>
    <row r="9043" spans="1:5" x14ac:dyDescent="0.25">
      <c r="A9043" s="2">
        <f>IF(B9043="","",SUBTOTAL(3,$B$2:B9043))</f>
        <v>9042</v>
      </c>
      <c r="B9043" s="9" t="s">
        <v>55</v>
      </c>
      <c r="C9043" s="10" t="s">
        <v>52</v>
      </c>
      <c r="D9043" s="11">
        <v>12</v>
      </c>
      <c r="E9043" s="12">
        <f t="shared" si="141"/>
        <v>50481</v>
      </c>
    </row>
    <row r="9044" spans="1:5" x14ac:dyDescent="0.25">
      <c r="A9044" s="2">
        <f>IF(B9044="","",SUBTOTAL(3,$B$2:B9044))</f>
        <v>9043</v>
      </c>
      <c r="B9044" s="9" t="s">
        <v>50</v>
      </c>
      <c r="C9044" s="10" t="s">
        <v>52</v>
      </c>
      <c r="D9044" s="11">
        <v>110.22927689594357</v>
      </c>
      <c r="E9044" s="12">
        <f t="shared" si="141"/>
        <v>50482</v>
      </c>
    </row>
    <row r="9045" spans="1:5" x14ac:dyDescent="0.25">
      <c r="A9045" s="2">
        <f>IF(B9045="","",SUBTOTAL(3,$B$2:B9045))</f>
        <v>9044</v>
      </c>
      <c r="B9045" s="9" t="s">
        <v>48</v>
      </c>
      <c r="C9045" s="10" t="s">
        <v>52</v>
      </c>
      <c r="D9045" s="11">
        <v>123.22858903265558</v>
      </c>
      <c r="E9045" s="12">
        <f t="shared" si="141"/>
        <v>50483</v>
      </c>
    </row>
    <row r="9046" spans="1:5" x14ac:dyDescent="0.25">
      <c r="A9046" s="2">
        <f>IF(B9046="","",SUBTOTAL(3,$B$2:B9046))</f>
        <v>9045</v>
      </c>
      <c r="B9046" s="9" t="s">
        <v>50</v>
      </c>
      <c r="C9046" s="10" t="s">
        <v>52</v>
      </c>
      <c r="D9046" s="11">
        <v>11.022927689594356</v>
      </c>
      <c r="E9046" s="12">
        <f t="shared" si="141"/>
        <v>50484</v>
      </c>
    </row>
    <row r="9047" spans="1:5" x14ac:dyDescent="0.25">
      <c r="A9047" s="2">
        <f>IF(B9047="","",SUBTOTAL(3,$B$2:B9047))</f>
        <v>9046</v>
      </c>
      <c r="B9047" s="9" t="s">
        <v>55</v>
      </c>
      <c r="C9047" s="10" t="s">
        <v>52</v>
      </c>
      <c r="D9047" s="11">
        <v>70</v>
      </c>
      <c r="E9047" s="12">
        <f t="shared" si="141"/>
        <v>50485</v>
      </c>
    </row>
    <row r="9048" spans="1:5" x14ac:dyDescent="0.25">
      <c r="A9048" s="2">
        <f>IF(B9048="","",SUBTOTAL(3,$B$2:B9048))</f>
        <v>9047</v>
      </c>
      <c r="B9048" s="9" t="s">
        <v>55</v>
      </c>
      <c r="C9048" s="10" t="s">
        <v>52</v>
      </c>
      <c r="D9048" s="11">
        <v>20</v>
      </c>
      <c r="E9048" s="12">
        <f t="shared" si="141"/>
        <v>50486</v>
      </c>
    </row>
    <row r="9049" spans="1:5" x14ac:dyDescent="0.25">
      <c r="A9049" s="2">
        <f>IF(B9049="","",SUBTOTAL(3,$B$2:B9049))</f>
        <v>9048</v>
      </c>
      <c r="B9049" s="9" t="s">
        <v>55</v>
      </c>
      <c r="C9049" s="10" t="s">
        <v>52</v>
      </c>
      <c r="D9049" s="11">
        <v>50</v>
      </c>
      <c r="E9049" s="12">
        <f t="shared" si="141"/>
        <v>50487</v>
      </c>
    </row>
    <row r="9050" spans="1:5" x14ac:dyDescent="0.25">
      <c r="A9050" s="2">
        <f>IF(B9050="","",SUBTOTAL(3,$B$2:B9050))</f>
        <v>9049</v>
      </c>
      <c r="B9050" s="9" t="s">
        <v>55</v>
      </c>
      <c r="C9050" s="10" t="s">
        <v>52</v>
      </c>
      <c r="D9050" s="11">
        <v>45.95</v>
      </c>
      <c r="E9050" s="12">
        <f t="shared" si="141"/>
        <v>50488</v>
      </c>
    </row>
    <row r="9051" spans="1:5" x14ac:dyDescent="0.25">
      <c r="A9051" s="2">
        <f>IF(B9051="","",SUBTOTAL(3,$B$2:B9051))</f>
        <v>9050</v>
      </c>
      <c r="B9051" s="9" t="s">
        <v>55</v>
      </c>
      <c r="C9051" s="10" t="s">
        <v>52</v>
      </c>
      <c r="D9051" s="11">
        <v>50</v>
      </c>
      <c r="E9051" s="12">
        <f t="shared" si="141"/>
        <v>50489</v>
      </c>
    </row>
    <row r="9052" spans="1:5" x14ac:dyDescent="0.25">
      <c r="A9052" s="2">
        <f>IF(B9052="","",SUBTOTAL(3,$B$2:B9052))</f>
        <v>9051</v>
      </c>
      <c r="B9052" s="9" t="s">
        <v>51</v>
      </c>
      <c r="C9052" s="10" t="s">
        <v>52</v>
      </c>
      <c r="D9052" s="11">
        <v>338.87535740760353</v>
      </c>
      <c r="E9052" s="12">
        <f t="shared" si="141"/>
        <v>50490</v>
      </c>
    </row>
    <row r="9053" spans="1:5" x14ac:dyDescent="0.25">
      <c r="A9053" s="2">
        <f>IF(B9053="","",SUBTOTAL(3,$B$2:B9053))</f>
        <v>9052</v>
      </c>
      <c r="B9053" s="9" t="s">
        <v>51</v>
      </c>
      <c r="C9053" s="10" t="s">
        <v>52</v>
      </c>
      <c r="D9053" s="11">
        <v>232.97680821772741</v>
      </c>
      <c r="E9053" s="12">
        <f t="shared" si="141"/>
        <v>50491</v>
      </c>
    </row>
    <row r="9054" spans="1:5" x14ac:dyDescent="0.25">
      <c r="A9054" s="2">
        <f>IF(B9054="","",SUBTOTAL(3,$B$2:B9054))</f>
        <v>9053</v>
      </c>
      <c r="B9054" s="9" t="s">
        <v>51</v>
      </c>
      <c r="C9054" s="10" t="s">
        <v>52</v>
      </c>
      <c r="D9054" s="11">
        <v>423.59419675950437</v>
      </c>
      <c r="E9054" s="12">
        <f t="shared" si="141"/>
        <v>50492</v>
      </c>
    </row>
    <row r="9055" spans="1:5" x14ac:dyDescent="0.25">
      <c r="A9055" s="2">
        <f>IF(B9055="","",SUBTOTAL(3,$B$2:B9055))</f>
        <v>9054</v>
      </c>
      <c r="B9055" s="9" t="s">
        <v>48</v>
      </c>
      <c r="C9055" s="10" t="s">
        <v>52</v>
      </c>
      <c r="D9055" s="11">
        <v>50.061614294516332</v>
      </c>
      <c r="E9055" s="12">
        <f t="shared" si="141"/>
        <v>50493</v>
      </c>
    </row>
    <row r="9056" spans="1:5" x14ac:dyDescent="0.25">
      <c r="A9056" s="2">
        <f>IF(B9056="","",SUBTOTAL(3,$B$2:B9056))</f>
        <v>9055</v>
      </c>
      <c r="B9056" s="9" t="s">
        <v>51</v>
      </c>
      <c r="C9056" s="10" t="s">
        <v>52</v>
      </c>
      <c r="D9056" s="11">
        <v>158.84782378481412</v>
      </c>
      <c r="E9056" s="12">
        <f t="shared" si="141"/>
        <v>50494</v>
      </c>
    </row>
    <row r="9057" spans="1:5" x14ac:dyDescent="0.25">
      <c r="A9057" s="2">
        <f>IF(B9057="","",SUBTOTAL(3,$B$2:B9057))</f>
        <v>9056</v>
      </c>
      <c r="B9057" s="9" t="s">
        <v>51</v>
      </c>
      <c r="C9057" s="10" t="s">
        <v>52</v>
      </c>
      <c r="D9057" s="11">
        <v>211.79709837975219</v>
      </c>
      <c r="E9057" s="12">
        <f t="shared" si="141"/>
        <v>50495</v>
      </c>
    </row>
    <row r="9058" spans="1:5" x14ac:dyDescent="0.25">
      <c r="A9058" s="2">
        <f>IF(B9058="","",SUBTOTAL(3,$B$2:B9058))</f>
        <v>9057</v>
      </c>
      <c r="B9058" s="9" t="s">
        <v>55</v>
      </c>
      <c r="C9058" s="10" t="s">
        <v>52</v>
      </c>
      <c r="D9058" s="11">
        <v>75</v>
      </c>
      <c r="E9058" s="12">
        <f t="shared" si="141"/>
        <v>50496</v>
      </c>
    </row>
    <row r="9059" spans="1:5" x14ac:dyDescent="0.25">
      <c r="A9059" s="2">
        <f>IF(B9059="","",SUBTOTAL(3,$B$2:B9059))</f>
        <v>9058</v>
      </c>
      <c r="B9059" s="9" t="s">
        <v>50</v>
      </c>
      <c r="C9059" s="10" t="s">
        <v>52</v>
      </c>
      <c r="D9059" s="11">
        <v>330.68783068783068</v>
      </c>
      <c r="E9059" s="12">
        <f t="shared" si="141"/>
        <v>50497</v>
      </c>
    </row>
    <row r="9060" spans="1:5" x14ac:dyDescent="0.25">
      <c r="A9060" s="2">
        <f>IF(B9060="","",SUBTOTAL(3,$B$2:B9060))</f>
        <v>9059</v>
      </c>
      <c r="B9060" s="9" t="s">
        <v>50</v>
      </c>
      <c r="C9060" s="10" t="s">
        <v>52</v>
      </c>
      <c r="D9060" s="11">
        <v>220.45855379188714</v>
      </c>
      <c r="E9060" s="12">
        <f t="shared" si="141"/>
        <v>50498</v>
      </c>
    </row>
    <row r="9061" spans="1:5" x14ac:dyDescent="0.25">
      <c r="A9061" s="2">
        <f>IF(B9061="","",SUBTOTAL(3,$B$2:B9061))</f>
        <v>9060</v>
      </c>
      <c r="B9061" s="9" t="s">
        <v>50</v>
      </c>
      <c r="C9061" s="10" t="s">
        <v>52</v>
      </c>
      <c r="D9061" s="11">
        <v>220.45855379188714</v>
      </c>
      <c r="E9061" s="12">
        <f t="shared" si="141"/>
        <v>50499</v>
      </c>
    </row>
    <row r="9062" spans="1:5" x14ac:dyDescent="0.25">
      <c r="A9062" s="2">
        <f>IF(B9062="","",SUBTOTAL(3,$B$2:B9062))</f>
        <v>9061</v>
      </c>
      <c r="B9062" s="9" t="s">
        <v>50</v>
      </c>
      <c r="C9062" s="10" t="s">
        <v>52</v>
      </c>
      <c r="D9062" s="11">
        <v>110.22927689594357</v>
      </c>
      <c r="E9062" s="12">
        <f t="shared" si="141"/>
        <v>50500</v>
      </c>
    </row>
    <row r="9063" spans="1:5" x14ac:dyDescent="0.25">
      <c r="A9063" s="2">
        <f>IF(B9063="","",SUBTOTAL(3,$B$2:B9063))</f>
        <v>9062</v>
      </c>
      <c r="B9063" s="9" t="s">
        <v>50</v>
      </c>
      <c r="C9063" s="10" t="s">
        <v>52</v>
      </c>
      <c r="D9063" s="11">
        <v>110.22927689594357</v>
      </c>
      <c r="E9063" s="12">
        <f t="shared" si="141"/>
        <v>50501</v>
      </c>
    </row>
    <row r="9064" spans="1:5" x14ac:dyDescent="0.25">
      <c r="A9064" s="2">
        <f>IF(B9064="","",SUBTOTAL(3,$B$2:B9064))</f>
        <v>9063</v>
      </c>
      <c r="B9064" s="9" t="s">
        <v>50</v>
      </c>
      <c r="C9064" s="10" t="s">
        <v>52</v>
      </c>
      <c r="D9064" s="11">
        <v>110.22927689594357</v>
      </c>
      <c r="E9064" s="12">
        <f t="shared" si="141"/>
        <v>50502</v>
      </c>
    </row>
    <row r="9065" spans="1:5" x14ac:dyDescent="0.25">
      <c r="A9065" s="2">
        <f>IF(B9065="","",SUBTOTAL(3,$B$2:B9065))</f>
        <v>9064</v>
      </c>
      <c r="B9065" s="9" t="s">
        <v>50</v>
      </c>
      <c r="C9065" s="10" t="s">
        <v>52</v>
      </c>
      <c r="D9065" s="11">
        <v>132.27513227513228</v>
      </c>
      <c r="E9065" s="12">
        <f t="shared" si="141"/>
        <v>50503</v>
      </c>
    </row>
    <row r="9066" spans="1:5" x14ac:dyDescent="0.25">
      <c r="A9066" s="2">
        <f>IF(B9066="","",SUBTOTAL(3,$B$2:B9066))</f>
        <v>9065</v>
      </c>
      <c r="B9066" s="9" t="s">
        <v>50</v>
      </c>
      <c r="C9066" s="10" t="s">
        <v>52</v>
      </c>
      <c r="D9066" s="11">
        <v>110.22927689594357</v>
      </c>
      <c r="E9066" s="12">
        <f t="shared" si="141"/>
        <v>50504</v>
      </c>
    </row>
    <row r="9067" spans="1:5" x14ac:dyDescent="0.25">
      <c r="A9067" s="2">
        <f>IF(B9067="","",SUBTOTAL(3,$B$2:B9067))</f>
        <v>9066</v>
      </c>
      <c r="B9067" s="9" t="s">
        <v>50</v>
      </c>
      <c r="C9067" s="10" t="s">
        <v>52</v>
      </c>
      <c r="D9067" s="11">
        <v>110.22927689594357</v>
      </c>
      <c r="E9067" s="12">
        <f t="shared" si="141"/>
        <v>50505</v>
      </c>
    </row>
    <row r="9068" spans="1:5" x14ac:dyDescent="0.25">
      <c r="A9068" s="2">
        <f>IF(B9068="","",SUBTOTAL(3,$B$2:B9068))</f>
        <v>9067</v>
      </c>
      <c r="B9068" s="9" t="s">
        <v>50</v>
      </c>
      <c r="C9068" s="10" t="s">
        <v>52</v>
      </c>
      <c r="D9068" s="11">
        <v>110.22927689594357</v>
      </c>
      <c r="E9068" s="12">
        <f t="shared" si="141"/>
        <v>50506</v>
      </c>
    </row>
    <row r="9069" spans="1:5" x14ac:dyDescent="0.25">
      <c r="A9069" s="2">
        <f>IF(B9069="","",SUBTOTAL(3,$B$2:B9069))</f>
        <v>9068</v>
      </c>
      <c r="B9069" s="9" t="s">
        <v>50</v>
      </c>
      <c r="C9069" s="10" t="s">
        <v>52</v>
      </c>
      <c r="D9069" s="11">
        <v>110.22927689594357</v>
      </c>
      <c r="E9069" s="12">
        <f t="shared" si="141"/>
        <v>50507</v>
      </c>
    </row>
    <row r="9070" spans="1:5" x14ac:dyDescent="0.25">
      <c r="A9070" s="2">
        <f>IF(B9070="","",SUBTOTAL(3,$B$2:B9070))</f>
        <v>9069</v>
      </c>
      <c r="B9070" s="9" t="s">
        <v>50</v>
      </c>
      <c r="C9070" s="10" t="s">
        <v>52</v>
      </c>
      <c r="D9070" s="11">
        <v>110.22927689594357</v>
      </c>
      <c r="E9070" s="12">
        <f t="shared" si="141"/>
        <v>50508</v>
      </c>
    </row>
    <row r="9071" spans="1:5" x14ac:dyDescent="0.25">
      <c r="A9071" s="2">
        <f>IF(B9071="","",SUBTOTAL(3,$B$2:B9071))</f>
        <v>9070</v>
      </c>
      <c r="B9071" s="9" t="s">
        <v>50</v>
      </c>
      <c r="C9071" s="10" t="s">
        <v>52</v>
      </c>
      <c r="D9071" s="11">
        <v>110.22927689594357</v>
      </c>
      <c r="E9071" s="12">
        <f t="shared" si="141"/>
        <v>50509</v>
      </c>
    </row>
    <row r="9072" spans="1:5" x14ac:dyDescent="0.25">
      <c r="A9072" s="2">
        <f>IF(B9072="","",SUBTOTAL(3,$B$2:B9072))</f>
        <v>9071</v>
      </c>
      <c r="B9072" s="9" t="s">
        <v>50</v>
      </c>
      <c r="C9072" s="10" t="s">
        <v>52</v>
      </c>
      <c r="D9072" s="11">
        <v>11.022927689594356</v>
      </c>
      <c r="E9072" s="12">
        <f t="shared" si="141"/>
        <v>50510</v>
      </c>
    </row>
    <row r="9073" spans="1:5" x14ac:dyDescent="0.25">
      <c r="A9073" s="2">
        <f>IF(B9073="","",SUBTOTAL(3,$B$2:B9073))</f>
        <v>9072</v>
      </c>
      <c r="B9073" s="9" t="s">
        <v>55</v>
      </c>
      <c r="C9073" s="10" t="s">
        <v>52</v>
      </c>
      <c r="D9073" s="11">
        <v>20.060985395602632</v>
      </c>
      <c r="E9073" s="12">
        <f t="shared" si="141"/>
        <v>50511</v>
      </c>
    </row>
    <row r="9074" spans="1:5" x14ac:dyDescent="0.25">
      <c r="A9074" s="2">
        <f>IF(B9074="","",SUBTOTAL(3,$B$2:B9074))</f>
        <v>9073</v>
      </c>
      <c r="B9074" s="9" t="s">
        <v>50</v>
      </c>
      <c r="C9074" s="10" t="s">
        <v>52</v>
      </c>
      <c r="D9074" s="11">
        <v>110.22927689594357</v>
      </c>
      <c r="E9074" s="12">
        <f t="shared" si="141"/>
        <v>50512</v>
      </c>
    </row>
    <row r="9075" spans="1:5" x14ac:dyDescent="0.25">
      <c r="A9075" s="2">
        <f>IF(B9075="","",SUBTOTAL(3,$B$2:B9075))</f>
        <v>9074</v>
      </c>
      <c r="B9075" s="9" t="s">
        <v>50</v>
      </c>
      <c r="C9075" s="10" t="s">
        <v>49</v>
      </c>
      <c r="D9075" s="11">
        <v>3.0864197530864197</v>
      </c>
      <c r="E9075" s="12">
        <f t="shared" si="141"/>
        <v>50513</v>
      </c>
    </row>
    <row r="9076" spans="1:5" x14ac:dyDescent="0.25">
      <c r="A9076" s="2">
        <f>IF(B9076="","",SUBTOTAL(3,$B$2:B9076))</f>
        <v>9075</v>
      </c>
      <c r="B9076" s="9" t="s">
        <v>50</v>
      </c>
      <c r="C9076" s="10" t="s">
        <v>49</v>
      </c>
      <c r="D9076" s="11">
        <v>13.227513227513228</v>
      </c>
      <c r="E9076" s="12">
        <f t="shared" si="141"/>
        <v>50514</v>
      </c>
    </row>
    <row r="9077" spans="1:5" x14ac:dyDescent="0.25">
      <c r="A9077" s="2">
        <f>IF(B9077="","",SUBTOTAL(3,$B$2:B9077))</f>
        <v>9076</v>
      </c>
      <c r="B9077" s="9" t="s">
        <v>50</v>
      </c>
      <c r="C9077" s="10" t="s">
        <v>49</v>
      </c>
      <c r="D9077" s="11">
        <v>13.227513227513228</v>
      </c>
      <c r="E9077" s="12">
        <f t="shared" si="141"/>
        <v>50515</v>
      </c>
    </row>
    <row r="9078" spans="1:5" x14ac:dyDescent="0.25">
      <c r="A9078" s="2">
        <f>IF(B9078="","",SUBTOTAL(3,$B$2:B9078))</f>
        <v>9077</v>
      </c>
      <c r="B9078" s="9" t="s">
        <v>48</v>
      </c>
      <c r="C9078" s="10" t="s">
        <v>49</v>
      </c>
      <c r="D9078" s="11">
        <v>19.27203114360233</v>
      </c>
      <c r="E9078" s="12">
        <f t="shared" si="141"/>
        <v>50516</v>
      </c>
    </row>
    <row r="9079" spans="1:5" x14ac:dyDescent="0.25">
      <c r="A9079" s="2">
        <f>IF(B9079="","",SUBTOTAL(3,$B$2:B9079))</f>
        <v>9078</v>
      </c>
      <c r="B9079" s="9" t="s">
        <v>50</v>
      </c>
      <c r="C9079" s="10" t="s">
        <v>49</v>
      </c>
      <c r="D9079" s="11">
        <v>44.091710758377424</v>
      </c>
      <c r="E9079" s="12">
        <f t="shared" si="141"/>
        <v>50517</v>
      </c>
    </row>
    <row r="9080" spans="1:5" x14ac:dyDescent="0.25">
      <c r="A9080" s="2">
        <f>IF(B9080="","",SUBTOTAL(3,$B$2:B9080))</f>
        <v>9079</v>
      </c>
      <c r="B9080" s="9" t="s">
        <v>55</v>
      </c>
      <c r="C9080" s="10" t="s">
        <v>49</v>
      </c>
      <c r="D9080" s="11">
        <v>80.243941582410528</v>
      </c>
      <c r="E9080" s="12">
        <f t="shared" si="141"/>
        <v>50518</v>
      </c>
    </row>
    <row r="9081" spans="1:5" x14ac:dyDescent="0.25">
      <c r="A9081" s="2">
        <f>IF(B9081="","",SUBTOTAL(3,$B$2:B9081))</f>
        <v>9080</v>
      </c>
      <c r="B9081" s="9" t="s">
        <v>55</v>
      </c>
      <c r="C9081" s="10" t="s">
        <v>49</v>
      </c>
      <c r="D9081" s="11">
        <v>100</v>
      </c>
      <c r="E9081" s="12">
        <f t="shared" si="141"/>
        <v>50519</v>
      </c>
    </row>
    <row r="9082" spans="1:5" x14ac:dyDescent="0.25">
      <c r="A9082" s="2">
        <f>IF(B9082="","",SUBTOTAL(3,$B$2:B9082))</f>
        <v>9081</v>
      </c>
      <c r="B9082" s="9" t="s">
        <v>48</v>
      </c>
      <c r="C9082" s="10" t="s">
        <v>49</v>
      </c>
      <c r="D9082" s="11">
        <v>55.153395380903135</v>
      </c>
      <c r="E9082" s="12">
        <f t="shared" si="141"/>
        <v>50520</v>
      </c>
    </row>
    <row r="9083" spans="1:5" x14ac:dyDescent="0.25">
      <c r="A9083" s="2">
        <f>IF(B9083="","",SUBTOTAL(3,$B$2:B9083))</f>
        <v>9082</v>
      </c>
      <c r="B9083" s="9" t="s">
        <v>55</v>
      </c>
      <c r="C9083" s="10" t="s">
        <v>49</v>
      </c>
      <c r="D9083" s="11">
        <v>150</v>
      </c>
      <c r="E9083" s="12">
        <f t="shared" si="141"/>
        <v>50521</v>
      </c>
    </row>
    <row r="9084" spans="1:5" x14ac:dyDescent="0.25">
      <c r="A9084" s="2">
        <f>IF(B9084="","",SUBTOTAL(3,$B$2:B9084))</f>
        <v>9083</v>
      </c>
      <c r="B9084" s="9" t="s">
        <v>50</v>
      </c>
      <c r="C9084" s="10" t="s">
        <v>49</v>
      </c>
      <c r="D9084" s="11">
        <v>440.91710758377428</v>
      </c>
      <c r="E9084" s="12">
        <f t="shared" si="141"/>
        <v>50522</v>
      </c>
    </row>
    <row r="9085" spans="1:5" x14ac:dyDescent="0.25">
      <c r="A9085" s="2">
        <f>IF(B9085="","",SUBTOTAL(3,$B$2:B9085))</f>
        <v>9084</v>
      </c>
      <c r="B9085" s="9" t="s">
        <v>50</v>
      </c>
      <c r="C9085" s="10" t="s">
        <v>49</v>
      </c>
      <c r="D9085" s="11">
        <v>88.183421516754848</v>
      </c>
      <c r="E9085" s="12">
        <f t="shared" si="141"/>
        <v>50523</v>
      </c>
    </row>
    <row r="9086" spans="1:5" x14ac:dyDescent="0.25">
      <c r="A9086" s="2">
        <f>IF(B9086="","",SUBTOTAL(3,$B$2:B9086))</f>
        <v>9085</v>
      </c>
      <c r="B9086" s="9" t="s">
        <v>50</v>
      </c>
      <c r="C9086" s="10" t="s">
        <v>49</v>
      </c>
      <c r="D9086" s="11">
        <v>11.022927689594356</v>
      </c>
      <c r="E9086" s="12">
        <f t="shared" si="141"/>
        <v>50524</v>
      </c>
    </row>
    <row r="9087" spans="1:5" x14ac:dyDescent="0.25">
      <c r="A9087" s="2">
        <f>IF(B9087="","",SUBTOTAL(3,$B$2:B9087))</f>
        <v>9086</v>
      </c>
      <c r="B9087" s="9" t="s">
        <v>50</v>
      </c>
      <c r="C9087" s="10" t="s">
        <v>49</v>
      </c>
      <c r="D9087" s="11">
        <v>176.3668430335097</v>
      </c>
      <c r="E9087" s="12">
        <f t="shared" si="141"/>
        <v>50525</v>
      </c>
    </row>
    <row r="9088" spans="1:5" x14ac:dyDescent="0.25">
      <c r="A9088" s="2">
        <f>IF(B9088="","",SUBTOTAL(3,$B$2:B9088))</f>
        <v>9087</v>
      </c>
      <c r="B9088" s="9" t="s">
        <v>50</v>
      </c>
      <c r="C9088" s="10" t="s">
        <v>49</v>
      </c>
      <c r="D9088" s="11">
        <v>154.32098765432099</v>
      </c>
      <c r="E9088" s="12">
        <f t="shared" si="141"/>
        <v>50526</v>
      </c>
    </row>
    <row r="9089" spans="1:5" x14ac:dyDescent="0.25">
      <c r="A9089" s="2">
        <f>IF(B9089="","",SUBTOTAL(3,$B$2:B9089))</f>
        <v>9088</v>
      </c>
      <c r="B9089" s="9" t="s">
        <v>50</v>
      </c>
      <c r="C9089" s="10" t="s">
        <v>49</v>
      </c>
      <c r="D9089" s="11">
        <v>264.55026455026456</v>
      </c>
      <c r="E9089" s="12">
        <f t="shared" si="141"/>
        <v>50527</v>
      </c>
    </row>
    <row r="9090" spans="1:5" x14ac:dyDescent="0.25">
      <c r="A9090" s="2">
        <f>IF(B9090="","",SUBTOTAL(3,$B$2:B9090))</f>
        <v>9089</v>
      </c>
      <c r="B9090" s="9" t="s">
        <v>50</v>
      </c>
      <c r="C9090" s="10" t="s">
        <v>49</v>
      </c>
      <c r="D9090" s="11">
        <v>18.959435626102291</v>
      </c>
      <c r="E9090" s="12">
        <f t="shared" si="141"/>
        <v>50528</v>
      </c>
    </row>
    <row r="9091" spans="1:5" x14ac:dyDescent="0.25">
      <c r="A9091" s="2">
        <f>IF(B9091="","",SUBTOTAL(3,$B$2:B9091))</f>
        <v>9090</v>
      </c>
      <c r="B9091" s="9" t="s">
        <v>50</v>
      </c>
      <c r="C9091" s="10" t="s">
        <v>49</v>
      </c>
      <c r="D9091" s="11">
        <v>0.44091710758377428</v>
      </c>
      <c r="E9091" s="12">
        <f t="shared" si="141"/>
        <v>50529</v>
      </c>
    </row>
    <row r="9092" spans="1:5" x14ac:dyDescent="0.25">
      <c r="A9092" s="2">
        <f>IF(B9092="","",SUBTOTAL(3,$B$2:B9092))</f>
        <v>9091</v>
      </c>
      <c r="B9092" s="9" t="s">
        <v>51</v>
      </c>
      <c r="C9092" s="10" t="s">
        <v>49</v>
      </c>
      <c r="D9092" s="11">
        <v>37.173162628636248</v>
      </c>
      <c r="E9092" s="12">
        <f t="shared" ref="E9092:E9155" si="142">E9091+1</f>
        <v>50530</v>
      </c>
    </row>
    <row r="9093" spans="1:5" x14ac:dyDescent="0.25">
      <c r="A9093" s="2">
        <f>IF(B9093="","",SUBTOTAL(3,$B$2:B9093))</f>
        <v>9092</v>
      </c>
      <c r="B9093" s="9" t="s">
        <v>48</v>
      </c>
      <c r="C9093" s="10" t="s">
        <v>49</v>
      </c>
      <c r="D9093" s="11">
        <v>96.935367114787994</v>
      </c>
      <c r="E9093" s="12">
        <f t="shared" si="142"/>
        <v>50531</v>
      </c>
    </row>
    <row r="9094" spans="1:5" x14ac:dyDescent="0.25">
      <c r="A9094" s="2">
        <f>IF(B9094="","",SUBTOTAL(3,$B$2:B9094))</f>
        <v>9093</v>
      </c>
      <c r="B9094" s="9" t="s">
        <v>48</v>
      </c>
      <c r="C9094" s="10" t="s">
        <v>49</v>
      </c>
      <c r="D9094" s="11">
        <v>185.45329196828681</v>
      </c>
      <c r="E9094" s="12">
        <f t="shared" si="142"/>
        <v>50532</v>
      </c>
    </row>
    <row r="9095" spans="1:5" x14ac:dyDescent="0.25">
      <c r="A9095" s="2">
        <f>IF(B9095="","",SUBTOTAL(3,$B$2:B9095))</f>
        <v>9094</v>
      </c>
      <c r="B9095" s="9" t="s">
        <v>48</v>
      </c>
      <c r="C9095" s="10" t="s">
        <v>49</v>
      </c>
      <c r="D9095" s="11">
        <v>92.037228541882101</v>
      </c>
      <c r="E9095" s="12">
        <f t="shared" si="142"/>
        <v>50533</v>
      </c>
    </row>
    <row r="9096" spans="1:5" x14ac:dyDescent="0.25">
      <c r="A9096" s="2">
        <f>IF(B9096="","",SUBTOTAL(3,$B$2:B9096))</f>
        <v>9095</v>
      </c>
      <c r="B9096" s="9" t="s">
        <v>48</v>
      </c>
      <c r="C9096" s="10" t="s">
        <v>49</v>
      </c>
      <c r="D9096" s="11">
        <v>354.28219346888477</v>
      </c>
      <c r="E9096" s="12">
        <f t="shared" si="142"/>
        <v>50534</v>
      </c>
    </row>
    <row r="9097" spans="1:5" x14ac:dyDescent="0.25">
      <c r="A9097" s="2">
        <f>IF(B9097="","",SUBTOTAL(3,$B$2:B9097))</f>
        <v>9096</v>
      </c>
      <c r="B9097" s="9" t="s">
        <v>55</v>
      </c>
      <c r="C9097" s="10" t="s">
        <v>49</v>
      </c>
      <c r="D9097" s="11">
        <v>460.65663312647655</v>
      </c>
      <c r="E9097" s="12">
        <f t="shared" si="142"/>
        <v>50535</v>
      </c>
    </row>
    <row r="9098" spans="1:5" x14ac:dyDescent="0.25">
      <c r="A9098" s="2">
        <f>IF(B9098="","",SUBTOTAL(3,$B$2:B9098))</f>
        <v>9097</v>
      </c>
      <c r="B9098" s="9" t="s">
        <v>51</v>
      </c>
      <c r="C9098" s="10" t="s">
        <v>49</v>
      </c>
      <c r="D9098" s="11">
        <v>296.51593773165303</v>
      </c>
      <c r="E9098" s="12">
        <f t="shared" si="142"/>
        <v>50536</v>
      </c>
    </row>
    <row r="9099" spans="1:5" x14ac:dyDescent="0.25">
      <c r="A9099" s="2">
        <f>IF(B9099="","",SUBTOTAL(3,$B$2:B9099))</f>
        <v>9098</v>
      </c>
      <c r="B9099" s="9" t="s">
        <v>51</v>
      </c>
      <c r="C9099" s="10" t="s">
        <v>49</v>
      </c>
      <c r="D9099" s="11">
        <v>211.79709837975219</v>
      </c>
      <c r="E9099" s="12">
        <f t="shared" si="142"/>
        <v>50537</v>
      </c>
    </row>
    <row r="9100" spans="1:5" x14ac:dyDescent="0.25">
      <c r="A9100" s="2">
        <f>IF(B9100="","",SUBTOTAL(3,$B$2:B9100))</f>
        <v>9099</v>
      </c>
      <c r="B9100" s="9" t="s">
        <v>48</v>
      </c>
      <c r="C9100" s="10" t="s">
        <v>49</v>
      </c>
      <c r="D9100" s="11">
        <v>77.017868145409736</v>
      </c>
      <c r="E9100" s="12">
        <f t="shared" si="142"/>
        <v>50538</v>
      </c>
    </row>
    <row r="9101" spans="1:5" x14ac:dyDescent="0.25">
      <c r="A9101" s="2">
        <f>IF(B9101="","",SUBTOTAL(3,$B$2:B9101))</f>
        <v>9100</v>
      </c>
      <c r="B9101" s="9" t="s">
        <v>55</v>
      </c>
      <c r="C9101" s="10" t="s">
        <v>49</v>
      </c>
      <c r="D9101" s="11">
        <v>250</v>
      </c>
      <c r="E9101" s="12">
        <f t="shared" si="142"/>
        <v>50539</v>
      </c>
    </row>
    <row r="9102" spans="1:5" x14ac:dyDescent="0.25">
      <c r="A9102" s="2">
        <f>IF(B9102="","",SUBTOTAL(3,$B$2:B9102))</f>
        <v>9101</v>
      </c>
      <c r="B9102" s="9" t="s">
        <v>48</v>
      </c>
      <c r="C9102" s="10" t="s">
        <v>49</v>
      </c>
      <c r="D9102" s="11">
        <v>68.941744226128904</v>
      </c>
      <c r="E9102" s="12">
        <f t="shared" si="142"/>
        <v>50540</v>
      </c>
    </row>
    <row r="9103" spans="1:5" x14ac:dyDescent="0.25">
      <c r="A9103" s="2">
        <f>IF(B9103="","",SUBTOTAL(3,$B$2:B9103))</f>
        <v>9102</v>
      </c>
      <c r="B9103" s="9" t="s">
        <v>55</v>
      </c>
      <c r="C9103" s="10" t="s">
        <v>49</v>
      </c>
      <c r="D9103" s="11">
        <v>70.946390744663532</v>
      </c>
      <c r="E9103" s="12">
        <f t="shared" si="142"/>
        <v>50541</v>
      </c>
    </row>
    <row r="9104" spans="1:5" x14ac:dyDescent="0.25">
      <c r="A9104" s="2">
        <f>IF(B9104="","",SUBTOTAL(3,$B$2:B9104))</f>
        <v>9103</v>
      </c>
      <c r="B9104" s="9" t="s">
        <v>55</v>
      </c>
      <c r="C9104" s="10" t="s">
        <v>49</v>
      </c>
      <c r="D9104" s="11">
        <v>13.035685188202706</v>
      </c>
      <c r="E9104" s="12">
        <f t="shared" si="142"/>
        <v>50542</v>
      </c>
    </row>
    <row r="9105" spans="1:5" x14ac:dyDescent="0.25">
      <c r="A9105" s="2">
        <f>IF(B9105="","",SUBTOTAL(3,$B$2:B9105))</f>
        <v>9104</v>
      </c>
      <c r="B9105" s="9" t="s">
        <v>48</v>
      </c>
      <c r="C9105" s="10" t="s">
        <v>49</v>
      </c>
      <c r="D9105" s="11">
        <v>35.301607287397374</v>
      </c>
      <c r="E9105" s="12">
        <f t="shared" si="142"/>
        <v>50543</v>
      </c>
    </row>
    <row r="9106" spans="1:5" x14ac:dyDescent="0.25">
      <c r="A9106" s="2">
        <f>IF(B9106="","",SUBTOTAL(3,$B$2:B9106))</f>
        <v>9105</v>
      </c>
      <c r="B9106" s="9" t="s">
        <v>51</v>
      </c>
      <c r="C9106" s="10" t="s">
        <v>49</v>
      </c>
      <c r="D9106" s="11">
        <v>81.030710639332298</v>
      </c>
      <c r="E9106" s="12">
        <f t="shared" si="142"/>
        <v>50544</v>
      </c>
    </row>
    <row r="9107" spans="1:5" x14ac:dyDescent="0.25">
      <c r="A9107" s="2">
        <f>IF(B9107="","",SUBTOTAL(3,$B$2:B9107))</f>
        <v>9106</v>
      </c>
      <c r="B9107" s="9" t="s">
        <v>50</v>
      </c>
      <c r="C9107" s="10" t="s">
        <v>49</v>
      </c>
      <c r="D9107" s="11">
        <v>71.649029982363317</v>
      </c>
      <c r="E9107" s="12">
        <f t="shared" si="142"/>
        <v>50545</v>
      </c>
    </row>
    <row r="9108" spans="1:5" x14ac:dyDescent="0.25">
      <c r="A9108" s="2">
        <f>IF(B9108="","",SUBTOTAL(3,$B$2:B9108))</f>
        <v>9107</v>
      </c>
      <c r="B9108" s="9" t="s">
        <v>51</v>
      </c>
      <c r="C9108" s="10" t="s">
        <v>49</v>
      </c>
      <c r="D9108" s="11">
        <v>68.579207519649955</v>
      </c>
      <c r="E9108" s="12">
        <f t="shared" si="142"/>
        <v>50546</v>
      </c>
    </row>
    <row r="9109" spans="1:5" x14ac:dyDescent="0.25">
      <c r="A9109" s="2">
        <f>IF(B9109="","",SUBTOTAL(3,$B$2:B9109))</f>
        <v>9108</v>
      </c>
      <c r="B9109" s="9" t="s">
        <v>55</v>
      </c>
      <c r="C9109" s="10" t="s">
        <v>49</v>
      </c>
      <c r="D9109" s="11">
        <v>162.94606485253382</v>
      </c>
      <c r="E9109" s="12">
        <f t="shared" si="142"/>
        <v>50547</v>
      </c>
    </row>
    <row r="9110" spans="1:5" x14ac:dyDescent="0.25">
      <c r="A9110" s="2">
        <f>IF(B9110="","",SUBTOTAL(3,$B$2:B9110))</f>
        <v>9109</v>
      </c>
      <c r="B9110" s="9" t="s">
        <v>48</v>
      </c>
      <c r="C9110" s="10" t="s">
        <v>49</v>
      </c>
      <c r="D9110" s="11">
        <v>92.421441774491683</v>
      </c>
      <c r="E9110" s="12">
        <f t="shared" si="142"/>
        <v>50548</v>
      </c>
    </row>
    <row r="9111" spans="1:5" x14ac:dyDescent="0.25">
      <c r="A9111" s="2">
        <f>IF(B9111="","",SUBTOTAL(3,$B$2:B9111))</f>
        <v>9110</v>
      </c>
      <c r="B9111" s="9" t="s">
        <v>50</v>
      </c>
      <c r="C9111" s="10" t="s">
        <v>49</v>
      </c>
      <c r="D9111" s="11">
        <v>66.137566137566139</v>
      </c>
      <c r="E9111" s="12">
        <f t="shared" si="142"/>
        <v>50549</v>
      </c>
    </row>
    <row r="9112" spans="1:5" x14ac:dyDescent="0.25">
      <c r="A9112" s="2">
        <f>IF(B9112="","",SUBTOTAL(3,$B$2:B9112))</f>
        <v>9111</v>
      </c>
      <c r="B9112" s="9" t="s">
        <v>48</v>
      </c>
      <c r="C9112" s="10" t="s">
        <v>49</v>
      </c>
      <c r="D9112" s="11">
        <v>23.105360443622921</v>
      </c>
      <c r="E9112" s="12">
        <f t="shared" si="142"/>
        <v>50550</v>
      </c>
    </row>
    <row r="9113" spans="1:5" x14ac:dyDescent="0.25">
      <c r="A9113" s="2">
        <f>IF(B9113="","",SUBTOTAL(3,$B$2:B9113))</f>
        <v>9112</v>
      </c>
      <c r="B9113" s="9" t="s">
        <v>48</v>
      </c>
      <c r="C9113" s="10" t="s">
        <v>49</v>
      </c>
      <c r="D9113" s="11">
        <v>308.07147258163894</v>
      </c>
      <c r="E9113" s="12">
        <f t="shared" si="142"/>
        <v>50551</v>
      </c>
    </row>
    <row r="9114" spans="1:5" x14ac:dyDescent="0.25">
      <c r="A9114" s="2">
        <f>IF(B9114="","",SUBTOTAL(3,$B$2:B9114))</f>
        <v>9113</v>
      </c>
      <c r="B9114" s="9" t="s">
        <v>55</v>
      </c>
      <c r="C9114" s="10" t="s">
        <v>49</v>
      </c>
      <c r="D9114" s="11">
        <v>40</v>
      </c>
      <c r="E9114" s="12">
        <f t="shared" si="142"/>
        <v>50552</v>
      </c>
    </row>
    <row r="9115" spans="1:5" x14ac:dyDescent="0.25">
      <c r="A9115" s="2">
        <f>IF(B9115="","",SUBTOTAL(3,$B$2:B9115))</f>
        <v>9114</v>
      </c>
      <c r="B9115" s="9" t="s">
        <v>50</v>
      </c>
      <c r="C9115" s="10" t="s">
        <v>49</v>
      </c>
      <c r="D9115" s="11">
        <v>771.60493827160496</v>
      </c>
      <c r="E9115" s="12">
        <f t="shared" si="142"/>
        <v>50553</v>
      </c>
    </row>
    <row r="9116" spans="1:5" x14ac:dyDescent="0.25">
      <c r="A9116" s="2">
        <f>IF(B9116="","",SUBTOTAL(3,$B$2:B9116))</f>
        <v>9115</v>
      </c>
      <c r="B9116" s="9" t="s">
        <v>50</v>
      </c>
      <c r="C9116" s="10" t="s">
        <v>49</v>
      </c>
      <c r="D9116" s="11">
        <v>30.8641975308642</v>
      </c>
      <c r="E9116" s="12">
        <f t="shared" si="142"/>
        <v>50554</v>
      </c>
    </row>
    <row r="9117" spans="1:5" x14ac:dyDescent="0.25">
      <c r="A9117" s="2">
        <f>IF(B9117="","",SUBTOTAL(3,$B$2:B9117))</f>
        <v>9116</v>
      </c>
      <c r="B9117" s="9" t="s">
        <v>55</v>
      </c>
      <c r="C9117" s="10" t="s">
        <v>49</v>
      </c>
      <c r="D9117" s="11">
        <v>76.403780348704586</v>
      </c>
      <c r="E9117" s="12">
        <f t="shared" si="142"/>
        <v>50555</v>
      </c>
    </row>
    <row r="9118" spans="1:5" x14ac:dyDescent="0.25">
      <c r="A9118" s="2">
        <f>IF(B9118="","",SUBTOTAL(3,$B$2:B9118))</f>
        <v>9117</v>
      </c>
      <c r="B9118" s="9" t="s">
        <v>53</v>
      </c>
      <c r="C9118" s="10" t="s">
        <v>49</v>
      </c>
      <c r="D9118" s="11">
        <v>91.585994669695125</v>
      </c>
      <c r="E9118" s="12">
        <f t="shared" si="142"/>
        <v>50556</v>
      </c>
    </row>
    <row r="9119" spans="1:5" x14ac:dyDescent="0.25">
      <c r="A9119" s="2">
        <f>IF(B9119="","",SUBTOTAL(3,$B$2:B9119))</f>
        <v>9118</v>
      </c>
      <c r="B9119" s="9" t="s">
        <v>53</v>
      </c>
      <c r="C9119" s="10" t="s">
        <v>49</v>
      </c>
      <c r="D9119" s="11">
        <v>91.585994669695125</v>
      </c>
      <c r="E9119" s="12">
        <f t="shared" si="142"/>
        <v>50557</v>
      </c>
    </row>
    <row r="9120" spans="1:5" x14ac:dyDescent="0.25">
      <c r="A9120" s="2">
        <f>IF(B9120="","",SUBTOTAL(3,$B$2:B9120))</f>
        <v>9119</v>
      </c>
      <c r="B9120" s="9" t="s">
        <v>53</v>
      </c>
      <c r="C9120" s="10" t="s">
        <v>49</v>
      </c>
      <c r="D9120" s="11">
        <v>91.585994669695125</v>
      </c>
      <c r="E9120" s="12">
        <f t="shared" si="142"/>
        <v>50558</v>
      </c>
    </row>
    <row r="9121" spans="1:5" x14ac:dyDescent="0.25">
      <c r="A9121" s="2">
        <f>IF(B9121="","",SUBTOTAL(3,$B$2:B9121))</f>
        <v>9120</v>
      </c>
      <c r="B9121" s="9" t="s">
        <v>48</v>
      </c>
      <c r="C9121" s="10" t="s">
        <v>49</v>
      </c>
      <c r="D9121" s="11">
        <v>103.41261633919338</v>
      </c>
      <c r="E9121" s="12">
        <f t="shared" si="142"/>
        <v>50559</v>
      </c>
    </row>
    <row r="9122" spans="1:5" x14ac:dyDescent="0.25">
      <c r="A9122" s="2">
        <f>IF(B9122="","",SUBTOTAL(3,$B$2:B9122))</f>
        <v>9121</v>
      </c>
      <c r="B9122" s="9" t="s">
        <v>50</v>
      </c>
      <c r="C9122" s="10" t="s">
        <v>49</v>
      </c>
      <c r="D9122" s="11">
        <v>391.73686067019401</v>
      </c>
      <c r="E9122" s="12">
        <f t="shared" si="142"/>
        <v>50560</v>
      </c>
    </row>
    <row r="9123" spans="1:5" x14ac:dyDescent="0.25">
      <c r="A9123" s="2">
        <f>IF(B9123="","",SUBTOTAL(3,$B$2:B9123))</f>
        <v>9122</v>
      </c>
      <c r="B9123" s="9" t="s">
        <v>48</v>
      </c>
      <c r="C9123" s="10" t="s">
        <v>49</v>
      </c>
      <c r="D9123" s="11">
        <v>72.396796056685147</v>
      </c>
      <c r="E9123" s="12">
        <f t="shared" si="142"/>
        <v>50561</v>
      </c>
    </row>
    <row r="9124" spans="1:5" x14ac:dyDescent="0.25">
      <c r="A9124" s="2">
        <f>IF(B9124="","",SUBTOTAL(3,$B$2:B9124))</f>
        <v>9123</v>
      </c>
      <c r="B9124" s="9" t="s">
        <v>48</v>
      </c>
      <c r="C9124" s="10" t="s">
        <v>49</v>
      </c>
      <c r="D9124" s="11">
        <v>35.428219346888483</v>
      </c>
      <c r="E9124" s="12">
        <f t="shared" si="142"/>
        <v>50562</v>
      </c>
    </row>
    <row r="9125" spans="1:5" x14ac:dyDescent="0.25">
      <c r="A9125" s="2">
        <f>IF(B9125="","",SUBTOTAL(3,$B$2:B9125))</f>
        <v>9124</v>
      </c>
      <c r="B9125" s="9" t="s">
        <v>55</v>
      </c>
      <c r="C9125" s="10" t="s">
        <v>49</v>
      </c>
      <c r="D9125" s="11">
        <v>150</v>
      </c>
      <c r="E9125" s="12">
        <f t="shared" si="142"/>
        <v>50563</v>
      </c>
    </row>
    <row r="9126" spans="1:5" x14ac:dyDescent="0.25">
      <c r="A9126" s="2">
        <f>IF(B9126="","",SUBTOTAL(3,$B$2:B9126))</f>
        <v>9125</v>
      </c>
      <c r="B9126" s="9" t="s">
        <v>51</v>
      </c>
      <c r="C9126" s="10" t="s">
        <v>49</v>
      </c>
      <c r="D9126" s="11">
        <v>40.515355319666149</v>
      </c>
      <c r="E9126" s="12">
        <f t="shared" si="142"/>
        <v>50564</v>
      </c>
    </row>
    <row r="9127" spans="1:5" x14ac:dyDescent="0.25">
      <c r="A9127" s="2">
        <f>IF(B9127="","",SUBTOTAL(3,$B$2:B9127))</f>
        <v>9126</v>
      </c>
      <c r="B9127" s="9" t="s">
        <v>53</v>
      </c>
      <c r="C9127" s="10" t="s">
        <v>49</v>
      </c>
      <c r="D9127" s="11">
        <v>366.3439786787805</v>
      </c>
      <c r="E9127" s="12">
        <f t="shared" si="142"/>
        <v>50565</v>
      </c>
    </row>
    <row r="9128" spans="1:5" x14ac:dyDescent="0.25">
      <c r="A9128" s="2">
        <f>IF(B9128="","",SUBTOTAL(3,$B$2:B9128))</f>
        <v>9127</v>
      </c>
      <c r="B9128" s="9" t="s">
        <v>48</v>
      </c>
      <c r="C9128" s="10" t="s">
        <v>49</v>
      </c>
      <c r="D9128" s="11">
        <v>3.1213752521424074</v>
      </c>
      <c r="E9128" s="12">
        <f t="shared" si="142"/>
        <v>50566</v>
      </c>
    </row>
    <row r="9129" spans="1:5" x14ac:dyDescent="0.25">
      <c r="A9129" s="2">
        <f>IF(B9129="","",SUBTOTAL(3,$B$2:B9129))</f>
        <v>9128</v>
      </c>
      <c r="B9129" s="9" t="s">
        <v>55</v>
      </c>
      <c r="C9129" s="10" t="s">
        <v>49</v>
      </c>
      <c r="D9129" s="11">
        <v>100</v>
      </c>
      <c r="E9129" s="12">
        <f t="shared" si="142"/>
        <v>50567</v>
      </c>
    </row>
    <row r="9130" spans="1:5" x14ac:dyDescent="0.25">
      <c r="A9130" s="2">
        <f>IF(B9130="","",SUBTOTAL(3,$B$2:B9130))</f>
        <v>9129</v>
      </c>
      <c r="B9130" s="9" t="s">
        <v>51</v>
      </c>
      <c r="C9130" s="10" t="s">
        <v>49</v>
      </c>
      <c r="D9130" s="11">
        <v>296.51593773165303</v>
      </c>
      <c r="E9130" s="12">
        <f t="shared" si="142"/>
        <v>50568</v>
      </c>
    </row>
    <row r="9131" spans="1:5" x14ac:dyDescent="0.25">
      <c r="A9131" s="2">
        <f>IF(B9131="","",SUBTOTAL(3,$B$2:B9131))</f>
        <v>9130</v>
      </c>
      <c r="B9131" s="9" t="s">
        <v>48</v>
      </c>
      <c r="C9131" s="10" t="s">
        <v>49</v>
      </c>
      <c r="D9131" s="11">
        <v>462.10720887245844</v>
      </c>
      <c r="E9131" s="12">
        <f t="shared" si="142"/>
        <v>50569</v>
      </c>
    </row>
    <row r="9132" spans="1:5" x14ac:dyDescent="0.25">
      <c r="A9132" s="2">
        <f>IF(B9132="","",SUBTOTAL(3,$B$2:B9132))</f>
        <v>9131</v>
      </c>
      <c r="B9132" s="9" t="s">
        <v>48</v>
      </c>
      <c r="C9132" s="10" t="s">
        <v>49</v>
      </c>
      <c r="D9132" s="11">
        <v>21.565003080714728</v>
      </c>
      <c r="E9132" s="12">
        <f t="shared" si="142"/>
        <v>50570</v>
      </c>
    </row>
    <row r="9133" spans="1:5" x14ac:dyDescent="0.25">
      <c r="A9133" s="2">
        <f>IF(B9133="","",SUBTOTAL(3,$B$2:B9133))</f>
        <v>9132</v>
      </c>
      <c r="B9133" s="9" t="s">
        <v>48</v>
      </c>
      <c r="C9133" s="10" t="s">
        <v>49</v>
      </c>
      <c r="D9133" s="11">
        <v>46.210720887245841</v>
      </c>
      <c r="E9133" s="12">
        <f t="shared" si="142"/>
        <v>50571</v>
      </c>
    </row>
    <row r="9134" spans="1:5" x14ac:dyDescent="0.25">
      <c r="A9134" s="2">
        <f>IF(B9134="","",SUBTOTAL(3,$B$2:B9134))</f>
        <v>9133</v>
      </c>
      <c r="B9134" s="9" t="s">
        <v>51</v>
      </c>
      <c r="C9134" s="10" t="s">
        <v>49</v>
      </c>
      <c r="D9134" s="11">
        <v>380</v>
      </c>
      <c r="E9134" s="12">
        <f t="shared" si="142"/>
        <v>50572</v>
      </c>
    </row>
    <row r="9135" spans="1:5" x14ac:dyDescent="0.25">
      <c r="A9135" s="2">
        <f>IF(B9135="","",SUBTOTAL(3,$B$2:B9135))</f>
        <v>9134</v>
      </c>
      <c r="B9135" s="9" t="s">
        <v>50</v>
      </c>
      <c r="C9135" s="10" t="s">
        <v>49</v>
      </c>
      <c r="D9135" s="11">
        <v>44.091710758377424</v>
      </c>
      <c r="E9135" s="12">
        <f t="shared" si="142"/>
        <v>50573</v>
      </c>
    </row>
    <row r="9136" spans="1:5" x14ac:dyDescent="0.25">
      <c r="A9136" s="2">
        <f>IF(B9136="","",SUBTOTAL(3,$B$2:B9136))</f>
        <v>9135</v>
      </c>
      <c r="B9136" s="9" t="s">
        <v>50</v>
      </c>
      <c r="C9136" s="10" t="s">
        <v>49</v>
      </c>
      <c r="D9136" s="11">
        <v>44.091710758377424</v>
      </c>
      <c r="E9136" s="12">
        <f t="shared" si="142"/>
        <v>50574</v>
      </c>
    </row>
    <row r="9137" spans="1:5" x14ac:dyDescent="0.25">
      <c r="A9137" s="2">
        <f>IF(B9137="","",SUBTOTAL(3,$B$2:B9137))</f>
        <v>9136</v>
      </c>
      <c r="B9137" s="9" t="s">
        <v>48</v>
      </c>
      <c r="C9137" s="10" t="s">
        <v>49</v>
      </c>
      <c r="D9137" s="11">
        <v>2310.5360443622922</v>
      </c>
      <c r="E9137" s="12">
        <f t="shared" si="142"/>
        <v>50575</v>
      </c>
    </row>
    <row r="9138" spans="1:5" x14ac:dyDescent="0.25">
      <c r="A9138" s="2">
        <f>IF(B9138="","",SUBTOTAL(3,$B$2:B9138))</f>
        <v>9137</v>
      </c>
      <c r="B9138" s="9" t="s">
        <v>53</v>
      </c>
      <c r="C9138" s="10" t="s">
        <v>49</v>
      </c>
      <c r="D9138" s="11">
        <v>73.2687957357561</v>
      </c>
      <c r="E9138" s="12">
        <f t="shared" si="142"/>
        <v>50576</v>
      </c>
    </row>
    <row r="9139" spans="1:5" x14ac:dyDescent="0.25">
      <c r="A9139" s="2">
        <f>IF(B9139="","",SUBTOTAL(3,$B$2:B9139))</f>
        <v>9138</v>
      </c>
      <c r="B9139" s="9" t="s">
        <v>55</v>
      </c>
      <c r="C9139" s="10" t="s">
        <v>49</v>
      </c>
      <c r="D9139" s="11">
        <v>205.47617953783251</v>
      </c>
      <c r="E9139" s="12">
        <f t="shared" si="142"/>
        <v>50577</v>
      </c>
    </row>
    <row r="9140" spans="1:5" x14ac:dyDescent="0.25">
      <c r="A9140" s="2">
        <f>IF(B9140="","",SUBTOTAL(3,$B$2:B9140))</f>
        <v>9139</v>
      </c>
      <c r="B9140" s="9" t="s">
        <v>50</v>
      </c>
      <c r="C9140" s="10" t="s">
        <v>49</v>
      </c>
      <c r="D9140" s="11">
        <v>440.91710758377428</v>
      </c>
      <c r="E9140" s="12">
        <f t="shared" si="142"/>
        <v>50578</v>
      </c>
    </row>
    <row r="9141" spans="1:5" x14ac:dyDescent="0.25">
      <c r="A9141" s="2">
        <f>IF(B9141="","",SUBTOTAL(3,$B$2:B9141))</f>
        <v>9140</v>
      </c>
      <c r="B9141" s="9" t="s">
        <v>48</v>
      </c>
      <c r="C9141" s="10" t="s">
        <v>49</v>
      </c>
      <c r="D9141" s="11">
        <v>34.470872113064452</v>
      </c>
      <c r="E9141" s="12">
        <f t="shared" si="142"/>
        <v>50579</v>
      </c>
    </row>
    <row r="9142" spans="1:5" x14ac:dyDescent="0.25">
      <c r="A9142" s="2">
        <f>IF(B9142="","",SUBTOTAL(3,$B$2:B9142))</f>
        <v>9141</v>
      </c>
      <c r="B9142" s="9" t="s">
        <v>48</v>
      </c>
      <c r="C9142" s="10" t="s">
        <v>49</v>
      </c>
      <c r="D9142" s="11">
        <v>184.84288354898337</v>
      </c>
      <c r="E9142" s="12">
        <f t="shared" si="142"/>
        <v>50580</v>
      </c>
    </row>
    <row r="9143" spans="1:5" x14ac:dyDescent="0.25">
      <c r="A9143" s="2">
        <f>IF(B9143="","",SUBTOTAL(3,$B$2:B9143))</f>
        <v>9142</v>
      </c>
      <c r="B9143" s="9" t="s">
        <v>50</v>
      </c>
      <c r="C9143" s="10" t="s">
        <v>49</v>
      </c>
      <c r="D9143" s="11">
        <v>220.45855379188714</v>
      </c>
      <c r="E9143" s="12">
        <f t="shared" si="142"/>
        <v>50581</v>
      </c>
    </row>
    <row r="9144" spans="1:5" x14ac:dyDescent="0.25">
      <c r="A9144" s="2">
        <f>IF(B9144="","",SUBTOTAL(3,$B$2:B9144))</f>
        <v>9143</v>
      </c>
      <c r="B9144" s="9" t="s">
        <v>48</v>
      </c>
      <c r="C9144" s="10" t="s">
        <v>49</v>
      </c>
      <c r="D9144" s="11">
        <v>170.63081695966906</v>
      </c>
      <c r="E9144" s="12">
        <f t="shared" si="142"/>
        <v>50582</v>
      </c>
    </row>
    <row r="9145" spans="1:5" x14ac:dyDescent="0.25">
      <c r="A9145" s="2">
        <f>IF(B9145="","",SUBTOTAL(3,$B$2:B9145))</f>
        <v>9144</v>
      </c>
      <c r="B9145" s="9" t="s">
        <v>48</v>
      </c>
      <c r="C9145" s="10" t="s">
        <v>49</v>
      </c>
      <c r="D9145" s="11">
        <v>77.017868145409736</v>
      </c>
      <c r="E9145" s="12">
        <f t="shared" si="142"/>
        <v>50583</v>
      </c>
    </row>
    <row r="9146" spans="1:5" x14ac:dyDescent="0.25">
      <c r="A9146" s="2">
        <f>IF(B9146="","",SUBTOTAL(3,$B$2:B9146))</f>
        <v>9145</v>
      </c>
      <c r="B9146" s="9" t="s">
        <v>48</v>
      </c>
      <c r="C9146" s="10" t="s">
        <v>49</v>
      </c>
      <c r="D9146" s="11">
        <v>924.21441774491689</v>
      </c>
      <c r="E9146" s="12">
        <f t="shared" si="142"/>
        <v>50584</v>
      </c>
    </row>
    <row r="9147" spans="1:5" x14ac:dyDescent="0.25">
      <c r="A9147" s="2">
        <f>IF(B9147="","",SUBTOTAL(3,$B$2:B9147))</f>
        <v>9146</v>
      </c>
      <c r="B9147" s="9" t="s">
        <v>48</v>
      </c>
      <c r="C9147" s="10" t="s">
        <v>49</v>
      </c>
      <c r="D9147" s="11">
        <v>65.494657014822465</v>
      </c>
      <c r="E9147" s="12">
        <f t="shared" si="142"/>
        <v>50585</v>
      </c>
    </row>
    <row r="9148" spans="1:5" x14ac:dyDescent="0.25">
      <c r="A9148" s="2">
        <f>IF(B9148="","",SUBTOTAL(3,$B$2:B9148))</f>
        <v>9147</v>
      </c>
      <c r="B9148" s="9" t="s">
        <v>48</v>
      </c>
      <c r="C9148" s="10" t="s">
        <v>49</v>
      </c>
      <c r="D9148" s="11">
        <v>77.017868145409736</v>
      </c>
      <c r="E9148" s="12">
        <f t="shared" si="142"/>
        <v>50586</v>
      </c>
    </row>
    <row r="9149" spans="1:5" x14ac:dyDescent="0.25">
      <c r="A9149" s="2">
        <f>IF(B9149="","",SUBTOTAL(3,$B$2:B9149))</f>
        <v>9148</v>
      </c>
      <c r="B9149" s="9" t="s">
        <v>50</v>
      </c>
      <c r="C9149" s="10" t="s">
        <v>49</v>
      </c>
      <c r="D9149" s="11">
        <v>396.82539682539681</v>
      </c>
      <c r="E9149" s="12">
        <f t="shared" si="142"/>
        <v>50587</v>
      </c>
    </row>
    <row r="9150" spans="1:5" x14ac:dyDescent="0.25">
      <c r="A9150" s="2">
        <f>IF(B9150="","",SUBTOTAL(3,$B$2:B9150))</f>
        <v>9149</v>
      </c>
      <c r="B9150" s="9" t="s">
        <v>53</v>
      </c>
      <c r="C9150" s="10" t="s">
        <v>49</v>
      </c>
      <c r="D9150" s="11">
        <v>36.63439786787805</v>
      </c>
      <c r="E9150" s="12">
        <f t="shared" si="142"/>
        <v>50588</v>
      </c>
    </row>
    <row r="9151" spans="1:5" x14ac:dyDescent="0.25">
      <c r="A9151" s="2">
        <f>IF(B9151="","",SUBTOTAL(3,$B$2:B9151))</f>
        <v>9150</v>
      </c>
      <c r="B9151" s="9" t="s">
        <v>50</v>
      </c>
      <c r="C9151" s="10" t="s">
        <v>49</v>
      </c>
      <c r="D9151" s="11">
        <v>391.73677248677251</v>
      </c>
      <c r="E9151" s="12">
        <f t="shared" si="142"/>
        <v>50589</v>
      </c>
    </row>
    <row r="9152" spans="1:5" x14ac:dyDescent="0.25">
      <c r="A9152" s="2">
        <f>IF(B9152="","",SUBTOTAL(3,$B$2:B9152))</f>
        <v>9151</v>
      </c>
      <c r="B9152" s="9" t="s">
        <v>48</v>
      </c>
      <c r="C9152" s="10" t="s">
        <v>49</v>
      </c>
      <c r="D9152" s="11">
        <v>23.105360443622921</v>
      </c>
      <c r="E9152" s="12">
        <f t="shared" si="142"/>
        <v>50590</v>
      </c>
    </row>
    <row r="9153" spans="1:5" x14ac:dyDescent="0.25">
      <c r="A9153" s="2">
        <f>IF(B9153="","",SUBTOTAL(3,$B$2:B9153))</f>
        <v>9152</v>
      </c>
      <c r="B9153" s="9" t="s">
        <v>48</v>
      </c>
      <c r="C9153" s="10" t="s">
        <v>49</v>
      </c>
      <c r="D9153" s="11">
        <v>107.82501540357363</v>
      </c>
      <c r="E9153" s="12">
        <f t="shared" si="142"/>
        <v>50591</v>
      </c>
    </row>
    <row r="9154" spans="1:5" x14ac:dyDescent="0.25">
      <c r="A9154" s="2">
        <f>IF(B9154="","",SUBTOTAL(3,$B$2:B9154))</f>
        <v>9153</v>
      </c>
      <c r="B9154" s="9" t="s">
        <v>48</v>
      </c>
      <c r="C9154" s="10" t="s">
        <v>49</v>
      </c>
      <c r="D9154" s="11">
        <v>83.512134955610094</v>
      </c>
      <c r="E9154" s="12">
        <f t="shared" si="142"/>
        <v>50592</v>
      </c>
    </row>
    <row r="9155" spans="1:5" x14ac:dyDescent="0.25">
      <c r="A9155" s="2">
        <f>IF(B9155="","",SUBTOTAL(3,$B$2:B9155))</f>
        <v>9154</v>
      </c>
      <c r="B9155" s="9" t="s">
        <v>48</v>
      </c>
      <c r="C9155" s="10" t="s">
        <v>49</v>
      </c>
      <c r="D9155" s="11">
        <v>51.706308169596689</v>
      </c>
      <c r="E9155" s="12">
        <f t="shared" si="142"/>
        <v>50593</v>
      </c>
    </row>
    <row r="9156" spans="1:5" x14ac:dyDescent="0.25">
      <c r="A9156" s="2">
        <f>IF(B9156="","",SUBTOTAL(3,$B$2:B9156))</f>
        <v>9155</v>
      </c>
      <c r="B9156" s="9" t="s">
        <v>55</v>
      </c>
      <c r="C9156" s="10" t="s">
        <v>49</v>
      </c>
      <c r="D9156" s="11">
        <v>98.712135669959252</v>
      </c>
      <c r="E9156" s="12">
        <f t="shared" ref="E9156:E9219" si="143">E9155+1</f>
        <v>50594</v>
      </c>
    </row>
    <row r="9157" spans="1:5" x14ac:dyDescent="0.25">
      <c r="A9157" s="2">
        <f>IF(B9157="","",SUBTOTAL(3,$B$2:B9157))</f>
        <v>9156</v>
      </c>
      <c r="B9157" s="9" t="s">
        <v>55</v>
      </c>
      <c r="C9157" s="10" t="s">
        <v>49</v>
      </c>
      <c r="D9157" s="11">
        <v>175</v>
      </c>
      <c r="E9157" s="12">
        <f t="shared" si="143"/>
        <v>50595</v>
      </c>
    </row>
    <row r="9158" spans="1:5" x14ac:dyDescent="0.25">
      <c r="A9158" s="2">
        <f>IF(B9158="","",SUBTOTAL(3,$B$2:B9158))</f>
        <v>9157</v>
      </c>
      <c r="B9158" s="9" t="s">
        <v>55</v>
      </c>
      <c r="C9158" s="10" t="s">
        <v>49</v>
      </c>
      <c r="D9158" s="11">
        <v>98.712135669959252</v>
      </c>
      <c r="E9158" s="12">
        <f t="shared" si="143"/>
        <v>50596</v>
      </c>
    </row>
    <row r="9159" spans="1:5" x14ac:dyDescent="0.25">
      <c r="A9159" s="2">
        <f>IF(B9159="","",SUBTOTAL(3,$B$2:B9159))</f>
        <v>9158</v>
      </c>
      <c r="B9159" s="9" t="s">
        <v>51</v>
      </c>
      <c r="C9159" s="10" t="s">
        <v>49</v>
      </c>
      <c r="D9159" s="11">
        <v>42.359419675950441</v>
      </c>
      <c r="E9159" s="12">
        <f t="shared" si="143"/>
        <v>50597</v>
      </c>
    </row>
    <row r="9160" spans="1:5" x14ac:dyDescent="0.25">
      <c r="A9160" s="2">
        <f>IF(B9160="","",SUBTOTAL(3,$B$2:B9160))</f>
        <v>9159</v>
      </c>
      <c r="B9160" s="9" t="s">
        <v>48</v>
      </c>
      <c r="C9160" s="10" t="s">
        <v>49</v>
      </c>
      <c r="D9160" s="11">
        <v>29.30024129610479</v>
      </c>
      <c r="E9160" s="12">
        <f t="shared" si="143"/>
        <v>50598</v>
      </c>
    </row>
    <row r="9161" spans="1:5" x14ac:dyDescent="0.25">
      <c r="A9161" s="2">
        <f>IF(B9161="","",SUBTOTAL(3,$B$2:B9161))</f>
        <v>9160</v>
      </c>
      <c r="B9161" s="9" t="s">
        <v>48</v>
      </c>
      <c r="C9161" s="10" t="s">
        <v>49</v>
      </c>
      <c r="D9161" s="11">
        <v>38.508934072704868</v>
      </c>
      <c r="E9161" s="12">
        <f t="shared" si="143"/>
        <v>50599</v>
      </c>
    </row>
    <row r="9162" spans="1:5" x14ac:dyDescent="0.25">
      <c r="A9162" s="2">
        <f>IF(B9162="","",SUBTOTAL(3,$B$2:B9162))</f>
        <v>9161</v>
      </c>
      <c r="B9162" s="9" t="s">
        <v>50</v>
      </c>
      <c r="C9162" s="10" t="s">
        <v>49</v>
      </c>
      <c r="D9162" s="11">
        <v>3086.4197530864199</v>
      </c>
      <c r="E9162" s="12">
        <f t="shared" si="143"/>
        <v>50600</v>
      </c>
    </row>
    <row r="9163" spans="1:5" x14ac:dyDescent="0.25">
      <c r="A9163" s="2">
        <f>IF(B9163="","",SUBTOTAL(3,$B$2:B9163))</f>
        <v>9162</v>
      </c>
      <c r="B9163" s="9" t="s">
        <v>51</v>
      </c>
      <c r="C9163" s="10" t="s">
        <v>49</v>
      </c>
      <c r="D9163" s="11">
        <v>158.84782378481412</v>
      </c>
      <c r="E9163" s="12">
        <f t="shared" si="143"/>
        <v>50601</v>
      </c>
    </row>
    <row r="9164" spans="1:5" x14ac:dyDescent="0.25">
      <c r="A9164" s="2">
        <f>IF(B9164="","",SUBTOTAL(3,$B$2:B9164))</f>
        <v>9163</v>
      </c>
      <c r="B9164" s="9" t="s">
        <v>55</v>
      </c>
      <c r="C9164" s="10" t="s">
        <v>49</v>
      </c>
      <c r="D9164" s="11">
        <v>152.79778393351802</v>
      </c>
      <c r="E9164" s="12">
        <f t="shared" si="143"/>
        <v>50602</v>
      </c>
    </row>
    <row r="9165" spans="1:5" x14ac:dyDescent="0.25">
      <c r="A9165" s="2">
        <f>IF(B9165="","",SUBTOTAL(3,$B$2:B9165))</f>
        <v>9164</v>
      </c>
      <c r="B9165" s="9" t="s">
        <v>48</v>
      </c>
      <c r="C9165" s="10" t="s">
        <v>49</v>
      </c>
      <c r="D9165" s="11">
        <v>61.614294516327789</v>
      </c>
      <c r="E9165" s="12">
        <f t="shared" si="143"/>
        <v>50603</v>
      </c>
    </row>
    <row r="9166" spans="1:5" x14ac:dyDescent="0.25">
      <c r="A9166" s="2">
        <f>IF(B9166="","",SUBTOTAL(3,$B$2:B9166))</f>
        <v>9165</v>
      </c>
      <c r="B9166" s="9" t="s">
        <v>50</v>
      </c>
      <c r="C9166" s="10" t="s">
        <v>49</v>
      </c>
      <c r="D9166" s="11">
        <v>66.137566137566139</v>
      </c>
      <c r="E9166" s="12">
        <f t="shared" si="143"/>
        <v>50604</v>
      </c>
    </row>
    <row r="9167" spans="1:5" x14ac:dyDescent="0.25">
      <c r="A9167" s="2">
        <f>IF(B9167="","",SUBTOTAL(3,$B$2:B9167))</f>
        <v>9166</v>
      </c>
      <c r="B9167" s="9" t="s">
        <v>48</v>
      </c>
      <c r="C9167" s="10" t="s">
        <v>49</v>
      </c>
      <c r="D9167" s="11">
        <v>92.421441774491683</v>
      </c>
      <c r="E9167" s="12">
        <f t="shared" si="143"/>
        <v>50605</v>
      </c>
    </row>
    <row r="9168" spans="1:5" x14ac:dyDescent="0.25">
      <c r="A9168" s="2">
        <f>IF(B9168="","",SUBTOTAL(3,$B$2:B9168))</f>
        <v>9167</v>
      </c>
      <c r="B9168" s="9" t="s">
        <v>48</v>
      </c>
      <c r="C9168" s="10" t="s">
        <v>49</v>
      </c>
      <c r="D9168" s="11">
        <v>46.210720887245841</v>
      </c>
      <c r="E9168" s="12">
        <f t="shared" si="143"/>
        <v>50606</v>
      </c>
    </row>
    <row r="9169" spans="1:5" x14ac:dyDescent="0.25">
      <c r="A9169" s="2">
        <f>IF(B9169="","",SUBTOTAL(3,$B$2:B9169))</f>
        <v>9168</v>
      </c>
      <c r="B9169" s="9" t="s">
        <v>48</v>
      </c>
      <c r="C9169" s="10" t="s">
        <v>49</v>
      </c>
      <c r="D9169" s="11">
        <v>172.35436056532231</v>
      </c>
      <c r="E9169" s="12">
        <f t="shared" si="143"/>
        <v>50607</v>
      </c>
    </row>
    <row r="9170" spans="1:5" x14ac:dyDescent="0.25">
      <c r="A9170" s="2">
        <f>IF(B9170="","",SUBTOTAL(3,$B$2:B9170))</f>
        <v>9169</v>
      </c>
      <c r="B9170" s="9" t="s">
        <v>48</v>
      </c>
      <c r="C9170" s="10" t="s">
        <v>49</v>
      </c>
      <c r="D9170" s="11">
        <v>77.017868145409736</v>
      </c>
      <c r="E9170" s="12">
        <f t="shared" si="143"/>
        <v>50608</v>
      </c>
    </row>
    <row r="9171" spans="1:5" x14ac:dyDescent="0.25">
      <c r="A9171" s="2">
        <f>IF(B9171="","",SUBTOTAL(3,$B$2:B9171))</f>
        <v>9170</v>
      </c>
      <c r="B9171" s="9" t="s">
        <v>48</v>
      </c>
      <c r="C9171" s="10" t="s">
        <v>49</v>
      </c>
      <c r="D9171" s="11">
        <v>137.88348845225781</v>
      </c>
      <c r="E9171" s="12">
        <f t="shared" si="143"/>
        <v>50609</v>
      </c>
    </row>
    <row r="9172" spans="1:5" x14ac:dyDescent="0.25">
      <c r="A9172" s="2">
        <f>IF(B9172="","",SUBTOTAL(3,$B$2:B9172))</f>
        <v>9171</v>
      </c>
      <c r="B9172" s="9" t="s">
        <v>48</v>
      </c>
      <c r="C9172" s="10" t="s">
        <v>49</v>
      </c>
      <c r="D9172" s="11">
        <v>137.88348845225781</v>
      </c>
      <c r="E9172" s="12">
        <f t="shared" si="143"/>
        <v>50610</v>
      </c>
    </row>
    <row r="9173" spans="1:5" x14ac:dyDescent="0.25">
      <c r="A9173" s="2">
        <f>IF(B9173="","",SUBTOTAL(3,$B$2:B9173))</f>
        <v>9172</v>
      </c>
      <c r="B9173" s="9" t="s">
        <v>50</v>
      </c>
      <c r="C9173" s="10" t="s">
        <v>49</v>
      </c>
      <c r="D9173" s="11">
        <v>55.114638447971785</v>
      </c>
      <c r="E9173" s="12">
        <f t="shared" si="143"/>
        <v>50611</v>
      </c>
    </row>
    <row r="9174" spans="1:5" x14ac:dyDescent="0.25">
      <c r="A9174" s="2">
        <f>IF(B9174="","",SUBTOTAL(3,$B$2:B9174))</f>
        <v>9173</v>
      </c>
      <c r="B9174" s="9" t="s">
        <v>55</v>
      </c>
      <c r="C9174" s="10" t="s">
        <v>49</v>
      </c>
      <c r="D9174" s="11">
        <v>185.25</v>
      </c>
      <c r="E9174" s="12">
        <f t="shared" si="143"/>
        <v>50612</v>
      </c>
    </row>
    <row r="9175" spans="1:5" x14ac:dyDescent="0.25">
      <c r="A9175" s="2">
        <f>IF(B9175="","",SUBTOTAL(3,$B$2:B9175))</f>
        <v>9174</v>
      </c>
      <c r="B9175" s="9" t="s">
        <v>53</v>
      </c>
      <c r="C9175" s="10" t="s">
        <v>49</v>
      </c>
      <c r="D9175" s="11">
        <v>91.585994669695125</v>
      </c>
      <c r="E9175" s="12">
        <f t="shared" si="143"/>
        <v>50613</v>
      </c>
    </row>
    <row r="9176" spans="1:5" x14ac:dyDescent="0.25">
      <c r="A9176" s="2">
        <f>IF(B9176="","",SUBTOTAL(3,$B$2:B9176))</f>
        <v>9175</v>
      </c>
      <c r="B9176" s="9" t="s">
        <v>48</v>
      </c>
      <c r="C9176" s="10" t="s">
        <v>49</v>
      </c>
      <c r="D9176" s="11">
        <v>38.508934072704868</v>
      </c>
      <c r="E9176" s="12">
        <f t="shared" si="143"/>
        <v>50614</v>
      </c>
    </row>
    <row r="9177" spans="1:5" x14ac:dyDescent="0.25">
      <c r="A9177" s="2">
        <f>IF(B9177="","",SUBTOTAL(3,$B$2:B9177))</f>
        <v>9176</v>
      </c>
      <c r="B9177" s="9" t="s">
        <v>55</v>
      </c>
      <c r="C9177" s="10" t="s">
        <v>49</v>
      </c>
      <c r="D9177" s="11">
        <v>123.5</v>
      </c>
      <c r="E9177" s="12">
        <f t="shared" si="143"/>
        <v>50615</v>
      </c>
    </row>
    <row r="9178" spans="1:5" x14ac:dyDescent="0.25">
      <c r="A9178" s="2">
        <f>IF(B9178="","",SUBTOTAL(3,$B$2:B9178))</f>
        <v>9177</v>
      </c>
      <c r="B9178" s="9" t="s">
        <v>55</v>
      </c>
      <c r="C9178" s="10" t="s">
        <v>49</v>
      </c>
      <c r="D9178" s="11">
        <v>61.75</v>
      </c>
      <c r="E9178" s="12">
        <f t="shared" si="143"/>
        <v>50616</v>
      </c>
    </row>
    <row r="9179" spans="1:5" x14ac:dyDescent="0.25">
      <c r="A9179" s="2">
        <f>IF(B9179="","",SUBTOTAL(3,$B$2:B9179))</f>
        <v>9178</v>
      </c>
      <c r="B9179" s="9" t="s">
        <v>55</v>
      </c>
      <c r="C9179" s="10" t="s">
        <v>49</v>
      </c>
      <c r="D9179" s="11">
        <v>61.75</v>
      </c>
      <c r="E9179" s="12">
        <f t="shared" si="143"/>
        <v>50617</v>
      </c>
    </row>
    <row r="9180" spans="1:5" x14ac:dyDescent="0.25">
      <c r="A9180" s="2">
        <f>IF(B9180="","",SUBTOTAL(3,$B$2:B9180))</f>
        <v>9179</v>
      </c>
      <c r="B9180" s="9" t="s">
        <v>55</v>
      </c>
      <c r="C9180" s="10" t="s">
        <v>49</v>
      </c>
      <c r="D9180" s="11">
        <v>30.875</v>
      </c>
      <c r="E9180" s="12">
        <f t="shared" si="143"/>
        <v>50618</v>
      </c>
    </row>
    <row r="9181" spans="1:5" x14ac:dyDescent="0.25">
      <c r="A9181" s="2">
        <f>IF(B9181="","",SUBTOTAL(3,$B$2:B9181))</f>
        <v>9180</v>
      </c>
      <c r="B9181" s="9" t="s">
        <v>55</v>
      </c>
      <c r="C9181" s="10" t="s">
        <v>49</v>
      </c>
      <c r="D9181" s="11">
        <v>98.712135669959252</v>
      </c>
      <c r="E9181" s="12">
        <f t="shared" si="143"/>
        <v>50619</v>
      </c>
    </row>
    <row r="9182" spans="1:5" x14ac:dyDescent="0.25">
      <c r="A9182" s="2">
        <f>IF(B9182="","",SUBTOTAL(3,$B$2:B9182))</f>
        <v>9181</v>
      </c>
      <c r="B9182" s="9" t="s">
        <v>48</v>
      </c>
      <c r="C9182" s="10" t="s">
        <v>49</v>
      </c>
      <c r="D9182" s="11">
        <v>77.017868145409736</v>
      </c>
      <c r="E9182" s="12">
        <f t="shared" si="143"/>
        <v>50620</v>
      </c>
    </row>
    <row r="9183" spans="1:5" x14ac:dyDescent="0.25">
      <c r="A9183" s="2">
        <f>IF(B9183="","",SUBTOTAL(3,$B$2:B9183))</f>
        <v>9182</v>
      </c>
      <c r="B9183" s="9" t="s">
        <v>48</v>
      </c>
      <c r="C9183" s="10" t="s">
        <v>49</v>
      </c>
      <c r="D9183" s="11">
        <v>30.807147258163894</v>
      </c>
      <c r="E9183" s="12">
        <f t="shared" si="143"/>
        <v>50621</v>
      </c>
    </row>
    <row r="9184" spans="1:5" x14ac:dyDescent="0.25">
      <c r="A9184" s="2">
        <f>IF(B9184="","",SUBTOTAL(3,$B$2:B9184))</f>
        <v>9183</v>
      </c>
      <c r="B9184" s="9" t="s">
        <v>55</v>
      </c>
      <c r="C9184" s="10" t="s">
        <v>49</v>
      </c>
      <c r="D9184" s="11">
        <v>100</v>
      </c>
      <c r="E9184" s="12">
        <f t="shared" si="143"/>
        <v>50622</v>
      </c>
    </row>
    <row r="9185" spans="1:5" x14ac:dyDescent="0.25">
      <c r="A9185" s="2">
        <f>IF(B9185="","",SUBTOTAL(3,$B$2:B9185))</f>
        <v>9184</v>
      </c>
      <c r="B9185" s="9" t="s">
        <v>48</v>
      </c>
      <c r="C9185" s="10" t="s">
        <v>49</v>
      </c>
      <c r="D9185" s="11">
        <v>38.508934072704868</v>
      </c>
      <c r="E9185" s="12">
        <f t="shared" si="143"/>
        <v>50623</v>
      </c>
    </row>
    <row r="9186" spans="1:5" x14ac:dyDescent="0.25">
      <c r="A9186" s="2">
        <f>IF(B9186="","",SUBTOTAL(3,$B$2:B9186))</f>
        <v>9185</v>
      </c>
      <c r="B9186" s="9" t="s">
        <v>48</v>
      </c>
      <c r="C9186" s="10" t="s">
        <v>49</v>
      </c>
      <c r="D9186" s="11">
        <v>38.54406228720466</v>
      </c>
      <c r="E9186" s="12">
        <f t="shared" si="143"/>
        <v>50624</v>
      </c>
    </row>
    <row r="9187" spans="1:5" x14ac:dyDescent="0.25">
      <c r="A9187" s="2">
        <f>IF(B9187="","",SUBTOTAL(3,$B$2:B9187))</f>
        <v>9186</v>
      </c>
      <c r="B9187" s="9" t="s">
        <v>50</v>
      </c>
      <c r="C9187" s="10" t="s">
        <v>49</v>
      </c>
      <c r="D9187" s="11">
        <v>99.206349206349202</v>
      </c>
      <c r="E9187" s="12">
        <f t="shared" si="143"/>
        <v>50625</v>
      </c>
    </row>
    <row r="9188" spans="1:5" x14ac:dyDescent="0.25">
      <c r="A9188" s="2">
        <f>IF(B9188="","",SUBTOTAL(3,$B$2:B9188))</f>
        <v>9187</v>
      </c>
      <c r="B9188" s="9" t="s">
        <v>50</v>
      </c>
      <c r="C9188" s="10" t="s">
        <v>49</v>
      </c>
      <c r="D9188" s="11">
        <v>19097.171957671959</v>
      </c>
      <c r="E9188" s="12">
        <f t="shared" si="143"/>
        <v>50626</v>
      </c>
    </row>
    <row r="9189" spans="1:5" x14ac:dyDescent="0.25">
      <c r="A9189" s="2">
        <f>IF(B9189="","",SUBTOTAL(3,$B$2:B9189))</f>
        <v>9188</v>
      </c>
      <c r="B9189" s="9" t="s">
        <v>50</v>
      </c>
      <c r="C9189" s="10" t="s">
        <v>49</v>
      </c>
      <c r="D9189" s="11">
        <v>220.45855379188714</v>
      </c>
      <c r="E9189" s="12">
        <f t="shared" si="143"/>
        <v>50627</v>
      </c>
    </row>
    <row r="9190" spans="1:5" x14ac:dyDescent="0.25">
      <c r="A9190" s="2">
        <f>IF(B9190="","",SUBTOTAL(3,$B$2:B9190))</f>
        <v>9189</v>
      </c>
      <c r="B9190" s="9" t="s">
        <v>50</v>
      </c>
      <c r="C9190" s="10" t="s">
        <v>49</v>
      </c>
      <c r="D9190" s="11">
        <v>55.114638447971785</v>
      </c>
      <c r="E9190" s="12">
        <f t="shared" si="143"/>
        <v>50628</v>
      </c>
    </row>
    <row r="9191" spans="1:5" x14ac:dyDescent="0.25">
      <c r="A9191" s="2">
        <f>IF(B9191="","",SUBTOTAL(3,$B$2:B9191))</f>
        <v>9190</v>
      </c>
      <c r="B9191" s="9" t="s">
        <v>50</v>
      </c>
      <c r="C9191" s="10" t="s">
        <v>49</v>
      </c>
      <c r="D9191" s="11">
        <v>110.22927689594357</v>
      </c>
      <c r="E9191" s="12">
        <f t="shared" si="143"/>
        <v>50629</v>
      </c>
    </row>
    <row r="9192" spans="1:5" x14ac:dyDescent="0.25">
      <c r="A9192" s="2">
        <f>IF(B9192="","",SUBTOTAL(3,$B$2:B9192))</f>
        <v>9191</v>
      </c>
      <c r="B9192" s="9" t="s">
        <v>48</v>
      </c>
      <c r="C9192" s="10" t="s">
        <v>49</v>
      </c>
      <c r="D9192" s="11">
        <v>30.807147258163894</v>
      </c>
      <c r="E9192" s="12">
        <f t="shared" si="143"/>
        <v>50630</v>
      </c>
    </row>
    <row r="9193" spans="1:5" x14ac:dyDescent="0.25">
      <c r="A9193" s="2">
        <f>IF(B9193="","",SUBTOTAL(3,$B$2:B9193))</f>
        <v>9192</v>
      </c>
      <c r="B9193" s="9" t="s">
        <v>50</v>
      </c>
      <c r="C9193" s="10" t="s">
        <v>49</v>
      </c>
      <c r="D9193" s="11">
        <v>93.694885361552039</v>
      </c>
      <c r="E9193" s="12">
        <f t="shared" si="143"/>
        <v>50631</v>
      </c>
    </row>
    <row r="9194" spans="1:5" x14ac:dyDescent="0.25">
      <c r="A9194" s="2">
        <f>IF(B9194="","",SUBTOTAL(3,$B$2:B9194))</f>
        <v>9193</v>
      </c>
      <c r="B9194" s="9" t="s">
        <v>51</v>
      </c>
      <c r="C9194" s="10" t="s">
        <v>49</v>
      </c>
      <c r="D9194" s="11">
        <v>158.84782378481412</v>
      </c>
      <c r="E9194" s="12">
        <f t="shared" si="143"/>
        <v>50632</v>
      </c>
    </row>
    <row r="9195" spans="1:5" x14ac:dyDescent="0.25">
      <c r="A9195" s="2">
        <f>IF(B9195="","",SUBTOTAL(3,$B$2:B9195))</f>
        <v>9194</v>
      </c>
      <c r="B9195" s="9" t="s">
        <v>51</v>
      </c>
      <c r="C9195" s="10" t="s">
        <v>49</v>
      </c>
      <c r="D9195" s="11">
        <v>158.84782378481412</v>
      </c>
      <c r="E9195" s="12">
        <f t="shared" si="143"/>
        <v>50633</v>
      </c>
    </row>
    <row r="9196" spans="1:5" x14ac:dyDescent="0.25">
      <c r="A9196" s="2">
        <f>IF(B9196="","",SUBTOTAL(3,$B$2:B9196))</f>
        <v>9195</v>
      </c>
      <c r="B9196" s="9" t="s">
        <v>51</v>
      </c>
      <c r="C9196" s="10" t="s">
        <v>49</v>
      </c>
      <c r="D9196" s="11">
        <v>63.539129513925651</v>
      </c>
      <c r="E9196" s="12">
        <f t="shared" si="143"/>
        <v>50634</v>
      </c>
    </row>
    <row r="9197" spans="1:5" x14ac:dyDescent="0.25">
      <c r="A9197" s="2">
        <f>IF(B9197="","",SUBTOTAL(3,$B$2:B9197))</f>
        <v>9196</v>
      </c>
      <c r="B9197" s="9" t="s">
        <v>51</v>
      </c>
      <c r="C9197" s="10" t="s">
        <v>49</v>
      </c>
      <c r="D9197" s="11">
        <v>317.69564756962825</v>
      </c>
      <c r="E9197" s="12">
        <f t="shared" si="143"/>
        <v>50635</v>
      </c>
    </row>
    <row r="9198" spans="1:5" x14ac:dyDescent="0.25">
      <c r="A9198" s="2">
        <f>IF(B9198="","",SUBTOTAL(3,$B$2:B9198))</f>
        <v>9197</v>
      </c>
      <c r="B9198" s="9" t="s">
        <v>48</v>
      </c>
      <c r="C9198" s="10" t="s">
        <v>49</v>
      </c>
      <c r="D9198" s="11">
        <v>103.41261633919338</v>
      </c>
      <c r="E9198" s="12">
        <f t="shared" si="143"/>
        <v>50636</v>
      </c>
    </row>
    <row r="9199" spans="1:5" x14ac:dyDescent="0.25">
      <c r="A9199" s="2">
        <f>IF(B9199="","",SUBTOTAL(3,$B$2:B9199))</f>
        <v>9198</v>
      </c>
      <c r="B9199" s="9" t="s">
        <v>53</v>
      </c>
      <c r="C9199" s="10" t="s">
        <v>49</v>
      </c>
      <c r="D9199" s="11">
        <v>137.37899200454268</v>
      </c>
      <c r="E9199" s="12">
        <f t="shared" si="143"/>
        <v>50637</v>
      </c>
    </row>
    <row r="9200" spans="1:5" x14ac:dyDescent="0.25">
      <c r="A9200" s="2">
        <f>IF(B9200="","",SUBTOTAL(3,$B$2:B9200))</f>
        <v>9199</v>
      </c>
      <c r="B9200" s="9" t="s">
        <v>50</v>
      </c>
      <c r="C9200" s="10" t="s">
        <v>49</v>
      </c>
      <c r="D9200" s="11">
        <v>661.37566137566137</v>
      </c>
      <c r="E9200" s="12">
        <f t="shared" si="143"/>
        <v>50638</v>
      </c>
    </row>
    <row r="9201" spans="1:5" x14ac:dyDescent="0.25">
      <c r="A9201" s="2">
        <f>IF(B9201="","",SUBTOTAL(3,$B$2:B9201))</f>
        <v>9200</v>
      </c>
      <c r="B9201" s="9" t="s">
        <v>51</v>
      </c>
      <c r="C9201" s="10" t="s">
        <v>49</v>
      </c>
      <c r="D9201" s="11">
        <v>31.769564756962826</v>
      </c>
      <c r="E9201" s="12">
        <f t="shared" si="143"/>
        <v>50639</v>
      </c>
    </row>
    <row r="9202" spans="1:5" x14ac:dyDescent="0.25">
      <c r="A9202" s="2">
        <f>IF(B9202="","",SUBTOTAL(3,$B$2:B9202))</f>
        <v>9201</v>
      </c>
      <c r="B9202" s="9" t="s">
        <v>48</v>
      </c>
      <c r="C9202" s="10" t="s">
        <v>49</v>
      </c>
      <c r="D9202" s="11">
        <v>77.017868145409736</v>
      </c>
      <c r="E9202" s="12">
        <f t="shared" si="143"/>
        <v>50640</v>
      </c>
    </row>
    <row r="9203" spans="1:5" x14ac:dyDescent="0.25">
      <c r="A9203" s="2">
        <f>IF(B9203="","",SUBTOTAL(3,$B$2:B9203))</f>
        <v>9202</v>
      </c>
      <c r="B9203" s="9" t="s">
        <v>48</v>
      </c>
      <c r="C9203" s="10" t="s">
        <v>49</v>
      </c>
      <c r="D9203" s="11">
        <v>77.017868145409736</v>
      </c>
      <c r="E9203" s="12">
        <f t="shared" si="143"/>
        <v>50641</v>
      </c>
    </row>
    <row r="9204" spans="1:5" x14ac:dyDescent="0.25">
      <c r="A9204" s="2">
        <f>IF(B9204="","",SUBTOTAL(3,$B$2:B9204))</f>
        <v>9203</v>
      </c>
      <c r="B9204" s="9" t="s">
        <v>48</v>
      </c>
      <c r="C9204" s="10" t="s">
        <v>49</v>
      </c>
      <c r="D9204" s="11">
        <v>12.848020762401553</v>
      </c>
      <c r="E9204" s="12">
        <f t="shared" si="143"/>
        <v>50642</v>
      </c>
    </row>
    <row r="9205" spans="1:5" x14ac:dyDescent="0.25">
      <c r="A9205" s="2">
        <f>IF(B9205="","",SUBTOTAL(3,$B$2:B9205))</f>
        <v>9204</v>
      </c>
      <c r="B9205" s="9" t="s">
        <v>50</v>
      </c>
      <c r="C9205" s="10" t="s">
        <v>49</v>
      </c>
      <c r="D9205" s="11">
        <v>440.91710758377428</v>
      </c>
      <c r="E9205" s="12">
        <f t="shared" si="143"/>
        <v>50643</v>
      </c>
    </row>
    <row r="9206" spans="1:5" x14ac:dyDescent="0.25">
      <c r="A9206" s="2">
        <f>IF(B9206="","",SUBTOTAL(3,$B$2:B9206))</f>
        <v>9205</v>
      </c>
      <c r="B9206" s="9" t="s">
        <v>50</v>
      </c>
      <c r="C9206" s="10" t="s">
        <v>49</v>
      </c>
      <c r="D9206" s="11">
        <v>99.206349206349202</v>
      </c>
      <c r="E9206" s="12">
        <f t="shared" si="143"/>
        <v>50644</v>
      </c>
    </row>
    <row r="9207" spans="1:5" x14ac:dyDescent="0.25">
      <c r="A9207" s="2">
        <f>IF(B9207="","",SUBTOTAL(3,$B$2:B9207))</f>
        <v>9206</v>
      </c>
      <c r="B9207" s="9" t="s">
        <v>50</v>
      </c>
      <c r="C9207" s="10" t="s">
        <v>49</v>
      </c>
      <c r="D9207" s="11">
        <v>60</v>
      </c>
      <c r="E9207" s="12">
        <f t="shared" si="143"/>
        <v>50645</v>
      </c>
    </row>
    <row r="9208" spans="1:5" x14ac:dyDescent="0.25">
      <c r="A9208" s="2">
        <f>IF(B9208="","",SUBTOTAL(3,$B$2:B9208))</f>
        <v>9207</v>
      </c>
      <c r="B9208" s="9" t="s">
        <v>51</v>
      </c>
      <c r="C9208" s="10" t="s">
        <v>49</v>
      </c>
      <c r="D9208" s="11">
        <v>158.84782378481412</v>
      </c>
      <c r="E9208" s="12">
        <f t="shared" si="143"/>
        <v>50646</v>
      </c>
    </row>
    <row r="9209" spans="1:5" x14ac:dyDescent="0.25">
      <c r="A9209" s="2">
        <f>IF(B9209="","",SUBTOTAL(3,$B$2:B9209))</f>
        <v>9208</v>
      </c>
      <c r="B9209" s="9" t="s">
        <v>55</v>
      </c>
      <c r="C9209" s="10" t="s">
        <v>49</v>
      </c>
      <c r="D9209" s="11">
        <v>200</v>
      </c>
      <c r="E9209" s="12">
        <f t="shared" si="143"/>
        <v>50647</v>
      </c>
    </row>
    <row r="9210" spans="1:5" x14ac:dyDescent="0.25">
      <c r="A9210" s="2">
        <f>IF(B9210="","",SUBTOTAL(3,$B$2:B9210))</f>
        <v>9209</v>
      </c>
      <c r="B9210" s="9" t="s">
        <v>50</v>
      </c>
      <c r="C9210" s="10" t="s">
        <v>49</v>
      </c>
      <c r="D9210" s="11">
        <v>220.45855379188714</v>
      </c>
      <c r="E9210" s="12">
        <f t="shared" si="143"/>
        <v>50648</v>
      </c>
    </row>
    <row r="9211" spans="1:5" x14ac:dyDescent="0.25">
      <c r="A9211" s="2">
        <f>IF(B9211="","",SUBTOTAL(3,$B$2:B9211))</f>
        <v>9210</v>
      </c>
      <c r="B9211" s="9" t="s">
        <v>50</v>
      </c>
      <c r="C9211" s="10" t="s">
        <v>49</v>
      </c>
      <c r="D9211" s="11">
        <v>110.22927689594357</v>
      </c>
      <c r="E9211" s="12">
        <f t="shared" si="143"/>
        <v>50649</v>
      </c>
    </row>
    <row r="9212" spans="1:5" x14ac:dyDescent="0.25">
      <c r="A9212" s="2">
        <f>IF(B9212="","",SUBTOTAL(3,$B$2:B9212))</f>
        <v>9211</v>
      </c>
      <c r="B9212" s="9" t="s">
        <v>50</v>
      </c>
      <c r="C9212" s="10" t="s">
        <v>49</v>
      </c>
      <c r="D9212" s="11">
        <v>110.22927689594357</v>
      </c>
      <c r="E9212" s="12">
        <f t="shared" si="143"/>
        <v>50650</v>
      </c>
    </row>
    <row r="9213" spans="1:5" x14ac:dyDescent="0.25">
      <c r="A9213" s="2">
        <f>IF(B9213="","",SUBTOTAL(3,$B$2:B9213))</f>
        <v>9212</v>
      </c>
      <c r="B9213" s="9" t="s">
        <v>55</v>
      </c>
      <c r="C9213" s="10" t="s">
        <v>49</v>
      </c>
      <c r="D9213" s="11">
        <v>109.14127423822715</v>
      </c>
      <c r="E9213" s="12">
        <f t="shared" si="143"/>
        <v>50651</v>
      </c>
    </row>
    <row r="9214" spans="1:5" x14ac:dyDescent="0.25">
      <c r="A9214" s="2">
        <f>IF(B9214="","",SUBTOTAL(3,$B$2:B9214))</f>
        <v>9213</v>
      </c>
      <c r="B9214" s="9" t="s">
        <v>48</v>
      </c>
      <c r="C9214" s="10" t="s">
        <v>49</v>
      </c>
      <c r="D9214" s="11">
        <v>30.807147258163894</v>
      </c>
      <c r="E9214" s="12">
        <f t="shared" si="143"/>
        <v>50652</v>
      </c>
    </row>
    <row r="9215" spans="1:5" x14ac:dyDescent="0.25">
      <c r="A9215" s="2">
        <f>IF(B9215="","",SUBTOTAL(3,$B$2:B9215))</f>
        <v>9214</v>
      </c>
      <c r="B9215" s="9" t="s">
        <v>48</v>
      </c>
      <c r="C9215" s="10" t="s">
        <v>49</v>
      </c>
      <c r="D9215" s="11">
        <v>5.3912507701786815E-3</v>
      </c>
      <c r="E9215" s="12">
        <f t="shared" si="143"/>
        <v>50653</v>
      </c>
    </row>
    <row r="9216" spans="1:5" x14ac:dyDescent="0.25">
      <c r="A9216" s="2">
        <f>IF(B9216="","",SUBTOTAL(3,$B$2:B9216))</f>
        <v>9215</v>
      </c>
      <c r="B9216" s="9" t="s">
        <v>48</v>
      </c>
      <c r="C9216" s="10" t="s">
        <v>49</v>
      </c>
      <c r="D9216" s="11">
        <v>46.210720887245841</v>
      </c>
      <c r="E9216" s="12">
        <f t="shared" si="143"/>
        <v>50654</v>
      </c>
    </row>
    <row r="9217" spans="1:5" x14ac:dyDescent="0.25">
      <c r="A9217" s="2">
        <f>IF(B9217="","",SUBTOTAL(3,$B$2:B9217))</f>
        <v>9216</v>
      </c>
      <c r="B9217" s="9" t="s">
        <v>50</v>
      </c>
      <c r="C9217" s="10" t="s">
        <v>49</v>
      </c>
      <c r="D9217" s="11">
        <v>1102.2927689594355</v>
      </c>
      <c r="E9217" s="12">
        <f t="shared" si="143"/>
        <v>50655</v>
      </c>
    </row>
    <row r="9218" spans="1:5" x14ac:dyDescent="0.25">
      <c r="A9218" s="2">
        <f>IF(B9218="","",SUBTOTAL(3,$B$2:B9218))</f>
        <v>9217</v>
      </c>
      <c r="B9218" s="9" t="s">
        <v>48</v>
      </c>
      <c r="C9218" s="10" t="s">
        <v>49</v>
      </c>
      <c r="D9218" s="11">
        <v>77.017868145409736</v>
      </c>
      <c r="E9218" s="12">
        <f t="shared" si="143"/>
        <v>50656</v>
      </c>
    </row>
    <row r="9219" spans="1:5" x14ac:dyDescent="0.25">
      <c r="A9219" s="2">
        <f>IF(B9219="","",SUBTOTAL(3,$B$2:B9219))</f>
        <v>9218</v>
      </c>
      <c r="B9219" s="9" t="s">
        <v>55</v>
      </c>
      <c r="C9219" s="10" t="s">
        <v>49</v>
      </c>
      <c r="D9219" s="11">
        <v>81.473032426266911</v>
      </c>
      <c r="E9219" s="12">
        <f t="shared" si="143"/>
        <v>50657</v>
      </c>
    </row>
    <row r="9220" spans="1:5" x14ac:dyDescent="0.25">
      <c r="A9220" s="2">
        <f>IF(B9220="","",SUBTOTAL(3,$B$2:B9220))</f>
        <v>9219</v>
      </c>
      <c r="B9220" s="9" t="s">
        <v>50</v>
      </c>
      <c r="C9220" s="10" t="s">
        <v>49</v>
      </c>
      <c r="D9220" s="11">
        <v>132.27513227513228</v>
      </c>
      <c r="E9220" s="12">
        <f t="shared" ref="E9220:E9283" si="144">E9219+1</f>
        <v>50658</v>
      </c>
    </row>
    <row r="9221" spans="1:5" x14ac:dyDescent="0.25">
      <c r="A9221" s="2">
        <f>IF(B9221="","",SUBTOTAL(3,$B$2:B9221))</f>
        <v>9220</v>
      </c>
      <c r="B9221" s="9" t="s">
        <v>50</v>
      </c>
      <c r="C9221" s="10" t="s">
        <v>49</v>
      </c>
      <c r="D9221" s="11">
        <v>22.045855379188712</v>
      </c>
      <c r="E9221" s="12">
        <f t="shared" si="144"/>
        <v>50659</v>
      </c>
    </row>
    <row r="9222" spans="1:5" x14ac:dyDescent="0.25">
      <c r="A9222" s="2">
        <f>IF(B9222="","",SUBTOTAL(3,$B$2:B9222))</f>
        <v>9221</v>
      </c>
      <c r="B9222" s="9" t="s">
        <v>50</v>
      </c>
      <c r="C9222" s="10" t="s">
        <v>49</v>
      </c>
      <c r="D9222" s="11">
        <v>1102.2927689594355</v>
      </c>
      <c r="E9222" s="12">
        <f t="shared" si="144"/>
        <v>50660</v>
      </c>
    </row>
    <row r="9223" spans="1:5" x14ac:dyDescent="0.25">
      <c r="A9223" s="2">
        <f>IF(B9223="","",SUBTOTAL(3,$B$2:B9223))</f>
        <v>9222</v>
      </c>
      <c r="B9223" s="9" t="s">
        <v>51</v>
      </c>
      <c r="C9223" s="10" t="s">
        <v>49</v>
      </c>
      <c r="D9223" s="11">
        <v>31.769564756962826</v>
      </c>
      <c r="E9223" s="12">
        <f t="shared" si="144"/>
        <v>50661</v>
      </c>
    </row>
    <row r="9224" spans="1:5" x14ac:dyDescent="0.25">
      <c r="A9224" s="2">
        <f>IF(B9224="","",SUBTOTAL(3,$B$2:B9224))</f>
        <v>9223</v>
      </c>
      <c r="B9224" s="9" t="s">
        <v>55</v>
      </c>
      <c r="C9224" s="10" t="s">
        <v>49</v>
      </c>
      <c r="D9224" s="11">
        <v>56.053446309271635</v>
      </c>
      <c r="E9224" s="12">
        <f t="shared" si="144"/>
        <v>50662</v>
      </c>
    </row>
    <row r="9225" spans="1:5" x14ac:dyDescent="0.25">
      <c r="A9225" s="2">
        <f>IF(B9225="","",SUBTOTAL(3,$B$2:B9225))</f>
        <v>9224</v>
      </c>
      <c r="B9225" s="9" t="s">
        <v>48</v>
      </c>
      <c r="C9225" s="10" t="s">
        <v>49</v>
      </c>
      <c r="D9225" s="11">
        <v>26.011588914727685</v>
      </c>
      <c r="E9225" s="12">
        <f t="shared" si="144"/>
        <v>50663</v>
      </c>
    </row>
    <row r="9226" spans="1:5" x14ac:dyDescent="0.25">
      <c r="A9226" s="2">
        <f>IF(B9226="","",SUBTOTAL(3,$B$2:B9226))</f>
        <v>9225</v>
      </c>
      <c r="B9226" s="9" t="s">
        <v>51</v>
      </c>
      <c r="C9226" s="10" t="s">
        <v>49</v>
      </c>
      <c r="D9226" s="11">
        <v>31.769564756962826</v>
      </c>
      <c r="E9226" s="12">
        <f t="shared" si="144"/>
        <v>50664</v>
      </c>
    </row>
    <row r="9227" spans="1:5" x14ac:dyDescent="0.25">
      <c r="A9227" s="2">
        <f>IF(B9227="","",SUBTOTAL(3,$B$2:B9227))</f>
        <v>9226</v>
      </c>
      <c r="B9227" s="9" t="s">
        <v>50</v>
      </c>
      <c r="C9227" s="10" t="s">
        <v>49</v>
      </c>
      <c r="D9227" s="11">
        <v>36.0810405643739</v>
      </c>
      <c r="E9227" s="12">
        <f t="shared" si="144"/>
        <v>50665</v>
      </c>
    </row>
    <row r="9228" spans="1:5" x14ac:dyDescent="0.25">
      <c r="A9228" s="2">
        <f>IF(B9228="","",SUBTOTAL(3,$B$2:B9228))</f>
        <v>9227</v>
      </c>
      <c r="B9228" s="9" t="s">
        <v>50</v>
      </c>
      <c r="C9228" s="10" t="s">
        <v>49</v>
      </c>
      <c r="D9228" s="11">
        <v>4.2107583774250443</v>
      </c>
      <c r="E9228" s="12">
        <f t="shared" si="144"/>
        <v>50666</v>
      </c>
    </row>
    <row r="9229" spans="1:5" x14ac:dyDescent="0.25">
      <c r="A9229" s="2">
        <f>IF(B9229="","",SUBTOTAL(3,$B$2:B9229))</f>
        <v>9228</v>
      </c>
      <c r="B9229" s="9" t="s">
        <v>50</v>
      </c>
      <c r="C9229" s="10" t="s">
        <v>49</v>
      </c>
      <c r="D9229" s="11">
        <v>40</v>
      </c>
      <c r="E9229" s="12">
        <f t="shared" si="144"/>
        <v>50667</v>
      </c>
    </row>
    <row r="9230" spans="1:5" x14ac:dyDescent="0.25">
      <c r="A9230" s="2">
        <f>IF(B9230="","",SUBTOTAL(3,$B$2:B9230))</f>
        <v>9229</v>
      </c>
      <c r="B9230" s="9" t="s">
        <v>55</v>
      </c>
      <c r="C9230" s="10" t="s">
        <v>49</v>
      </c>
      <c r="D9230" s="11">
        <v>1.407528108196187</v>
      </c>
      <c r="E9230" s="12">
        <f t="shared" si="144"/>
        <v>50668</v>
      </c>
    </row>
    <row r="9231" spans="1:5" x14ac:dyDescent="0.25">
      <c r="A9231" s="2">
        <f>IF(B9231="","",SUBTOTAL(3,$B$2:B9231))</f>
        <v>9230</v>
      </c>
      <c r="B9231" s="9" t="s">
        <v>50</v>
      </c>
      <c r="C9231" s="10" t="s">
        <v>49</v>
      </c>
      <c r="D9231" s="11">
        <v>15.296560846560848</v>
      </c>
      <c r="E9231" s="12">
        <f t="shared" si="144"/>
        <v>50669</v>
      </c>
    </row>
    <row r="9232" spans="1:5" x14ac:dyDescent="0.25">
      <c r="A9232" s="2">
        <f>IF(B9232="","",SUBTOTAL(3,$B$2:B9232))</f>
        <v>9231</v>
      </c>
      <c r="B9232" s="9" t="s">
        <v>50</v>
      </c>
      <c r="C9232" s="10" t="s">
        <v>49</v>
      </c>
      <c r="D9232" s="11">
        <v>23.770194003527337</v>
      </c>
      <c r="E9232" s="12">
        <f t="shared" si="144"/>
        <v>50670</v>
      </c>
    </row>
    <row r="9233" spans="1:5" x14ac:dyDescent="0.25">
      <c r="A9233" s="2">
        <f>IF(B9233="","",SUBTOTAL(3,$B$2:B9233))</f>
        <v>9232</v>
      </c>
      <c r="B9233" s="9" t="s">
        <v>50</v>
      </c>
      <c r="C9233" s="10" t="s">
        <v>49</v>
      </c>
      <c r="D9233" s="11">
        <v>88.183421516754848</v>
      </c>
      <c r="E9233" s="12">
        <f t="shared" si="144"/>
        <v>50671</v>
      </c>
    </row>
    <row r="9234" spans="1:5" x14ac:dyDescent="0.25">
      <c r="A9234" s="2">
        <f>IF(B9234="","",SUBTOTAL(3,$B$2:B9234))</f>
        <v>9233</v>
      </c>
      <c r="B9234" s="9" t="s">
        <v>55</v>
      </c>
      <c r="C9234" s="10" t="s">
        <v>49</v>
      </c>
      <c r="D9234" s="11">
        <v>5</v>
      </c>
      <c r="E9234" s="12">
        <f t="shared" si="144"/>
        <v>50672</v>
      </c>
    </row>
    <row r="9235" spans="1:5" x14ac:dyDescent="0.25">
      <c r="A9235" s="2">
        <f>IF(B9235="","",SUBTOTAL(3,$B$2:B9235))</f>
        <v>9234</v>
      </c>
      <c r="B9235" s="9" t="s">
        <v>48</v>
      </c>
      <c r="C9235" s="10" t="s">
        <v>49</v>
      </c>
      <c r="D9235" s="11">
        <v>15.403573629081947</v>
      </c>
      <c r="E9235" s="12">
        <f t="shared" si="144"/>
        <v>50673</v>
      </c>
    </row>
    <row r="9236" spans="1:5" x14ac:dyDescent="0.25">
      <c r="A9236" s="2">
        <f>IF(B9236="","",SUBTOTAL(3,$B$2:B9236))</f>
        <v>9235</v>
      </c>
      <c r="B9236" s="9" t="s">
        <v>55</v>
      </c>
      <c r="C9236" s="10" t="s">
        <v>49</v>
      </c>
      <c r="D9236" s="11">
        <v>75</v>
      </c>
      <c r="E9236" s="12">
        <f t="shared" si="144"/>
        <v>50674</v>
      </c>
    </row>
    <row r="9237" spans="1:5" x14ac:dyDescent="0.25">
      <c r="A9237" s="2">
        <f>IF(B9237="","",SUBTOTAL(3,$B$2:B9237))</f>
        <v>9236</v>
      </c>
      <c r="B9237" s="9" t="s">
        <v>50</v>
      </c>
      <c r="C9237" s="10" t="s">
        <v>49</v>
      </c>
      <c r="D9237" s="11">
        <v>20</v>
      </c>
      <c r="E9237" s="12">
        <f t="shared" si="144"/>
        <v>50675</v>
      </c>
    </row>
    <row r="9238" spans="1:5" x14ac:dyDescent="0.25">
      <c r="A9238" s="2">
        <f>IF(B9238="","",SUBTOTAL(3,$B$2:B9238))</f>
        <v>9237</v>
      </c>
      <c r="B9238" s="9" t="s">
        <v>50</v>
      </c>
      <c r="C9238" s="10" t="s">
        <v>49</v>
      </c>
      <c r="D9238" s="11">
        <v>18.04052028218695</v>
      </c>
      <c r="E9238" s="12">
        <f t="shared" si="144"/>
        <v>50676</v>
      </c>
    </row>
    <row r="9239" spans="1:5" x14ac:dyDescent="0.25">
      <c r="A9239" s="2">
        <f>IF(B9239="","",SUBTOTAL(3,$B$2:B9239))</f>
        <v>9238</v>
      </c>
      <c r="B9239" s="9" t="s">
        <v>50</v>
      </c>
      <c r="C9239" s="10" t="s">
        <v>49</v>
      </c>
      <c r="D9239" s="11">
        <v>33.06878306878307</v>
      </c>
      <c r="E9239" s="12">
        <f t="shared" si="144"/>
        <v>50677</v>
      </c>
    </row>
    <row r="9240" spans="1:5" x14ac:dyDescent="0.25">
      <c r="A9240" s="2">
        <f>IF(B9240="","",SUBTOTAL(3,$B$2:B9240))</f>
        <v>9239</v>
      </c>
      <c r="B9240" s="9" t="s">
        <v>48</v>
      </c>
      <c r="C9240" s="10" t="s">
        <v>49</v>
      </c>
      <c r="D9240" s="11">
        <v>11.326172703095088</v>
      </c>
      <c r="E9240" s="12">
        <f t="shared" si="144"/>
        <v>50678</v>
      </c>
    </row>
    <row r="9241" spans="1:5" x14ac:dyDescent="0.25">
      <c r="A9241" s="2">
        <f>IF(B9241="","",SUBTOTAL(3,$B$2:B9241))</f>
        <v>9240</v>
      </c>
      <c r="B9241" s="9" t="s">
        <v>48</v>
      </c>
      <c r="C9241" s="10" t="s">
        <v>49</v>
      </c>
      <c r="D9241" s="11">
        <v>31.023784901758013</v>
      </c>
      <c r="E9241" s="12">
        <f t="shared" si="144"/>
        <v>50679</v>
      </c>
    </row>
    <row r="9242" spans="1:5" x14ac:dyDescent="0.25">
      <c r="A9242" s="2">
        <f>IF(B9242="","",SUBTOTAL(3,$B$2:B9242))</f>
        <v>9241</v>
      </c>
      <c r="B9242" s="9" t="s">
        <v>55</v>
      </c>
      <c r="C9242" s="10" t="s">
        <v>49</v>
      </c>
      <c r="D9242" s="11">
        <v>30</v>
      </c>
      <c r="E9242" s="12">
        <f t="shared" si="144"/>
        <v>50680</v>
      </c>
    </row>
    <row r="9243" spans="1:5" x14ac:dyDescent="0.25">
      <c r="A9243" s="2">
        <f>IF(B9243="","",SUBTOTAL(3,$B$2:B9243))</f>
        <v>9242</v>
      </c>
      <c r="B9243" s="9" t="s">
        <v>50</v>
      </c>
      <c r="C9243" s="10" t="s">
        <v>49</v>
      </c>
      <c r="D9243" s="11">
        <v>35.273368606701936</v>
      </c>
      <c r="E9243" s="12">
        <f t="shared" si="144"/>
        <v>50681</v>
      </c>
    </row>
    <row r="9244" spans="1:5" x14ac:dyDescent="0.25">
      <c r="A9244" s="2">
        <f>IF(B9244="","",SUBTOTAL(3,$B$2:B9244))</f>
        <v>9243</v>
      </c>
      <c r="B9244" s="9" t="s">
        <v>48</v>
      </c>
      <c r="C9244" s="10" t="s">
        <v>49</v>
      </c>
      <c r="D9244" s="11">
        <v>17.537548340678121</v>
      </c>
      <c r="E9244" s="12">
        <f t="shared" si="144"/>
        <v>50682</v>
      </c>
    </row>
    <row r="9245" spans="1:5" x14ac:dyDescent="0.25">
      <c r="A9245" s="2">
        <f>IF(B9245="","",SUBTOTAL(3,$B$2:B9245))</f>
        <v>9244</v>
      </c>
      <c r="B9245" s="9" t="s">
        <v>48</v>
      </c>
      <c r="C9245" s="10" t="s">
        <v>49</v>
      </c>
      <c r="D9245" s="11">
        <v>36.194415718717686</v>
      </c>
      <c r="E9245" s="12">
        <f t="shared" si="144"/>
        <v>50683</v>
      </c>
    </row>
    <row r="9246" spans="1:5" x14ac:dyDescent="0.25">
      <c r="A9246" s="2">
        <f>IF(B9246="","",SUBTOTAL(3,$B$2:B9246))</f>
        <v>9245</v>
      </c>
      <c r="B9246" s="9" t="s">
        <v>48</v>
      </c>
      <c r="C9246" s="10" t="s">
        <v>49</v>
      </c>
      <c r="D9246" s="11">
        <v>51.706308169596689</v>
      </c>
      <c r="E9246" s="12">
        <f t="shared" si="144"/>
        <v>50684</v>
      </c>
    </row>
    <row r="9247" spans="1:5" x14ac:dyDescent="0.25">
      <c r="A9247" s="2">
        <f>IF(B9247="","",SUBTOTAL(3,$B$2:B9247))</f>
        <v>9246</v>
      </c>
      <c r="B9247" s="9" t="s">
        <v>48</v>
      </c>
      <c r="C9247" s="10" t="s">
        <v>49</v>
      </c>
      <c r="D9247" s="11">
        <v>48.431575318855558</v>
      </c>
      <c r="E9247" s="12">
        <f t="shared" si="144"/>
        <v>50685</v>
      </c>
    </row>
    <row r="9248" spans="1:5" x14ac:dyDescent="0.25">
      <c r="A9248" s="2">
        <f>IF(B9248="","",SUBTOTAL(3,$B$2:B9248))</f>
        <v>9247</v>
      </c>
      <c r="B9248" s="9" t="s">
        <v>48</v>
      </c>
      <c r="C9248" s="10" t="s">
        <v>49</v>
      </c>
      <c r="D9248" s="11">
        <v>30.807147258163894</v>
      </c>
      <c r="E9248" s="12">
        <f t="shared" si="144"/>
        <v>50686</v>
      </c>
    </row>
    <row r="9249" spans="1:5" x14ac:dyDescent="0.25">
      <c r="A9249" s="2">
        <f>IF(B9249="","",SUBTOTAL(3,$B$2:B9249))</f>
        <v>9248</v>
      </c>
      <c r="B9249" s="9" t="s">
        <v>48</v>
      </c>
      <c r="C9249" s="10" t="s">
        <v>49</v>
      </c>
      <c r="D9249" s="11">
        <v>92.421441774491683</v>
      </c>
      <c r="E9249" s="12">
        <f t="shared" si="144"/>
        <v>50687</v>
      </c>
    </row>
    <row r="9250" spans="1:5" x14ac:dyDescent="0.25">
      <c r="A9250" s="2">
        <f>IF(B9250="","",SUBTOTAL(3,$B$2:B9250))</f>
        <v>9249</v>
      </c>
      <c r="B9250" s="9" t="s">
        <v>48</v>
      </c>
      <c r="C9250" s="10" t="s">
        <v>49</v>
      </c>
      <c r="D9250" s="11">
        <v>24.129610479145121</v>
      </c>
      <c r="E9250" s="12">
        <f t="shared" si="144"/>
        <v>50688</v>
      </c>
    </row>
    <row r="9251" spans="1:5" x14ac:dyDescent="0.25">
      <c r="A9251" s="2">
        <f>IF(B9251="","",SUBTOTAL(3,$B$2:B9251))</f>
        <v>9250</v>
      </c>
      <c r="B9251" s="9" t="s">
        <v>55</v>
      </c>
      <c r="C9251" s="10" t="s">
        <v>49</v>
      </c>
      <c r="D9251" s="11">
        <v>45.5</v>
      </c>
      <c r="E9251" s="12">
        <f t="shared" si="144"/>
        <v>50689</v>
      </c>
    </row>
    <row r="9252" spans="1:5" x14ac:dyDescent="0.25">
      <c r="A9252" s="2">
        <f>IF(B9252="","",SUBTOTAL(3,$B$2:B9252))</f>
        <v>9251</v>
      </c>
      <c r="B9252" s="9" t="s">
        <v>55</v>
      </c>
      <c r="C9252" s="10" t="s">
        <v>49</v>
      </c>
      <c r="D9252" s="11">
        <v>32.904045223319756</v>
      </c>
      <c r="E9252" s="12">
        <f t="shared" si="144"/>
        <v>50690</v>
      </c>
    </row>
    <row r="9253" spans="1:5" x14ac:dyDescent="0.25">
      <c r="A9253" s="2">
        <f>IF(B9253="","",SUBTOTAL(3,$B$2:B9253))</f>
        <v>9252</v>
      </c>
      <c r="B9253" s="9" t="s">
        <v>50</v>
      </c>
      <c r="C9253" s="10" t="s">
        <v>49</v>
      </c>
      <c r="D9253" s="11">
        <v>108.24312169312169</v>
      </c>
      <c r="E9253" s="12">
        <f t="shared" si="144"/>
        <v>50691</v>
      </c>
    </row>
    <row r="9254" spans="1:5" x14ac:dyDescent="0.25">
      <c r="A9254" s="2">
        <f>IF(B9254="","",SUBTOTAL(3,$B$2:B9254))</f>
        <v>9253</v>
      </c>
      <c r="B9254" s="9" t="s">
        <v>50</v>
      </c>
      <c r="C9254" s="10" t="s">
        <v>49</v>
      </c>
      <c r="D9254" s="11">
        <v>66.137566137566139</v>
      </c>
      <c r="E9254" s="12">
        <f t="shared" si="144"/>
        <v>50692</v>
      </c>
    </row>
    <row r="9255" spans="1:5" x14ac:dyDescent="0.25">
      <c r="A9255" s="2">
        <f>IF(B9255="","",SUBTOTAL(3,$B$2:B9255))</f>
        <v>9254</v>
      </c>
      <c r="B9255" s="9" t="s">
        <v>50</v>
      </c>
      <c r="C9255" s="10" t="s">
        <v>49</v>
      </c>
      <c r="D9255" s="11">
        <v>39.682539682539684</v>
      </c>
      <c r="E9255" s="12">
        <f t="shared" si="144"/>
        <v>50693</v>
      </c>
    </row>
    <row r="9256" spans="1:5" x14ac:dyDescent="0.25">
      <c r="A9256" s="2">
        <f>IF(B9256="","",SUBTOTAL(3,$B$2:B9256))</f>
        <v>9255</v>
      </c>
      <c r="B9256" s="9" t="s">
        <v>51</v>
      </c>
      <c r="C9256" s="10" t="s">
        <v>49</v>
      </c>
      <c r="D9256" s="11">
        <v>84.718839351900883</v>
      </c>
      <c r="E9256" s="12">
        <f t="shared" si="144"/>
        <v>50694</v>
      </c>
    </row>
    <row r="9257" spans="1:5" x14ac:dyDescent="0.25">
      <c r="A9257" s="2">
        <f>IF(B9257="","",SUBTOTAL(3,$B$2:B9257))</f>
        <v>9256</v>
      </c>
      <c r="B9257" s="9" t="s">
        <v>55</v>
      </c>
      <c r="C9257" s="10" t="s">
        <v>49</v>
      </c>
      <c r="D9257" s="11">
        <v>45.5</v>
      </c>
      <c r="E9257" s="12">
        <f t="shared" si="144"/>
        <v>50695</v>
      </c>
    </row>
    <row r="9258" spans="1:5" x14ac:dyDescent="0.25">
      <c r="A9258" s="2">
        <f>IF(B9258="","",SUBTOTAL(3,$B$2:B9258))</f>
        <v>9257</v>
      </c>
      <c r="B9258" s="9" t="s">
        <v>55</v>
      </c>
      <c r="C9258" s="10" t="s">
        <v>49</v>
      </c>
      <c r="D9258" s="11">
        <v>18.376441402122481</v>
      </c>
      <c r="E9258" s="12">
        <f t="shared" si="144"/>
        <v>50696</v>
      </c>
    </row>
    <row r="9259" spans="1:5" x14ac:dyDescent="0.25">
      <c r="A9259" s="2">
        <f>IF(B9259="","",SUBTOTAL(3,$B$2:B9259))</f>
        <v>9258</v>
      </c>
      <c r="B9259" s="9" t="s">
        <v>50</v>
      </c>
      <c r="C9259" s="10" t="s">
        <v>49</v>
      </c>
      <c r="D9259" s="11">
        <v>5.0705467372134034</v>
      </c>
      <c r="E9259" s="12">
        <f t="shared" si="144"/>
        <v>50697</v>
      </c>
    </row>
    <row r="9260" spans="1:5" x14ac:dyDescent="0.25">
      <c r="A9260" s="2">
        <f>IF(B9260="","",SUBTOTAL(3,$B$2:B9260))</f>
        <v>9259</v>
      </c>
      <c r="B9260" s="9" t="s">
        <v>50</v>
      </c>
      <c r="C9260" s="10" t="s">
        <v>49</v>
      </c>
      <c r="D9260" s="11">
        <v>8.8183421516754841</v>
      </c>
      <c r="E9260" s="12">
        <f t="shared" si="144"/>
        <v>50698</v>
      </c>
    </row>
    <row r="9261" spans="1:5" x14ac:dyDescent="0.25">
      <c r="A9261" s="2">
        <f>IF(B9261="","",SUBTOTAL(3,$B$2:B9261))</f>
        <v>9260</v>
      </c>
      <c r="B9261" s="9" t="s">
        <v>51</v>
      </c>
      <c r="C9261" s="10" t="s">
        <v>49</v>
      </c>
      <c r="D9261" s="11">
        <v>21.179709837975221</v>
      </c>
      <c r="E9261" s="12">
        <f t="shared" si="144"/>
        <v>50699</v>
      </c>
    </row>
    <row r="9262" spans="1:5" x14ac:dyDescent="0.25">
      <c r="A9262" s="2">
        <f>IF(B9262="","",SUBTOTAL(3,$B$2:B9262))</f>
        <v>9261</v>
      </c>
      <c r="B9262" s="9" t="s">
        <v>48</v>
      </c>
      <c r="C9262" s="10" t="s">
        <v>49</v>
      </c>
      <c r="D9262" s="11">
        <v>12.75422268183385</v>
      </c>
      <c r="E9262" s="12">
        <f t="shared" si="144"/>
        <v>50700</v>
      </c>
    </row>
    <row r="9263" spans="1:5" x14ac:dyDescent="0.25">
      <c r="A9263" s="2">
        <f>IF(B9263="","",SUBTOTAL(3,$B$2:B9263))</f>
        <v>9262</v>
      </c>
      <c r="B9263" s="9" t="s">
        <v>50</v>
      </c>
      <c r="C9263" s="10" t="s">
        <v>49</v>
      </c>
      <c r="D9263" s="11">
        <v>5.0705467372134034</v>
      </c>
      <c r="E9263" s="12">
        <f t="shared" si="144"/>
        <v>50701</v>
      </c>
    </row>
    <row r="9264" spans="1:5" x14ac:dyDescent="0.25">
      <c r="A9264" s="2">
        <f>IF(B9264="","",SUBTOTAL(3,$B$2:B9264))</f>
        <v>9263</v>
      </c>
      <c r="B9264" s="9" t="s">
        <v>55</v>
      </c>
      <c r="C9264" s="10" t="s">
        <v>49</v>
      </c>
      <c r="D9264" s="11">
        <v>45.5</v>
      </c>
      <c r="E9264" s="12">
        <f t="shared" si="144"/>
        <v>50702</v>
      </c>
    </row>
    <row r="9265" spans="1:5" x14ac:dyDescent="0.25">
      <c r="A9265" s="2">
        <f>IF(B9265="","",SUBTOTAL(3,$B$2:B9265))</f>
        <v>9264</v>
      </c>
      <c r="B9265" s="9" t="s">
        <v>48</v>
      </c>
      <c r="C9265" s="10" t="s">
        <v>49</v>
      </c>
      <c r="D9265" s="11">
        <v>18.484288354898336</v>
      </c>
      <c r="E9265" s="12">
        <f t="shared" si="144"/>
        <v>50703</v>
      </c>
    </row>
    <row r="9266" spans="1:5" x14ac:dyDescent="0.25">
      <c r="A9266" s="2">
        <f>IF(B9266="","",SUBTOTAL(3,$B$2:B9266))</f>
        <v>9265</v>
      </c>
      <c r="B9266" s="9" t="s">
        <v>55</v>
      </c>
      <c r="C9266" s="10" t="s">
        <v>49</v>
      </c>
      <c r="D9266" s="11">
        <v>70</v>
      </c>
      <c r="E9266" s="12">
        <f t="shared" si="144"/>
        <v>50704</v>
      </c>
    </row>
    <row r="9267" spans="1:5" x14ac:dyDescent="0.25">
      <c r="A9267" s="2">
        <f>IF(B9267="","",SUBTOTAL(3,$B$2:B9267))</f>
        <v>9266</v>
      </c>
      <c r="B9267" s="9" t="s">
        <v>50</v>
      </c>
      <c r="C9267" s="10" t="s">
        <v>49</v>
      </c>
      <c r="D9267" s="11">
        <v>6.6137566137566139</v>
      </c>
      <c r="E9267" s="12">
        <f t="shared" si="144"/>
        <v>50705</v>
      </c>
    </row>
    <row r="9268" spans="1:5" x14ac:dyDescent="0.25">
      <c r="A9268" s="2">
        <f>IF(B9268="","",SUBTOTAL(3,$B$2:B9268))</f>
        <v>9267</v>
      </c>
      <c r="B9268" s="9" t="s">
        <v>50</v>
      </c>
      <c r="C9268" s="10" t="s">
        <v>49</v>
      </c>
      <c r="D9268" s="11">
        <v>18.04052028218695</v>
      </c>
      <c r="E9268" s="12">
        <f t="shared" si="144"/>
        <v>50706</v>
      </c>
    </row>
    <row r="9269" spans="1:5" x14ac:dyDescent="0.25">
      <c r="A9269" s="2">
        <f>IF(B9269="","",SUBTOTAL(3,$B$2:B9269))</f>
        <v>9268</v>
      </c>
      <c r="B9269" s="9" t="s">
        <v>50</v>
      </c>
      <c r="C9269" s="10" t="s">
        <v>49</v>
      </c>
      <c r="D9269" s="11">
        <v>108.24312169312169</v>
      </c>
      <c r="E9269" s="12">
        <f t="shared" si="144"/>
        <v>50707</v>
      </c>
    </row>
    <row r="9270" spans="1:5" x14ac:dyDescent="0.25">
      <c r="A9270" s="2">
        <f>IF(B9270="","",SUBTOTAL(3,$B$2:B9270))</f>
        <v>9269</v>
      </c>
      <c r="B9270" s="9" t="s">
        <v>50</v>
      </c>
      <c r="C9270" s="10" t="s">
        <v>49</v>
      </c>
      <c r="D9270" s="11">
        <v>44.091710758377424</v>
      </c>
      <c r="E9270" s="12">
        <f t="shared" si="144"/>
        <v>50708</v>
      </c>
    </row>
    <row r="9271" spans="1:5" x14ac:dyDescent="0.25">
      <c r="A9271" s="2">
        <f>IF(B9271="","",SUBTOTAL(3,$B$2:B9271))</f>
        <v>9270</v>
      </c>
      <c r="B9271" s="9" t="s">
        <v>50</v>
      </c>
      <c r="C9271" s="10" t="s">
        <v>49</v>
      </c>
      <c r="D9271" s="11">
        <v>1.8033509700176367</v>
      </c>
      <c r="E9271" s="12">
        <f t="shared" si="144"/>
        <v>50709</v>
      </c>
    </row>
    <row r="9272" spans="1:5" x14ac:dyDescent="0.25">
      <c r="A9272" s="2">
        <f>IF(B9272="","",SUBTOTAL(3,$B$2:B9272))</f>
        <v>9271</v>
      </c>
      <c r="B9272" s="9" t="s">
        <v>48</v>
      </c>
      <c r="C9272" s="10" t="s">
        <v>49</v>
      </c>
      <c r="D9272" s="11">
        <v>1.723543605653223</v>
      </c>
      <c r="E9272" s="12">
        <f t="shared" si="144"/>
        <v>50710</v>
      </c>
    </row>
    <row r="9273" spans="1:5" x14ac:dyDescent="0.25">
      <c r="A9273" s="2">
        <f>IF(B9273="","",SUBTOTAL(3,$B$2:B9273))</f>
        <v>9272</v>
      </c>
      <c r="B9273" s="9" t="s">
        <v>48</v>
      </c>
      <c r="C9273" s="10" t="s">
        <v>49</v>
      </c>
      <c r="D9273" s="11">
        <v>1.723543605653223</v>
      </c>
      <c r="E9273" s="12">
        <f t="shared" si="144"/>
        <v>50711</v>
      </c>
    </row>
    <row r="9274" spans="1:5" x14ac:dyDescent="0.25">
      <c r="A9274" s="2">
        <f>IF(B9274="","",SUBTOTAL(3,$B$2:B9274))</f>
        <v>9273</v>
      </c>
      <c r="B9274" s="9" t="s">
        <v>48</v>
      </c>
      <c r="C9274" s="10" t="s">
        <v>49</v>
      </c>
      <c r="D9274" s="11">
        <v>1.723543605653223</v>
      </c>
      <c r="E9274" s="12">
        <f t="shared" si="144"/>
        <v>50712</v>
      </c>
    </row>
    <row r="9275" spans="1:5" x14ac:dyDescent="0.25">
      <c r="A9275" s="2">
        <f>IF(B9275="","",SUBTOTAL(3,$B$2:B9275))</f>
        <v>9274</v>
      </c>
      <c r="B9275" s="9" t="s">
        <v>50</v>
      </c>
      <c r="C9275" s="10" t="s">
        <v>49</v>
      </c>
      <c r="D9275" s="11">
        <v>44.091710758377424</v>
      </c>
      <c r="E9275" s="12">
        <f t="shared" si="144"/>
        <v>50713</v>
      </c>
    </row>
    <row r="9276" spans="1:5" x14ac:dyDescent="0.25">
      <c r="A9276" s="2">
        <f>IF(B9276="","",SUBTOTAL(3,$B$2:B9276))</f>
        <v>9275</v>
      </c>
      <c r="B9276" s="9" t="s">
        <v>50</v>
      </c>
      <c r="C9276" s="10" t="s">
        <v>49</v>
      </c>
      <c r="D9276" s="11">
        <v>11.022927689594356</v>
      </c>
      <c r="E9276" s="12">
        <f t="shared" si="144"/>
        <v>50714</v>
      </c>
    </row>
    <row r="9277" spans="1:5" x14ac:dyDescent="0.25">
      <c r="A9277" s="2">
        <f>IF(B9277="","",SUBTOTAL(3,$B$2:B9277))</f>
        <v>9276</v>
      </c>
      <c r="B9277" s="9" t="s">
        <v>50</v>
      </c>
      <c r="C9277" s="10" t="s">
        <v>49</v>
      </c>
      <c r="D9277" s="11">
        <v>2.8659611992945329</v>
      </c>
      <c r="E9277" s="12">
        <f t="shared" si="144"/>
        <v>50715</v>
      </c>
    </row>
    <row r="9278" spans="1:5" x14ac:dyDescent="0.25">
      <c r="A9278" s="2">
        <f>IF(B9278="","",SUBTOTAL(3,$B$2:B9278))</f>
        <v>9277</v>
      </c>
      <c r="B9278" s="9" t="s">
        <v>50</v>
      </c>
      <c r="C9278" s="10" t="s">
        <v>49</v>
      </c>
      <c r="D9278" s="11">
        <v>10.582010582010582</v>
      </c>
      <c r="E9278" s="12">
        <f t="shared" si="144"/>
        <v>50716</v>
      </c>
    </row>
    <row r="9279" spans="1:5" x14ac:dyDescent="0.25">
      <c r="A9279" s="2">
        <f>IF(B9279="","",SUBTOTAL(3,$B$2:B9279))</f>
        <v>9278</v>
      </c>
      <c r="B9279" s="9" t="s">
        <v>50</v>
      </c>
      <c r="C9279" s="10" t="s">
        <v>49</v>
      </c>
      <c r="D9279" s="11">
        <v>0.77160493827160492</v>
      </c>
      <c r="E9279" s="12">
        <f t="shared" si="144"/>
        <v>50717</v>
      </c>
    </row>
    <row r="9280" spans="1:5" x14ac:dyDescent="0.25">
      <c r="A9280" s="2">
        <f>IF(B9280="","",SUBTOTAL(3,$B$2:B9280))</f>
        <v>9279</v>
      </c>
      <c r="B9280" s="9" t="s">
        <v>50</v>
      </c>
      <c r="C9280" s="10" t="s">
        <v>49</v>
      </c>
      <c r="D9280" s="11">
        <v>0.63932980599647271</v>
      </c>
      <c r="E9280" s="12">
        <f t="shared" si="144"/>
        <v>50718</v>
      </c>
    </row>
    <row r="9281" spans="1:5" x14ac:dyDescent="0.25">
      <c r="A9281" s="2">
        <f>IF(B9281="","",SUBTOTAL(3,$B$2:B9281))</f>
        <v>9280</v>
      </c>
      <c r="B9281" s="9" t="s">
        <v>50</v>
      </c>
      <c r="C9281" s="10" t="s">
        <v>49</v>
      </c>
      <c r="D9281" s="11">
        <v>5.9791446208112875</v>
      </c>
      <c r="E9281" s="12">
        <f t="shared" si="144"/>
        <v>50719</v>
      </c>
    </row>
    <row r="9282" spans="1:5" x14ac:dyDescent="0.25">
      <c r="A9282" s="2">
        <f>IF(B9282="","",SUBTOTAL(3,$B$2:B9282))</f>
        <v>9281</v>
      </c>
      <c r="B9282" s="9" t="s">
        <v>55</v>
      </c>
      <c r="C9282" s="10" t="s">
        <v>49</v>
      </c>
      <c r="D9282" s="11">
        <v>5.85</v>
      </c>
      <c r="E9282" s="12">
        <f t="shared" si="144"/>
        <v>50720</v>
      </c>
    </row>
    <row r="9283" spans="1:5" x14ac:dyDescent="0.25">
      <c r="A9283" s="2">
        <f>IF(B9283="","",SUBTOTAL(3,$B$2:B9283))</f>
        <v>9282</v>
      </c>
      <c r="B9283" s="9" t="s">
        <v>50</v>
      </c>
      <c r="C9283" s="10" t="s">
        <v>49</v>
      </c>
      <c r="D9283" s="11">
        <v>5.979122574955908</v>
      </c>
      <c r="E9283" s="12">
        <f t="shared" si="144"/>
        <v>50721</v>
      </c>
    </row>
    <row r="9284" spans="1:5" x14ac:dyDescent="0.25">
      <c r="A9284" s="2">
        <f>IF(B9284="","",SUBTOTAL(3,$B$2:B9284))</f>
        <v>9283</v>
      </c>
      <c r="B9284" s="9" t="s">
        <v>48</v>
      </c>
      <c r="C9284" s="10" t="s">
        <v>49</v>
      </c>
      <c r="D9284" s="11">
        <v>5.8600482592209584</v>
      </c>
      <c r="E9284" s="12">
        <f t="shared" ref="E9284:E9347" si="145">E9283+1</f>
        <v>50722</v>
      </c>
    </row>
    <row r="9285" spans="1:5" x14ac:dyDescent="0.25">
      <c r="A9285" s="2">
        <f>IF(B9285="","",SUBTOTAL(3,$B$2:B9285))</f>
        <v>9284</v>
      </c>
      <c r="B9285" s="9" t="s">
        <v>48</v>
      </c>
      <c r="C9285" s="10" t="s">
        <v>49</v>
      </c>
      <c r="D9285" s="11">
        <v>6.4460530851430544</v>
      </c>
      <c r="E9285" s="12">
        <f t="shared" si="145"/>
        <v>50723</v>
      </c>
    </row>
    <row r="9286" spans="1:5" x14ac:dyDescent="0.25">
      <c r="A9286" s="2">
        <f>IF(B9286="","",SUBTOTAL(3,$B$2:B9286))</f>
        <v>9285</v>
      </c>
      <c r="B9286" s="9" t="s">
        <v>50</v>
      </c>
      <c r="C9286" s="10" t="s">
        <v>49</v>
      </c>
      <c r="D9286" s="11">
        <v>83.707716049382711</v>
      </c>
      <c r="E9286" s="12">
        <f t="shared" si="145"/>
        <v>50724</v>
      </c>
    </row>
    <row r="9287" spans="1:5" x14ac:dyDescent="0.25">
      <c r="A9287" s="2">
        <f>IF(B9287="","",SUBTOTAL(3,$B$2:B9287))</f>
        <v>9286</v>
      </c>
      <c r="B9287" s="9" t="s">
        <v>48</v>
      </c>
      <c r="C9287" s="10" t="s">
        <v>49</v>
      </c>
      <c r="D9287" s="11">
        <v>1.6184074457083764</v>
      </c>
      <c r="E9287" s="12">
        <f t="shared" si="145"/>
        <v>50725</v>
      </c>
    </row>
    <row r="9288" spans="1:5" x14ac:dyDescent="0.25">
      <c r="A9288" s="2">
        <f>IF(B9288="","",SUBTOTAL(3,$B$2:B9288))</f>
        <v>9287</v>
      </c>
      <c r="B9288" s="9" t="s">
        <v>55</v>
      </c>
      <c r="C9288" s="10" t="s">
        <v>49</v>
      </c>
      <c r="D9288" s="11">
        <v>1955.3527782304059</v>
      </c>
      <c r="E9288" s="12">
        <f t="shared" si="145"/>
        <v>50726</v>
      </c>
    </row>
    <row r="9289" spans="1:5" x14ac:dyDescent="0.25">
      <c r="A9289" s="2">
        <f>IF(B9289="","",SUBTOTAL(3,$B$2:B9289))</f>
        <v>9288</v>
      </c>
      <c r="B9289" s="9" t="s">
        <v>50</v>
      </c>
      <c r="C9289" s="10" t="s">
        <v>49</v>
      </c>
      <c r="D9289" s="11">
        <v>171.95767195767195</v>
      </c>
      <c r="E9289" s="12">
        <f t="shared" si="145"/>
        <v>50727</v>
      </c>
    </row>
    <row r="9290" spans="1:5" x14ac:dyDescent="0.25">
      <c r="A9290" s="2">
        <f>IF(B9290="","",SUBTOTAL(3,$B$2:B9290))</f>
        <v>9289</v>
      </c>
      <c r="B9290" s="9" t="s">
        <v>50</v>
      </c>
      <c r="C9290" s="10" t="s">
        <v>49</v>
      </c>
      <c r="D9290" s="11">
        <v>132.27513227513228</v>
      </c>
      <c r="E9290" s="12">
        <f t="shared" si="145"/>
        <v>50728</v>
      </c>
    </row>
    <row r="9291" spans="1:5" x14ac:dyDescent="0.25">
      <c r="A9291" s="2">
        <f>IF(B9291="","",SUBTOTAL(3,$B$2:B9291))</f>
        <v>9290</v>
      </c>
      <c r="B9291" s="9" t="s">
        <v>48</v>
      </c>
      <c r="C9291" s="10" t="s">
        <v>49</v>
      </c>
      <c r="D9291" s="11">
        <v>34.470872113064452</v>
      </c>
      <c r="E9291" s="12">
        <f t="shared" si="145"/>
        <v>50729</v>
      </c>
    </row>
    <row r="9292" spans="1:5" x14ac:dyDescent="0.25">
      <c r="A9292" s="2">
        <f>IF(B9292="","",SUBTOTAL(3,$B$2:B9292))</f>
        <v>9291</v>
      </c>
      <c r="B9292" s="9" t="s">
        <v>48</v>
      </c>
      <c r="C9292" s="10" t="s">
        <v>49</v>
      </c>
      <c r="D9292" s="11">
        <v>77.017868145409736</v>
      </c>
      <c r="E9292" s="12">
        <f t="shared" si="145"/>
        <v>50730</v>
      </c>
    </row>
    <row r="9293" spans="1:5" x14ac:dyDescent="0.25">
      <c r="A9293" s="2">
        <f>IF(B9293="","",SUBTOTAL(3,$B$2:B9293))</f>
        <v>9292</v>
      </c>
      <c r="B9293" s="9" t="s">
        <v>48</v>
      </c>
      <c r="C9293" s="10" t="s">
        <v>49</v>
      </c>
      <c r="D9293" s="11">
        <v>61.614294516327789</v>
      </c>
      <c r="E9293" s="12">
        <f t="shared" si="145"/>
        <v>50731</v>
      </c>
    </row>
    <row r="9294" spans="1:5" x14ac:dyDescent="0.25">
      <c r="A9294" s="2">
        <f>IF(B9294="","",SUBTOTAL(3,$B$2:B9294))</f>
        <v>9293</v>
      </c>
      <c r="B9294" s="9" t="s">
        <v>55</v>
      </c>
      <c r="C9294" s="10" t="s">
        <v>49</v>
      </c>
      <c r="D9294" s="11">
        <v>1.0336748288693896</v>
      </c>
      <c r="E9294" s="12">
        <f t="shared" si="145"/>
        <v>50732</v>
      </c>
    </row>
    <row r="9295" spans="1:5" x14ac:dyDescent="0.25">
      <c r="A9295" s="2">
        <f>IF(B9295="","",SUBTOTAL(3,$B$2:B9295))</f>
        <v>9294</v>
      </c>
      <c r="B9295" s="9" t="s">
        <v>55</v>
      </c>
      <c r="C9295" s="10" t="s">
        <v>49</v>
      </c>
      <c r="D9295" s="11">
        <v>500</v>
      </c>
      <c r="E9295" s="12">
        <f t="shared" si="145"/>
        <v>50733</v>
      </c>
    </row>
    <row r="9296" spans="1:5" x14ac:dyDescent="0.25">
      <c r="A9296" s="2">
        <f>IF(B9296="","",SUBTOTAL(3,$B$2:B9296))</f>
        <v>9295</v>
      </c>
      <c r="B9296" s="9" t="s">
        <v>55</v>
      </c>
      <c r="C9296" s="10" t="s">
        <v>49</v>
      </c>
      <c r="D9296" s="11">
        <v>500</v>
      </c>
      <c r="E9296" s="12">
        <f t="shared" si="145"/>
        <v>50734</v>
      </c>
    </row>
    <row r="9297" spans="1:5" x14ac:dyDescent="0.25">
      <c r="A9297" s="2">
        <f>IF(B9297="","",SUBTOTAL(3,$B$2:B9297))</f>
        <v>9296</v>
      </c>
      <c r="B9297" s="9" t="s">
        <v>55</v>
      </c>
      <c r="C9297" s="10" t="s">
        <v>49</v>
      </c>
      <c r="D9297" s="11">
        <v>300</v>
      </c>
      <c r="E9297" s="12">
        <f t="shared" si="145"/>
        <v>50735</v>
      </c>
    </row>
    <row r="9298" spans="1:5" x14ac:dyDescent="0.25">
      <c r="A9298" s="2">
        <f>IF(B9298="","",SUBTOTAL(3,$B$2:B9298))</f>
        <v>9297</v>
      </c>
      <c r="B9298" s="9" t="s">
        <v>55</v>
      </c>
      <c r="C9298" s="10" t="s">
        <v>49</v>
      </c>
      <c r="D9298" s="11">
        <v>300</v>
      </c>
      <c r="E9298" s="12">
        <f t="shared" si="145"/>
        <v>50736</v>
      </c>
    </row>
    <row r="9299" spans="1:5" x14ac:dyDescent="0.25">
      <c r="A9299" s="2">
        <f>IF(B9299="","",SUBTOTAL(3,$B$2:B9299))</f>
        <v>9298</v>
      </c>
      <c r="B9299" s="9" t="s">
        <v>55</v>
      </c>
      <c r="C9299" s="10" t="s">
        <v>49</v>
      </c>
      <c r="D9299" s="11">
        <v>1056.6453806220425</v>
      </c>
      <c r="E9299" s="12">
        <f t="shared" si="145"/>
        <v>50737</v>
      </c>
    </row>
    <row r="9300" spans="1:5" x14ac:dyDescent="0.25">
      <c r="A9300" s="2">
        <f>IF(B9300="","",SUBTOTAL(3,$B$2:B9300))</f>
        <v>9299</v>
      </c>
      <c r="B9300" s="9" t="s">
        <v>48</v>
      </c>
      <c r="C9300" s="10" t="s">
        <v>49</v>
      </c>
      <c r="D9300" s="11">
        <v>241.29610479145123</v>
      </c>
      <c r="E9300" s="12">
        <f t="shared" si="145"/>
        <v>50738</v>
      </c>
    </row>
    <row r="9301" spans="1:5" x14ac:dyDescent="0.25">
      <c r="A9301" s="2">
        <f>IF(B9301="","",SUBTOTAL(3,$B$2:B9301))</f>
        <v>9300</v>
      </c>
      <c r="B9301" s="9" t="s">
        <v>48</v>
      </c>
      <c r="C9301" s="10" t="s">
        <v>49</v>
      </c>
      <c r="D9301" s="11">
        <v>138.63216266173754</v>
      </c>
      <c r="E9301" s="12">
        <f t="shared" si="145"/>
        <v>50739</v>
      </c>
    </row>
    <row r="9302" spans="1:5" x14ac:dyDescent="0.25">
      <c r="A9302" s="2">
        <f>IF(B9302="","",SUBTOTAL(3,$B$2:B9302))</f>
        <v>9301</v>
      </c>
      <c r="B9302" s="9" t="s">
        <v>50</v>
      </c>
      <c r="C9302" s="10" t="s">
        <v>49</v>
      </c>
      <c r="D9302" s="11">
        <v>144.3241622574956</v>
      </c>
      <c r="E9302" s="12">
        <f t="shared" si="145"/>
        <v>50740</v>
      </c>
    </row>
    <row r="9303" spans="1:5" x14ac:dyDescent="0.25">
      <c r="A9303" s="2">
        <f>IF(B9303="","",SUBTOTAL(3,$B$2:B9303))</f>
        <v>9302</v>
      </c>
      <c r="B9303" s="9" t="s">
        <v>50</v>
      </c>
      <c r="C9303" s="10" t="s">
        <v>49</v>
      </c>
      <c r="D9303" s="11">
        <v>22.045855379188712</v>
      </c>
      <c r="E9303" s="12">
        <f t="shared" si="145"/>
        <v>50741</v>
      </c>
    </row>
    <row r="9304" spans="1:5" x14ac:dyDescent="0.25">
      <c r="A9304" s="2">
        <f>IF(B9304="","",SUBTOTAL(3,$B$2:B9304))</f>
        <v>9303</v>
      </c>
      <c r="B9304" s="9" t="s">
        <v>51</v>
      </c>
      <c r="C9304" s="10" t="s">
        <v>49</v>
      </c>
      <c r="D9304" s="11">
        <v>84.718839351900883</v>
      </c>
      <c r="E9304" s="12">
        <f t="shared" si="145"/>
        <v>50742</v>
      </c>
    </row>
    <row r="9305" spans="1:5" x14ac:dyDescent="0.25">
      <c r="A9305" s="2">
        <f>IF(B9305="","",SUBTOTAL(3,$B$2:B9305))</f>
        <v>9304</v>
      </c>
      <c r="B9305" s="9" t="s">
        <v>48</v>
      </c>
      <c r="C9305" s="10" t="s">
        <v>49</v>
      </c>
      <c r="D9305" s="11">
        <v>27.604229568434985</v>
      </c>
      <c r="E9305" s="12">
        <f t="shared" si="145"/>
        <v>50743</v>
      </c>
    </row>
    <row r="9306" spans="1:5" x14ac:dyDescent="0.25">
      <c r="A9306" s="2">
        <f>IF(B9306="","",SUBTOTAL(3,$B$2:B9306))</f>
        <v>9305</v>
      </c>
      <c r="B9306" s="9" t="s">
        <v>48</v>
      </c>
      <c r="C9306" s="10" t="s">
        <v>49</v>
      </c>
      <c r="D9306" s="11">
        <v>15.403573629081947</v>
      </c>
      <c r="E9306" s="12">
        <f t="shared" si="145"/>
        <v>50744</v>
      </c>
    </row>
    <row r="9307" spans="1:5" x14ac:dyDescent="0.25">
      <c r="A9307" s="2">
        <f>IF(B9307="","",SUBTOTAL(3,$B$2:B9307))</f>
        <v>9306</v>
      </c>
      <c r="B9307" s="9" t="s">
        <v>50</v>
      </c>
      <c r="C9307" s="10" t="s">
        <v>49</v>
      </c>
      <c r="D9307" s="11">
        <v>44.091710758377424</v>
      </c>
      <c r="E9307" s="12">
        <f t="shared" si="145"/>
        <v>50745</v>
      </c>
    </row>
    <row r="9308" spans="1:5" x14ac:dyDescent="0.25">
      <c r="A9308" s="2">
        <f>IF(B9308="","",SUBTOTAL(3,$B$2:B9308))</f>
        <v>9307</v>
      </c>
      <c r="B9308" s="9" t="s">
        <v>48</v>
      </c>
      <c r="C9308" s="10" t="s">
        <v>49</v>
      </c>
      <c r="D9308" s="11">
        <v>25.696041524803107</v>
      </c>
      <c r="E9308" s="12">
        <f t="shared" si="145"/>
        <v>50746</v>
      </c>
    </row>
    <row r="9309" spans="1:5" x14ac:dyDescent="0.25">
      <c r="A9309" s="2">
        <f>IF(B9309="","",SUBTOTAL(3,$B$2:B9309))</f>
        <v>9308</v>
      </c>
      <c r="B9309" s="9" t="s">
        <v>48</v>
      </c>
      <c r="C9309" s="10" t="s">
        <v>49</v>
      </c>
      <c r="D9309" s="11">
        <v>46.210720887245841</v>
      </c>
      <c r="E9309" s="12">
        <f t="shared" si="145"/>
        <v>50747</v>
      </c>
    </row>
    <row r="9310" spans="1:5" x14ac:dyDescent="0.25">
      <c r="A9310" s="2">
        <f>IF(B9310="","",SUBTOTAL(3,$B$2:B9310))</f>
        <v>9309</v>
      </c>
      <c r="B9310" s="9" t="s">
        <v>48</v>
      </c>
      <c r="C9310" s="10" t="s">
        <v>49</v>
      </c>
      <c r="D9310" s="11">
        <v>16.06002595300194</v>
      </c>
      <c r="E9310" s="12">
        <f t="shared" si="145"/>
        <v>50748</v>
      </c>
    </row>
    <row r="9311" spans="1:5" x14ac:dyDescent="0.25">
      <c r="A9311" s="2">
        <f>IF(B9311="","",SUBTOTAL(3,$B$2:B9311))</f>
        <v>9310</v>
      </c>
      <c r="B9311" s="9" t="s">
        <v>50</v>
      </c>
      <c r="C9311" s="10" t="s">
        <v>49</v>
      </c>
      <c r="D9311" s="11">
        <v>11.022927689594356</v>
      </c>
      <c r="E9311" s="12">
        <f t="shared" si="145"/>
        <v>50749</v>
      </c>
    </row>
    <row r="9312" spans="1:5" x14ac:dyDescent="0.25">
      <c r="A9312" s="2">
        <f>IF(B9312="","",SUBTOTAL(3,$B$2:B9312))</f>
        <v>9311</v>
      </c>
      <c r="B9312" s="9" t="s">
        <v>50</v>
      </c>
      <c r="C9312" s="10" t="s">
        <v>49</v>
      </c>
      <c r="D9312" s="11">
        <v>70.546737213403873</v>
      </c>
      <c r="E9312" s="12">
        <f t="shared" si="145"/>
        <v>50750</v>
      </c>
    </row>
    <row r="9313" spans="1:5" x14ac:dyDescent="0.25">
      <c r="A9313" s="2">
        <f>IF(B9313="","",SUBTOTAL(3,$B$2:B9313))</f>
        <v>9312</v>
      </c>
      <c r="B9313" s="9" t="s">
        <v>48</v>
      </c>
      <c r="C9313" s="10" t="s">
        <v>49</v>
      </c>
      <c r="D9313" s="11">
        <v>77.017868145409736</v>
      </c>
      <c r="E9313" s="12">
        <f t="shared" si="145"/>
        <v>50751</v>
      </c>
    </row>
    <row r="9314" spans="1:5" x14ac:dyDescent="0.25">
      <c r="A9314" s="2">
        <f>IF(B9314="","",SUBTOTAL(3,$B$2:B9314))</f>
        <v>9313</v>
      </c>
      <c r="B9314" s="9" t="s">
        <v>48</v>
      </c>
      <c r="C9314" s="10" t="s">
        <v>49</v>
      </c>
      <c r="D9314" s="11">
        <v>10.782501540357364</v>
      </c>
      <c r="E9314" s="12">
        <f t="shared" si="145"/>
        <v>50752</v>
      </c>
    </row>
    <row r="9315" spans="1:5" x14ac:dyDescent="0.25">
      <c r="A9315" s="2">
        <f>IF(B9315="","",SUBTOTAL(3,$B$2:B9315))</f>
        <v>9314</v>
      </c>
      <c r="B9315" s="9" t="s">
        <v>51</v>
      </c>
      <c r="C9315" s="10" t="s">
        <v>49</v>
      </c>
      <c r="D9315" s="11">
        <v>42.359419675950441</v>
      </c>
      <c r="E9315" s="12">
        <f t="shared" si="145"/>
        <v>50753</v>
      </c>
    </row>
    <row r="9316" spans="1:5" x14ac:dyDescent="0.25">
      <c r="A9316" s="2">
        <f>IF(B9316="","",SUBTOTAL(3,$B$2:B9316))</f>
        <v>9315</v>
      </c>
      <c r="B9316" s="9" t="s">
        <v>48</v>
      </c>
      <c r="C9316" s="10" t="s">
        <v>49</v>
      </c>
      <c r="D9316" s="11">
        <v>19.697391851785234</v>
      </c>
      <c r="E9316" s="12">
        <f t="shared" si="145"/>
        <v>50754</v>
      </c>
    </row>
    <row r="9317" spans="1:5" x14ac:dyDescent="0.25">
      <c r="A9317" s="2">
        <f>IF(B9317="","",SUBTOTAL(3,$B$2:B9317))</f>
        <v>9316</v>
      </c>
      <c r="B9317" s="9" t="s">
        <v>51</v>
      </c>
      <c r="C9317" s="10" t="s">
        <v>49</v>
      </c>
      <c r="D9317" s="11">
        <v>116.4884041088637</v>
      </c>
      <c r="E9317" s="12">
        <f t="shared" si="145"/>
        <v>50755</v>
      </c>
    </row>
    <row r="9318" spans="1:5" x14ac:dyDescent="0.25">
      <c r="A9318" s="2">
        <f>IF(B9318="","",SUBTOTAL(3,$B$2:B9318))</f>
        <v>9317</v>
      </c>
      <c r="B9318" s="9" t="s">
        <v>50</v>
      </c>
      <c r="C9318" s="10" t="s">
        <v>49</v>
      </c>
      <c r="D9318" s="11">
        <v>110.22927689594357</v>
      </c>
      <c r="E9318" s="12">
        <f t="shared" si="145"/>
        <v>50756</v>
      </c>
    </row>
    <row r="9319" spans="1:5" x14ac:dyDescent="0.25">
      <c r="A9319" s="2">
        <f>IF(B9319="","",SUBTOTAL(3,$B$2:B9319))</f>
        <v>9318</v>
      </c>
      <c r="B9319" s="9" t="s">
        <v>55</v>
      </c>
      <c r="C9319" s="10" t="s">
        <v>49</v>
      </c>
      <c r="D9319" s="11">
        <v>100</v>
      </c>
      <c r="E9319" s="12">
        <f t="shared" si="145"/>
        <v>50757</v>
      </c>
    </row>
    <row r="9320" spans="1:5" x14ac:dyDescent="0.25">
      <c r="A9320" s="2">
        <f>IF(B9320="","",SUBTOTAL(3,$B$2:B9320))</f>
        <v>9319</v>
      </c>
      <c r="B9320" s="9" t="s">
        <v>55</v>
      </c>
      <c r="C9320" s="10" t="s">
        <v>49</v>
      </c>
      <c r="D9320" s="11">
        <v>100</v>
      </c>
      <c r="E9320" s="12">
        <f t="shared" si="145"/>
        <v>50758</v>
      </c>
    </row>
    <row r="9321" spans="1:5" x14ac:dyDescent="0.25">
      <c r="A9321" s="2">
        <f>IF(B9321="","",SUBTOTAL(3,$B$2:B9321))</f>
        <v>9320</v>
      </c>
      <c r="B9321" s="9" t="s">
        <v>48</v>
      </c>
      <c r="C9321" s="10" t="s">
        <v>49</v>
      </c>
      <c r="D9321" s="11">
        <v>3.8508934072704868</v>
      </c>
      <c r="E9321" s="12">
        <f t="shared" si="145"/>
        <v>50759</v>
      </c>
    </row>
    <row r="9322" spans="1:5" x14ac:dyDescent="0.25">
      <c r="A9322" s="2">
        <f>IF(B9322="","",SUBTOTAL(3,$B$2:B9322))</f>
        <v>9321</v>
      </c>
      <c r="B9322" s="9" t="s">
        <v>48</v>
      </c>
      <c r="C9322" s="10" t="s">
        <v>49</v>
      </c>
      <c r="D9322" s="11">
        <v>7.7017868145409736</v>
      </c>
      <c r="E9322" s="12">
        <f t="shared" si="145"/>
        <v>50760</v>
      </c>
    </row>
    <row r="9323" spans="1:5" x14ac:dyDescent="0.25">
      <c r="A9323" s="2">
        <f>IF(B9323="","",SUBTOTAL(3,$B$2:B9323))</f>
        <v>9322</v>
      </c>
      <c r="B9323" s="9" t="s">
        <v>48</v>
      </c>
      <c r="C9323" s="10" t="s">
        <v>49</v>
      </c>
      <c r="D9323" s="11">
        <v>3.0807147258163896</v>
      </c>
      <c r="E9323" s="12">
        <f t="shared" si="145"/>
        <v>50761</v>
      </c>
    </row>
    <row r="9324" spans="1:5" x14ac:dyDescent="0.25">
      <c r="A9324" s="2">
        <f>IF(B9324="","",SUBTOTAL(3,$B$2:B9324))</f>
        <v>9323</v>
      </c>
      <c r="B9324" s="9" t="s">
        <v>48</v>
      </c>
      <c r="C9324" s="10" t="s">
        <v>49</v>
      </c>
      <c r="D9324" s="11">
        <v>3.0807147258163896</v>
      </c>
      <c r="E9324" s="12">
        <f t="shared" si="145"/>
        <v>50762</v>
      </c>
    </row>
    <row r="9325" spans="1:5" x14ac:dyDescent="0.25">
      <c r="A9325" s="2">
        <f>IF(B9325="","",SUBTOTAL(3,$B$2:B9325))</f>
        <v>9324</v>
      </c>
      <c r="B9325" s="9" t="s">
        <v>53</v>
      </c>
      <c r="C9325" s="10" t="s">
        <v>49</v>
      </c>
      <c r="D9325" s="11">
        <v>2381.2358614120731</v>
      </c>
      <c r="E9325" s="12">
        <f t="shared" si="145"/>
        <v>50763</v>
      </c>
    </row>
    <row r="9326" spans="1:5" x14ac:dyDescent="0.25">
      <c r="A9326" s="2">
        <f>IF(B9326="","",SUBTOTAL(3,$B$2:B9326))</f>
        <v>9325</v>
      </c>
      <c r="B9326" s="9" t="s">
        <v>55</v>
      </c>
      <c r="C9326" s="10" t="s">
        <v>49</v>
      </c>
      <c r="D9326" s="11">
        <v>977.67638911520294</v>
      </c>
      <c r="E9326" s="12">
        <f t="shared" si="145"/>
        <v>50764</v>
      </c>
    </row>
    <row r="9327" spans="1:5" x14ac:dyDescent="0.25">
      <c r="A9327" s="2">
        <f>IF(B9327="","",SUBTOTAL(3,$B$2:B9327))</f>
        <v>9326</v>
      </c>
      <c r="B9327" s="9" t="s">
        <v>55</v>
      </c>
      <c r="C9327" s="10" t="s">
        <v>49</v>
      </c>
      <c r="D9327" s="11">
        <v>977.67638911520294</v>
      </c>
      <c r="E9327" s="12">
        <f t="shared" si="145"/>
        <v>50765</v>
      </c>
    </row>
    <row r="9328" spans="1:5" x14ac:dyDescent="0.25">
      <c r="A9328" s="2">
        <f>IF(B9328="","",SUBTOTAL(3,$B$2:B9328))</f>
        <v>9327</v>
      </c>
      <c r="B9328" s="9" t="s">
        <v>55</v>
      </c>
      <c r="C9328" s="10" t="s">
        <v>49</v>
      </c>
      <c r="D9328" s="11">
        <v>977.67638911520294</v>
      </c>
      <c r="E9328" s="12">
        <f t="shared" si="145"/>
        <v>50766</v>
      </c>
    </row>
    <row r="9329" spans="1:5" x14ac:dyDescent="0.25">
      <c r="A9329" s="2">
        <f>IF(B9329="","",SUBTOTAL(3,$B$2:B9329))</f>
        <v>9328</v>
      </c>
      <c r="B9329" s="9" t="s">
        <v>55</v>
      </c>
      <c r="C9329" s="10" t="s">
        <v>49</v>
      </c>
      <c r="D9329" s="11">
        <v>977.67638911520294</v>
      </c>
      <c r="E9329" s="12">
        <f t="shared" si="145"/>
        <v>50767</v>
      </c>
    </row>
    <row r="9330" spans="1:5" x14ac:dyDescent="0.25">
      <c r="A9330" s="2">
        <f>IF(B9330="","",SUBTOTAL(3,$B$2:B9330))</f>
        <v>9329</v>
      </c>
      <c r="B9330" s="9" t="s">
        <v>55</v>
      </c>
      <c r="C9330" s="10" t="s">
        <v>49</v>
      </c>
      <c r="D9330" s="11">
        <v>586.60583346912176</v>
      </c>
      <c r="E9330" s="12">
        <f t="shared" si="145"/>
        <v>50768</v>
      </c>
    </row>
    <row r="9331" spans="1:5" x14ac:dyDescent="0.25">
      <c r="A9331" s="2">
        <f>IF(B9331="","",SUBTOTAL(3,$B$2:B9331))</f>
        <v>9330</v>
      </c>
      <c r="B9331" s="9" t="s">
        <v>55</v>
      </c>
      <c r="C9331" s="10" t="s">
        <v>49</v>
      </c>
      <c r="D9331" s="11">
        <v>977.67638911520294</v>
      </c>
      <c r="E9331" s="12">
        <f t="shared" si="145"/>
        <v>50769</v>
      </c>
    </row>
    <row r="9332" spans="1:5" x14ac:dyDescent="0.25">
      <c r="A9332" s="2">
        <f>IF(B9332="","",SUBTOTAL(3,$B$2:B9332))</f>
        <v>9331</v>
      </c>
      <c r="B9332" s="9" t="s">
        <v>55</v>
      </c>
      <c r="C9332" s="10" t="s">
        <v>49</v>
      </c>
      <c r="D9332" s="11">
        <v>586.60583346912176</v>
      </c>
      <c r="E9332" s="12">
        <f t="shared" si="145"/>
        <v>50770</v>
      </c>
    </row>
    <row r="9333" spans="1:5" x14ac:dyDescent="0.25">
      <c r="A9333" s="2">
        <f>IF(B9333="","",SUBTOTAL(3,$B$2:B9333))</f>
        <v>9332</v>
      </c>
      <c r="B9333" s="9" t="s">
        <v>48</v>
      </c>
      <c r="C9333" s="10" t="s">
        <v>49</v>
      </c>
      <c r="D9333" s="11">
        <v>831.79297597042523</v>
      </c>
      <c r="E9333" s="12">
        <f t="shared" si="145"/>
        <v>50771</v>
      </c>
    </row>
    <row r="9334" spans="1:5" x14ac:dyDescent="0.25">
      <c r="A9334" s="2">
        <f>IF(B9334="","",SUBTOTAL(3,$B$2:B9334))</f>
        <v>9333</v>
      </c>
      <c r="B9334" s="9" t="s">
        <v>55</v>
      </c>
      <c r="C9334" s="10" t="s">
        <v>49</v>
      </c>
      <c r="D9334" s="11">
        <v>658.08090446639505</v>
      </c>
      <c r="E9334" s="12">
        <f t="shared" si="145"/>
        <v>50772</v>
      </c>
    </row>
    <row r="9335" spans="1:5" x14ac:dyDescent="0.25">
      <c r="A9335" s="2">
        <f>IF(B9335="","",SUBTOTAL(3,$B$2:B9335))</f>
        <v>9334</v>
      </c>
      <c r="B9335" s="9" t="s">
        <v>50</v>
      </c>
      <c r="C9335" s="10" t="s">
        <v>49</v>
      </c>
      <c r="D9335" s="11">
        <v>661.37566137566137</v>
      </c>
      <c r="E9335" s="12">
        <f t="shared" si="145"/>
        <v>50773</v>
      </c>
    </row>
    <row r="9336" spans="1:5" x14ac:dyDescent="0.25">
      <c r="A9336" s="2">
        <f>IF(B9336="","",SUBTOTAL(3,$B$2:B9336))</f>
        <v>9335</v>
      </c>
      <c r="B9336" s="9" t="s">
        <v>51</v>
      </c>
      <c r="C9336" s="10" t="s">
        <v>54</v>
      </c>
      <c r="D9336" s="11">
        <v>21.179709837975221</v>
      </c>
      <c r="E9336" s="12">
        <f t="shared" si="145"/>
        <v>50774</v>
      </c>
    </row>
    <row r="9337" spans="1:5" x14ac:dyDescent="0.25">
      <c r="A9337" s="2">
        <f>IF(B9337="","",SUBTOTAL(3,$B$2:B9337))</f>
        <v>9336</v>
      </c>
      <c r="B9337" s="9" t="s">
        <v>51</v>
      </c>
      <c r="C9337" s="10" t="s">
        <v>54</v>
      </c>
      <c r="D9337" s="11">
        <v>31.769564756962826</v>
      </c>
      <c r="E9337" s="12">
        <f t="shared" si="145"/>
        <v>50775</v>
      </c>
    </row>
    <row r="9338" spans="1:5" x14ac:dyDescent="0.25">
      <c r="A9338" s="2">
        <f>IF(B9338="","",SUBTOTAL(3,$B$2:B9338))</f>
        <v>9337</v>
      </c>
      <c r="B9338" s="9" t="s">
        <v>50</v>
      </c>
      <c r="C9338" s="10" t="s">
        <v>54</v>
      </c>
      <c r="D9338" s="11">
        <v>110.22927689594357</v>
      </c>
      <c r="E9338" s="12">
        <f t="shared" si="145"/>
        <v>50776</v>
      </c>
    </row>
    <row r="9339" spans="1:5" x14ac:dyDescent="0.25">
      <c r="A9339" s="2">
        <f>IF(B9339="","",SUBTOTAL(3,$B$2:B9339))</f>
        <v>9338</v>
      </c>
      <c r="B9339" s="9" t="s">
        <v>48</v>
      </c>
      <c r="C9339" s="10" t="s">
        <v>54</v>
      </c>
      <c r="D9339" s="11">
        <v>107.82501540357363</v>
      </c>
      <c r="E9339" s="12">
        <f t="shared" si="145"/>
        <v>50777</v>
      </c>
    </row>
    <row r="9340" spans="1:5" x14ac:dyDescent="0.25">
      <c r="A9340" s="2">
        <f>IF(B9340="","",SUBTOTAL(3,$B$2:B9340))</f>
        <v>9339</v>
      </c>
      <c r="B9340" s="9" t="s">
        <v>53</v>
      </c>
      <c r="C9340" s="10" t="s">
        <v>54</v>
      </c>
      <c r="D9340" s="11">
        <v>18.317198933939025</v>
      </c>
      <c r="E9340" s="12">
        <f t="shared" si="145"/>
        <v>50778</v>
      </c>
    </row>
    <row r="9341" spans="1:5" x14ac:dyDescent="0.25">
      <c r="A9341" s="2">
        <f>IF(B9341="","",SUBTOTAL(3,$B$2:B9341))</f>
        <v>9340</v>
      </c>
      <c r="B9341" s="9" t="s">
        <v>50</v>
      </c>
      <c r="C9341" s="10" t="s">
        <v>54</v>
      </c>
      <c r="D9341" s="11">
        <v>47.420767195767198</v>
      </c>
      <c r="E9341" s="12">
        <f t="shared" si="145"/>
        <v>50779</v>
      </c>
    </row>
    <row r="9342" spans="1:5" x14ac:dyDescent="0.25">
      <c r="A9342" s="2">
        <f>IF(B9342="","",SUBTOTAL(3,$B$2:B9342))</f>
        <v>9341</v>
      </c>
      <c r="B9342" s="9" t="s">
        <v>51</v>
      </c>
      <c r="C9342" s="10" t="s">
        <v>54</v>
      </c>
      <c r="D9342" s="11">
        <v>105.89854918987609</v>
      </c>
      <c r="E9342" s="12">
        <f t="shared" si="145"/>
        <v>50780</v>
      </c>
    </row>
    <row r="9343" spans="1:5" x14ac:dyDescent="0.25">
      <c r="A9343" s="2">
        <f>IF(B9343="","",SUBTOTAL(3,$B$2:B9343))</f>
        <v>9342</v>
      </c>
      <c r="B9343" s="9" t="s">
        <v>50</v>
      </c>
      <c r="C9343" s="10" t="s">
        <v>54</v>
      </c>
      <c r="D9343" s="11">
        <v>22.045855379188712</v>
      </c>
      <c r="E9343" s="12">
        <f t="shared" si="145"/>
        <v>50781</v>
      </c>
    </row>
    <row r="9344" spans="1:5" x14ac:dyDescent="0.25">
      <c r="A9344" s="2">
        <f>IF(B9344="","",SUBTOTAL(3,$B$2:B9344))</f>
        <v>9343</v>
      </c>
      <c r="B9344" s="9" t="s">
        <v>51</v>
      </c>
      <c r="C9344" s="10" t="s">
        <v>54</v>
      </c>
      <c r="D9344" s="11">
        <v>211.79709837975219</v>
      </c>
      <c r="E9344" s="12">
        <f t="shared" si="145"/>
        <v>50782</v>
      </c>
    </row>
    <row r="9345" spans="1:5" x14ac:dyDescent="0.25">
      <c r="A9345" s="2">
        <f>IF(B9345="","",SUBTOTAL(3,$B$2:B9345))</f>
        <v>9344</v>
      </c>
      <c r="B9345" s="9" t="s">
        <v>53</v>
      </c>
      <c r="C9345" s="10" t="s">
        <v>54</v>
      </c>
      <c r="D9345" s="11">
        <v>18.317198933939025</v>
      </c>
      <c r="E9345" s="12">
        <f t="shared" si="145"/>
        <v>50783</v>
      </c>
    </row>
    <row r="9346" spans="1:5" x14ac:dyDescent="0.25">
      <c r="A9346" s="2">
        <f>IF(B9346="","",SUBTOTAL(3,$B$2:B9346))</f>
        <v>9345</v>
      </c>
      <c r="B9346" s="9" t="s">
        <v>53</v>
      </c>
      <c r="C9346" s="10" t="s">
        <v>54</v>
      </c>
      <c r="D9346" s="11">
        <v>18.317198933939025</v>
      </c>
      <c r="E9346" s="12">
        <f t="shared" si="145"/>
        <v>50784</v>
      </c>
    </row>
    <row r="9347" spans="1:5" x14ac:dyDescent="0.25">
      <c r="A9347" s="2">
        <f>IF(B9347="","",SUBTOTAL(3,$B$2:B9347))</f>
        <v>9346</v>
      </c>
      <c r="B9347" s="9" t="s">
        <v>53</v>
      </c>
      <c r="C9347" s="10" t="s">
        <v>54</v>
      </c>
      <c r="D9347" s="11">
        <v>24.72821856081768</v>
      </c>
      <c r="E9347" s="12">
        <f t="shared" si="145"/>
        <v>50785</v>
      </c>
    </row>
    <row r="9348" spans="1:5" x14ac:dyDescent="0.25">
      <c r="A9348" s="2">
        <f>IF(B9348="","",SUBTOTAL(3,$B$2:B9348))</f>
        <v>9347</v>
      </c>
      <c r="B9348" s="9" t="s">
        <v>48</v>
      </c>
      <c r="C9348" s="10" t="s">
        <v>54</v>
      </c>
      <c r="D9348" s="11">
        <v>34.470872113064452</v>
      </c>
      <c r="E9348" s="12">
        <f t="shared" ref="E9348:E9411" si="146">E9347+1</f>
        <v>50786</v>
      </c>
    </row>
    <row r="9349" spans="1:5" x14ac:dyDescent="0.25">
      <c r="A9349" s="2">
        <f>IF(B9349="","",SUBTOTAL(3,$B$2:B9349))</f>
        <v>9348</v>
      </c>
      <c r="B9349" s="9" t="s">
        <v>48</v>
      </c>
      <c r="C9349" s="10" t="s">
        <v>54</v>
      </c>
      <c r="D9349" s="11">
        <v>54.664473937789886</v>
      </c>
      <c r="E9349" s="12">
        <f t="shared" si="146"/>
        <v>50787</v>
      </c>
    </row>
    <row r="9350" spans="1:5" x14ac:dyDescent="0.25">
      <c r="A9350" s="2">
        <f>IF(B9350="","",SUBTOTAL(3,$B$2:B9350))</f>
        <v>9349</v>
      </c>
      <c r="B9350" s="9" t="s">
        <v>53</v>
      </c>
      <c r="C9350" s="10" t="s">
        <v>54</v>
      </c>
      <c r="D9350" s="11">
        <v>45.792997334847563</v>
      </c>
      <c r="E9350" s="12">
        <f t="shared" si="146"/>
        <v>50788</v>
      </c>
    </row>
    <row r="9351" spans="1:5" x14ac:dyDescent="0.25">
      <c r="A9351" s="2">
        <f>IF(B9351="","",SUBTOTAL(3,$B$2:B9351))</f>
        <v>9350</v>
      </c>
      <c r="B9351" s="9" t="s">
        <v>50</v>
      </c>
      <c r="C9351" s="10" t="s">
        <v>54</v>
      </c>
      <c r="D9351" s="11">
        <v>55.114638447971785</v>
      </c>
      <c r="E9351" s="12">
        <f t="shared" si="146"/>
        <v>50789</v>
      </c>
    </row>
    <row r="9352" spans="1:5" x14ac:dyDescent="0.25">
      <c r="A9352" s="2">
        <f>IF(B9352="","",SUBTOTAL(3,$B$2:B9352))</f>
        <v>9351</v>
      </c>
      <c r="B9352" s="9" t="s">
        <v>53</v>
      </c>
      <c r="C9352" s="10" t="s">
        <v>54</v>
      </c>
      <c r="D9352" s="11">
        <v>91.585994669695125</v>
      </c>
      <c r="E9352" s="12">
        <f t="shared" si="146"/>
        <v>50790</v>
      </c>
    </row>
    <row r="9353" spans="1:5" x14ac:dyDescent="0.25">
      <c r="A9353" s="2">
        <f>IF(B9353="","",SUBTOTAL(3,$B$2:B9353))</f>
        <v>9352</v>
      </c>
      <c r="B9353" s="9" t="s">
        <v>48</v>
      </c>
      <c r="C9353" s="10" t="s">
        <v>54</v>
      </c>
      <c r="D9353" s="11">
        <v>80.171649557385678</v>
      </c>
      <c r="E9353" s="12">
        <f t="shared" si="146"/>
        <v>50791</v>
      </c>
    </row>
    <row r="9354" spans="1:5" x14ac:dyDescent="0.25">
      <c r="A9354" s="2">
        <f>IF(B9354="","",SUBTOTAL(3,$B$2:B9354))</f>
        <v>9353</v>
      </c>
      <c r="B9354" s="9" t="s">
        <v>48</v>
      </c>
      <c r="C9354" s="10" t="s">
        <v>54</v>
      </c>
      <c r="D9354" s="11">
        <v>231.05360443622922</v>
      </c>
      <c r="E9354" s="12">
        <f t="shared" si="146"/>
        <v>50792</v>
      </c>
    </row>
    <row r="9355" spans="1:5" x14ac:dyDescent="0.25">
      <c r="A9355" s="2">
        <f>IF(B9355="","",SUBTOTAL(3,$B$2:B9355))</f>
        <v>9354</v>
      </c>
      <c r="B9355" s="9" t="s">
        <v>48</v>
      </c>
      <c r="C9355" s="10" t="s">
        <v>54</v>
      </c>
      <c r="D9355" s="11">
        <v>123.22858903265558</v>
      </c>
      <c r="E9355" s="12">
        <f t="shared" si="146"/>
        <v>50793</v>
      </c>
    </row>
    <row r="9356" spans="1:5" x14ac:dyDescent="0.25">
      <c r="A9356" s="2">
        <f>IF(B9356="","",SUBTOTAL(3,$B$2:B9356))</f>
        <v>9355</v>
      </c>
      <c r="B9356" s="9" t="s">
        <v>53</v>
      </c>
      <c r="C9356" s="10" t="s">
        <v>54</v>
      </c>
      <c r="D9356" s="11">
        <v>12.822039253757318</v>
      </c>
      <c r="E9356" s="12">
        <f t="shared" si="146"/>
        <v>50794</v>
      </c>
    </row>
    <row r="9357" spans="1:5" x14ac:dyDescent="0.25">
      <c r="A9357" s="2">
        <f>IF(B9357="","",SUBTOTAL(3,$B$2:B9357))</f>
        <v>9356</v>
      </c>
      <c r="B9357" s="9" t="s">
        <v>53</v>
      </c>
      <c r="C9357" s="10" t="s">
        <v>54</v>
      </c>
      <c r="D9357" s="11">
        <v>10.990319360363413</v>
      </c>
      <c r="E9357" s="12">
        <f t="shared" si="146"/>
        <v>50795</v>
      </c>
    </row>
    <row r="9358" spans="1:5" x14ac:dyDescent="0.25">
      <c r="A9358" s="2">
        <f>IF(B9358="","",SUBTOTAL(3,$B$2:B9358))</f>
        <v>9357</v>
      </c>
      <c r="B9358" s="9" t="s">
        <v>53</v>
      </c>
      <c r="C9358" s="10" t="s">
        <v>54</v>
      </c>
      <c r="D9358" s="11">
        <v>5.4951596801817066</v>
      </c>
      <c r="E9358" s="12">
        <f t="shared" si="146"/>
        <v>50796</v>
      </c>
    </row>
    <row r="9359" spans="1:5" x14ac:dyDescent="0.25">
      <c r="A9359" s="2">
        <f>IF(B9359="","",SUBTOTAL(3,$B$2:B9359))</f>
        <v>9358</v>
      </c>
      <c r="B9359" s="9" t="s">
        <v>53</v>
      </c>
      <c r="C9359" s="10" t="s">
        <v>54</v>
      </c>
      <c r="D9359" s="11">
        <v>24.72821856081768</v>
      </c>
      <c r="E9359" s="12">
        <f t="shared" si="146"/>
        <v>50797</v>
      </c>
    </row>
    <row r="9360" spans="1:5" x14ac:dyDescent="0.25">
      <c r="A9360" s="2">
        <f>IF(B9360="","",SUBTOTAL(3,$B$2:B9360))</f>
        <v>9359</v>
      </c>
      <c r="B9360" s="9" t="s">
        <v>48</v>
      </c>
      <c r="C9360" s="10" t="s">
        <v>54</v>
      </c>
      <c r="D9360" s="11">
        <v>46.210720887245841</v>
      </c>
      <c r="E9360" s="12">
        <f t="shared" si="146"/>
        <v>50798</v>
      </c>
    </row>
    <row r="9361" spans="1:5" x14ac:dyDescent="0.25">
      <c r="A9361" s="2">
        <f>IF(B9361="","",SUBTOTAL(3,$B$2:B9361))</f>
        <v>9360</v>
      </c>
      <c r="B9361" s="9" t="s">
        <v>51</v>
      </c>
      <c r="C9361" s="10" t="s">
        <v>52</v>
      </c>
      <c r="D9361" s="11">
        <v>81.030710639332298</v>
      </c>
      <c r="E9361" s="12">
        <f t="shared" si="146"/>
        <v>50799</v>
      </c>
    </row>
    <row r="9362" spans="1:5" x14ac:dyDescent="0.25">
      <c r="A9362" s="2">
        <f>IF(B9362="","",SUBTOTAL(3,$B$2:B9362))</f>
        <v>9361</v>
      </c>
      <c r="B9362" s="9" t="s">
        <v>55</v>
      </c>
      <c r="C9362" s="10" t="s">
        <v>52</v>
      </c>
      <c r="D9362" s="11">
        <v>401.21970791205263</v>
      </c>
      <c r="E9362" s="12">
        <f t="shared" si="146"/>
        <v>50800</v>
      </c>
    </row>
    <row r="9363" spans="1:5" x14ac:dyDescent="0.25">
      <c r="A9363" s="2">
        <f>IF(B9363="","",SUBTOTAL(3,$B$2:B9363))</f>
        <v>9362</v>
      </c>
      <c r="B9363" s="9" t="s">
        <v>48</v>
      </c>
      <c r="C9363" s="10" t="s">
        <v>52</v>
      </c>
      <c r="D9363" s="11">
        <v>53.912507701786815</v>
      </c>
      <c r="E9363" s="12">
        <f t="shared" si="146"/>
        <v>50801</v>
      </c>
    </row>
    <row r="9364" spans="1:5" x14ac:dyDescent="0.25">
      <c r="A9364" s="2">
        <f>IF(B9364="","",SUBTOTAL(3,$B$2:B9364))</f>
        <v>9363</v>
      </c>
      <c r="B9364" s="9" t="s">
        <v>51</v>
      </c>
      <c r="C9364" s="10" t="s">
        <v>52</v>
      </c>
      <c r="D9364" s="11">
        <v>52.949274594938046</v>
      </c>
      <c r="E9364" s="12">
        <f t="shared" si="146"/>
        <v>50802</v>
      </c>
    </row>
    <row r="9365" spans="1:5" x14ac:dyDescent="0.25">
      <c r="A9365" s="2">
        <f>IF(B9365="","",SUBTOTAL(3,$B$2:B9365))</f>
        <v>9364</v>
      </c>
      <c r="B9365" s="9" t="s">
        <v>55</v>
      </c>
      <c r="C9365" s="10" t="s">
        <v>52</v>
      </c>
      <c r="D9365" s="11">
        <v>65.808090446639511</v>
      </c>
      <c r="E9365" s="12">
        <f t="shared" si="146"/>
        <v>50803</v>
      </c>
    </row>
    <row r="9366" spans="1:5" x14ac:dyDescent="0.25">
      <c r="A9366" s="2">
        <f>IF(B9366="","",SUBTOTAL(3,$B$2:B9366))</f>
        <v>9365</v>
      </c>
      <c r="B9366" s="9" t="s">
        <v>48</v>
      </c>
      <c r="C9366" s="10" t="s">
        <v>52</v>
      </c>
      <c r="D9366" s="11">
        <v>28.343674594967251</v>
      </c>
      <c r="E9366" s="12">
        <f t="shared" si="146"/>
        <v>50804</v>
      </c>
    </row>
    <row r="9367" spans="1:5" x14ac:dyDescent="0.25">
      <c r="A9367" s="2">
        <f>IF(B9367="","",SUBTOTAL(3,$B$2:B9367))</f>
        <v>9366</v>
      </c>
      <c r="B9367" s="9" t="s">
        <v>48</v>
      </c>
      <c r="C9367" s="10" t="s">
        <v>52</v>
      </c>
      <c r="D9367" s="11">
        <v>30.807147258163894</v>
      </c>
      <c r="E9367" s="12">
        <f t="shared" si="146"/>
        <v>50805</v>
      </c>
    </row>
    <row r="9368" spans="1:5" x14ac:dyDescent="0.25">
      <c r="A9368" s="2">
        <f>IF(B9368="","",SUBTOTAL(3,$B$2:B9368))</f>
        <v>9367</v>
      </c>
      <c r="B9368" s="9" t="s">
        <v>55</v>
      </c>
      <c r="C9368" s="10" t="s">
        <v>52</v>
      </c>
      <c r="D9368" s="11">
        <v>44.091710758377424</v>
      </c>
      <c r="E9368" s="12">
        <f t="shared" si="146"/>
        <v>50806</v>
      </c>
    </row>
    <row r="9369" spans="1:5" x14ac:dyDescent="0.25">
      <c r="A9369" s="2">
        <f>IF(B9369="","",SUBTOTAL(3,$B$2:B9369))</f>
        <v>9368</v>
      </c>
      <c r="B9369" s="9" t="s">
        <v>48</v>
      </c>
      <c r="C9369" s="10" t="s">
        <v>52</v>
      </c>
      <c r="D9369" s="11">
        <v>12.848020762401553</v>
      </c>
      <c r="E9369" s="12">
        <f t="shared" si="146"/>
        <v>50807</v>
      </c>
    </row>
    <row r="9370" spans="1:5" x14ac:dyDescent="0.25">
      <c r="A9370" s="2">
        <f>IF(B9370="","",SUBTOTAL(3,$B$2:B9370))</f>
        <v>9369</v>
      </c>
      <c r="B9370" s="9" t="s">
        <v>51</v>
      </c>
      <c r="C9370" s="10" t="s">
        <v>52</v>
      </c>
      <c r="D9370" s="11">
        <v>40.515355319666149</v>
      </c>
      <c r="E9370" s="12">
        <f t="shared" si="146"/>
        <v>50808</v>
      </c>
    </row>
    <row r="9371" spans="1:5" x14ac:dyDescent="0.25">
      <c r="A9371" s="2">
        <f>IF(B9371="","",SUBTOTAL(3,$B$2:B9371))</f>
        <v>9370</v>
      </c>
      <c r="B9371" s="9" t="s">
        <v>55</v>
      </c>
      <c r="C9371" s="10" t="s">
        <v>52</v>
      </c>
      <c r="D9371" s="11">
        <v>200</v>
      </c>
      <c r="E9371" s="12">
        <f t="shared" si="146"/>
        <v>50809</v>
      </c>
    </row>
    <row r="9372" spans="1:5" x14ac:dyDescent="0.25">
      <c r="A9372" s="2">
        <f>IF(B9372="","",SUBTOTAL(3,$B$2:B9372))</f>
        <v>9371</v>
      </c>
      <c r="B9372" s="9" t="s">
        <v>55</v>
      </c>
      <c r="C9372" s="10" t="s">
        <v>52</v>
      </c>
      <c r="D9372" s="11">
        <v>150</v>
      </c>
      <c r="E9372" s="12">
        <f t="shared" si="146"/>
        <v>50810</v>
      </c>
    </row>
    <row r="9373" spans="1:5" x14ac:dyDescent="0.25">
      <c r="A9373" s="2">
        <f>IF(B9373="","",SUBTOTAL(3,$B$2:B9373))</f>
        <v>9372</v>
      </c>
      <c r="B9373" s="9" t="s">
        <v>51</v>
      </c>
      <c r="C9373" s="10" t="s">
        <v>52</v>
      </c>
      <c r="D9373" s="11">
        <v>52.949274594938046</v>
      </c>
      <c r="E9373" s="12">
        <f t="shared" si="146"/>
        <v>50811</v>
      </c>
    </row>
    <row r="9374" spans="1:5" x14ac:dyDescent="0.25">
      <c r="A9374" s="2">
        <f>IF(B9374="","",SUBTOTAL(3,$B$2:B9374))</f>
        <v>9373</v>
      </c>
      <c r="B9374" s="9" t="s">
        <v>48</v>
      </c>
      <c r="C9374" s="10" t="s">
        <v>52</v>
      </c>
      <c r="D9374" s="11">
        <v>77.017868145409736</v>
      </c>
      <c r="E9374" s="12">
        <f t="shared" si="146"/>
        <v>50812</v>
      </c>
    </row>
    <row r="9375" spans="1:5" x14ac:dyDescent="0.25">
      <c r="A9375" s="2">
        <f>IF(B9375="","",SUBTOTAL(3,$B$2:B9375))</f>
        <v>9374</v>
      </c>
      <c r="B9375" s="9" t="s">
        <v>48</v>
      </c>
      <c r="C9375" s="10" t="s">
        <v>52</v>
      </c>
      <c r="D9375" s="11">
        <v>46.210720887245841</v>
      </c>
      <c r="E9375" s="12">
        <f t="shared" si="146"/>
        <v>50813</v>
      </c>
    </row>
    <row r="9376" spans="1:5" x14ac:dyDescent="0.25">
      <c r="A9376" s="2">
        <f>IF(B9376="","",SUBTOTAL(3,$B$2:B9376))</f>
        <v>9375</v>
      </c>
      <c r="B9376" s="9" t="s">
        <v>51</v>
      </c>
      <c r="C9376" s="10" t="s">
        <v>52</v>
      </c>
      <c r="D9376" s="11">
        <v>105.89854918987609</v>
      </c>
      <c r="E9376" s="12">
        <f t="shared" si="146"/>
        <v>50814</v>
      </c>
    </row>
    <row r="9377" spans="1:5" x14ac:dyDescent="0.25">
      <c r="A9377" s="2">
        <f>IF(B9377="","",SUBTOTAL(3,$B$2:B9377))</f>
        <v>9376</v>
      </c>
      <c r="B9377" s="9" t="s">
        <v>51</v>
      </c>
      <c r="C9377" s="10" t="s">
        <v>52</v>
      </c>
      <c r="D9377" s="11">
        <v>243.09213191799691</v>
      </c>
      <c r="E9377" s="12">
        <f t="shared" si="146"/>
        <v>50815</v>
      </c>
    </row>
    <row r="9378" spans="1:5" x14ac:dyDescent="0.25">
      <c r="A9378" s="2">
        <f>IF(B9378="","",SUBTOTAL(3,$B$2:B9378))</f>
        <v>9377</v>
      </c>
      <c r="B9378" s="9" t="s">
        <v>50</v>
      </c>
      <c r="C9378" s="10" t="s">
        <v>52</v>
      </c>
      <c r="D9378" s="11">
        <v>51.544312169312171</v>
      </c>
      <c r="E9378" s="12">
        <f t="shared" si="146"/>
        <v>50816</v>
      </c>
    </row>
    <row r="9379" spans="1:5" x14ac:dyDescent="0.25">
      <c r="A9379" s="2">
        <f>IF(B9379="","",SUBTOTAL(3,$B$2:B9379))</f>
        <v>9378</v>
      </c>
      <c r="B9379" s="9" t="s">
        <v>48</v>
      </c>
      <c r="C9379" s="10" t="s">
        <v>52</v>
      </c>
      <c r="D9379" s="11">
        <v>100.12322858903266</v>
      </c>
      <c r="E9379" s="12">
        <f t="shared" si="146"/>
        <v>50817</v>
      </c>
    </row>
    <row r="9380" spans="1:5" x14ac:dyDescent="0.25">
      <c r="A9380" s="2">
        <f>IF(B9380="","",SUBTOTAL(3,$B$2:B9380))</f>
        <v>9379</v>
      </c>
      <c r="B9380" s="9" t="s">
        <v>51</v>
      </c>
      <c r="C9380" s="10" t="s">
        <v>52</v>
      </c>
      <c r="D9380" s="11">
        <v>52.949274594938046</v>
      </c>
      <c r="E9380" s="12">
        <f t="shared" si="146"/>
        <v>50818</v>
      </c>
    </row>
    <row r="9381" spans="1:5" x14ac:dyDescent="0.25">
      <c r="A9381" s="2">
        <f>IF(B9381="","",SUBTOTAL(3,$B$2:B9381))</f>
        <v>9380</v>
      </c>
      <c r="B9381" s="9" t="s">
        <v>50</v>
      </c>
      <c r="C9381" s="10" t="s">
        <v>54</v>
      </c>
      <c r="D9381" s="11">
        <v>44.091710758377424</v>
      </c>
      <c r="E9381" s="12">
        <f t="shared" si="146"/>
        <v>50819</v>
      </c>
    </row>
    <row r="9382" spans="1:5" x14ac:dyDescent="0.25">
      <c r="A9382" s="2">
        <f>IF(B9382="","",SUBTOTAL(3,$B$2:B9382))</f>
        <v>9381</v>
      </c>
      <c r="B9382" s="9" t="s">
        <v>50</v>
      </c>
      <c r="C9382" s="10" t="s">
        <v>54</v>
      </c>
      <c r="D9382" s="11">
        <v>176.3668430335097</v>
      </c>
      <c r="E9382" s="12">
        <f t="shared" si="146"/>
        <v>50820</v>
      </c>
    </row>
    <row r="9383" spans="1:5" x14ac:dyDescent="0.25">
      <c r="A9383" s="2">
        <f>IF(B9383="","",SUBTOTAL(3,$B$2:B9383))</f>
        <v>9382</v>
      </c>
      <c r="B9383" s="9" t="s">
        <v>55</v>
      </c>
      <c r="C9383" s="10" t="s">
        <v>54</v>
      </c>
      <c r="D9383" s="11">
        <v>115.16415828161914</v>
      </c>
      <c r="E9383" s="12">
        <f t="shared" si="146"/>
        <v>50821</v>
      </c>
    </row>
    <row r="9384" spans="1:5" x14ac:dyDescent="0.25">
      <c r="A9384" s="2">
        <f>IF(B9384="","",SUBTOTAL(3,$B$2:B9384))</f>
        <v>9383</v>
      </c>
      <c r="B9384" s="9" t="s">
        <v>55</v>
      </c>
      <c r="C9384" s="10" t="s">
        <v>54</v>
      </c>
      <c r="D9384" s="11">
        <v>658.08090446639505</v>
      </c>
      <c r="E9384" s="12">
        <f t="shared" si="146"/>
        <v>50822</v>
      </c>
    </row>
    <row r="9385" spans="1:5" x14ac:dyDescent="0.25">
      <c r="A9385" s="2">
        <f>IF(B9385="","",SUBTOTAL(3,$B$2:B9385))</f>
        <v>9384</v>
      </c>
      <c r="B9385" s="9" t="s">
        <v>55</v>
      </c>
      <c r="C9385" s="10" t="s">
        <v>54</v>
      </c>
      <c r="D9385" s="11">
        <v>30</v>
      </c>
      <c r="E9385" s="12">
        <f t="shared" si="146"/>
        <v>50823</v>
      </c>
    </row>
    <row r="9386" spans="1:5" x14ac:dyDescent="0.25">
      <c r="A9386" s="2">
        <f>IF(B9386="","",SUBTOTAL(3,$B$2:B9386))</f>
        <v>9385</v>
      </c>
      <c r="B9386" s="9" t="s">
        <v>53</v>
      </c>
      <c r="C9386" s="10" t="s">
        <v>54</v>
      </c>
      <c r="D9386" s="11">
        <v>183.17198933939025</v>
      </c>
      <c r="E9386" s="12">
        <f t="shared" si="146"/>
        <v>50824</v>
      </c>
    </row>
    <row r="9387" spans="1:5" x14ac:dyDescent="0.25">
      <c r="A9387" s="2">
        <f>IF(B9387="","",SUBTOTAL(3,$B$2:B9387))</f>
        <v>9386</v>
      </c>
      <c r="B9387" s="9" t="s">
        <v>53</v>
      </c>
      <c r="C9387" s="10" t="s">
        <v>54</v>
      </c>
      <c r="D9387" s="11">
        <v>457.92997334847558</v>
      </c>
      <c r="E9387" s="12">
        <f t="shared" si="146"/>
        <v>50825</v>
      </c>
    </row>
    <row r="9388" spans="1:5" x14ac:dyDescent="0.25">
      <c r="A9388" s="2">
        <f>IF(B9388="","",SUBTOTAL(3,$B$2:B9388))</f>
        <v>9387</v>
      </c>
      <c r="B9388" s="9" t="s">
        <v>53</v>
      </c>
      <c r="C9388" s="10" t="s">
        <v>54</v>
      </c>
      <c r="D9388" s="11">
        <v>384.66117761271948</v>
      </c>
      <c r="E9388" s="12">
        <f t="shared" si="146"/>
        <v>50826</v>
      </c>
    </row>
    <row r="9389" spans="1:5" x14ac:dyDescent="0.25">
      <c r="A9389" s="2">
        <f>IF(B9389="","",SUBTOTAL(3,$B$2:B9389))</f>
        <v>9388</v>
      </c>
      <c r="B9389" s="9" t="s">
        <v>53</v>
      </c>
      <c r="C9389" s="10" t="s">
        <v>54</v>
      </c>
      <c r="D9389" s="11">
        <v>457.92997334847558</v>
      </c>
      <c r="E9389" s="12">
        <f t="shared" si="146"/>
        <v>50827</v>
      </c>
    </row>
    <row r="9390" spans="1:5" x14ac:dyDescent="0.25">
      <c r="A9390" s="2">
        <f>IF(B9390="","",SUBTOTAL(3,$B$2:B9390))</f>
        <v>9389</v>
      </c>
      <c r="B9390" s="9" t="s">
        <v>53</v>
      </c>
      <c r="C9390" s="10" t="s">
        <v>54</v>
      </c>
      <c r="D9390" s="11">
        <v>457.92997334847558</v>
      </c>
      <c r="E9390" s="12">
        <f t="shared" si="146"/>
        <v>50828</v>
      </c>
    </row>
    <row r="9391" spans="1:5" x14ac:dyDescent="0.25">
      <c r="A9391" s="2">
        <f>IF(B9391="","",SUBTOTAL(3,$B$2:B9391))</f>
        <v>9390</v>
      </c>
      <c r="B9391" s="9" t="s">
        <v>53</v>
      </c>
      <c r="C9391" s="10" t="s">
        <v>54</v>
      </c>
      <c r="D9391" s="11">
        <v>457.92997334847558</v>
      </c>
      <c r="E9391" s="12">
        <f t="shared" si="146"/>
        <v>50829</v>
      </c>
    </row>
    <row r="9392" spans="1:5" x14ac:dyDescent="0.25">
      <c r="A9392" s="2">
        <f>IF(B9392="","",SUBTOTAL(3,$B$2:B9392))</f>
        <v>9391</v>
      </c>
      <c r="B9392" s="9" t="s">
        <v>53</v>
      </c>
      <c r="C9392" s="10" t="s">
        <v>54</v>
      </c>
      <c r="D9392" s="11">
        <v>457.92997334847558</v>
      </c>
      <c r="E9392" s="12">
        <f t="shared" si="146"/>
        <v>50830</v>
      </c>
    </row>
    <row r="9393" spans="1:5" x14ac:dyDescent="0.25">
      <c r="A9393" s="2">
        <f>IF(B9393="","",SUBTOTAL(3,$B$2:B9393))</f>
        <v>9392</v>
      </c>
      <c r="B9393" s="9" t="s">
        <v>53</v>
      </c>
      <c r="C9393" s="10" t="s">
        <v>54</v>
      </c>
      <c r="D9393" s="11">
        <v>457.92997334847558</v>
      </c>
      <c r="E9393" s="12">
        <f t="shared" si="146"/>
        <v>50831</v>
      </c>
    </row>
    <row r="9394" spans="1:5" x14ac:dyDescent="0.25">
      <c r="A9394" s="2">
        <f>IF(B9394="","",SUBTOTAL(3,$B$2:B9394))</f>
        <v>9393</v>
      </c>
      <c r="B9394" s="9" t="s">
        <v>50</v>
      </c>
      <c r="C9394" s="10" t="s">
        <v>54</v>
      </c>
      <c r="D9394" s="11">
        <v>22.045855379188712</v>
      </c>
      <c r="E9394" s="12">
        <f t="shared" si="146"/>
        <v>50832</v>
      </c>
    </row>
    <row r="9395" spans="1:5" x14ac:dyDescent="0.25">
      <c r="A9395" s="2">
        <f>IF(B9395="","",SUBTOTAL(3,$B$2:B9395))</f>
        <v>9394</v>
      </c>
      <c r="B9395" s="9" t="s">
        <v>50</v>
      </c>
      <c r="C9395" s="10" t="s">
        <v>54</v>
      </c>
      <c r="D9395" s="11">
        <v>23.699294532627867</v>
      </c>
      <c r="E9395" s="12">
        <f t="shared" si="146"/>
        <v>50833</v>
      </c>
    </row>
    <row r="9396" spans="1:5" x14ac:dyDescent="0.25">
      <c r="A9396" s="2">
        <f>IF(B9396="","",SUBTOTAL(3,$B$2:B9396))</f>
        <v>9395</v>
      </c>
      <c r="B9396" s="9" t="s">
        <v>53</v>
      </c>
      <c r="C9396" s="10" t="s">
        <v>54</v>
      </c>
      <c r="D9396" s="11">
        <v>32.05509813439329</v>
      </c>
      <c r="E9396" s="12">
        <f t="shared" si="146"/>
        <v>50834</v>
      </c>
    </row>
    <row r="9397" spans="1:5" x14ac:dyDescent="0.25">
      <c r="A9397" s="2">
        <f>IF(B9397="","",SUBTOTAL(3,$B$2:B9397))</f>
        <v>9396</v>
      </c>
      <c r="B9397" s="9" t="s">
        <v>53</v>
      </c>
      <c r="C9397" s="10" t="s">
        <v>54</v>
      </c>
      <c r="D9397" s="11">
        <v>91.585994669695125</v>
      </c>
      <c r="E9397" s="12">
        <f t="shared" si="146"/>
        <v>50835</v>
      </c>
    </row>
    <row r="9398" spans="1:5" x14ac:dyDescent="0.25">
      <c r="A9398" s="2">
        <f>IF(B9398="","",SUBTOTAL(3,$B$2:B9398))</f>
        <v>9397</v>
      </c>
      <c r="B9398" s="9" t="s">
        <v>51</v>
      </c>
      <c r="C9398" s="10" t="s">
        <v>54</v>
      </c>
      <c r="D9398" s="11">
        <v>158.84782378481412</v>
      </c>
      <c r="E9398" s="12">
        <f t="shared" si="146"/>
        <v>50836</v>
      </c>
    </row>
    <row r="9399" spans="1:5" x14ac:dyDescent="0.25">
      <c r="A9399" s="2">
        <f>IF(B9399="","",SUBTOTAL(3,$B$2:B9399))</f>
        <v>9398</v>
      </c>
      <c r="B9399" s="9" t="s">
        <v>53</v>
      </c>
      <c r="C9399" s="10" t="s">
        <v>54</v>
      </c>
      <c r="D9399" s="11">
        <v>45.792997334847563</v>
      </c>
      <c r="E9399" s="12">
        <f t="shared" si="146"/>
        <v>50837</v>
      </c>
    </row>
    <row r="9400" spans="1:5" x14ac:dyDescent="0.25">
      <c r="A9400" s="2">
        <f>IF(B9400="","",SUBTOTAL(3,$B$2:B9400))</f>
        <v>9399</v>
      </c>
      <c r="B9400" s="9" t="s">
        <v>53</v>
      </c>
      <c r="C9400" s="10" t="s">
        <v>54</v>
      </c>
      <c r="D9400" s="11">
        <v>73.2687957357561</v>
      </c>
      <c r="E9400" s="12">
        <f t="shared" si="146"/>
        <v>50838</v>
      </c>
    </row>
    <row r="9401" spans="1:5" x14ac:dyDescent="0.25">
      <c r="A9401" s="2">
        <f>IF(B9401="","",SUBTOTAL(3,$B$2:B9401))</f>
        <v>9400</v>
      </c>
      <c r="B9401" s="9" t="s">
        <v>48</v>
      </c>
      <c r="C9401" s="10" t="s">
        <v>54</v>
      </c>
      <c r="D9401" s="11">
        <v>6.4240103812007767</v>
      </c>
      <c r="E9401" s="12">
        <f t="shared" si="146"/>
        <v>50839</v>
      </c>
    </row>
    <row r="9402" spans="1:5" x14ac:dyDescent="0.25">
      <c r="A9402" s="2">
        <f>IF(B9402="","",SUBTOTAL(3,$B$2:B9402))</f>
        <v>9401</v>
      </c>
      <c r="B9402" s="9" t="s">
        <v>48</v>
      </c>
      <c r="C9402" s="10" t="s">
        <v>54</v>
      </c>
      <c r="D9402" s="11">
        <v>12.322858903265558</v>
      </c>
      <c r="E9402" s="12">
        <f t="shared" si="146"/>
        <v>50840</v>
      </c>
    </row>
    <row r="9403" spans="1:5" x14ac:dyDescent="0.25">
      <c r="A9403" s="2">
        <f>IF(B9403="","",SUBTOTAL(3,$B$2:B9403))</f>
        <v>9402</v>
      </c>
      <c r="B9403" s="9" t="s">
        <v>50</v>
      </c>
      <c r="C9403" s="10" t="s">
        <v>54</v>
      </c>
      <c r="D9403" s="11">
        <v>77.160493827160494</v>
      </c>
      <c r="E9403" s="12">
        <f t="shared" si="146"/>
        <v>50841</v>
      </c>
    </row>
    <row r="9404" spans="1:5" x14ac:dyDescent="0.25">
      <c r="A9404" s="2">
        <f>IF(B9404="","",SUBTOTAL(3,$B$2:B9404))</f>
        <v>9403</v>
      </c>
      <c r="B9404" s="9" t="s">
        <v>55</v>
      </c>
      <c r="C9404" s="10" t="s">
        <v>54</v>
      </c>
      <c r="D9404" s="11">
        <v>100</v>
      </c>
      <c r="E9404" s="12">
        <f t="shared" si="146"/>
        <v>50842</v>
      </c>
    </row>
    <row r="9405" spans="1:5" x14ac:dyDescent="0.25">
      <c r="A9405" s="2">
        <f>IF(B9405="","",SUBTOTAL(3,$B$2:B9405))</f>
        <v>9404</v>
      </c>
      <c r="B9405" s="9" t="s">
        <v>51</v>
      </c>
      <c r="C9405" s="10" t="s">
        <v>54</v>
      </c>
      <c r="D9405" s="11">
        <v>52.949274594938046</v>
      </c>
      <c r="E9405" s="12">
        <f t="shared" si="146"/>
        <v>50843</v>
      </c>
    </row>
    <row r="9406" spans="1:5" x14ac:dyDescent="0.25">
      <c r="A9406" s="2">
        <f>IF(B9406="","",SUBTOTAL(3,$B$2:B9406))</f>
        <v>9405</v>
      </c>
      <c r="B9406" s="9" t="s">
        <v>51</v>
      </c>
      <c r="C9406" s="10" t="s">
        <v>54</v>
      </c>
      <c r="D9406" s="11">
        <v>32.412284255732921</v>
      </c>
      <c r="E9406" s="12">
        <f t="shared" si="146"/>
        <v>50844</v>
      </c>
    </row>
    <row r="9407" spans="1:5" x14ac:dyDescent="0.25">
      <c r="A9407" s="2">
        <f>IF(B9407="","",SUBTOTAL(3,$B$2:B9407))</f>
        <v>9406</v>
      </c>
      <c r="B9407" s="9" t="s">
        <v>51</v>
      </c>
      <c r="C9407" s="10" t="s">
        <v>54</v>
      </c>
      <c r="D9407" s="11">
        <v>211.79709837975219</v>
      </c>
      <c r="E9407" s="12">
        <f t="shared" si="146"/>
        <v>50845</v>
      </c>
    </row>
    <row r="9408" spans="1:5" x14ac:dyDescent="0.25">
      <c r="A9408" s="2">
        <f>IF(B9408="","",SUBTOTAL(3,$B$2:B9408))</f>
        <v>9407</v>
      </c>
      <c r="B9408" s="9" t="s">
        <v>55</v>
      </c>
      <c r="C9408" s="10" t="s">
        <v>54</v>
      </c>
      <c r="D9408" s="11">
        <v>3.2904045223319758E-2</v>
      </c>
      <c r="E9408" s="12">
        <f t="shared" si="146"/>
        <v>50846</v>
      </c>
    </row>
    <row r="9409" spans="1:5" x14ac:dyDescent="0.25">
      <c r="A9409" s="2">
        <f>IF(B9409="","",SUBTOTAL(3,$B$2:B9409))</f>
        <v>9408</v>
      </c>
      <c r="B9409" s="9" t="s">
        <v>55</v>
      </c>
      <c r="C9409" s="10" t="s">
        <v>54</v>
      </c>
      <c r="D9409" s="11">
        <v>69.289520834290443</v>
      </c>
      <c r="E9409" s="12">
        <f t="shared" si="146"/>
        <v>50847</v>
      </c>
    </row>
    <row r="9410" spans="1:5" x14ac:dyDescent="0.25">
      <c r="A9410" s="2">
        <f>IF(B9410="","",SUBTOTAL(3,$B$2:B9410))</f>
        <v>9409</v>
      </c>
      <c r="B9410" s="9" t="s">
        <v>55</v>
      </c>
      <c r="C9410" s="10" t="s">
        <v>54</v>
      </c>
      <c r="D9410" s="11">
        <v>200</v>
      </c>
      <c r="E9410" s="12">
        <f t="shared" si="146"/>
        <v>50848</v>
      </c>
    </row>
    <row r="9411" spans="1:5" x14ac:dyDescent="0.25">
      <c r="A9411" s="2">
        <f>IF(B9411="","",SUBTOTAL(3,$B$2:B9411))</f>
        <v>9410</v>
      </c>
      <c r="B9411" s="9" t="s">
        <v>48</v>
      </c>
      <c r="C9411" s="10" t="s">
        <v>54</v>
      </c>
      <c r="D9411" s="11">
        <v>6.4240103812007767</v>
      </c>
      <c r="E9411" s="12">
        <f t="shared" si="146"/>
        <v>50849</v>
      </c>
    </row>
    <row r="9412" spans="1:5" x14ac:dyDescent="0.25">
      <c r="A9412" s="2">
        <f>IF(B9412="","",SUBTOTAL(3,$B$2:B9412))</f>
        <v>9411</v>
      </c>
      <c r="B9412" s="9" t="s">
        <v>48</v>
      </c>
      <c r="C9412" s="10" t="s">
        <v>54</v>
      </c>
      <c r="D9412" s="11">
        <v>86.177180282661155</v>
      </c>
      <c r="E9412" s="12">
        <f t="shared" ref="E9412:E9428" si="147">E9411+1</f>
        <v>50850</v>
      </c>
    </row>
    <row r="9413" spans="1:5" x14ac:dyDescent="0.25">
      <c r="A9413" s="2">
        <f>IF(B9413="","",SUBTOTAL(3,$B$2:B9413))</f>
        <v>9412</v>
      </c>
      <c r="B9413" s="9" t="s">
        <v>48</v>
      </c>
      <c r="C9413" s="10" t="s">
        <v>54</v>
      </c>
      <c r="D9413" s="11">
        <v>77.017868145409736</v>
      </c>
      <c r="E9413" s="12">
        <f t="shared" si="147"/>
        <v>50851</v>
      </c>
    </row>
    <row r="9414" spans="1:5" x14ac:dyDescent="0.25">
      <c r="A9414" s="2">
        <f>IF(B9414="","",SUBTOTAL(3,$B$2:B9414))</f>
        <v>9413</v>
      </c>
      <c r="B9414" s="9" t="s">
        <v>51</v>
      </c>
      <c r="C9414" s="10" t="s">
        <v>54</v>
      </c>
      <c r="D9414" s="11">
        <v>52.949274594938046</v>
      </c>
      <c r="E9414" s="12">
        <f t="shared" si="147"/>
        <v>50852</v>
      </c>
    </row>
    <row r="9415" spans="1:5" x14ac:dyDescent="0.25">
      <c r="A9415" s="2">
        <f>IF(B9415="","",SUBTOTAL(3,$B$2:B9415))</f>
        <v>9414</v>
      </c>
      <c r="B9415" s="9" t="s">
        <v>51</v>
      </c>
      <c r="C9415" s="10" t="s">
        <v>54</v>
      </c>
      <c r="D9415" s="11">
        <v>79.423911892407062</v>
      </c>
      <c r="E9415" s="12">
        <f t="shared" si="147"/>
        <v>50853</v>
      </c>
    </row>
    <row r="9416" spans="1:5" x14ac:dyDescent="0.25">
      <c r="A9416" s="2">
        <f>IF(B9416="","",SUBTOTAL(3,$B$2:B9416))</f>
        <v>9415</v>
      </c>
      <c r="B9416" s="9" t="s">
        <v>51</v>
      </c>
      <c r="C9416" s="10" t="s">
        <v>54</v>
      </c>
      <c r="D9416" s="11">
        <v>317.69564756962825</v>
      </c>
      <c r="E9416" s="12">
        <f t="shared" si="147"/>
        <v>50854</v>
      </c>
    </row>
    <row r="9417" spans="1:5" x14ac:dyDescent="0.25">
      <c r="A9417" s="2">
        <f>IF(B9417="","",SUBTOTAL(3,$B$2:B9417))</f>
        <v>9416</v>
      </c>
      <c r="B9417" s="9" t="s">
        <v>55</v>
      </c>
      <c r="C9417" s="10" t="s">
        <v>54</v>
      </c>
      <c r="D9417" s="11">
        <v>50</v>
      </c>
      <c r="E9417" s="12">
        <f t="shared" si="147"/>
        <v>50855</v>
      </c>
    </row>
    <row r="9418" spans="1:5" x14ac:dyDescent="0.25">
      <c r="A9418" s="2">
        <f>IF(B9418="","",SUBTOTAL(3,$B$2:B9418))</f>
        <v>9417</v>
      </c>
      <c r="B9418" s="9" t="s">
        <v>55</v>
      </c>
      <c r="C9418" s="10" t="s">
        <v>54</v>
      </c>
      <c r="D9418" s="11">
        <v>40</v>
      </c>
      <c r="E9418" s="12">
        <f t="shared" si="147"/>
        <v>50856</v>
      </c>
    </row>
    <row r="9419" spans="1:5" x14ac:dyDescent="0.25">
      <c r="A9419" s="2">
        <f>IF(B9419="","",SUBTOTAL(3,$B$2:B9419))</f>
        <v>9418</v>
      </c>
      <c r="B9419" s="9" t="s">
        <v>50</v>
      </c>
      <c r="C9419" s="10" t="s">
        <v>54</v>
      </c>
      <c r="D9419" s="11">
        <v>2.4250440917107583</v>
      </c>
      <c r="E9419" s="12">
        <f t="shared" si="147"/>
        <v>50857</v>
      </c>
    </row>
    <row r="9420" spans="1:5" x14ac:dyDescent="0.25">
      <c r="A9420" s="2">
        <f>IF(B9420="","",SUBTOTAL(3,$B$2:B9420))</f>
        <v>9419</v>
      </c>
      <c r="B9420" s="9" t="s">
        <v>51</v>
      </c>
      <c r="C9420" s="10" t="s">
        <v>52</v>
      </c>
      <c r="D9420" s="11">
        <v>37.064492216456628</v>
      </c>
      <c r="E9420" s="12">
        <f t="shared" si="147"/>
        <v>50858</v>
      </c>
    </row>
    <row r="9421" spans="1:5" x14ac:dyDescent="0.25">
      <c r="A9421" s="2">
        <f>IF(B9421="","",SUBTOTAL(3,$B$2:B9421))</f>
        <v>9420</v>
      </c>
      <c r="B9421" s="9" t="s">
        <v>50</v>
      </c>
      <c r="C9421" s="10" t="s">
        <v>52</v>
      </c>
      <c r="D9421" s="11">
        <v>79.365079365079367</v>
      </c>
      <c r="E9421" s="12">
        <f t="shared" si="147"/>
        <v>50859</v>
      </c>
    </row>
    <row r="9422" spans="1:5" x14ac:dyDescent="0.25">
      <c r="A9422" s="2">
        <f>IF(B9422="","",SUBTOTAL(3,$B$2:B9422))</f>
        <v>9421</v>
      </c>
      <c r="B9422" s="9" t="s">
        <v>55</v>
      </c>
      <c r="C9422" s="10" t="s">
        <v>52</v>
      </c>
      <c r="D9422" s="11">
        <v>95.329802599903701</v>
      </c>
      <c r="E9422" s="12">
        <f t="shared" si="147"/>
        <v>50860</v>
      </c>
    </row>
    <row r="9423" spans="1:5" x14ac:dyDescent="0.25">
      <c r="A9423" s="2">
        <f>IF(B9423="","",SUBTOTAL(3,$B$2:B9423))</f>
        <v>9422</v>
      </c>
      <c r="B9423" s="9" t="s">
        <v>51</v>
      </c>
      <c r="C9423" s="10" t="s">
        <v>52</v>
      </c>
      <c r="D9423" s="11">
        <v>20.257677659833075</v>
      </c>
      <c r="E9423" s="12">
        <f t="shared" si="147"/>
        <v>50861</v>
      </c>
    </row>
    <row r="9424" spans="1:5" x14ac:dyDescent="0.25">
      <c r="A9424" s="2">
        <f>IF(B9424="","",SUBTOTAL(3,$B$2:B9424))</f>
        <v>9423</v>
      </c>
      <c r="B9424" s="9" t="s">
        <v>55</v>
      </c>
      <c r="C9424" s="10" t="s">
        <v>52</v>
      </c>
      <c r="D9424" s="11">
        <v>43.331728454501686</v>
      </c>
      <c r="E9424" s="12">
        <f t="shared" si="147"/>
        <v>50862</v>
      </c>
    </row>
    <row r="9425" spans="1:5" x14ac:dyDescent="0.25">
      <c r="A9425" s="2">
        <f>IF(B9425="","",SUBTOTAL(3,$B$2:B9425))</f>
        <v>9424</v>
      </c>
      <c r="B9425" s="9" t="s">
        <v>55</v>
      </c>
      <c r="C9425" s="10" t="s">
        <v>52</v>
      </c>
      <c r="D9425" s="11">
        <v>158.88300433317283</v>
      </c>
      <c r="E9425" s="12">
        <f t="shared" si="147"/>
        <v>50863</v>
      </c>
    </row>
    <row r="9426" spans="1:5" x14ac:dyDescent="0.25">
      <c r="A9426" s="2">
        <f>IF(B9426="","",SUBTOTAL(3,$B$2:B9426))</f>
        <v>9425</v>
      </c>
      <c r="B9426" s="9" t="s">
        <v>55</v>
      </c>
      <c r="C9426" s="10" t="s">
        <v>52</v>
      </c>
      <c r="D9426" s="11">
        <v>57.426379381632742</v>
      </c>
      <c r="E9426" s="12">
        <f t="shared" si="147"/>
        <v>50864</v>
      </c>
    </row>
    <row r="9427" spans="1:5" x14ac:dyDescent="0.25">
      <c r="A9427" s="2">
        <f>IF(B9427="","",SUBTOTAL(3,$B$2:B9427))</f>
        <v>9426</v>
      </c>
      <c r="B9427" s="9" t="s">
        <v>55</v>
      </c>
      <c r="C9427" s="10" t="s">
        <v>52</v>
      </c>
      <c r="D9427" s="11">
        <v>50</v>
      </c>
      <c r="E9427" s="12">
        <f t="shared" si="147"/>
        <v>50865</v>
      </c>
    </row>
    <row r="9428" spans="1:5" x14ac:dyDescent="0.25">
      <c r="A9428" s="2">
        <f>IF(B9428="","",SUBTOTAL(3,$B$2:B9428))</f>
        <v>9427</v>
      </c>
      <c r="B9428" s="9" t="s">
        <v>50</v>
      </c>
      <c r="C9428" s="10" t="s">
        <v>57</v>
      </c>
      <c r="D9428" s="11">
        <v>4.409171075837742</v>
      </c>
      <c r="E9428" s="12">
        <f t="shared" si="147"/>
        <v>50866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26"/>
  <sheetViews>
    <sheetView workbookViewId="0">
      <selection activeCell="J8" sqref="J8"/>
    </sheetView>
  </sheetViews>
  <sheetFormatPr defaultRowHeight="15" x14ac:dyDescent="0.25"/>
  <cols>
    <col min="1" max="1" width="27.28515625" bestFit="1" customWidth="1"/>
  </cols>
  <sheetData>
    <row r="1" spans="1:11" x14ac:dyDescent="0.25">
      <c r="A1" s="1" t="s">
        <v>6</v>
      </c>
    </row>
    <row r="2" spans="1:11" x14ac:dyDescent="0.25">
      <c r="A2" s="2" t="s">
        <v>7</v>
      </c>
      <c r="B2" t="s">
        <v>30</v>
      </c>
    </row>
    <row r="3" spans="1:11" x14ac:dyDescent="0.25">
      <c r="A3" s="3" t="s">
        <v>8</v>
      </c>
      <c r="K3" t="s">
        <v>32</v>
      </c>
    </row>
    <row r="4" spans="1:11" x14ac:dyDescent="0.25">
      <c r="A4" s="3" t="s">
        <v>9</v>
      </c>
    </row>
    <row r="5" spans="1:11" x14ac:dyDescent="0.25">
      <c r="A5" s="2" t="s">
        <v>10</v>
      </c>
    </row>
    <row r="6" spans="1:11" x14ac:dyDescent="0.25">
      <c r="A6" s="2" t="s">
        <v>11</v>
      </c>
      <c r="B6" t="s">
        <v>30</v>
      </c>
      <c r="F6" t="s">
        <v>31</v>
      </c>
    </row>
    <row r="7" spans="1:11" x14ac:dyDescent="0.25">
      <c r="A7" s="2" t="s">
        <v>12</v>
      </c>
    </row>
    <row r="8" spans="1:11" x14ac:dyDescent="0.25">
      <c r="A8" s="2" t="s">
        <v>13</v>
      </c>
      <c r="J8" t="s">
        <v>62</v>
      </c>
    </row>
    <row r="9" spans="1:11" x14ac:dyDescent="0.25">
      <c r="A9" s="2" t="s">
        <v>14</v>
      </c>
    </row>
    <row r="10" spans="1:11" x14ac:dyDescent="0.25">
      <c r="A10" s="2" t="s">
        <v>15</v>
      </c>
    </row>
    <row r="11" spans="1:11" x14ac:dyDescent="0.25">
      <c r="A11" s="2" t="s">
        <v>16</v>
      </c>
    </row>
    <row r="12" spans="1:11" x14ac:dyDescent="0.25">
      <c r="A12" s="2" t="s">
        <v>17</v>
      </c>
      <c r="I12" s="4" t="s">
        <v>33</v>
      </c>
    </row>
    <row r="13" spans="1:11" x14ac:dyDescent="0.25">
      <c r="A13" s="2" t="s">
        <v>18</v>
      </c>
    </row>
    <row r="14" spans="1:11" x14ac:dyDescent="0.25">
      <c r="A14" s="2" t="s">
        <v>19</v>
      </c>
    </row>
    <row r="15" spans="1:11" x14ac:dyDescent="0.25">
      <c r="A15" s="2" t="s">
        <v>20</v>
      </c>
    </row>
    <row r="16" spans="1:11" x14ac:dyDescent="0.25">
      <c r="A16" s="2" t="s">
        <v>21</v>
      </c>
    </row>
    <row r="17" spans="1:10" x14ac:dyDescent="0.25">
      <c r="A17" s="2" t="s">
        <v>22</v>
      </c>
    </row>
    <row r="18" spans="1:10" x14ac:dyDescent="0.25">
      <c r="A18" s="2" t="s">
        <v>23</v>
      </c>
      <c r="E18" t="s">
        <v>34</v>
      </c>
    </row>
    <row r="19" spans="1:10" x14ac:dyDescent="0.25">
      <c r="A19" s="2" t="s">
        <v>24</v>
      </c>
      <c r="I19" t="s">
        <v>40</v>
      </c>
      <c r="J19" t="s">
        <v>41</v>
      </c>
    </row>
    <row r="20" spans="1:10" x14ac:dyDescent="0.25">
      <c r="A20" s="2" t="s">
        <v>25</v>
      </c>
      <c r="F20" t="s">
        <v>35</v>
      </c>
    </row>
    <row r="21" spans="1:10" x14ac:dyDescent="0.25">
      <c r="A21" s="2" t="s">
        <v>26</v>
      </c>
      <c r="F21" t="s">
        <v>36</v>
      </c>
      <c r="H21" t="s">
        <v>42</v>
      </c>
      <c r="I21">
        <f>COUNTIF($F$20:$F$26,H21)</f>
        <v>2</v>
      </c>
      <c r="J21">
        <f>COUNTIF($F$20:$F$26,"Deepak")</f>
        <v>2</v>
      </c>
    </row>
    <row r="22" spans="1:10" x14ac:dyDescent="0.25">
      <c r="A22" s="2" t="s">
        <v>27</v>
      </c>
      <c r="F22" t="s">
        <v>37</v>
      </c>
    </row>
    <row r="23" spans="1:10" x14ac:dyDescent="0.25">
      <c r="A23" s="2" t="s">
        <v>28</v>
      </c>
      <c r="F23" t="s">
        <v>38</v>
      </c>
    </row>
    <row r="24" spans="1:10" x14ac:dyDescent="0.25">
      <c r="A24" s="2" t="s">
        <v>29</v>
      </c>
      <c r="F24" t="s">
        <v>35</v>
      </c>
    </row>
    <row r="25" spans="1:10" x14ac:dyDescent="0.25">
      <c r="F25" t="s">
        <v>39</v>
      </c>
    </row>
    <row r="26" spans="1:10" x14ac:dyDescent="0.25">
      <c r="F26" t="s">
        <v>36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13"/>
  <sheetViews>
    <sheetView showFormulas="1" showGridLines="0" workbookViewId="0">
      <selection activeCell="B4" sqref="B4"/>
    </sheetView>
  </sheetViews>
  <sheetFormatPr defaultRowHeight="15" x14ac:dyDescent="0.25"/>
  <sheetData>
    <row r="1" spans="1:7" x14ac:dyDescent="0.25">
      <c r="A1">
        <v>40</v>
      </c>
      <c r="B1">
        <v>47</v>
      </c>
      <c r="C1">
        <v>9</v>
      </c>
      <c r="D1">
        <v>89</v>
      </c>
      <c r="E1">
        <v>26</v>
      </c>
      <c r="F1">
        <v>74</v>
      </c>
    </row>
    <row r="2" spans="1:7" x14ac:dyDescent="0.25">
      <c r="A2">
        <v>57</v>
      </c>
      <c r="B2">
        <v>20</v>
      </c>
      <c r="C2">
        <v>10</v>
      </c>
      <c r="D2">
        <v>16</v>
      </c>
      <c r="E2">
        <v>34</v>
      </c>
      <c r="F2">
        <v>17</v>
      </c>
    </row>
    <row r="3" spans="1:7" x14ac:dyDescent="0.25">
      <c r="A3">
        <v>65</v>
      </c>
      <c r="B3">
        <v>38</v>
      </c>
      <c r="C3">
        <v>11</v>
      </c>
      <c r="D3">
        <v>100</v>
      </c>
      <c r="E3">
        <v>10</v>
      </c>
      <c r="F3">
        <v>76</v>
      </c>
    </row>
    <row r="4" spans="1:7" x14ac:dyDescent="0.25">
      <c r="A4">
        <v>10</v>
      </c>
      <c r="B4">
        <v>51</v>
      </c>
      <c r="C4">
        <v>94</v>
      </c>
      <c r="D4">
        <v>23</v>
      </c>
      <c r="E4">
        <v>84</v>
      </c>
      <c r="F4">
        <v>59</v>
      </c>
      <c r="G4">
        <v>2</v>
      </c>
    </row>
    <row r="5" spans="1:7" x14ac:dyDescent="0.25">
      <c r="A5">
        <v>1</v>
      </c>
      <c r="B5">
        <v>84</v>
      </c>
      <c r="C5">
        <v>85</v>
      </c>
      <c r="D5">
        <v>52</v>
      </c>
      <c r="E5">
        <v>84</v>
      </c>
      <c r="F5">
        <v>15</v>
      </c>
    </row>
    <row r="6" spans="1:7" x14ac:dyDescent="0.25">
      <c r="A6">
        <v>47</v>
      </c>
      <c r="B6">
        <v>57</v>
      </c>
      <c r="C6">
        <v>79</v>
      </c>
      <c r="D6">
        <v>5</v>
      </c>
      <c r="E6">
        <v>22</v>
      </c>
      <c r="F6">
        <v>81</v>
      </c>
    </row>
    <row r="7" spans="1:7" x14ac:dyDescent="0.25">
      <c r="A7">
        <v>22</v>
      </c>
      <c r="B7">
        <v>57</v>
      </c>
      <c r="C7">
        <v>8</v>
      </c>
      <c r="D7">
        <v>77</v>
      </c>
      <c r="E7">
        <v>15</v>
      </c>
      <c r="F7">
        <v>75</v>
      </c>
    </row>
    <row r="8" spans="1:7" x14ac:dyDescent="0.25">
      <c r="A8">
        <v>37</v>
      </c>
      <c r="B8">
        <v>10</v>
      </c>
      <c r="C8">
        <v>7</v>
      </c>
      <c r="D8">
        <v>24</v>
      </c>
      <c r="E8">
        <v>19</v>
      </c>
      <c r="F8">
        <v>95</v>
      </c>
    </row>
    <row r="9" spans="1:7" x14ac:dyDescent="0.25">
      <c r="A9">
        <v>25</v>
      </c>
      <c r="B9">
        <v>65</v>
      </c>
      <c r="C9">
        <v>16</v>
      </c>
      <c r="D9">
        <v>59</v>
      </c>
      <c r="E9">
        <v>7</v>
      </c>
      <c r="F9">
        <v>51</v>
      </c>
    </row>
    <row r="10" spans="1:7" x14ac:dyDescent="0.25">
      <c r="A10">
        <v>93</v>
      </c>
      <c r="B10">
        <v>74</v>
      </c>
      <c r="C10">
        <v>99</v>
      </c>
      <c r="D10">
        <v>75</v>
      </c>
      <c r="E10">
        <v>57</v>
      </c>
      <c r="F10">
        <v>23</v>
      </c>
    </row>
    <row r="11" spans="1:7" x14ac:dyDescent="0.25">
      <c r="A11">
        <v>86</v>
      </c>
      <c r="B11">
        <v>6</v>
      </c>
      <c r="C11">
        <v>16</v>
      </c>
      <c r="D11">
        <v>76</v>
      </c>
      <c r="E11">
        <v>77</v>
      </c>
      <c r="F11">
        <v>11</v>
      </c>
    </row>
    <row r="12" spans="1:7" x14ac:dyDescent="0.25">
      <c r="A12">
        <v>55</v>
      </c>
      <c r="B12">
        <v>79</v>
      </c>
      <c r="C12">
        <v>43</v>
      </c>
      <c r="D12">
        <v>41</v>
      </c>
      <c r="E12">
        <v>87</v>
      </c>
      <c r="F12">
        <v>72</v>
      </c>
    </row>
    <row r="13" spans="1:7" x14ac:dyDescent="0.25">
      <c r="A13">
        <f t="shared" ref="A13:F13" si="0">SUM(A1:A12)</f>
        <v>538</v>
      </c>
      <c r="B13">
        <f t="shared" si="0"/>
        <v>588</v>
      </c>
      <c r="C13">
        <f t="shared" si="0"/>
        <v>477</v>
      </c>
      <c r="D13">
        <f t="shared" si="0"/>
        <v>637</v>
      </c>
      <c r="E13">
        <f t="shared" si="0"/>
        <v>522</v>
      </c>
      <c r="F13">
        <f t="shared" si="0"/>
        <v>649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Sheet2</vt:lpstr>
      <vt:lpstr>Review_Tracking</vt:lpstr>
      <vt:lpstr>Data</vt:lpstr>
      <vt:lpstr>Sheet3</vt:lpstr>
      <vt:lpstr>Sheet4</vt:lpstr>
    </vt:vector>
  </TitlesOfParts>
  <Company>home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ismail - [2010]</dc:creator>
  <cp:lastModifiedBy>Sumit</cp:lastModifiedBy>
  <cp:lastPrinted>2015-08-30T13:43:50Z</cp:lastPrinted>
  <dcterms:created xsi:type="dcterms:W3CDTF">2015-08-30T06:53:42Z</dcterms:created>
  <dcterms:modified xsi:type="dcterms:W3CDTF">2016-01-01T13:36:16Z</dcterms:modified>
</cp:coreProperties>
</file>